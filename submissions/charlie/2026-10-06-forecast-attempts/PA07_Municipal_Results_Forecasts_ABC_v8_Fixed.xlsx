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Backtest 2018 A" sheetId="18" state="visible" r:id="rId20"/>
    <sheet name="Backtest 2018 B" sheetId="19" state="visible" r:id="rId21"/>
    <sheet name="Backtest 2018 C" sheetId="20" state="visible" r:id="rId22"/>
    <sheet name="Method &amp; Caveats" sheetId="21" state="visible" r:id="rId2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sharedStrings.xml><?xml version="1.0" encoding="utf-8"?>
<sst xmlns="http://schemas.openxmlformats.org/spreadsheetml/2006/main" count="6433" uniqueCount="477">
  <si>
    <t xml:space="preserve">PA-07 2026 House Forecast — Municipal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</si>
  <si>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</si>
  <si>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with its own weights; those errors are the error terms.</t>
  </si>
  <si>
    <t xml:space="preserve">SCENARIO INPUTS (defaults are built from the tables below; type over them to run another scenario)</t>
  </si>
  <si>
    <t xml:space="preserve">District-wide Brooks share of the two-party vote (input)</t>
  </si>
  <si>
    <t xml:space="preserve">← default: like-for-like baseline (row 21) — last midterm adjusted for the registration shift</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</si>
  <si>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</si>
  <si>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</si>
  <si>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</si>
  <si>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</si>
  <si>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</si>
  <si>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</si>
  <si>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</si>
  <si>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</si>
  <si>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</si>
  <si>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</si>
  <si>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</si>
  <si>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</si>
  <si>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</si>
  <si>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</si>
  <si>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</si>
  <si>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Democratic share in the last election of the same type (2022 midterm)</t>
  </si>
  <si>
    <t xml:space="preserve">Change in Dem share of two-party registration since 2022 (pts)</t>
  </si>
  <si>
    <t xml:space="preserve">Registration-to-vote link (k), measured on precinct changes 2018→2022 and 2020→2024</t>
  </si>
  <si>
    <t xml:space="preserve">Within-district slope: precincts whose registration moved 1 pt toward a party moved about this many pts in vote share (national swing removed).</t>
  </si>
  <si>
    <t xml:space="preserve">Like-for-like baseline for 2026 = row 18 + k × row 19</t>
  </si>
  <si>
    <t xml:space="preserve">For comparison — previous rule (average of 2022 and 2024 + k × change since then)</t>
  </si>
  <si>
    <t xml:space="preserve">2022 turnout in today’s district (House votes ÷ registered voters)</t>
  </si>
  <si>
    <t xml:space="preserve">2026 registered voters (state rolls, summed over municipalities)</t>
  </si>
  <si>
    <t xml:space="preserve">District check: 2022 turnout × 2026 registered</t>
  </si>
  <si>
    <t xml:space="preserve">Rule applied municipality by municipality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</si>
  <si>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</si>
  <si>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</si>
  <si>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</si>
  <si>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</si>
  <si>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</si>
  <si>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</si>
  <si>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</si>
  <si>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</si>
  <si>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</si>
  <si>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</si>
  <si>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</si>
  <si>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</si>
  <si>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</si>
  <si>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</si>
  <si>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</si>
  <si>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</si>
  <si>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</si>
  <si>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</si>
  <si>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</si>
  <si>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all four backtests (2018, 2020, 2022, 2024). Place pattern error terms come from the 2022 and 2024 forward backtests, which use the same inputs as the 2026 forecast.</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</si>
  <si>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</si>
  <si>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</si>
  <si>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</si>
  <si>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</si>
  <si>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</si>
  <si>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</si>
  <si>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</si>
  <si>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</si>
  <si>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</si>
  <si>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</si>
  <si>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</si>
  <si>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</si>
  <si>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</si>
  <si>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</si>
  <si>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</si>
  <si>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2018 — hold-out test</t>
  </si>
  <si>
    <t xml:space="preserve">Green = forward backtests (only earlier elections used; possible for 2022 and 2024). 2020 and 2018 are hold-out tests (trained on the other elections with only the inputs that existed then), because the data start in 2018. Every year’s error terms come from the other three years. The 2020 test shows the biggest district-wide miss: one earlier election (the 2018 wave) is a poor guide to a presidential year.</t>
  </si>
  <si>
    <t xml:space="preserve">WHAT WAS FIXED — AND WHAT CANNOT BE FIXED WITH THIS DATA</t>
  </si>
  <si>
    <t xml:space="preserve">Fix: district share now uses the like-for-like rule in every year.</t>
  </si>
  <si>
    <t xml:space="preserve">Each year’s district Democratic share = the nearest election of the same type (midterm → midterm, presidential → presidential) + k × the change in two-party registration since then. Presidential and midterm electorates differ, so comparing like with like removes most of the cycle swing that the previous rule (average of the two nearest elections) carried into the 2018 and 2020 tests. The same formula is used in all four backtests and in 2026.</t>
  </si>
  <si>
    <t xml:space="preserve">What it changed.</t>
  </si>
  <si>
    <t xml:space="preserve">Worst district-share miss across the four backtests fell from about 3.2 points to about 1.7, and the average miss across all four years fell. The trade-off: in the two forward backtests the miss grew from about 0.4–0.5 to about 0.9–1.2 points.</t>
  </si>
  <si>
    <t xml:space="preserve">What cannot be fixed: midterm turnout.</t>
  </si>
  <si>
    <t xml:space="preserve">Turnout as a share of registered voters rose from 53% in 2018 to 57% in 2022. Nothing in the data available before 2022 signals that rise, so any rule built from earlier elections misses 2022 by about −6% (and, run backwards, 2018 by about +6%). That one change is most of the remaining party vote error in those two years. It is shown separately on every backtest tab (turnout part vs share part) and as low/high turnout scenarios for 2026 below.</t>
  </si>
  <si>
    <t xml:space="preserve">Backtest year</t>
  </si>
  <si>
    <t xml:space="preserve">Actual Dem share</t>
  </si>
  <si>
    <t xml:space="preserve">Previous rule: share miss (pts)</t>
  </si>
  <si>
    <t xml:space="preserve">Like-for-like: share miss (pts)</t>
  </si>
  <si>
    <t xml:space="preserve">Turnout miss</t>
  </si>
  <si>
    <t xml:space="preserve">Previous rule: Dem votes miss (A)</t>
  </si>
  <si>
    <t xml:space="preserve">Previous rule: Rep votes miss (A)</t>
  </si>
  <si>
    <t xml:space="preserve">Like-for-like: Dem votes miss (A)</t>
  </si>
  <si>
    <t xml:space="preserve">Like-for-like: Rep votes miss (A)</t>
  </si>
  <si>
    <t xml:space="preserve">Rep votes miss with exact turnout (A)</t>
  </si>
  <si>
    <t xml:space="preserve">2024 (forward backtest)</t>
  </si>
  <si>
    <t xml:space="preserve">2022 (forward backtest)</t>
  </si>
  <si>
    <t xml:space="preserve">2020 (hold-out test)</t>
  </si>
  <si>
    <t xml:space="preserve">2018 (hold-out test)</t>
  </si>
  <si>
    <t xml:space="preserve">2026 turnout scenario (Forecast A)</t>
  </si>
  <si>
    <t xml:space="preserve">Multiplier</t>
  </si>
  <si>
    <t xml:space="preserve">Votes cast</t>
  </si>
  <si>
    <t xml:space="preserve">Basis</t>
  </si>
  <si>
    <t xml:space="preserve">Lower turnout</t>
  </si>
  <si>
    <t xml:space="preserve">midterm turnout falls back by as much as it rose 2018→2022</t>
  </si>
  <si>
    <t xml:space="preserve">Central (2022 turnout rate)</t>
  </si>
  <si>
    <t xml:space="preserve">each place keeps its 2022 turnout rate (the forecast)</t>
  </si>
  <si>
    <t xml:space="preserve">Higher turnout</t>
  </si>
  <si>
    <t xml:space="preserve">midterm turnout rises again by as much as it did 2018→2022</t>
  </si>
  <si>
    <t xml:space="preserve">Turnout changes the vote counts for both candidates in the same direction but not the Brooks share; the share (and the winner) depends on the district share input in row 6.</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</si>
  <si>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</si>
  <si>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</si>
  <si>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municipalities.</t>
  </si>
  <si>
    <t xml:space="preserve">2. The place-level forecasts do differ, but only a little.</t>
  </si>
  <si>
    <t xml:space="preserve">Average gap between forecasts: A vs B 0.28 pts (largest 1.0), A vs C 0.50 (largest 2.1), B vs C 0.58 (largest 2.4) — against a 10.3-point spread of leans across municipalities.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</si>
  <si>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</si>
  <si>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</si>
  <si>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</si>
  <si>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</si>
  <si>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MUNICIPALITY COMPARISON (Brooks share by forecast, live)</t>
  </si>
  <si>
    <t xml:space="preserve">County</t>
  </si>
  <si>
    <t xml:space="preserve">Municipality</t>
  </si>
  <si>
    <t xml:space="preserve">Area</t>
  </si>
  <si>
    <t xml:space="preserve">Spread (max − min, pts)</t>
  </si>
  <si>
    <t xml:space="preserve">Total error term A (± pts)</t>
  </si>
  <si>
    <t xml:space="preserve">Total error term B (± pts)</t>
  </si>
  <si>
    <t xml:space="preserve">Total error term C (± pts)</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</si>
  <si>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</si>
  <si>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</si>
  <si>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</si>
  <si>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(all four backtest years).</t>
  </si>
  <si>
    <t xml:space="preserve">Model / scenario</t>
  </si>
  <si>
    <t xml:space="preserve">Random forest on results — Forecast A (Full random forest), municipality model; turnout = 2022 turnout rate × 2026 registered voters</t>
  </si>
  <si>
    <t xml:space="preserve">As-of date</t>
  </si>
  <si>
    <t xml:space="preserve">Prepared by</t>
  </si>
  <si>
    <t xml:space="preserve">Max</t>
  </si>
  <si>
    <t xml:space="preserve">Version</t>
  </si>
  <si>
    <t xml:space="preserve">v8.0 (current map; like-for-like baseline; backtests every year)</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</si>
  <si>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</si>
  <si>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</si>
  <si>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</si>
  <si>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</si>
  <si>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</si>
  <si>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</si>
  <si>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(area)</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</si>
  <si>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</si>
  <si>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</si>
  <si>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</si>
  <si>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</si>
  <si>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</si>
  <si>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</si>
  <si>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</si>
  <si>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</si>
  <si>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</si>
  <si>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</si>
  <si>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municipalities)</t>
  </si>
  <si>
    <t xml:space="preserve">Headline forecast for the briefing</t>
  </si>
  <si>
    <t xml:space="preserve">Error terms are ±1 standard error: place pattern error by place size (2022 and 2024 forward backtests) plus district-wide and turnout error (all four backtest years, 2018–2024). 95% low/high = Brooks share ± 1.96 × total error term.</t>
  </si>
  <si>
    <t xml:space="preserve">MUNICIPALITY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</si>
  <si>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</si>
  <si>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</si>
  <si>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</si>
  <si>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</si>
  <si>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</si>
  <si>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</si>
  <si>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</si>
  <si>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</si>
  <si>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</si>
  <si>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</si>
  <si>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</si>
  <si>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</si>
  <si>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(whole municipality)</t>
  </si>
  <si>
    <t xml:space="preserve">random forest (results only)</t>
  </si>
  <si>
    <t xml:space="preserve">Small</t>
  </si>
  <si>
    <t xml:space="preserve">state rolls, whole municipality</t>
  </si>
  <si>
    <t xml:space="preserve">BEAVER MEADOWS BOROUGH</t>
  </si>
  <si>
    <t xml:space="preserve">BOWMANSTOWN BOROUGH</t>
  </si>
  <si>
    <t xml:space="preserve">EAST PENN TOWNSHIP</t>
  </si>
  <si>
    <t xml:space="preserve">Medium</t>
  </si>
  <si>
    <t xml:space="preserve">EAST SIDE BOROUGH</t>
  </si>
  <si>
    <t xml:space="preserve">FRANKLIN TOWNSHIP</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</si>
  <si>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</si>
  <si>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</si>
  <si>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</si>
  <si>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</si>
  <si>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</si>
  <si>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</si>
  <si>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</si>
  <si>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</si>
  <si>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</si>
  <si>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</si>
  <si>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</si>
  <si>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</si>
  <si>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</si>
  <si>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</si>
  <si>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</si>
  <si>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</si>
  <si>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</si>
  <si>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</si>
  <si>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</si>
  <si>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</si>
  <si>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</si>
  <si>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</si>
  <si>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</si>
  <si>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</si>
  <si>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</si>
  <si>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</si>
  <si>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</si>
  <si>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</si>
  <si>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</si>
  <si>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</si>
  <si>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</si>
  <si>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</si>
  <si>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</si>
  <si>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</si>
  <si>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</si>
  <si>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</si>
  <si>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</si>
  <si>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</si>
  <si>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</si>
  <si>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</si>
  <si>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</si>
  <si>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</si>
  <si>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</si>
  <si>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</si>
  <si>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</si>
  <si>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</si>
  <si>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state rolls, district precincts</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</si>
  <si>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</si>
  <si>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</si>
  <si>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</si>
  <si>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</si>
  <si>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</si>
  <si>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</si>
  <si>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</si>
  <si>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</si>
  <si>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</si>
  <si>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</si>
  <si>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</si>
  <si>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</si>
  <si>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</si>
  <si>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</si>
  <si>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</si>
  <si>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</si>
  <si>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</si>
  <si>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</si>
  <si>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</si>
  <si>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</si>
  <si>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</si>
  <si>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</si>
  <si>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</si>
  <si>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</si>
  <si>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</si>
  <si>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</si>
  <si>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</si>
  <si>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</si>
  <si>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</si>
  <si>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</si>
  <si>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</si>
  <si>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</si>
  <si>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</si>
  <si>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</si>
  <si>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</si>
  <si>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</si>
  <si>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</si>
  <si>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</si>
  <si>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</si>
  <si>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on results — Forecast B (SHAP-selected forest), municipality model; turnout = 2022 turnout rate × 2026 registered voters</t>
  </si>
  <si>
    <t xml:space="preserve">PA-07 2026 House Forecast — Municipal-Level Predictions (Forecast C: shap family-reweighted forest)</t>
  </si>
  <si>
    <t xml:space="preserve">Random forest on results — Forecast C (SHAP family-reweighted forest), municipality model; turnout = 2022 turnout rate × 2026 registered voters</t>
  </si>
  <si>
    <t xml:space="preserve">How the three municipality-level forecasts weigh their inputs (SHAP) — results-only random forests</t>
  </si>
  <si>
    <t xml:space="preserve">Forecast A — Full random forest.</t>
  </si>
  <si>
    <t xml:space="preserve">All 21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</si>
  <si>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</si>
  <si>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(7 of 21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</si>
  <si>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</si>
  <si>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</si>
  <si>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Backtests.</t>
  </si>
  <si>
    <t xml:space="preserve">Each 2024 backtest uses its own forecast’s weighting: A’s full input set, B’s selected inputs, and C’s exact family weights — refit only on 2020 and 2022.</t>
  </si>
  <si>
    <t xml:space="preserve">Turnout.</t>
  </si>
  <si>
    <t xml:space="preserve">Not modelled in any forecast: votes cast = each place’s 2022 turnout rate × its 2026 registered voters (2020 turnout × 2024 registered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</si>
  <si>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</si>
  <si>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</si>
  <si>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</si>
  <si>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</si>
  <si>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Historical voter data</t>
  </si>
  <si>
    <t xml:space="preserve">Voter registration data</t>
  </si>
  <si>
    <t xml:space="preserve">Out-of-fold pattern error before → after Forecast C’s re-weighting: 2.37 → 2.29 points.</t>
  </si>
  <si>
    <t xml:space="preserve">Top inputs in each forecast (share of SHAP value in votes)</t>
  </si>
  <si>
    <t xml:space="preserve">#</t>
  </si>
  <si>
    <t xml:space="preserve">Share</t>
  </si>
  <si>
    <t xml:space="preserve">Senate lean, most recent Senate race</t>
  </si>
  <si>
    <t xml:space="preserve">House lean, last election (t−2)</t>
  </si>
  <si>
    <t xml:space="preserve">Top-of-ticket lean, last election (t−2)</t>
  </si>
  <si>
    <t xml:space="preserve">Registration: R % (voter file)</t>
  </si>
  <si>
    <t xml:space="preserve">Electorate last election: R % of ballots</t>
  </si>
  <si>
    <t xml:space="preserve">Registration: D % (voter file)</t>
  </si>
  <si>
    <t xml:space="preserve">House lean, last same-type election (t−4)</t>
  </si>
  <si>
    <t xml:space="preserve">Registered voters (log)</t>
  </si>
  <si>
    <t xml:space="preserve">Registrants: female % (known sex)</t>
  </si>
  <si>
    <t xml:space="preserve">Registration: unaffiliated/other %</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</si>
  <si>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</si>
  <si>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</si>
  <si>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</si>
  <si>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</si>
  <si>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</si>
  <si>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</si>
  <si>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</si>
  <si>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Registration: change in D−R margin since t−2</t>
  </si>
  <si>
    <t xml:space="preserve">Turnout last election: unaffiliated</t>
  </si>
  <si>
    <t xml:space="preserve">Turnout, last election (certified)</t>
  </si>
  <si>
    <t xml:space="preserve">Ticket-splitting, last election (House − top of ticket)</t>
  </si>
  <si>
    <t xml:space="preserve">Registrants: Millennial + Gen Z %</t>
  </si>
  <si>
    <t xml:space="preserve">Registrants: Boomer + Silent %</t>
  </si>
  <si>
    <t xml:space="preserve">Turnout last election: R registrants</t>
  </si>
  <si>
    <t xml:space="preserve">Mail use last election: D voters</t>
  </si>
  <si>
    <t xml:space="preserve">Lean trend (t−2 minus t−4)</t>
  </si>
  <si>
    <t xml:space="preserve">Turnout last election: D registrants</t>
  </si>
  <si>
    <t xml:space="preserve">Midterm year (1/0)</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</si>
  <si>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</si>
  <si>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</si>
  <si>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</si>
  <si>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</si>
  <si>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</si>
  <si>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</si>
  <si>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</si>
  <si>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</si>
  <si>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</si>
  <si>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U.S. Senate vote, 2024 (most recent Senate race), above or below the district average</t>
  </si>
  <si>
    <t xml:space="preserve">Democratic percent of the two-party vote</t>
  </si>
  <si>
    <t xml:space="preserve">Beat all 10 random comparison columns in 20 of 20 refits.</t>
  </si>
  <si>
    <t xml:space="preserve">Kept in B</t>
  </si>
  <si>
    <t xml:space="preserve">Democratic percent of the two-party vote for President, 2024 (the top race on the ballot), above or below the district average</t>
  </si>
  <si>
    <t xml:space="preserve">Democratic percent of the two-party House vote, 2024 (certified municipal results), above or below the district average for that election</t>
  </si>
  <si>
    <t xml:space="preserve">Registered Republicans as a percent of all registered voters, 2026 (voter file)</t>
  </si>
  <si>
    <t xml:space="preserve">Registered Republicans as a percent of everyone who voted, 2024 (voter file)</t>
  </si>
  <si>
    <t xml:space="preserve">Registered Democrats as a percent of all registered voters, 2026 (voter file)</t>
  </si>
  <si>
    <t xml:space="preserve">Democratic percent of the two-party House vote, 2022 — the last midterm (certified municipal results), above or below the district average</t>
  </si>
  <si>
    <t xml:space="preserve">Number of registered voters, 2026, on a log scale (voter file)</t>
  </si>
  <si>
    <t xml:space="preserve">Beat all 10 random comparison columns in 19 of 20 refits.</t>
  </si>
  <si>
    <t xml:space="preserve">Dropped from B</t>
  </si>
  <si>
    <t xml:space="preserve">Women as a percent of registered voters whose sex is recorded, 2026 (voter file)</t>
  </si>
  <si>
    <t xml:space="preserve">Beat all 10 random comparison columns in 17 of 20 refits.</t>
  </si>
  <si>
    <t xml:space="preserve">Registered voters in neither major party, as a percent of all registered voters, 2026 (voter file)</t>
  </si>
  <si>
    <t xml:space="preserve">Change in registered Democrats minus registered Republicans (percent of registered) from 2024 to 2026 (voter file)</t>
  </si>
  <si>
    <t xml:space="preserve">Beat all 10 random comparison columns in 16 of 20 refits.</t>
  </si>
  <si>
    <t xml:space="preserve">Percent of registered voters in neither major party who voted, 2024 (voter file)</t>
  </si>
  <si>
    <t xml:space="preserve">Beat all 10 random comparison columns in 14 of 20 refits.</t>
  </si>
  <si>
    <t xml:space="preserve">Ballots cast as a percent of registered voters, 2024 (certified municipal results)</t>
  </si>
  <si>
    <t xml:space="preserve">Beat all 10 random comparison columns in 3 of 20 refits.</t>
  </si>
  <si>
    <t xml:space="preserve">Registered voters born 1981 or later, as a percent of all registered voters, 2026 (voter file)</t>
  </si>
  <si>
    <t xml:space="preserve">Beat all 10 random comparison columns in 5 of 20 refits.</t>
  </si>
  <si>
    <t xml:space="preserve">Registered voters born 1964 or earlier, as a percent of all registered voters, 2026 (voter file)</t>
  </si>
  <si>
    <t xml:space="preserve">Beat all 10 random comparison columns in 0 of 20 refits.</t>
  </si>
  <si>
    <t xml:space="preserve">House Democratic percent minus presidential Democratic percent, 2024, in points (how much the place split its ticket)</t>
  </si>
  <si>
    <t xml:space="preserve">Beat all 10 random comparison columns in 4 of 20 refits.</t>
  </si>
  <si>
    <t xml:space="preserve">Percent of Democratic voters who voted by mail, 2024 (voter file)</t>
  </si>
  <si>
    <t xml:space="preserve">Change in the place’s House lean from 2022 to 2024, in points</t>
  </si>
  <si>
    <t xml:space="preserve">Percent of registered Republicans who voted, 2024 (voter file)</t>
  </si>
  <si>
    <t xml:space="preserve">Percent of registered Democrats who voted, 2024 (voter file)</t>
  </si>
  <si>
    <t xml:space="preserve">Election type: 1 for a midterm year (2026), 0 for a presidential year</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</si>
  <si>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</si>
  <si>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</si>
  <si>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</si>
  <si>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</si>
  <si>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</si>
  <si>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</si>
  <si>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89 municipalities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</si>
  <si>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</si>
  <si>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</si>
  <si>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</si>
  <si>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</si>
  <si>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min_samples_leaf=3, 500 trees, trained on 267 municipality-elections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</si>
  <si>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</si>
  <si>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Settings: max_features=0.33, min_samples_leaf=1, 500 trees, trained on 267 municipality-elections (2020, 2022, 2024).</t>
  </si>
  <si>
    <t xml:space="preserve">Forecast C weighting: SHAP family re-weighting. Forecast A’s forest is kept, but each input family’s SHAP contribution is multiplied by a weight fitted to out-of-sample accuracy: Election type ×1.00; Historical voter data ×1.02; Voter registration data ×1.23.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</si>
  <si>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</si>
  <si>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</si>
  <si>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</si>
  <si>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</si>
  <si>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</si>
  <si>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</si>
  <si>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</si>
  <si>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</si>
  <si>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</si>
  <si>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2018, 2020, 2022)</t>
  </si>
  <si>
    <t xml:space="preserve">Error term: district-wide (± pts, from 2018, 2020, 2022)</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</si>
  <si>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</si>
  <si>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</si>
  <si>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</si>
  <si>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</si>
  <si>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</si>
  <si>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</si>
  <si>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</si>
  <si>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</si>
  <si>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</si>
  <si>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</si>
  <si>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</si>
  <si>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</si>
  <si>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</si>
  <si>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</si>
  <si>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</si>
  <si>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</si>
  <si>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</si>
  <si>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</si>
  <si>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</si>
  <si>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</si>
  <si>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</si>
  <si>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</si>
  <si>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</si>
  <si>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WHERE THE PARTY VOTE ERRORS COME FROM (district row):</t>
  </si>
  <si>
    <t xml:space="preserve">   Turnout part — votes cast miss × actual Democratic share (same direction for both parties)</t>
  </si>
  <si>
    <t xml:space="preserve">   Share part — votes moved to/from the Democrat by the district share miss</t>
  </si>
  <si>
    <t xml:space="preserve">   Republican: turnout part</t>
  </si>
  <si>
    <t xml:space="preserve">   Republican: share part (equal and opposite to the Democratic share part)</t>
  </si>
  <si>
    <t xml:space="preserve">   Democratic votes miss if turnout had been exact (share part only, percent)</t>
  </si>
  <si>
    <t xml:space="preserve">   Republican votes miss if turnout had been exact (share part only, percent)</t>
  </si>
  <si>
    <t xml:space="preserve">What this tab is: forward backtest for 2024 — the forecast method run without 2024’s results and compared with the actual 2024 House results (trained on 2020 and 2022 only).</t>
  </si>
  <si>
    <t xml:space="preserve">A forward backtest uses only elections before the one being forecast, like a real forecast.</t>
  </si>
  <si>
    <t xml:space="preserve">Weights: Forecast A — pure random forest on the 21 inputs that existed for 2024.</t>
  </si>
  <si>
    <t xml:space="preserve">Turnout: each row’s votes cast = 2020 turnout rate × 2024 registered voters.</t>
  </si>
  <si>
    <t xml:space="preserve">District share: like-for-like rule — the nearest election of the same type (2020: 49.6%) + 0.48 × the change in Democratic share of two-party registration since then = 48.2% (previous rule would have given 49.1%). Actual 2024: 49.4%.</t>
  </si>
  <si>
    <t xml:space="preserve">Error terms on this tab come only from the OTHER backtest years (2018, 2020, 2022)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</si>
  <si>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</si>
  <si>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</si>
  <si>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t>
  </si>
  <si>
    <t xml:space="preserve">Weights: Forecast B — the SHAP-selected inputs that existed for 2024 (7: House lean, last election (t−2); House lean, last same-type election (t−4); Top-of-ticket lean, last election (t−2); Senate lean, most recent Senate race; Registration: R % (voter file); Registration: D % (voter file); Electorate last election: R % of ballots).</t>
  </si>
  <si>
    <t xml:space="preserve">Weights: Forecast C — the SAME family weights as the 2026 Forecast C (Election type ×1.00; Historical voter data ×1.02; Voter registration data ×1.23), applied to the SHAP values of this year’s Forecast A forest. Those weights were fitted using all training elections, so this test is slightly optimistic for C.</t>
  </si>
  <si>
    <t xml:space="preserve">Predicted Republican (Scheller) votes</t>
  </si>
  <si>
    <t xml:space="preserve">Error term: place pattern (± pts, from 2018, 2020, 2024)</t>
  </si>
  <si>
    <t xml:space="preserve">Error term: district-wide (± pts, from 2018, 2020, 2024)</t>
  </si>
  <si>
    <t xml:space="preserve">Rows with a comparable 2022 result</t>
  </si>
  <si>
    <t xml:space="preserve">What this tab is: forward backtest for 2022 — the forecast method run without 2022’s results and compared with the actual 2022 House results (trained on 2020 only).</t>
  </si>
  <si>
    <t xml:space="preserve">Weights: Forecast A — pure random forest on the 21 inputs that existed for 2022.</t>
  </si>
  <si>
    <t xml:space="preserve">Turnout: each row’s votes cast = 2018 turnout rate × 2022 registered voters.</t>
  </si>
  <si>
    <t xml:space="preserve">District share: like-for-like rule — the nearest election of the same type (2018: 53.3%) + 0.73 × the change in Democratic share of two-party registration since then = 51.8% (previous rule would have given 50.4%). Actual 2022: 50.9%.</t>
  </si>
  <si>
    <t xml:space="preserve">Error terms on this tab come only from the OTHER backtest years (2018, 2020, 2024)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</si>
  <si>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</si>
  <si>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t>
  </si>
  <si>
    <t xml:space="preserve">Weights: Forecast B — the SHAP-selected inputs that existed for 2022 (7: House lean, last election (t−2); House lean, last same-type election (t−4); Top-of-ticket lean, last election (t−2); Senate lean, most recent Senate race; Registration: R % (voter file); Registration: D % (voter file); Electorate last election: R % of ballots).</t>
  </si>
  <si>
    <t xml:space="preserve">Error term: place pattern (± pts, from 2018, 2022, 2024)</t>
  </si>
  <si>
    <t xml:space="preserve">Error term: district-wide (± pts, from 2018, 2022, 2024)</t>
  </si>
  <si>
    <t xml:space="preserve">Actual = PA-09 House race (treated as district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</si>
  <si>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</si>
  <si>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</si>
  <si>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</si>
  <si>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2022 and 2024 (later elections) — no earlier same-type election exists).</t>
  </si>
  <si>
    <t xml:space="preserve">A hold-out test is the closest check possible for 2020: the data begin in 2018, so the forest is trained on the other elections, using only the inputs that existed for 2020. It is not a true forecast (it learns from later elections) and its inputs are thinner than a real 2026 forecast’s.</t>
  </si>
  <si>
    <t xml:space="preserve">Weights: Forecast A — pure random forest on the 18 inputs that existed for 2020.</t>
  </si>
  <si>
    <t xml:space="preserve">Turnout: each row’s votes cast = 2024 turnout rate × 2020 registered voters (no 2016 data — the next presidential year is used instead).</t>
  </si>
  <si>
    <t xml:space="preserve">District share: like-for-like rule — the nearest election of the same type (2024: 49.4%) + 0.44 × the change in Democratic share of two-party registration since then = 50.7% (previous rule would have given 52.8%) — for this hold-out year the nearest same-type election is a later one. Actual 2020: 49.6%.</t>
  </si>
  <si>
    <t xml:space="preserve">Error terms on this tab come only from the OTHER backtest years (2018, 2022, 2024)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</si>
  <si>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</si>
  <si>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t>
  </si>
  <si>
    <t xml:space="preserve">Weights: Forecast B — the SHAP-selected inputs that existed for 2020 (6: House lean, last election (t−2); Top-of-ticket lean, last election (t−2); Senate lean, most recent Senate race; Registration: R % (voter file); Registration: D % (voter file); Electorate last election: R % of ballots).</t>
  </si>
  <si>
    <t xml:space="preserve">Predicted Republican (Nothstein) votes</t>
  </si>
  <si>
    <t xml:space="preserve">Error term: place pattern (± pts, from 2020, 2022, 2024)</t>
  </si>
  <si>
    <t xml:space="preserve">Error term: district-wide (± pts, from 2020, 2022, 2024)</t>
  </si>
  <si>
    <t xml:space="preserve">Rows with a comparable 2018 result</t>
  </si>
  <si>
    <t xml:space="preserve">What this tab is: hold-out test for 2018 — the forecast method run without 2018’s results and compared with the actual 2018 House results (trained on 2020, 2022 and 2024 (later elections) — no earlier election exists).</t>
  </si>
  <si>
    <t xml:space="preserve">A hold-out test is the closest check possible for 2018: the data begin in 2018, so the forest is trained on the other elections, using only the inputs that existed for 2018. It is not a true forecast (it learns from later elections) and its inputs are thinner than a real 2026 forecast’s.</t>
  </si>
  <si>
    <t xml:space="preserve">Weights: Forecast A — pure random forest on the 8 inputs that existed for 2018.</t>
  </si>
  <si>
    <t xml:space="preserve">Turnout: each row’s votes cast = 2022 turnout rate × 2018 registered voters (no 2014 data — the next midterm is used instead).</t>
  </si>
  <si>
    <t xml:space="preserve">District share: like-for-like rule — the nearest election of the same type (2022: 50.9%) + 0.34 × the change in Democratic share of two-party registration since then = 51.6% (previous rule would have given 51.6%) — for this hold-out year the nearest same-type election is a later one. Actual 2018: 53.3%.</t>
  </si>
  <si>
    <t xml:space="preserve">Error terms on this tab come only from the OTHER backtest years (2020, 2022, 2024) — never from 2018 itself — so columns R and S are an honest check of whether the error terms hold up.</t>
  </si>
  <si>
    <t xml:space="preserve">Actual votes are the 2018 House results as given. Error = predicted minus actual. Shares are of the two-party vote. Wild was the 2018 PA-07 Democratic candidate and Nothstein the Republican; Carbon and Polk rows in 2018/2020 had other candidates.</t>
  </si>
  <si>
    <t xml:space="preserve">Rows marked 'No comparable 2018 result' are left out of the district total and the error figures.</t>
  </si>
  <si>
    <t xml:space="preserve">Weights: Forecast B — the SHAP-selected inputs that existed for 2018 (2: Registration: R % (voter file); Registration: D % (voter file)).</t>
  </si>
  <si>
    <t xml:space="preserve">Current map, all years (v6.0)</t>
  </si>
  <si>
    <t xml:space="preserve">Every year 2018–2026 uses today’s PA-07 map, as if the district had always included all 89 municipalities and 370 precincts. Carbon County (PA-09 in 2018/2020) and Polk Township (PA-08 in 2018/2020) are treated as district results in those years: they count in the district averages, as history, in the turnout rates AND as training targets for the random forests. Ross One (the only part of Ross Township in today’s district) gets 2018/2020 estimates from the whole-township result: the same vote share, with votes scaled to the Ross One residents who voted that year (voter file). Precincts whose result under today’s code is missing or does not line up with today’s residents (re-drawn or re-paired, 25–30 a year) take their municipality’s House share as history, so every precinct has a full history; they are not used as training targets because their own result is not known. Each place’s lean is measured against the average of ALL current units for that year.</t>
  </si>
  <si>
    <t xml:space="preserve">Backtests for every year: 2024 and 2022 are forward backtests (forest trained only on earlier elections: 2020–2022 for 2024, 2020 for 2022). 2020 and 2018 are hold-out tests — the data begin in 2018, so no earlier same-type election exists; their forests are trained on the other elections using only the inputs that existed that year (2020: 18–20 inputs; 2018: registration and registrant make-up only), and their district-share and turnout rules use the nearest available election. Each forecast style (A, B, C) is backtested with its own weights. Each year’s error terms come from the other three years only.</t>
  </si>
  <si>
    <t xml:space="preserve">How the forecasts are built</t>
  </si>
  <si>
    <t xml:space="preserve">Re-run from scratch; no earlier forecast results are used. There are two separate sets of random forests — one for municipalities, one for precincts — and only one random forest per forecast, on the results (Democratic share of the two-party House vote). Turnout is not modelled.</t>
  </si>
  <si>
    <t xml:space="preserve">Turnout: votes cast in each municipality = its 2022 turnout rate (two-party House votes ÷ registered voters, Department of State rolls) × its 2026 registered voters (2026 primary rolls). District total ≈ 306,131. A turnout multiplier on the first tab (default 1.00) scales every row if you want to test higher or lower turnout.</t>
  </si>
  <si>
    <t xml:space="preserve">Backtests use the same rule one cycle earlier: 2024 votes = 2020 turnout × 2024 registered (-0.5% vs actual 2024 votes); 2022 votes = 2018 turnout × 2022 registered (-6.0% vs actual 2022).</t>
  </si>
  <si>
    <t xml:space="preserve">Three weightings of the results forest: A — pure random forest (all inputs, nothing weighted by hand); B — SHAP-selected forest (only inputs that beat random columns in ≥18 of 20 refits and carry ≥2% of SHAP, then refit); C — SHAP family-reweighted forest (A’s SHAP values multiplied by family weights fitted to out-of-sample accuracy, bounded ×0.5–×2).</t>
  </si>
  <si>
    <t xml:space="preserve">District baseline (default share): like-for-like rule — the last election of the same type (2022 for 2026) in today’s district + k × change in two-party registration since then; k = 0.419 from precinct-level changes. 2026 default: 49.83%. The same rule is used in every backtest year (nearest same-type election).</t>
  </si>
  <si>
    <t xml:space="preserve">Error terms: row total = √(place pattern error² + district-wide error²), with pattern errors by place size from the 2022 and 2024 backtests; 95% range = ±1.96 × total; Brooks-vote error terms also include turnout error. The 2024 backtest’s error terms come only from the earlier 2022 backtest, and each backtest row shows whether the actual result fell inside its range.</t>
  </si>
  <si>
    <t xml:space="preserve">Data</t>
  </si>
  <si>
    <t xml:space="preserve">Source: PA07_Municipal_Data_without_Demographics.xlsx (Master Data, Muni Consolidated); registration and district baseline from PA07_Precinct_Data.xlsx (Precinct Summary). Forest training rows: 2020, 2022, 2024 for every municipality/precinct with an observed result (2018 provides history only), including Carbon and Polk in 2020 and the Ross One estimate.</t>
  </si>
  <si>
    <t xml:space="preserve">Registration: whole-municipality state rolls; Bethlehem city and Bethlehem Township (one name on the Northampton rolls) and the three Monroe areas use the state rolls of their district precincts.</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</si>
  <si>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</si>
  <si>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</si>
  <si>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</si>
  <si>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</si>
  <si>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k and the turnout rule were checked on two elections (2022, 2024). The baseline rule was chosen because it is complete (same territory every year) and uses only pre-election information; the 2022 check (51.47% avg → registration-adjusted ≈ 50.7% vs actual 50.9%) was also close.</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</si>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</sst>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0"/>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0.498309819554836</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0.532590037754968</v>
      </c>
      <c r="D11" s="11" t="n">
        <v>136790.3634785</v>
      </c>
      <c r="E11" s="11" t="n">
        <v>120049.520450072</v>
      </c>
      <c r="F11" s="11" t="n">
        <v>483877</v>
      </c>
      <c r="G11" s="12" t="n">
        <v>0.567987991914153</v>
      </c>
    </row>
    <row r="12" customFormat="false" ht="15" hidden="false" customHeight="false" outlineLevel="0" collapsed="false">
      <c r="A12" s="9" t="s">
        <v>16</v>
      </c>
      <c r="B12" s="9"/>
      <c r="C12" s="10" t="n">
        <f aca="false">D12/(D12+E12)</f>
        <v>0.496087903679419</v>
      </c>
      <c r="D12" s="11" t="n">
        <v>188855.708602983</v>
      </c>
      <c r="E12" s="11" t="n">
        <v>191834.300571329</v>
      </c>
      <c r="F12" s="11" t="n">
        <v>518873</v>
      </c>
      <c r="G12" s="12" t="n">
        <v>0.55685757853579</v>
      </c>
    </row>
    <row r="13" customFormat="false" ht="15" hidden="false" customHeight="false" outlineLevel="0" collapsed="false">
      <c r="A13" s="9" t="s">
        <v>17</v>
      </c>
      <c r="B13" s="9"/>
      <c r="C13" s="10" t="n">
        <f aca="false">D13/(D13+E13)</f>
        <v>0.508965719508369</v>
      </c>
      <c r="D13" s="11" t="n">
        <v>149243</v>
      </c>
      <c r="E13" s="11" t="n">
        <v>143985</v>
      </c>
      <c r="F13" s="11" t="n">
        <v>510119</v>
      </c>
      <c r="G13" s="12" t="n">
        <v>0.547664742647325</v>
      </c>
    </row>
    <row r="14" customFormat="false" ht="15" hidden="false" customHeight="false" outlineLevel="0" collapsed="false">
      <c r="A14" s="9" t="s">
        <v>18</v>
      </c>
      <c r="B14" s="9"/>
      <c r="C14" s="10" t="n">
        <f aca="false">D14/(D14+E14)</f>
        <v>0.494248133629371</v>
      </c>
      <c r="D14" s="11" t="n">
        <v>196561</v>
      </c>
      <c r="E14" s="11" t="n">
        <v>201136</v>
      </c>
      <c r="F14" s="11" t="n">
        <v>535177</v>
      </c>
      <c r="G14" s="12" t="n">
        <v>0.527582575305696</v>
      </c>
    </row>
    <row r="15" customFormat="false" ht="15" hidden="false" customHeight="false" outlineLevel="0" collapsed="false">
      <c r="A15" s="9" t="s">
        <v>19</v>
      </c>
      <c r="B15" s="9"/>
      <c r="C15" s="9"/>
      <c r="D15" s="9"/>
      <c r="E15" s="9"/>
      <c r="F15" s="11" t="n">
        <v>517956</v>
      </c>
      <c r="G15" s="12" t="n">
        <v>0.522234252255227</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C13</f>
        <v>0.508965719508369</v>
      </c>
    </row>
    <row r="19" customFormat="false" ht="15" hidden="false" customHeight="false" outlineLevel="0" collapsed="false">
      <c r="A19" s="2" t="s">
        <v>22</v>
      </c>
      <c r="C19" s="15" t="n">
        <f aca="false">(G15-G13)*100</f>
        <v>-2.54304903920986</v>
      </c>
    </row>
    <row r="20" customFormat="false" ht="15" hidden="false" customHeight="false" outlineLevel="0" collapsed="false">
      <c r="A20" s="2" t="s">
        <v>23</v>
      </c>
      <c r="C20" s="16" t="n">
        <v>0.419020624031851</v>
      </c>
      <c r="D20" s="3" t="s">
        <v>24</v>
      </c>
    </row>
    <row r="21" customFormat="false" ht="15" hidden="false" customHeight="false" outlineLevel="0" collapsed="false">
      <c r="A21" s="5" t="s">
        <v>25</v>
      </c>
      <c r="C21" s="17" t="n">
        <f aca="false">C18+C20*C19/100</f>
        <v>0.498309819554836</v>
      </c>
    </row>
    <row r="22" customFormat="false" ht="15" hidden="false" customHeight="false" outlineLevel="0" collapsed="false">
      <c r="A22" s="2" t="s">
        <v>26</v>
      </c>
      <c r="C22" s="14" t="n">
        <f aca="false">AVERAGE(C13,C14)+C20*(G15-AVERAGE(G13,G14))</f>
        <v>0.495158447761038</v>
      </c>
    </row>
    <row r="23" customFormat="false" ht="15" hidden="false" customHeight="false" outlineLevel="0" collapsed="false">
      <c r="A23" s="2" t="s">
        <v>27</v>
      </c>
      <c r="C23" s="12" t="n">
        <v>0.567469570934891</v>
      </c>
    </row>
    <row r="24" customFormat="false" ht="15" hidden="false" customHeight="false" outlineLevel="0" collapsed="false">
      <c r="A24" s="2" t="s">
        <v>28</v>
      </c>
      <c r="C24" s="11" t="n">
        <v>539345</v>
      </c>
    </row>
    <row r="25" customFormat="false" ht="15" hidden="false" customHeight="false" outlineLevel="0" collapsed="false">
      <c r="A25" s="2" t="s">
        <v>29</v>
      </c>
      <c r="C25" s="18" t="n">
        <f aca="false">C23*C24</f>
        <v>306061.875735879</v>
      </c>
    </row>
    <row r="26" customFormat="false" ht="15" hidden="false" customHeight="false" outlineLevel="0" collapsed="false">
      <c r="A26" s="2" t="s">
        <v>30</v>
      </c>
      <c r="C26" s="11" t="n">
        <v>306130.810989982</v>
      </c>
      <c r="D26" s="3" t="s">
        <v>31</v>
      </c>
    </row>
    <row r="27" customFormat="false" ht="15" hidden="false" customHeight="false" outlineLevel="0" collapsed="false">
      <c r="A27" s="5" t="s">
        <v>32</v>
      </c>
      <c r="C27" s="19" t="n">
        <f aca="false">C26*C7</f>
        <v>306130.810989982</v>
      </c>
    </row>
    <row r="29" customFormat="false" ht="15" hidden="false" customHeight="false" outlineLevel="0" collapsed="false">
      <c r="A29" s="4" t="s">
        <v>33</v>
      </c>
      <c r="B29" s="4"/>
      <c r="C29" s="4"/>
      <c r="D29" s="4"/>
      <c r="E29" s="4"/>
      <c r="F29" s="4"/>
      <c r="G29" s="4"/>
      <c r="H29" s="4"/>
      <c r="I29" s="4"/>
      <c r="J29" s="4"/>
    </row>
    <row r="30" customFormat="false" ht="45" hidden="false" customHeight="true" outlineLevel="0" collapsed="false">
      <c r="A30" s="8" t="s">
        <v>34</v>
      </c>
      <c r="B30" s="8" t="s">
        <v>35</v>
      </c>
      <c r="C30" s="8" t="s">
        <v>36</v>
      </c>
      <c r="D30" s="8" t="s">
        <v>37</v>
      </c>
      <c r="E30" s="8" t="s">
        <v>38</v>
      </c>
      <c r="F30" s="8" t="s">
        <v>39</v>
      </c>
      <c r="G30" s="8" t="s">
        <v>40</v>
      </c>
      <c r="H30" s="8" t="s">
        <v>41</v>
      </c>
      <c r="I30" s="8" t="s">
        <v>42</v>
      </c>
      <c r="J30" s="8" t="s">
        <v>43</v>
      </c>
    </row>
    <row r="31" customFormat="false" ht="15" hidden="false" customHeight="false" outlineLevel="0" collapsed="false">
      <c r="A31" s="20" t="s">
        <v>44</v>
      </c>
      <c r="B31" s="21" t="s">
        <v>45</v>
      </c>
      <c r="C31" s="22" t="n">
        <f aca="false">'2026 Forecast A'!D8</f>
        <v>152551</v>
      </c>
      <c r="D31" s="22" t="n">
        <f aca="false">'2026 Forecast A'!E8</f>
        <v>153578</v>
      </c>
      <c r="E31" s="22" t="n">
        <f aca="false">'2026 Forecast A'!F8</f>
        <v>306129</v>
      </c>
      <c r="F31" s="23" t="n">
        <f aca="false">'2026 Forecast A'!G8</f>
        <v>0.498322602562972</v>
      </c>
      <c r="G31" s="24" t="n">
        <f aca="false">'2026 Forecast A'!L8</f>
        <v>1.27505696797933</v>
      </c>
      <c r="H31" s="21" t="str">
        <f aca="false">TEXT('2026 Forecast A'!M8,"0.0%")&amp;" – "&amp;TEXT('2026 Forecast A'!N8,"0.0%")</f>
        <v>47.3% – 52.3%</v>
      </c>
      <c r="I31" s="22" t="n">
        <f aca="false">'2026 Forecast A'!O8</f>
        <v>13356</v>
      </c>
      <c r="J31" s="22" t="n">
        <f aca="false">'2026 Forecast A'!P8</f>
        <v>7716</v>
      </c>
    </row>
    <row r="32" customFormat="false" ht="15" hidden="false" customHeight="false" outlineLevel="0" collapsed="false">
      <c r="A32" s="20" t="s">
        <v>46</v>
      </c>
      <c r="B32" s="21" t="s">
        <v>47</v>
      </c>
      <c r="C32" s="22" t="n">
        <f aca="false">'2026 Forecast B'!D8</f>
        <v>152550</v>
      </c>
      <c r="D32" s="22" t="n">
        <f aca="false">'2026 Forecast B'!E8</f>
        <v>153579</v>
      </c>
      <c r="E32" s="22" t="n">
        <f aca="false">'2026 Forecast B'!F8</f>
        <v>306129</v>
      </c>
      <c r="F32" s="23" t="n">
        <f aca="false">'2026 Forecast B'!G8</f>
        <v>0.49831933596621</v>
      </c>
      <c r="G32" s="24" t="n">
        <f aca="false">'2026 Forecast B'!L8</f>
        <v>1.27451386687379</v>
      </c>
      <c r="H32" s="21" t="str">
        <f aca="false">TEXT('2026 Forecast B'!M8,"0.0%")&amp;" – "&amp;TEXT('2026 Forecast B'!N8,"0.0%")</f>
        <v>47.3% – 52.3%</v>
      </c>
      <c r="I32" s="22" t="n">
        <f aca="false">'2026 Forecast B'!O8</f>
        <v>13356</v>
      </c>
      <c r="J32" s="22" t="n">
        <f aca="false">'2026 Forecast B'!P8</f>
        <v>7715</v>
      </c>
    </row>
    <row r="33" customFormat="false" ht="15" hidden="false" customHeight="false" outlineLevel="0" collapsed="false">
      <c r="A33" s="20" t="s">
        <v>48</v>
      </c>
      <c r="B33" s="21" t="s">
        <v>49</v>
      </c>
      <c r="C33" s="22" t="n">
        <f aca="false">'2026 Forecast C'!D8</f>
        <v>152552</v>
      </c>
      <c r="D33" s="22" t="n">
        <f aca="false">'2026 Forecast C'!E8</f>
        <v>153577</v>
      </c>
      <c r="E33" s="22" t="n">
        <f aca="false">'2026 Forecast C'!F8</f>
        <v>306129</v>
      </c>
      <c r="F33" s="23" t="n">
        <f aca="false">'2026 Forecast C'!G8</f>
        <v>0.498325869159733</v>
      </c>
      <c r="G33" s="24" t="n">
        <f aca="false">'2026 Forecast C'!L8</f>
        <v>1.2747518664323</v>
      </c>
      <c r="H33" s="21" t="str">
        <f aca="false">TEXT('2026 Forecast C'!M8,"0.0%")&amp;" – "&amp;TEXT('2026 Forecast C'!N8,"0.0%")</f>
        <v>47.3% – 52.3%</v>
      </c>
      <c r="I33" s="22" t="n">
        <f aca="false">'2026 Forecast C'!O8</f>
        <v>13356</v>
      </c>
      <c r="J33" s="22" t="n">
        <f aca="false">'2026 Forecast C'!P8</f>
        <v>7715</v>
      </c>
    </row>
    <row r="34" customFormat="false" ht="15" hidden="false" customHeight="false" outlineLevel="0" collapsed="false">
      <c r="A34" s="13" t="s">
        <v>50</v>
      </c>
      <c r="B34" s="13"/>
      <c r="C34" s="13"/>
      <c r="D34" s="13"/>
      <c r="E34" s="13"/>
      <c r="F34" s="13"/>
      <c r="G34" s="13"/>
      <c r="H34" s="13"/>
      <c r="I34" s="13"/>
      <c r="J34" s="13"/>
    </row>
    <row r="36" customFormat="false" ht="15" hidden="false" customHeight="false" outlineLevel="0" collapsed="false">
      <c r="A36" s="4" t="s">
        <v>51</v>
      </c>
      <c r="B36" s="4"/>
      <c r="C36" s="4"/>
      <c r="D36" s="4"/>
      <c r="E36" s="4"/>
      <c r="F36" s="4"/>
      <c r="G36" s="4"/>
      <c r="H36" s="4"/>
      <c r="I36" s="4"/>
      <c r="J36" s="4"/>
      <c r="K36" s="4"/>
      <c r="L36" s="4"/>
    </row>
    <row r="37" customFormat="false" ht="60" hidden="false" customHeight="true" outlineLevel="0" collapsed="false">
      <c r="A37" s="8" t="s">
        <v>34</v>
      </c>
      <c r="B37" s="8" t="s">
        <v>52</v>
      </c>
      <c r="C37" s="8" t="s">
        <v>53</v>
      </c>
      <c r="D37" s="8" t="s">
        <v>54</v>
      </c>
      <c r="E37" s="8" t="s">
        <v>55</v>
      </c>
      <c r="F37" s="8" t="s">
        <v>56</v>
      </c>
      <c r="G37" s="8" t="s">
        <v>57</v>
      </c>
      <c r="H37" s="8" t="s">
        <v>58</v>
      </c>
      <c r="I37" s="8" t="s">
        <v>59</v>
      </c>
      <c r="J37" s="8" t="s">
        <v>60</v>
      </c>
      <c r="K37" s="8" t="s">
        <v>61</v>
      </c>
      <c r="L37" s="8" t="s">
        <v>62</v>
      </c>
    </row>
    <row r="38" customFormat="false" ht="15" hidden="false" customHeight="false" outlineLevel="0" collapsed="false">
      <c r="A38" s="25" t="s">
        <v>44</v>
      </c>
      <c r="B38" s="25" t="s">
        <v>63</v>
      </c>
      <c r="C38" s="26" t="n">
        <f aca="false">'Backtest 2024 A'!F99</f>
        <v>-1.29699204255471</v>
      </c>
      <c r="D38" s="27" t="n">
        <f aca="false">'Backtest 2024 A'!F101</f>
        <v>-0.0314938935809964</v>
      </c>
      <c r="E38" s="28" t="n">
        <f aca="false">'Backtest 2024 A'!F102</f>
        <v>0.0201091865991123</v>
      </c>
      <c r="F38" s="27" t="n">
        <f aca="false">'Backtest 2024 A'!F103</f>
        <v>-0.00543249180539229</v>
      </c>
      <c r="G38" s="29" t="n">
        <f aca="false">'Backtest 2024 A'!F100</f>
        <v>1.80559686807259</v>
      </c>
      <c r="H38" s="29" t="n">
        <f aca="false">'Backtest 2024 A'!F98</f>
        <v>2.42274884281816</v>
      </c>
      <c r="I38" s="29" t="n">
        <f aca="false">'Backtest 2024 A'!F104</f>
        <v>3.01519996304779</v>
      </c>
      <c r="J38" s="30" t="n">
        <f aca="false">'Backtest 2024 A'!F105</f>
        <v>0.808988764044944</v>
      </c>
      <c r="K38" s="30" t="n">
        <f aca="false">'Backtest 2024 A'!F106</f>
        <v>1</v>
      </c>
      <c r="L38" s="31" t="n">
        <f aca="false">'Backtest 2024 A'!F107</f>
        <v>0.820224719101124</v>
      </c>
    </row>
    <row r="39" customFormat="false" ht="15" hidden="false" customHeight="false" outlineLevel="0" collapsed="false">
      <c r="A39" s="25" t="s">
        <v>46</v>
      </c>
      <c r="B39" s="25" t="s">
        <v>63</v>
      </c>
      <c r="C39" s="26" t="n">
        <f aca="false">'Backtest 2024 B'!F99</f>
        <v>-1.29749064273471</v>
      </c>
      <c r="D39" s="27" t="n">
        <f aca="false">'Backtest 2024 B'!F101</f>
        <v>-0.031503912316031</v>
      </c>
      <c r="E39" s="28" t="n">
        <f aca="false">'Backtest 2024 B'!F102</f>
        <v>0.0201190055378815</v>
      </c>
      <c r="F39" s="27" t="n">
        <f aca="false">'Backtest 2024 B'!F103</f>
        <v>-0.00543249180539229</v>
      </c>
      <c r="G39" s="29" t="n">
        <f aca="false">'Backtest 2024 B'!F100</f>
        <v>1.90187897985102</v>
      </c>
      <c r="H39" s="29" t="n">
        <f aca="false">'Backtest 2024 B'!F98</f>
        <v>2.46603583049451</v>
      </c>
      <c r="I39" s="29" t="n">
        <f aca="false">'Backtest 2024 B'!F104</f>
        <v>2.93936845802286</v>
      </c>
      <c r="J39" s="30" t="n">
        <f aca="false">'Backtest 2024 B'!F105</f>
        <v>0.786516853932584</v>
      </c>
      <c r="K39" s="30" t="n">
        <f aca="false">'Backtest 2024 B'!F106</f>
        <v>1</v>
      </c>
      <c r="L39" s="31" t="n">
        <f aca="false">'Backtest 2024 B'!F107</f>
        <v>0.797752808988764</v>
      </c>
    </row>
    <row r="40" customFormat="false" ht="15" hidden="false" customHeight="false" outlineLevel="0" collapsed="false">
      <c r="A40" s="25" t="s">
        <v>48</v>
      </c>
      <c r="B40" s="25" t="s">
        <v>63</v>
      </c>
      <c r="C40" s="26" t="n">
        <f aca="false">'Backtest 2024 C'!F99</f>
        <v>-1.29773994282471</v>
      </c>
      <c r="D40" s="27" t="n">
        <f aca="false">'Backtest 2024 C'!F101</f>
        <v>-0.0315089216835482</v>
      </c>
      <c r="E40" s="28" t="n">
        <f aca="false">'Backtest 2024 C'!F102</f>
        <v>0.0201239150072661</v>
      </c>
      <c r="F40" s="27" t="n">
        <f aca="false">'Backtest 2024 C'!F103</f>
        <v>-0.00543249180539229</v>
      </c>
      <c r="G40" s="29" t="n">
        <f aca="false">'Backtest 2024 C'!F100</f>
        <v>2.17146259768931</v>
      </c>
      <c r="H40" s="29" t="n">
        <f aca="false">'Backtest 2024 C'!F98</f>
        <v>2.95798013904256</v>
      </c>
      <c r="I40" s="29" t="n">
        <f aca="false">'Backtest 2024 C'!F104</f>
        <v>3.00659992627796</v>
      </c>
      <c r="J40" s="30" t="n">
        <f aca="false">'Backtest 2024 C'!F105</f>
        <v>0.651685393258427</v>
      </c>
      <c r="K40" s="30" t="n">
        <f aca="false">'Backtest 2024 C'!F106</f>
        <v>0.966292134831461</v>
      </c>
      <c r="L40" s="31" t="n">
        <f aca="false">'Backtest 2024 C'!F107</f>
        <v>0.685393258426966</v>
      </c>
    </row>
    <row r="41" customFormat="false" ht="15" hidden="false" customHeight="false" outlineLevel="0" collapsed="false">
      <c r="A41" s="25" t="s">
        <v>44</v>
      </c>
      <c r="B41" s="25" t="s">
        <v>64</v>
      </c>
      <c r="C41" s="26" t="n">
        <f aca="false">'Backtest 2022 A'!F99</f>
        <v>0.799295536064959</v>
      </c>
      <c r="D41" s="27" t="n">
        <f aca="false">'Backtest 2022 A'!F101</f>
        <v>-0.0453674585766761</v>
      </c>
      <c r="E41" s="28" t="n">
        <f aca="false">'Backtest 2022 A'!F102</f>
        <v>-0.0754293017790513</v>
      </c>
      <c r="F41" s="27" t="n">
        <f aca="false">'Backtest 2022 A'!F103</f>
        <v>-0.0601028660350095</v>
      </c>
      <c r="G41" s="29" t="n">
        <f aca="false">'Backtest 2022 A'!F100</f>
        <v>2.3085247145103</v>
      </c>
      <c r="H41" s="29" t="n">
        <f aca="false">'Backtest 2022 A'!F98</f>
        <v>2.39617005040446</v>
      </c>
      <c r="I41" s="29" t="n">
        <f aca="false">'Backtest 2022 A'!F104</f>
        <v>2.96055651059013</v>
      </c>
      <c r="J41" s="30" t="n">
        <f aca="false">'Backtest 2022 A'!F105</f>
        <v>0.842696629213483</v>
      </c>
      <c r="K41" s="30" t="n">
        <f aca="false">'Backtest 2022 A'!F106</f>
        <v>0.97752808988764</v>
      </c>
      <c r="L41" s="31" t="n">
        <f aca="false">'Backtest 2022 A'!F107</f>
        <v>0.842696629213483</v>
      </c>
    </row>
    <row r="42" customFormat="false" ht="15" hidden="false" customHeight="false" outlineLevel="0" collapsed="false">
      <c r="A42" s="25" t="s">
        <v>46</v>
      </c>
      <c r="B42" s="25" t="s">
        <v>64</v>
      </c>
      <c r="C42" s="26" t="n">
        <f aca="false">'Backtest 2022 B'!F99</f>
        <v>0.798220448355724</v>
      </c>
      <c r="D42" s="27" t="n">
        <f aca="false">'Backtest 2022 B'!F101</f>
        <v>-0.0453872783488808</v>
      </c>
      <c r="E42" s="28" t="n">
        <f aca="false">'Backtest 2022 B'!F102</f>
        <v>-0.0754086870477644</v>
      </c>
      <c r="F42" s="27" t="n">
        <f aca="false">'Backtest 2022 B'!F103</f>
        <v>-0.0601028660350095</v>
      </c>
      <c r="G42" s="29" t="n">
        <f aca="false">'Backtest 2022 B'!F100</f>
        <v>2.03343467608132</v>
      </c>
      <c r="H42" s="29" t="n">
        <f aca="false">'Backtest 2022 B'!F98</f>
        <v>1.97978296108661</v>
      </c>
      <c r="I42" s="29" t="n">
        <f aca="false">'Backtest 2022 B'!F104</f>
        <v>2.95882721934696</v>
      </c>
      <c r="J42" s="30" t="n">
        <f aca="false">'Backtest 2022 B'!F105</f>
        <v>0.887640449438202</v>
      </c>
      <c r="K42" s="30" t="n">
        <f aca="false">'Backtest 2022 B'!F106</f>
        <v>1</v>
      </c>
      <c r="L42" s="31" t="n">
        <f aca="false">'Backtest 2022 B'!F107</f>
        <v>0.921348314606742</v>
      </c>
    </row>
    <row r="43" customFormat="false" ht="15" hidden="false" customHeight="false" outlineLevel="0" collapsed="false">
      <c r="A43" s="25" t="s">
        <v>48</v>
      </c>
      <c r="B43" s="25" t="s">
        <v>64</v>
      </c>
      <c r="C43" s="26" t="n">
        <f aca="false">'Backtest 2022 C'!F99</f>
        <v>0.799653898634711</v>
      </c>
      <c r="D43" s="27" t="n">
        <f aca="false">'Backtest 2022 C'!F101</f>
        <v>-0.0453608519859412</v>
      </c>
      <c r="E43" s="28" t="n">
        <f aca="false">'Backtest 2022 C'!F102</f>
        <v>-0.0754361733561469</v>
      </c>
      <c r="F43" s="27" t="n">
        <f aca="false">'Backtest 2022 C'!F103</f>
        <v>-0.0601028660350095</v>
      </c>
      <c r="G43" s="29" t="n">
        <f aca="false">'Backtest 2022 C'!F100</f>
        <v>2.40812312354176</v>
      </c>
      <c r="H43" s="29" t="n">
        <f aca="false">'Backtest 2022 C'!F98</f>
        <v>2.31985970928077</v>
      </c>
      <c r="I43" s="29" t="n">
        <f aca="false">'Backtest 2022 C'!F104</f>
        <v>2.99966672392449</v>
      </c>
      <c r="J43" s="30" t="n">
        <f aca="false">'Backtest 2022 C'!F105</f>
        <v>0.820224719101124</v>
      </c>
      <c r="K43" s="30" t="n">
        <f aca="false">'Backtest 2022 C'!F106</f>
        <v>0.98876404494382</v>
      </c>
      <c r="L43" s="31" t="n">
        <f aca="false">'Backtest 2022 C'!F107</f>
        <v>0.853932584269663</v>
      </c>
    </row>
    <row r="44" customFormat="false" ht="15" hidden="false" customHeight="false" outlineLevel="0" collapsed="false">
      <c r="A44" s="32" t="s">
        <v>44</v>
      </c>
      <c r="B44" s="32" t="s">
        <v>65</v>
      </c>
      <c r="C44" s="33" t="n">
        <f aca="false">'Backtest 2020 A'!F99</f>
        <v>0.998971181108582</v>
      </c>
      <c r="D44" s="34" t="n">
        <f aca="false">'Backtest 2020 A'!F101</f>
        <v>0.0260038834951457</v>
      </c>
      <c r="E44" s="35" t="n">
        <f aca="false">'Backtest 2020 A'!F102</f>
        <v>-0.0141877367181902</v>
      </c>
      <c r="F44" s="34" t="n">
        <f aca="false">'Backtest 2020 A'!F103</f>
        <v>0.00579143125571102</v>
      </c>
      <c r="G44" s="36" t="n">
        <f aca="false">'Backtest 2020 A'!F100</f>
        <v>2.69374455505414</v>
      </c>
      <c r="H44" s="36" t="n">
        <f aca="false">'Backtest 2020 A'!F98</f>
        <v>3.30184764442583</v>
      </c>
      <c r="I44" s="36" t="n">
        <f aca="false">'Backtest 2020 A'!F104</f>
        <v>2.84190804059546</v>
      </c>
      <c r="J44" s="37" t="n">
        <f aca="false">'Backtest 2020 A'!F105</f>
        <v>0.629213483146067</v>
      </c>
      <c r="K44" s="37" t="n">
        <f aca="false">'Backtest 2020 A'!F106</f>
        <v>0.910112359550562</v>
      </c>
      <c r="L44" s="38" t="n">
        <f aca="false">'Backtest 2020 A'!F107</f>
        <v>0.651685393258427</v>
      </c>
    </row>
    <row r="45" customFormat="false" ht="15" hidden="false" customHeight="false" outlineLevel="0" collapsed="false">
      <c r="A45" s="32" t="s">
        <v>46</v>
      </c>
      <c r="B45" s="32" t="s">
        <v>65</v>
      </c>
      <c r="C45" s="33" t="n">
        <f aca="false">'Backtest 2020 B'!F99</f>
        <v>0.997691606950862</v>
      </c>
      <c r="D45" s="34" t="n">
        <f aca="false">'Backtest 2020 B'!F101</f>
        <v>0.0259779935275082</v>
      </c>
      <c r="E45" s="35" t="n">
        <f aca="false">'Backtest 2020 B'!F102</f>
        <v>-0.0141621455624936</v>
      </c>
      <c r="F45" s="34" t="n">
        <f aca="false">'Backtest 2020 B'!F103</f>
        <v>0.00579143125571102</v>
      </c>
      <c r="G45" s="36" t="n">
        <f aca="false">'Backtest 2020 B'!F100</f>
        <v>2.78409491536417</v>
      </c>
      <c r="H45" s="36" t="n">
        <f aca="false">'Backtest 2020 B'!F98</f>
        <v>3.37802448335458</v>
      </c>
      <c r="I45" s="36" t="n">
        <f aca="false">'Backtest 2020 B'!F104</f>
        <v>2.75163472302566</v>
      </c>
      <c r="J45" s="37" t="n">
        <f aca="false">'Backtest 2020 B'!F105</f>
        <v>0.640449438202247</v>
      </c>
      <c r="K45" s="37" t="n">
        <f aca="false">'Backtest 2020 B'!F106</f>
        <v>0.876404494382023</v>
      </c>
      <c r="L45" s="38" t="n">
        <f aca="false">'Backtest 2020 B'!F107</f>
        <v>0.629213483146067</v>
      </c>
    </row>
    <row r="46" customFormat="false" ht="15" hidden="false" customHeight="false" outlineLevel="0" collapsed="false">
      <c r="A46" s="32" t="s">
        <v>48</v>
      </c>
      <c r="B46" s="32" t="s">
        <v>65</v>
      </c>
      <c r="C46" s="33" t="n">
        <f aca="false">'Backtest 2020 C'!F99</f>
        <v>0.997435692119314</v>
      </c>
      <c r="D46" s="34" t="n">
        <f aca="false">'Backtest 2020 C'!F101</f>
        <v>0.0259728155339807</v>
      </c>
      <c r="E46" s="35" t="n">
        <f aca="false">'Backtest 2020 C'!F102</f>
        <v>-0.0141570273313543</v>
      </c>
      <c r="F46" s="34" t="n">
        <f aca="false">'Backtest 2020 C'!F103</f>
        <v>0.00579143125571102</v>
      </c>
      <c r="G46" s="36" t="n">
        <f aca="false">'Backtest 2020 C'!F100</f>
        <v>2.39466745004103</v>
      </c>
      <c r="H46" s="36" t="n">
        <f aca="false">'Backtest 2020 C'!F98</f>
        <v>2.89867014480178</v>
      </c>
      <c r="I46" s="36" t="n">
        <f aca="false">'Backtest 2020 C'!F104</f>
        <v>3.0067370828858</v>
      </c>
      <c r="J46" s="37" t="n">
        <f aca="false">'Backtest 2020 C'!F105</f>
        <v>0.730337078651685</v>
      </c>
      <c r="K46" s="37" t="n">
        <f aca="false">'Backtest 2020 C'!F106</f>
        <v>0.97752808988764</v>
      </c>
      <c r="L46" s="38" t="n">
        <f aca="false">'Backtest 2020 C'!F107</f>
        <v>0.730337078651685</v>
      </c>
    </row>
    <row r="47" customFormat="false" ht="15" hidden="false" customHeight="false" outlineLevel="0" collapsed="false">
      <c r="A47" s="32" t="s">
        <v>44</v>
      </c>
      <c r="B47" s="32" t="s">
        <v>66</v>
      </c>
      <c r="C47" s="33" t="n">
        <f aca="false">'Backtest 2018 A'!F99</f>
        <v>-1.78436128837164</v>
      </c>
      <c r="D47" s="34" t="n">
        <f aca="false">'Backtest 2018 A'!F101</f>
        <v>0.0272515572318419</v>
      </c>
      <c r="E47" s="35" t="n">
        <f aca="false">'Backtest 2018 A'!F102</f>
        <v>0.103453915091254</v>
      </c>
      <c r="F47" s="34" t="n">
        <f aca="false">'Backtest 2018 A'!F103</f>
        <v>0.0627821326175806</v>
      </c>
      <c r="G47" s="36" t="n">
        <f aca="false">'Backtest 2018 A'!F100</f>
        <v>3.42322091594876</v>
      </c>
      <c r="H47" s="36" t="n">
        <f aca="false">'Backtest 2018 A'!F98</f>
        <v>3.51336107742943</v>
      </c>
      <c r="I47" s="36" t="n">
        <f aca="false">'Backtest 2018 A'!F104</f>
        <v>2.43186133703987</v>
      </c>
      <c r="J47" s="37" t="n">
        <f aca="false">'Backtest 2018 A'!F105</f>
        <v>0.573033707865169</v>
      </c>
      <c r="K47" s="37" t="n">
        <f aca="false">'Backtest 2018 A'!F106</f>
        <v>0.831460674157303</v>
      </c>
      <c r="L47" s="38" t="n">
        <f aca="false">'Backtest 2018 A'!F107</f>
        <v>0.696629213483146</v>
      </c>
    </row>
    <row r="48" customFormat="false" ht="15" hidden="false" customHeight="false" outlineLevel="0" collapsed="false">
      <c r="A48" s="32" t="s">
        <v>46</v>
      </c>
      <c r="B48" s="32" t="s">
        <v>66</v>
      </c>
      <c r="C48" s="33" t="n">
        <f aca="false">'Backtest 2018 B'!F99</f>
        <v>-1.78364381245193</v>
      </c>
      <c r="D48" s="34" t="n">
        <f aca="false">'Backtest 2018 B'!F101</f>
        <v>0.0272658437625006</v>
      </c>
      <c r="E48" s="35" t="n">
        <f aca="false">'Backtest 2018 B'!F102</f>
        <v>0.103437561326617</v>
      </c>
      <c r="F48" s="34" t="n">
        <f aca="false">'Backtest 2018 B'!F103</f>
        <v>0.0627821326175806</v>
      </c>
      <c r="G48" s="36" t="n">
        <f aca="false">'Backtest 2018 B'!F100</f>
        <v>3.25108114380113</v>
      </c>
      <c r="H48" s="36" t="n">
        <f aca="false">'Backtest 2018 B'!F98</f>
        <v>3.46627065926759</v>
      </c>
      <c r="I48" s="36" t="n">
        <f aca="false">'Backtest 2018 B'!F104</f>
        <v>2.42481172554778</v>
      </c>
      <c r="J48" s="37" t="n">
        <f aca="false">'Backtest 2018 B'!F105</f>
        <v>0.528089887640449</v>
      </c>
      <c r="K48" s="37" t="n">
        <f aca="false">'Backtest 2018 B'!F106</f>
        <v>0.831460674157303</v>
      </c>
      <c r="L48" s="38" t="n">
        <f aca="false">'Backtest 2018 B'!F107</f>
        <v>0.685393258426966</v>
      </c>
    </row>
    <row r="49" customFormat="false" ht="15" hidden="false" customHeight="false" outlineLevel="0" collapsed="false">
      <c r="A49" s="32" t="s">
        <v>48</v>
      </c>
      <c r="B49" s="32" t="s">
        <v>66</v>
      </c>
      <c r="C49" s="33" t="n">
        <f aca="false">'Backtest 2018 C'!F99</f>
        <v>-1.78364381245193</v>
      </c>
      <c r="D49" s="34" t="n">
        <f aca="false">'Backtest 2018 C'!F101</f>
        <v>0.0272658437625006</v>
      </c>
      <c r="E49" s="35" t="n">
        <f aca="false">'Backtest 2018 C'!F102</f>
        <v>0.103437561326617</v>
      </c>
      <c r="F49" s="34" t="n">
        <f aca="false">'Backtest 2018 C'!F103</f>
        <v>0.0627821326175806</v>
      </c>
      <c r="G49" s="36" t="n">
        <f aca="false">'Backtest 2018 C'!F100</f>
        <v>3.4892275154877</v>
      </c>
      <c r="H49" s="36" t="n">
        <f aca="false">'Backtest 2018 C'!F98</f>
        <v>4.27083815948522</v>
      </c>
      <c r="I49" s="36" t="n">
        <f aca="false">'Backtest 2018 C'!F104</f>
        <v>2.47393530796602</v>
      </c>
      <c r="J49" s="37" t="n">
        <f aca="false">'Backtest 2018 C'!F105</f>
        <v>0.471910112359551</v>
      </c>
      <c r="K49" s="37" t="n">
        <f aca="false">'Backtest 2018 C'!F106</f>
        <v>0.741573033707865</v>
      </c>
      <c r="L49" s="38" t="n">
        <f aca="false">'Backtest 2018 C'!F107</f>
        <v>0.550561797752809</v>
      </c>
    </row>
    <row r="50" customFormat="false" ht="15" hidden="false" customHeight="false" outlineLevel="0" collapsed="false">
      <c r="A50" s="13" t="s">
        <v>67</v>
      </c>
      <c r="B50" s="13"/>
      <c r="C50" s="13"/>
      <c r="D50" s="13"/>
      <c r="E50" s="13"/>
      <c r="F50" s="13"/>
      <c r="G50" s="13"/>
      <c r="H50" s="13"/>
      <c r="I50" s="13"/>
      <c r="J50" s="13"/>
      <c r="K50" s="13"/>
      <c r="L50" s="13"/>
    </row>
    <row r="52" customFormat="false" ht="15" hidden="false" customHeight="false" outlineLevel="0" collapsed="false">
      <c r="A52" s="4" t="s">
        <v>68</v>
      </c>
      <c r="B52" s="4"/>
      <c r="C52" s="4"/>
      <c r="D52" s="4"/>
      <c r="E52" s="4"/>
      <c r="F52" s="4"/>
      <c r="G52" s="4"/>
      <c r="H52" s="4"/>
      <c r="I52" s="4"/>
      <c r="J52" s="4"/>
      <c r="K52" s="4"/>
      <c r="L52" s="4"/>
    </row>
    <row r="53" customFormat="false" ht="15" hidden="false" customHeight="false" outlineLevel="0" collapsed="false">
      <c r="A53" s="5" t="s">
        <v>69</v>
      </c>
    </row>
    <row r="54" customFormat="false" ht="45.75" hidden="false" customHeight="true" outlineLevel="0" collapsed="false">
      <c r="A54" s="39" t="s">
        <v>70</v>
      </c>
      <c r="B54" s="39"/>
      <c r="C54" s="39"/>
      <c r="D54" s="39"/>
      <c r="E54" s="39"/>
      <c r="F54" s="39"/>
      <c r="G54" s="39"/>
      <c r="H54" s="39"/>
      <c r="I54" s="39"/>
      <c r="J54" s="39"/>
      <c r="K54" s="39"/>
      <c r="L54" s="39"/>
    </row>
    <row r="55" customFormat="false" ht="15" hidden="false" customHeight="false" outlineLevel="0" collapsed="false">
      <c r="A55" s="5" t="s">
        <v>71</v>
      </c>
    </row>
    <row r="56" customFormat="false" ht="45.75" hidden="false" customHeight="true" outlineLevel="0" collapsed="false">
      <c r="A56" s="39" t="s">
        <v>72</v>
      </c>
      <c r="B56" s="39"/>
      <c r="C56" s="39"/>
      <c r="D56" s="39"/>
      <c r="E56" s="39"/>
      <c r="F56" s="39"/>
      <c r="G56" s="39"/>
      <c r="H56" s="39"/>
      <c r="I56" s="39"/>
      <c r="J56" s="39"/>
      <c r="K56" s="39"/>
      <c r="L56" s="39"/>
    </row>
    <row r="57" customFormat="false" ht="15" hidden="false" customHeight="false" outlineLevel="0" collapsed="false">
      <c r="A57" s="5" t="s">
        <v>73</v>
      </c>
    </row>
    <row r="58" customFormat="false" ht="45.75" hidden="false" customHeight="true" outlineLevel="0" collapsed="false">
      <c r="A58" s="39" t="s">
        <v>74</v>
      </c>
      <c r="B58" s="39"/>
      <c r="C58" s="39"/>
      <c r="D58" s="39"/>
      <c r="E58" s="39"/>
      <c r="F58" s="39"/>
      <c r="G58" s="39"/>
      <c r="H58" s="39"/>
      <c r="I58" s="39"/>
      <c r="J58" s="39"/>
      <c r="K58" s="39"/>
      <c r="L58" s="39"/>
    </row>
    <row r="60" customFormat="false" ht="60" hidden="false" customHeight="true" outlineLevel="0" collapsed="false">
      <c r="A60" s="8" t="s">
        <v>75</v>
      </c>
      <c r="B60" s="8" t="s">
        <v>76</v>
      </c>
      <c r="C60" s="8" t="s">
        <v>77</v>
      </c>
      <c r="D60" s="8" t="s">
        <v>78</v>
      </c>
      <c r="E60" s="8" t="s">
        <v>79</v>
      </c>
      <c r="F60" s="8" t="s">
        <v>80</v>
      </c>
      <c r="G60" s="8" t="s">
        <v>81</v>
      </c>
      <c r="H60" s="8" t="s">
        <v>82</v>
      </c>
      <c r="I60" s="8" t="s">
        <v>83</v>
      </c>
      <c r="J60" s="8" t="s">
        <v>84</v>
      </c>
    </row>
    <row r="61" customFormat="false" ht="15" hidden="false" customHeight="false" outlineLevel="0" collapsed="false">
      <c r="A61" s="32" t="s">
        <v>85</v>
      </c>
      <c r="B61" s="40" t="n">
        <v>0.494248133629371</v>
      </c>
      <c r="C61" s="41" t="n">
        <v>-0.360774083941551</v>
      </c>
      <c r="D61" s="33" t="n">
        <v>-1.22605093966388</v>
      </c>
      <c r="E61" s="34" t="n">
        <v>-0.00542797432085174</v>
      </c>
      <c r="F61" s="34" t="n">
        <v>-0.0141113882961137</v>
      </c>
      <c r="G61" s="34" t="n">
        <v>0.00307332783472769</v>
      </c>
      <c r="H61" s="34" t="n">
        <v>-0.0314938935809964</v>
      </c>
      <c r="I61" s="35" t="n">
        <v>0.0201091865991123</v>
      </c>
      <c r="J61" s="34" t="n">
        <f aca="false">'Backtest 2024 A'!F116</f>
        <v>0.0255416784045047</v>
      </c>
    </row>
    <row r="62" customFormat="false" ht="15" hidden="false" customHeight="false" outlineLevel="0" collapsed="false">
      <c r="A62" s="32" t="s">
        <v>86</v>
      </c>
      <c r="B62" s="40" t="n">
        <v>0.508965719508369</v>
      </c>
      <c r="C62" s="41" t="n">
        <v>-0.535009047954627</v>
      </c>
      <c r="D62" s="33" t="n">
        <v>0.885724158588841</v>
      </c>
      <c r="E62" s="34" t="n">
        <v>-0.0600981972429879</v>
      </c>
      <c r="F62" s="34" t="n">
        <v>-0.0715691974313575</v>
      </c>
      <c r="G62" s="34" t="n">
        <v>-0.0481766270176668</v>
      </c>
      <c r="H62" s="34" t="n">
        <v>-0.0453674585766761</v>
      </c>
      <c r="I62" s="35" t="n">
        <v>-0.0754293017790513</v>
      </c>
      <c r="J62" s="34" t="n">
        <f aca="false">'Backtest 2022 A'!F116</f>
        <v>-0.0153264357440418</v>
      </c>
    </row>
    <row r="63" customFormat="false" ht="15" hidden="false" customHeight="false" outlineLevel="0" collapsed="false">
      <c r="A63" s="32" t="s">
        <v>87</v>
      </c>
      <c r="B63" s="40" t="n">
        <v>0.496087903679419</v>
      </c>
      <c r="C63" s="41" t="n">
        <v>3.16232044890977</v>
      </c>
      <c r="D63" s="33" t="n">
        <v>1.09926984798629</v>
      </c>
      <c r="E63" s="34" t="n">
        <v>0.00578899152183787</v>
      </c>
      <c r="F63" s="34" t="n">
        <v>0.0677323850666827</v>
      </c>
      <c r="G63" s="34" t="n">
        <v>-0.0554353302501632</v>
      </c>
      <c r="H63" s="34" t="n">
        <v>0.026002972288915</v>
      </c>
      <c r="I63" s="35" t="n">
        <v>-0.0141874954013483</v>
      </c>
      <c r="J63" s="34" t="n">
        <f aca="false">'Backtest 2020 A'!F116</f>
        <v>-0.0199791679739012</v>
      </c>
    </row>
    <row r="64" customFormat="false" ht="15" hidden="false" customHeight="false" outlineLevel="0" collapsed="false">
      <c r="A64" s="32" t="s">
        <v>88</v>
      </c>
      <c r="B64" s="40" t="n">
        <v>0.532590037754968</v>
      </c>
      <c r="C64" s="41" t="n">
        <v>-1.66961879820583</v>
      </c>
      <c r="D64" s="33" t="n">
        <v>-1.66961879820583</v>
      </c>
      <c r="E64" s="34" t="n">
        <v>0.062770847887877</v>
      </c>
      <c r="F64" s="34" t="n">
        <v>0.0272491506996504</v>
      </c>
      <c r="G64" s="34" t="n">
        <v>0.103453657505032</v>
      </c>
      <c r="H64" s="34" t="n">
        <v>0.0272491506996504</v>
      </c>
      <c r="I64" s="35" t="n">
        <v>0.103453657505032</v>
      </c>
      <c r="J64" s="34" t="n">
        <f aca="false">'Backtest 2018 A'!F116</f>
        <v>0.0406717824736733</v>
      </c>
    </row>
    <row r="66" customFormat="false" ht="30" hidden="false" customHeight="true" outlineLevel="0" collapsed="false">
      <c r="A66" s="8" t="s">
        <v>89</v>
      </c>
      <c r="B66" s="8" t="s">
        <v>90</v>
      </c>
      <c r="C66" s="8" t="s">
        <v>91</v>
      </c>
      <c r="D66" s="8" t="s">
        <v>36</v>
      </c>
      <c r="E66" s="8" t="s">
        <v>37</v>
      </c>
      <c r="F66" s="8" t="s">
        <v>92</v>
      </c>
    </row>
    <row r="67" customFormat="false" ht="15" hidden="false" customHeight="false" outlineLevel="0" collapsed="false">
      <c r="A67" s="42" t="s">
        <v>93</v>
      </c>
      <c r="B67" s="43" t="n">
        <v>0.939901802757012</v>
      </c>
      <c r="C67" s="18" t="n">
        <f aca="false">'2026 Forecast A'!F8*B67</f>
        <v>287731.198976201</v>
      </c>
      <c r="D67" s="18" t="n">
        <f aca="false">ROUND(C67*'2026 Forecast A'!G8,0)</f>
        <v>143383</v>
      </c>
      <c r="E67" s="18" t="n">
        <f aca="false">C67-D67</f>
        <v>144348.198976201</v>
      </c>
      <c r="F67" s="44" t="s">
        <v>94</v>
      </c>
    </row>
    <row r="68" customFormat="false" ht="15" hidden="false" customHeight="false" outlineLevel="0" collapsed="false">
      <c r="A68" s="42" t="s">
        <v>95</v>
      </c>
      <c r="B68" s="43" t="n">
        <v>1</v>
      </c>
      <c r="C68" s="18" t="n">
        <f aca="false">'2026 Forecast A'!F8*B68</f>
        <v>306129</v>
      </c>
      <c r="D68" s="18" t="n">
        <f aca="false">ROUND(C68*'2026 Forecast A'!G8,0)</f>
        <v>152551</v>
      </c>
      <c r="E68" s="18" t="n">
        <f aca="false">C68-D68</f>
        <v>153578</v>
      </c>
      <c r="F68" s="44" t="s">
        <v>96</v>
      </c>
    </row>
    <row r="69" customFormat="false" ht="15" hidden="false" customHeight="false" outlineLevel="0" collapsed="false">
      <c r="A69" s="42" t="s">
        <v>97</v>
      </c>
      <c r="B69" s="43" t="n">
        <v>1.06009819724299</v>
      </c>
      <c r="C69" s="18" t="n">
        <f aca="false">'2026 Forecast A'!F8*B69</f>
        <v>324526.801023799</v>
      </c>
      <c r="D69" s="18" t="n">
        <f aca="false">ROUND(C69*'2026 Forecast A'!G8,0)</f>
        <v>161719</v>
      </c>
      <c r="E69" s="18" t="n">
        <f aca="false">C69-D69</f>
        <v>162807.801023799</v>
      </c>
      <c r="F69" s="44" t="s">
        <v>98</v>
      </c>
    </row>
    <row r="70" customFormat="false" ht="15" hidden="false" customHeight="false" outlineLevel="0" collapsed="false">
      <c r="A70" s="13" t="s">
        <v>99</v>
      </c>
      <c r="B70" s="13"/>
      <c r="C70" s="13"/>
      <c r="D70" s="13"/>
      <c r="E70" s="13"/>
      <c r="F70" s="13"/>
      <c r="G70" s="13"/>
      <c r="H70" s="13"/>
      <c r="I70" s="13"/>
      <c r="J70" s="13"/>
      <c r="K70" s="13"/>
      <c r="L70" s="13"/>
    </row>
    <row r="72" customFormat="false" ht="15" hidden="false" customHeight="false" outlineLevel="0" collapsed="false">
      <c r="A72" s="4" t="s">
        <v>100</v>
      </c>
      <c r="B72" s="4"/>
      <c r="C72" s="4"/>
      <c r="D72" s="4"/>
      <c r="E72" s="4"/>
      <c r="F72" s="4"/>
      <c r="G72" s="4"/>
      <c r="H72" s="4"/>
      <c r="I72" s="4"/>
      <c r="J72" s="4"/>
      <c r="K72" s="4"/>
      <c r="L72" s="4"/>
    </row>
    <row r="73" customFormat="false" ht="15" hidden="false" customHeight="false" outlineLevel="0" collapsed="false">
      <c r="A73" s="5" t="s">
        <v>101</v>
      </c>
    </row>
    <row r="74" customFormat="false" ht="48" hidden="false" customHeight="true" outlineLevel="0" collapsed="false">
      <c r="A74" s="39" t="s">
        <v>102</v>
      </c>
      <c r="B74" s="39"/>
      <c r="C74" s="39"/>
      <c r="D74" s="39"/>
      <c r="E74" s="39"/>
      <c r="F74" s="39"/>
      <c r="G74" s="39"/>
      <c r="H74" s="39"/>
      <c r="I74" s="39"/>
      <c r="J74" s="39"/>
      <c r="K74" s="39"/>
      <c r="L74" s="39"/>
    </row>
    <row r="75" customFormat="false" ht="15" hidden="false" customHeight="false" outlineLevel="0" collapsed="false">
      <c r="A75" s="5" t="s">
        <v>103</v>
      </c>
    </row>
    <row r="76" customFormat="false" ht="48" hidden="false" customHeight="true" outlineLevel="0" collapsed="false">
      <c r="A76" s="39" t="s">
        <v>104</v>
      </c>
      <c r="B76" s="39"/>
      <c r="C76" s="39"/>
      <c r="D76" s="39"/>
      <c r="E76" s="39"/>
      <c r="F76" s="39"/>
      <c r="G76" s="39"/>
      <c r="H76" s="39"/>
      <c r="I76" s="39"/>
      <c r="J76" s="39"/>
      <c r="K76" s="39"/>
      <c r="L76" s="39"/>
    </row>
    <row r="77" customFormat="false" ht="15" hidden="false" customHeight="false" outlineLevel="0" collapsed="false">
      <c r="A77" s="5" t="s">
        <v>105</v>
      </c>
    </row>
    <row r="78" customFormat="false" ht="48" hidden="false" customHeight="true" outlineLevel="0" collapsed="false">
      <c r="A78" s="39" t="s">
        <v>106</v>
      </c>
      <c r="B78" s="39"/>
      <c r="C78" s="39"/>
      <c r="D78" s="39"/>
      <c r="E78" s="39"/>
      <c r="F78" s="39"/>
      <c r="G78" s="39"/>
      <c r="H78" s="39"/>
      <c r="I78" s="39"/>
      <c r="J78" s="39"/>
      <c r="K78" s="39"/>
      <c r="L78" s="39"/>
    </row>
    <row r="79" customFormat="false" ht="15" hidden="false" customHeight="false" outlineLevel="0" collapsed="false">
      <c r="A79" s="5" t="s">
        <v>107</v>
      </c>
    </row>
    <row r="80" customFormat="false" ht="48" hidden="false" customHeight="true" outlineLevel="0" collapsed="false">
      <c r="A80" s="39" t="s">
        <v>108</v>
      </c>
      <c r="B80" s="39"/>
      <c r="C80" s="39"/>
      <c r="D80" s="39"/>
      <c r="E80" s="39"/>
      <c r="F80" s="39"/>
      <c r="G80" s="39"/>
      <c r="H80" s="39"/>
      <c r="I80" s="39"/>
      <c r="J80" s="39"/>
      <c r="K80" s="39"/>
      <c r="L80" s="39"/>
    </row>
    <row r="82" customFormat="false" ht="15" hidden="false" customHeight="false" outlineLevel="0" collapsed="false">
      <c r="A82" s="4" t="s">
        <v>109</v>
      </c>
      <c r="B82" s="4"/>
      <c r="C82" s="4"/>
      <c r="D82" s="4"/>
      <c r="E82" s="4"/>
      <c r="F82" s="4"/>
      <c r="G82" s="4"/>
      <c r="H82" s="4"/>
      <c r="I82" s="4"/>
      <c r="J82" s="4"/>
      <c r="K82" s="4"/>
      <c r="L82" s="4"/>
    </row>
    <row r="83" customFormat="false" ht="31.5" hidden="false" customHeight="true" outlineLevel="0" collapsed="false">
      <c r="A83" s="8" t="s">
        <v>110</v>
      </c>
      <c r="B83" s="8" t="s">
        <v>111</v>
      </c>
      <c r="C83" s="8" t="s">
        <v>112</v>
      </c>
      <c r="D83" s="8" t="s">
        <v>44</v>
      </c>
      <c r="E83" s="8" t="s">
        <v>46</v>
      </c>
      <c r="F83" s="8" t="s">
        <v>48</v>
      </c>
      <c r="G83" s="8" t="s">
        <v>113</v>
      </c>
      <c r="H83" s="8" t="s">
        <v>114</v>
      </c>
      <c r="I83" s="8" t="s">
        <v>115</v>
      </c>
      <c r="J83" s="8" t="s">
        <v>116</v>
      </c>
      <c r="K83" s="8" t="s">
        <v>91</v>
      </c>
      <c r="L83" s="8" t="s">
        <v>117</v>
      </c>
    </row>
    <row r="84" customFormat="false" ht="15" hidden="false" customHeight="false" outlineLevel="0" collapsed="false">
      <c r="A84" s="9" t="str">
        <f aca="false">'2026 Forecast A'!A12</f>
        <v>Carbon</v>
      </c>
      <c r="B84" s="9" t="str">
        <f aca="false">'2026 Forecast A'!B12</f>
        <v>BANKS TOWNSHIP</v>
      </c>
      <c r="C84" s="9" t="str">
        <f aca="false">'2026 Forecast A'!C12</f>
        <v>(whole municipality)</v>
      </c>
      <c r="D84" s="10" t="n">
        <f aca="false">'2026 Forecast A'!G12</f>
        <v>0.381868131868132</v>
      </c>
      <c r="E84" s="10" t="n">
        <f aca="false">'2026 Forecast B'!G12</f>
        <v>0.387362637362637</v>
      </c>
      <c r="F84" s="10" t="n">
        <f aca="false">'2026 Forecast C'!G12</f>
        <v>0.379120879120879</v>
      </c>
      <c r="G84" s="45" t="n">
        <f aca="false">(MAX(D84:F84)-MIN(D84:F84))*100</f>
        <v>0.824175824175827</v>
      </c>
      <c r="H84" s="46" t="n">
        <f aca="false">'2026 Forecast A'!L12</f>
        <v>3.10177225952004</v>
      </c>
      <c r="I84" s="46" t="n">
        <f aca="false">'2026 Forecast B'!L12</f>
        <v>3.01886595295714</v>
      </c>
      <c r="J84" s="46" t="n">
        <f aca="false">'2026 Forecast C'!L12</f>
        <v>3.27121843302961</v>
      </c>
      <c r="K84" s="18" t="n">
        <f aca="false">'2026 Forecast A'!F12</f>
        <v>364</v>
      </c>
      <c r="L84" s="47" t="str">
        <f aca="false">IF(OR(AND(D84&gt;0.5,E84&gt;0.5,F84&gt;0.5),AND(D84&lt;0.5,E84&lt;0.5,F84&lt;0.5)),"Yes","No — toss-up")</f>
        <v>Yes</v>
      </c>
    </row>
    <row r="85" customFormat="false" ht="15" hidden="false" customHeight="false" outlineLevel="0" collapsed="false">
      <c r="A85" s="9" t="str">
        <f aca="false">'2026 Forecast A'!A13</f>
        <v>Carbon</v>
      </c>
      <c r="B85" s="9" t="str">
        <f aca="false">'2026 Forecast A'!B13</f>
        <v>BEAVER MEADOWS BOROUGH</v>
      </c>
      <c r="C85" s="9" t="str">
        <f aca="false">'2026 Forecast A'!C13</f>
        <v>(whole municipality)</v>
      </c>
      <c r="D85" s="10" t="n">
        <f aca="false">'2026 Forecast A'!G13</f>
        <v>0.296969696969697</v>
      </c>
      <c r="E85" s="10" t="n">
        <f aca="false">'2026 Forecast B'!G13</f>
        <v>0.293939393939394</v>
      </c>
      <c r="F85" s="10" t="n">
        <f aca="false">'2026 Forecast C'!G13</f>
        <v>0.284848484848485</v>
      </c>
      <c r="G85" s="45" t="n">
        <f aca="false">(MAX(D85:F85)-MIN(D85:F85))*100</f>
        <v>1.21212121212121</v>
      </c>
      <c r="H85" s="46" t="n">
        <f aca="false">'2026 Forecast A'!L13</f>
        <v>3.10177225952004</v>
      </c>
      <c r="I85" s="46" t="n">
        <f aca="false">'2026 Forecast B'!L13</f>
        <v>3.01886595295714</v>
      </c>
      <c r="J85" s="46" t="n">
        <f aca="false">'2026 Forecast C'!L13</f>
        <v>3.27121843302961</v>
      </c>
      <c r="K85" s="18" t="n">
        <f aca="false">'2026 Forecast A'!F13</f>
        <v>330</v>
      </c>
      <c r="L85" s="47" t="str">
        <f aca="false">IF(OR(AND(D85&gt;0.5,E85&gt;0.5,F85&gt;0.5),AND(D85&lt;0.5,E85&lt;0.5,F85&lt;0.5)),"Yes","No — toss-up")</f>
        <v>Yes</v>
      </c>
    </row>
    <row r="86" customFormat="false" ht="15" hidden="false" customHeight="false" outlineLevel="0" collapsed="false">
      <c r="A86" s="9" t="str">
        <f aca="false">'2026 Forecast A'!A14</f>
        <v>Carbon</v>
      </c>
      <c r="B86" s="9" t="str">
        <f aca="false">'2026 Forecast A'!B14</f>
        <v>BOWMANSTOWN BOROUGH</v>
      </c>
      <c r="C86" s="9" t="str">
        <f aca="false">'2026 Forecast A'!C14</f>
        <v>(whole municipality)</v>
      </c>
      <c r="D86" s="10" t="n">
        <f aca="false">'2026 Forecast A'!G14</f>
        <v>0.337078651685393</v>
      </c>
      <c r="E86" s="10" t="n">
        <f aca="false">'2026 Forecast B'!G14</f>
        <v>0.339887640449438</v>
      </c>
      <c r="F86" s="10" t="n">
        <f aca="false">'2026 Forecast C'!G14</f>
        <v>0.325842696629214</v>
      </c>
      <c r="G86" s="45" t="n">
        <f aca="false">(MAX(D86:F86)-MIN(D86:F86))*100</f>
        <v>1.40449438202247</v>
      </c>
      <c r="H86" s="46" t="n">
        <f aca="false">'2026 Forecast A'!L14</f>
        <v>3.10177225952004</v>
      </c>
      <c r="I86" s="46" t="n">
        <f aca="false">'2026 Forecast B'!L14</f>
        <v>3.01886595295714</v>
      </c>
      <c r="J86" s="46" t="n">
        <f aca="false">'2026 Forecast C'!L14</f>
        <v>3.27121843302961</v>
      </c>
      <c r="K86" s="18" t="n">
        <f aca="false">'2026 Forecast A'!F14</f>
        <v>356</v>
      </c>
      <c r="L86" s="47" t="str">
        <f aca="false">IF(OR(AND(D86&gt;0.5,E86&gt;0.5,F86&gt;0.5),AND(D86&lt;0.5,E86&lt;0.5,F86&lt;0.5)),"Yes","No — toss-up")</f>
        <v>Yes</v>
      </c>
    </row>
    <row r="87" customFormat="false" ht="15" hidden="false" customHeight="false" outlineLevel="0" collapsed="false">
      <c r="A87" s="9" t="str">
        <f aca="false">'2026 Forecast A'!A15</f>
        <v>Carbon</v>
      </c>
      <c r="B87" s="9" t="str">
        <f aca="false">'2026 Forecast A'!B15</f>
        <v>EAST PENN TOWNSHIP</v>
      </c>
      <c r="C87" s="9" t="str">
        <f aca="false">'2026 Forecast A'!C15</f>
        <v>(whole municipality)</v>
      </c>
      <c r="D87" s="10" t="n">
        <f aca="false">'2026 Forecast A'!G15</f>
        <v>0.280898876404494</v>
      </c>
      <c r="E87" s="10" t="n">
        <f aca="false">'2026 Forecast B'!G15</f>
        <v>0.278651685393258</v>
      </c>
      <c r="F87" s="10" t="n">
        <f aca="false">'2026 Forecast C'!G15</f>
        <v>0.268913857677903</v>
      </c>
      <c r="G87" s="45" t="n">
        <f aca="false">(MAX(D87:F87)-MIN(D87:F87))*100</f>
        <v>1.19850187265918</v>
      </c>
      <c r="H87" s="46" t="n">
        <f aca="false">'2026 Forecast A'!L15</f>
        <v>1.94807078030819</v>
      </c>
      <c r="I87" s="46" t="n">
        <f aca="false">'2026 Forecast B'!L15</f>
        <v>2.01385263721301</v>
      </c>
      <c r="J87" s="46" t="n">
        <f aca="false">'2026 Forecast C'!L15</f>
        <v>2.34842085953994</v>
      </c>
      <c r="K87" s="18" t="n">
        <f aca="false">'2026 Forecast A'!F15</f>
        <v>1335</v>
      </c>
      <c r="L87" s="47" t="str">
        <f aca="false">IF(OR(AND(D87&gt;0.5,E87&gt;0.5,F87&gt;0.5),AND(D87&lt;0.5,E87&lt;0.5,F87&lt;0.5)),"Yes","No — toss-up")</f>
        <v>Yes</v>
      </c>
    </row>
    <row r="88" customFormat="false" ht="15" hidden="false" customHeight="false" outlineLevel="0" collapsed="false">
      <c r="A88" s="9" t="str">
        <f aca="false">'2026 Forecast A'!A16</f>
        <v>Carbon</v>
      </c>
      <c r="B88" s="9" t="str">
        <f aca="false">'2026 Forecast A'!B16</f>
        <v>EAST SIDE BOROUGH</v>
      </c>
      <c r="C88" s="9" t="str">
        <f aca="false">'2026 Forecast A'!C16</f>
        <v>(whole municipality)</v>
      </c>
      <c r="D88" s="10" t="n">
        <f aca="false">'2026 Forecast A'!G16</f>
        <v>0.354838709677419</v>
      </c>
      <c r="E88" s="10" t="n">
        <f aca="false">'2026 Forecast B'!G16</f>
        <v>0.354838709677419</v>
      </c>
      <c r="F88" s="10" t="n">
        <f aca="false">'2026 Forecast C'!G16</f>
        <v>0.344086021505376</v>
      </c>
      <c r="G88" s="45" t="n">
        <f aca="false">(MAX(D88:F88)-MIN(D88:F88))*100</f>
        <v>1.0752688172043</v>
      </c>
      <c r="H88" s="46" t="n">
        <f aca="false">'2026 Forecast A'!L16</f>
        <v>3.10177225952004</v>
      </c>
      <c r="I88" s="46" t="n">
        <f aca="false">'2026 Forecast B'!L16</f>
        <v>3.01886595295714</v>
      </c>
      <c r="J88" s="46" t="n">
        <f aca="false">'2026 Forecast C'!L16</f>
        <v>3.27121843302961</v>
      </c>
      <c r="K88" s="18" t="n">
        <f aca="false">'2026 Forecast A'!F16</f>
        <v>93</v>
      </c>
      <c r="L88" s="47" t="str">
        <f aca="false">IF(OR(AND(D88&gt;0.5,E88&gt;0.5,F88&gt;0.5),AND(D88&lt;0.5,E88&lt;0.5,F88&lt;0.5)),"Yes","No — toss-up")</f>
        <v>Yes</v>
      </c>
    </row>
    <row r="89" customFormat="false" ht="15" hidden="false" customHeight="false" outlineLevel="0" collapsed="false">
      <c r="A89" s="9" t="str">
        <f aca="false">'2026 Forecast A'!A17</f>
        <v>Carbon</v>
      </c>
      <c r="B89" s="9" t="str">
        <f aca="false">'2026 Forecast A'!B17</f>
        <v>FRANKLIN TOWNSHIP</v>
      </c>
      <c r="C89" s="9" t="str">
        <f aca="false">'2026 Forecast A'!C17</f>
        <v>(whole municipality)</v>
      </c>
      <c r="D89" s="10" t="n">
        <f aca="false">'2026 Forecast A'!G17</f>
        <v>0.291120080726539</v>
      </c>
      <c r="E89" s="10" t="n">
        <f aca="false">'2026 Forecast B'!G17</f>
        <v>0.290110998990918</v>
      </c>
      <c r="F89" s="10" t="n">
        <f aca="false">'2026 Forecast C'!G17</f>
        <v>0.279515640766902</v>
      </c>
      <c r="G89" s="45" t="n">
        <f aca="false">(MAX(D89:F89)-MIN(D89:F89))*100</f>
        <v>1.16044399596367</v>
      </c>
      <c r="H89" s="46" t="n">
        <f aca="false">'2026 Forecast A'!L17</f>
        <v>1.94807078030819</v>
      </c>
      <c r="I89" s="46" t="n">
        <f aca="false">'2026 Forecast B'!L17</f>
        <v>2.01385263721301</v>
      </c>
      <c r="J89" s="46" t="n">
        <f aca="false">'2026 Forecast C'!L17</f>
        <v>2.34842085953994</v>
      </c>
      <c r="K89" s="18" t="n">
        <f aca="false">'2026 Forecast A'!F17</f>
        <v>1982</v>
      </c>
      <c r="L89" s="47" t="str">
        <f aca="false">IF(OR(AND(D89&gt;0.5,E89&gt;0.5,F89&gt;0.5),AND(D89&lt;0.5,E89&lt;0.5,F89&lt;0.5)),"Yes","No — toss-up")</f>
        <v>Yes</v>
      </c>
    </row>
    <row r="90" customFormat="false" ht="15" hidden="false" customHeight="false" outlineLevel="0" collapsed="false">
      <c r="A90" s="9" t="str">
        <f aca="false">'2026 Forecast A'!A18</f>
        <v>Carbon</v>
      </c>
      <c r="B90" s="9" t="str">
        <f aca="false">'2026 Forecast A'!B18</f>
        <v>JIM THORPE BOROUGH</v>
      </c>
      <c r="C90" s="9" t="str">
        <f aca="false">'2026 Forecast A'!C18</f>
        <v>(whole municipality)</v>
      </c>
      <c r="D90" s="10" t="n">
        <f aca="false">'2026 Forecast A'!G18</f>
        <v>0.437855787476281</v>
      </c>
      <c r="E90" s="10" t="n">
        <f aca="false">'2026 Forecast B'!G18</f>
        <v>0.436907020872865</v>
      </c>
      <c r="F90" s="10" t="n">
        <f aca="false">'2026 Forecast C'!G18</f>
        <v>0.43595825426945</v>
      </c>
      <c r="G90" s="45" t="n">
        <f aca="false">(MAX(D90:F90)-MIN(D90:F90))*100</f>
        <v>0.189753320683111</v>
      </c>
      <c r="H90" s="46" t="n">
        <f aca="false">'2026 Forecast A'!L18</f>
        <v>1.94807078030819</v>
      </c>
      <c r="I90" s="46" t="n">
        <f aca="false">'2026 Forecast B'!L18</f>
        <v>2.01385263721301</v>
      </c>
      <c r="J90" s="46" t="n">
        <f aca="false">'2026 Forecast C'!L18</f>
        <v>2.34842085953994</v>
      </c>
      <c r="K90" s="18" t="n">
        <f aca="false">'2026 Forecast A'!F18</f>
        <v>2108</v>
      </c>
      <c r="L90" s="47" t="str">
        <f aca="false">IF(OR(AND(D90&gt;0.5,E90&gt;0.5,F90&gt;0.5),AND(D90&lt;0.5,E90&lt;0.5,F90&lt;0.5)),"Yes","No — toss-up")</f>
        <v>Yes</v>
      </c>
    </row>
    <row r="91" customFormat="false" ht="15" hidden="false" customHeight="false" outlineLevel="0" collapsed="false">
      <c r="A91" s="9" t="str">
        <f aca="false">'2026 Forecast A'!A19</f>
        <v>Carbon</v>
      </c>
      <c r="B91" s="9" t="str">
        <f aca="false">'2026 Forecast A'!B19</f>
        <v>KIDDER TOWNSHIP</v>
      </c>
      <c r="C91" s="9" t="str">
        <f aca="false">'2026 Forecast A'!C19</f>
        <v>(whole municipality)</v>
      </c>
      <c r="D91" s="10" t="n">
        <f aca="false">'2026 Forecast A'!G19</f>
        <v>0.345341614906832</v>
      </c>
      <c r="E91" s="10" t="n">
        <f aca="false">'2026 Forecast B'!G19</f>
        <v>0.349068322981367</v>
      </c>
      <c r="F91" s="10" t="n">
        <f aca="false">'2026 Forecast C'!G19</f>
        <v>0.335403726708075</v>
      </c>
      <c r="G91" s="45" t="n">
        <f aca="false">(MAX(D91:F91)-MIN(D91:F91))*100</f>
        <v>1.36645962732919</v>
      </c>
      <c r="H91" s="46" t="n">
        <f aca="false">'2026 Forecast A'!L19</f>
        <v>3.10177225952004</v>
      </c>
      <c r="I91" s="46" t="n">
        <f aca="false">'2026 Forecast B'!L19</f>
        <v>3.01886595295714</v>
      </c>
      <c r="J91" s="46" t="n">
        <f aca="false">'2026 Forecast C'!L19</f>
        <v>3.27121843302961</v>
      </c>
      <c r="K91" s="18" t="n">
        <f aca="false">'2026 Forecast A'!F19</f>
        <v>805</v>
      </c>
      <c r="L91" s="47" t="str">
        <f aca="false">IF(OR(AND(D91&gt;0.5,E91&gt;0.5,F91&gt;0.5),AND(D91&lt;0.5,E91&lt;0.5,F91&lt;0.5)),"Yes","No — toss-up")</f>
        <v>Yes</v>
      </c>
    </row>
    <row r="92" customFormat="false" ht="15" hidden="false" customHeight="false" outlineLevel="0" collapsed="false">
      <c r="A92" s="9" t="str">
        <f aca="false">'2026 Forecast A'!A20</f>
        <v>Carbon</v>
      </c>
      <c r="B92" s="9" t="str">
        <f aca="false">'2026 Forecast A'!B20</f>
        <v>LANSFORD BOROUGH</v>
      </c>
      <c r="C92" s="9" t="str">
        <f aca="false">'2026 Forecast A'!C20</f>
        <v>(whole municipality)</v>
      </c>
      <c r="D92" s="10" t="n">
        <f aca="false">'2026 Forecast A'!G20</f>
        <v>0.416435826408126</v>
      </c>
      <c r="E92" s="10" t="n">
        <f aca="false">'2026 Forecast B'!G20</f>
        <v>0.415512465373961</v>
      </c>
      <c r="F92" s="10" t="n">
        <f aca="false">'2026 Forecast C'!G20</f>
        <v>0.414589104339797</v>
      </c>
      <c r="G92" s="45" t="n">
        <f aca="false">(MAX(D92:F92)-MIN(D92:F92))*100</f>
        <v>0.184672206832875</v>
      </c>
      <c r="H92" s="46" t="n">
        <f aca="false">'2026 Forecast A'!L20</f>
        <v>3.10177225952004</v>
      </c>
      <c r="I92" s="46" t="n">
        <f aca="false">'2026 Forecast B'!L20</f>
        <v>3.01886595295714</v>
      </c>
      <c r="J92" s="46" t="n">
        <f aca="false">'2026 Forecast C'!L20</f>
        <v>3.27121843302961</v>
      </c>
      <c r="K92" s="18" t="n">
        <f aca="false">'2026 Forecast A'!F20</f>
        <v>1083</v>
      </c>
      <c r="L92" s="47" t="str">
        <f aca="false">IF(OR(AND(D92&gt;0.5,E92&gt;0.5,F92&gt;0.5),AND(D92&lt;0.5,E92&lt;0.5,F92&lt;0.5)),"Yes","No — toss-up")</f>
        <v>Yes</v>
      </c>
    </row>
    <row r="93" customFormat="false" ht="15" hidden="false" customHeight="false" outlineLevel="0" collapsed="false">
      <c r="A93" s="9" t="str">
        <f aca="false">'2026 Forecast A'!A21</f>
        <v>Carbon</v>
      </c>
      <c r="B93" s="9" t="str">
        <f aca="false">'2026 Forecast A'!B21</f>
        <v>LAUSANNE TOWNSHIP</v>
      </c>
      <c r="C93" s="9" t="str">
        <f aca="false">'2026 Forecast A'!C21</f>
        <v>(whole municipality)</v>
      </c>
      <c r="D93" s="10" t="n">
        <f aca="false">'2026 Forecast A'!G21</f>
        <v>0.279661016949153</v>
      </c>
      <c r="E93" s="10" t="n">
        <f aca="false">'2026 Forecast B'!G21</f>
        <v>0.279661016949153</v>
      </c>
      <c r="F93" s="10" t="n">
        <f aca="false">'2026 Forecast C'!G21</f>
        <v>0.271186440677966</v>
      </c>
      <c r="G93" s="45" t="n">
        <f aca="false">(MAX(D93:F93)-MIN(D93:F93))*100</f>
        <v>0.847457627118642</v>
      </c>
      <c r="H93" s="46" t="n">
        <f aca="false">'2026 Forecast A'!L21</f>
        <v>3.10177225952004</v>
      </c>
      <c r="I93" s="46" t="n">
        <f aca="false">'2026 Forecast B'!L21</f>
        <v>3.01886595295714</v>
      </c>
      <c r="J93" s="46" t="n">
        <f aca="false">'2026 Forecast C'!L21</f>
        <v>3.27121843302961</v>
      </c>
      <c r="K93" s="18" t="n">
        <f aca="false">'2026 Forecast A'!F21</f>
        <v>118</v>
      </c>
      <c r="L93" s="47" t="str">
        <f aca="false">IF(OR(AND(D93&gt;0.5,E93&gt;0.5,F93&gt;0.5),AND(D93&lt;0.5,E93&lt;0.5,F93&lt;0.5)),"Yes","No — toss-up")</f>
        <v>Yes</v>
      </c>
    </row>
    <row r="94" customFormat="false" ht="15" hidden="false" customHeight="false" outlineLevel="0" collapsed="false">
      <c r="A94" s="9" t="str">
        <f aca="false">'2026 Forecast A'!A22</f>
        <v>Carbon</v>
      </c>
      <c r="B94" s="9" t="str">
        <f aca="false">'2026 Forecast A'!B22</f>
        <v>LEHIGH TOWNSHIP</v>
      </c>
      <c r="C94" s="9" t="str">
        <f aca="false">'2026 Forecast A'!C22</f>
        <v>(whole municipality)</v>
      </c>
      <c r="D94" s="10" t="n">
        <f aca="false">'2026 Forecast A'!G22</f>
        <v>0.210970464135021</v>
      </c>
      <c r="E94" s="10" t="n">
        <f aca="false">'2026 Forecast B'!G22</f>
        <v>0.219409282700422</v>
      </c>
      <c r="F94" s="10" t="n">
        <f aca="false">'2026 Forecast C'!G22</f>
        <v>0.194092827004219</v>
      </c>
      <c r="G94" s="45" t="n">
        <f aca="false">(MAX(D94:F94)-MIN(D94:F94))*100</f>
        <v>2.53164556962026</v>
      </c>
      <c r="H94" s="46" t="n">
        <f aca="false">'2026 Forecast A'!L22</f>
        <v>3.10177225952004</v>
      </c>
      <c r="I94" s="46" t="n">
        <f aca="false">'2026 Forecast B'!L22</f>
        <v>3.01886595295714</v>
      </c>
      <c r="J94" s="46" t="n">
        <f aca="false">'2026 Forecast C'!L22</f>
        <v>3.27121843302961</v>
      </c>
      <c r="K94" s="18" t="n">
        <f aca="false">'2026 Forecast A'!F22</f>
        <v>237</v>
      </c>
      <c r="L94" s="47" t="str">
        <f aca="false">IF(OR(AND(D94&gt;0.5,E94&gt;0.5,F94&gt;0.5),AND(D94&lt;0.5,E94&lt;0.5,F94&lt;0.5)),"Yes","No — toss-up")</f>
        <v>Yes</v>
      </c>
    </row>
    <row r="95" customFormat="false" ht="15" hidden="false" customHeight="false" outlineLevel="0" collapsed="false">
      <c r="A95" s="9" t="str">
        <f aca="false">'2026 Forecast A'!A23</f>
        <v>Carbon</v>
      </c>
      <c r="B95" s="9" t="str">
        <f aca="false">'2026 Forecast A'!B23</f>
        <v>LEHIGHTON BOROUGH</v>
      </c>
      <c r="C95" s="9" t="str">
        <f aca="false">'2026 Forecast A'!C23</f>
        <v>(whole municipality)</v>
      </c>
      <c r="D95" s="10" t="n">
        <f aca="false">'2026 Forecast A'!G23</f>
        <v>0.405929304446978</v>
      </c>
      <c r="E95" s="10" t="n">
        <f aca="false">'2026 Forecast B'!G23</f>
        <v>0.40478905359179</v>
      </c>
      <c r="F95" s="10" t="n">
        <f aca="false">'2026 Forecast C'!G23</f>
        <v>0.400228050171038</v>
      </c>
      <c r="G95" s="45" t="n">
        <f aca="false">(MAX(D95:F95)-MIN(D95:F95))*100</f>
        <v>0.57012542759407</v>
      </c>
      <c r="H95" s="46" t="n">
        <f aca="false">'2026 Forecast A'!L23</f>
        <v>1.94807078030819</v>
      </c>
      <c r="I95" s="46" t="n">
        <f aca="false">'2026 Forecast B'!L23</f>
        <v>2.01385263721301</v>
      </c>
      <c r="J95" s="46" t="n">
        <f aca="false">'2026 Forecast C'!L23</f>
        <v>2.34842085953994</v>
      </c>
      <c r="K95" s="18" t="n">
        <f aca="false">'2026 Forecast A'!F23</f>
        <v>1754</v>
      </c>
      <c r="L95" s="47" t="str">
        <f aca="false">IF(OR(AND(D95&gt;0.5,E95&gt;0.5,F95&gt;0.5),AND(D95&lt;0.5,E95&lt;0.5,F95&lt;0.5)),"Yes","No — toss-up")</f>
        <v>Yes</v>
      </c>
    </row>
    <row r="96" customFormat="false" ht="15" hidden="false" customHeight="false" outlineLevel="0" collapsed="false">
      <c r="A96" s="9" t="str">
        <f aca="false">'2026 Forecast A'!A24</f>
        <v>Carbon</v>
      </c>
      <c r="B96" s="9" t="str">
        <f aca="false">'2026 Forecast A'!B24</f>
        <v>LOWER TOWAMENSING TOWNSHIP</v>
      </c>
      <c r="C96" s="9" t="str">
        <f aca="false">'2026 Forecast A'!C24</f>
        <v>(whole municipality)</v>
      </c>
      <c r="D96" s="10" t="n">
        <f aca="false">'2026 Forecast A'!G24</f>
        <v>0.292648108493933</v>
      </c>
      <c r="E96" s="10" t="n">
        <f aca="false">'2026 Forecast B'!G24</f>
        <v>0.294789436117059</v>
      </c>
      <c r="F96" s="10" t="n">
        <f aca="false">'2026 Forecast C'!G24</f>
        <v>0.281227694503926</v>
      </c>
      <c r="G96" s="45" t="n">
        <f aca="false">(MAX(D96:F96)-MIN(D96:F96))*100</f>
        <v>1.35617416131335</v>
      </c>
      <c r="H96" s="46" t="n">
        <f aca="false">'2026 Forecast A'!L24</f>
        <v>1.94807078030819</v>
      </c>
      <c r="I96" s="46" t="n">
        <f aca="false">'2026 Forecast B'!L24</f>
        <v>2.01385263721301</v>
      </c>
      <c r="J96" s="46" t="n">
        <f aca="false">'2026 Forecast C'!L24</f>
        <v>2.34842085953994</v>
      </c>
      <c r="K96" s="18" t="n">
        <f aca="false">'2026 Forecast A'!F24</f>
        <v>1401</v>
      </c>
      <c r="L96" s="47" t="str">
        <f aca="false">IF(OR(AND(D96&gt;0.5,E96&gt;0.5,F96&gt;0.5),AND(D96&lt;0.5,E96&lt;0.5,F96&lt;0.5)),"Yes","No — toss-up")</f>
        <v>Yes</v>
      </c>
    </row>
    <row r="97" customFormat="false" ht="15" hidden="false" customHeight="false" outlineLevel="0" collapsed="false">
      <c r="A97" s="9" t="str">
        <f aca="false">'2026 Forecast A'!A25</f>
        <v>Carbon</v>
      </c>
      <c r="B97" s="9" t="str">
        <f aca="false">'2026 Forecast A'!B25</f>
        <v>MAHONING TOWNSHIP</v>
      </c>
      <c r="C97" s="9" t="str">
        <f aca="false">'2026 Forecast A'!C25</f>
        <v>(whole municipality)</v>
      </c>
      <c r="D97" s="10" t="n">
        <f aca="false">'2026 Forecast A'!G25</f>
        <v>0.302981895633653</v>
      </c>
      <c r="E97" s="10" t="n">
        <f aca="false">'2026 Forecast B'!G25</f>
        <v>0.300851970181044</v>
      </c>
      <c r="F97" s="10" t="n">
        <f aca="false">'2026 Forecast C'!G25</f>
        <v>0.292332268370607</v>
      </c>
      <c r="G97" s="45" t="n">
        <f aca="false">(MAX(D97:F97)-MIN(D97:F97))*100</f>
        <v>1.06496272630457</v>
      </c>
      <c r="H97" s="46" t="n">
        <f aca="false">'2026 Forecast A'!L25</f>
        <v>1.94807078030819</v>
      </c>
      <c r="I97" s="46" t="n">
        <f aca="false">'2026 Forecast B'!L25</f>
        <v>2.01385263721301</v>
      </c>
      <c r="J97" s="46" t="n">
        <f aca="false">'2026 Forecast C'!L25</f>
        <v>2.34842085953994</v>
      </c>
      <c r="K97" s="18" t="n">
        <f aca="false">'2026 Forecast A'!F25</f>
        <v>1878</v>
      </c>
      <c r="L97" s="47" t="str">
        <f aca="false">IF(OR(AND(D97&gt;0.5,E97&gt;0.5,F97&gt;0.5),AND(D97&lt;0.5,E97&lt;0.5,F97&lt;0.5)),"Yes","No — toss-up")</f>
        <v>Yes</v>
      </c>
    </row>
    <row r="98" customFormat="false" ht="15" hidden="false" customHeight="false" outlineLevel="0" collapsed="false">
      <c r="A98" s="9" t="str">
        <f aca="false">'2026 Forecast A'!A26</f>
        <v>Carbon</v>
      </c>
      <c r="B98" s="9" t="str">
        <f aca="false">'2026 Forecast A'!B26</f>
        <v>NESQUEHONING BOROUGH</v>
      </c>
      <c r="C98" s="9" t="str">
        <f aca="false">'2026 Forecast A'!C26</f>
        <v>(whole municipality)</v>
      </c>
      <c r="D98" s="10" t="n">
        <f aca="false">'2026 Forecast A'!G26</f>
        <v>0.401153212520593</v>
      </c>
      <c r="E98" s="10" t="n">
        <f aca="false">'2026 Forecast B'!G26</f>
        <v>0.403624382207578</v>
      </c>
      <c r="F98" s="10" t="n">
        <f aca="false">'2026 Forecast C'!G26</f>
        <v>0.397034596375618</v>
      </c>
      <c r="G98" s="45" t="n">
        <f aca="false">(MAX(D98:F98)-MIN(D98:F98))*100</f>
        <v>0.658978583196046</v>
      </c>
      <c r="H98" s="46" t="n">
        <f aca="false">'2026 Forecast A'!L26</f>
        <v>3.10177225952004</v>
      </c>
      <c r="I98" s="46" t="n">
        <f aca="false">'2026 Forecast B'!L26</f>
        <v>3.01886595295714</v>
      </c>
      <c r="J98" s="46" t="n">
        <f aca="false">'2026 Forecast C'!L26</f>
        <v>3.27121843302961</v>
      </c>
      <c r="K98" s="18" t="n">
        <f aca="false">'2026 Forecast A'!F26</f>
        <v>1214</v>
      </c>
      <c r="L98" s="47" t="str">
        <f aca="false">IF(OR(AND(D98&gt;0.5,E98&gt;0.5,F98&gt;0.5),AND(D98&lt;0.5,E98&lt;0.5,F98&lt;0.5)),"Yes","No — toss-up")</f>
        <v>Yes</v>
      </c>
    </row>
    <row r="99" customFormat="false" ht="15" hidden="false" customHeight="false" outlineLevel="0" collapsed="false">
      <c r="A99" s="9" t="str">
        <f aca="false">'2026 Forecast A'!A27</f>
        <v>Carbon</v>
      </c>
      <c r="B99" s="9" t="str">
        <f aca="false">'2026 Forecast A'!B27</f>
        <v>PACKER TOWNSHIP</v>
      </c>
      <c r="C99" s="9" t="str">
        <f aca="false">'2026 Forecast A'!C27</f>
        <v>(whole municipality)</v>
      </c>
      <c r="D99" s="10" t="n">
        <f aca="false">'2026 Forecast A'!G27</f>
        <v>0.207547169811321</v>
      </c>
      <c r="E99" s="10" t="n">
        <f aca="false">'2026 Forecast B'!G27</f>
        <v>0.207547169811321</v>
      </c>
      <c r="F99" s="10" t="n">
        <f aca="false">'2026 Forecast C'!G27</f>
        <v>0.188679245283019</v>
      </c>
      <c r="G99" s="45" t="n">
        <f aca="false">(MAX(D99:F99)-MIN(D99:F99))*100</f>
        <v>1.88679245283019</v>
      </c>
      <c r="H99" s="46" t="n">
        <f aca="false">'2026 Forecast A'!L27</f>
        <v>3.10177225952004</v>
      </c>
      <c r="I99" s="46" t="n">
        <f aca="false">'2026 Forecast B'!L27</f>
        <v>3.01886595295714</v>
      </c>
      <c r="J99" s="46" t="n">
        <f aca="false">'2026 Forecast C'!L27</f>
        <v>3.27121843302961</v>
      </c>
      <c r="K99" s="18" t="n">
        <f aca="false">'2026 Forecast A'!F27</f>
        <v>530</v>
      </c>
      <c r="L99" s="47" t="str">
        <f aca="false">IF(OR(AND(D99&gt;0.5,E99&gt;0.5,F99&gt;0.5),AND(D99&lt;0.5,E99&lt;0.5,F99&lt;0.5)),"Yes","No — toss-up")</f>
        <v>Yes</v>
      </c>
    </row>
    <row r="100" customFormat="false" ht="15" hidden="false" customHeight="false" outlineLevel="0" collapsed="false">
      <c r="A100" s="9" t="str">
        <f aca="false">'2026 Forecast A'!A28</f>
        <v>Carbon</v>
      </c>
      <c r="B100" s="9" t="str">
        <f aca="false">'2026 Forecast A'!B28</f>
        <v>PALMERTON BOROUGH</v>
      </c>
      <c r="C100" s="9" t="str">
        <f aca="false">'2026 Forecast A'!C28</f>
        <v>(whole municipality)</v>
      </c>
      <c r="D100" s="10" t="n">
        <f aca="false">'2026 Forecast A'!G28</f>
        <v>0.369161225514817</v>
      </c>
      <c r="E100" s="10" t="n">
        <f aca="false">'2026 Forecast B'!G28</f>
        <v>0.369161225514817</v>
      </c>
      <c r="F100" s="10" t="n">
        <f aca="false">'2026 Forecast C'!G28</f>
        <v>0.362631843294827</v>
      </c>
      <c r="G100" s="45" t="n">
        <f aca="false">(MAX(D100:F100)-MIN(D100:F100))*100</f>
        <v>0.652938221998994</v>
      </c>
      <c r="H100" s="46" t="n">
        <f aca="false">'2026 Forecast A'!L28</f>
        <v>1.94807078030819</v>
      </c>
      <c r="I100" s="46" t="n">
        <f aca="false">'2026 Forecast B'!L28</f>
        <v>2.01385263721301</v>
      </c>
      <c r="J100" s="46" t="n">
        <f aca="false">'2026 Forecast C'!L28</f>
        <v>2.34842085953994</v>
      </c>
      <c r="K100" s="18" t="n">
        <f aca="false">'2026 Forecast A'!F28</f>
        <v>1991</v>
      </c>
      <c r="L100" s="47" t="str">
        <f aca="false">IF(OR(AND(D100&gt;0.5,E100&gt;0.5,F100&gt;0.5),AND(D100&lt;0.5,E100&lt;0.5,F100&lt;0.5)),"Yes","No — toss-up")</f>
        <v>Yes</v>
      </c>
    </row>
    <row r="101" customFormat="false" ht="15" hidden="false" customHeight="false" outlineLevel="0" collapsed="false">
      <c r="A101" s="9" t="str">
        <f aca="false">'2026 Forecast A'!A29</f>
        <v>Carbon</v>
      </c>
      <c r="B101" s="9" t="str">
        <f aca="false">'2026 Forecast A'!B29</f>
        <v>PARRYVILLE BOROUGH</v>
      </c>
      <c r="C101" s="9" t="str">
        <f aca="false">'2026 Forecast A'!C29</f>
        <v>(whole municipality)</v>
      </c>
      <c r="D101" s="10" t="n">
        <f aca="false">'2026 Forecast A'!G29</f>
        <v>0.318918918918919</v>
      </c>
      <c r="E101" s="10" t="n">
        <f aca="false">'2026 Forecast B'!G29</f>
        <v>0.324324324324324</v>
      </c>
      <c r="F101" s="10" t="n">
        <f aca="false">'2026 Forecast C'!G29</f>
        <v>0.308108108108108</v>
      </c>
      <c r="G101" s="45" t="n">
        <f aca="false">(MAX(D101:F101)-MIN(D101:F101))*100</f>
        <v>1.62162162162162</v>
      </c>
      <c r="H101" s="46" t="n">
        <f aca="false">'2026 Forecast A'!L29</f>
        <v>3.10177225952004</v>
      </c>
      <c r="I101" s="46" t="n">
        <f aca="false">'2026 Forecast B'!L29</f>
        <v>3.01886595295714</v>
      </c>
      <c r="J101" s="46" t="n">
        <f aca="false">'2026 Forecast C'!L29</f>
        <v>3.27121843302961</v>
      </c>
      <c r="K101" s="18" t="n">
        <f aca="false">'2026 Forecast A'!F29</f>
        <v>185</v>
      </c>
      <c r="L101" s="47" t="str">
        <f aca="false">IF(OR(AND(D101&gt;0.5,E101&gt;0.5,F101&gt;0.5),AND(D101&lt;0.5,E101&lt;0.5,F101&lt;0.5)),"Yes","No — toss-up")</f>
        <v>Yes</v>
      </c>
    </row>
    <row r="102" customFormat="false" ht="15" hidden="false" customHeight="false" outlineLevel="0" collapsed="false">
      <c r="A102" s="9" t="str">
        <f aca="false">'2026 Forecast A'!A30</f>
        <v>Carbon</v>
      </c>
      <c r="B102" s="9" t="str">
        <f aca="false">'2026 Forecast A'!B30</f>
        <v>PENN FOREST TOWNSHIP</v>
      </c>
      <c r="C102" s="9" t="str">
        <f aca="false">'2026 Forecast A'!C30</f>
        <v>(whole municipality)</v>
      </c>
      <c r="D102" s="10" t="n">
        <f aca="false">'2026 Forecast A'!G30</f>
        <v>0.367397137745975</v>
      </c>
      <c r="E102" s="10" t="n">
        <f aca="false">'2026 Forecast B'!G30</f>
        <v>0.369409660107335</v>
      </c>
      <c r="F102" s="10" t="n">
        <f aca="false">'2026 Forecast C'!G30</f>
        <v>0.35912343470483</v>
      </c>
      <c r="G102" s="45" t="n">
        <f aca="false">(MAX(D102:F102)-MIN(D102:F102))*100</f>
        <v>1.02862254025045</v>
      </c>
      <c r="H102" s="46" t="n">
        <f aca="false">'2026 Forecast A'!L30</f>
        <v>2.02826267851162</v>
      </c>
      <c r="I102" s="46" t="n">
        <f aca="false">'2026 Forecast B'!L30</f>
        <v>1.85739930088792</v>
      </c>
      <c r="J102" s="46" t="n">
        <f aca="false">'2026 Forecast C'!L30</f>
        <v>2.09336791106816</v>
      </c>
      <c r="K102" s="18" t="n">
        <f aca="false">'2026 Forecast A'!F30</f>
        <v>4472</v>
      </c>
      <c r="L102" s="47" t="str">
        <f aca="false">IF(OR(AND(D102&gt;0.5,E102&gt;0.5,F102&gt;0.5),AND(D102&lt;0.5,E102&lt;0.5,F102&lt;0.5)),"Yes","No — toss-up")</f>
        <v>Yes</v>
      </c>
    </row>
    <row r="103" customFormat="false" ht="15" hidden="false" customHeight="false" outlineLevel="0" collapsed="false">
      <c r="A103" s="9" t="str">
        <f aca="false">'2026 Forecast A'!A31</f>
        <v>Carbon</v>
      </c>
      <c r="B103" s="9" t="str">
        <f aca="false">'2026 Forecast A'!B31</f>
        <v>SUMMIT HILL BOROUGH</v>
      </c>
      <c r="C103" s="9" t="str">
        <f aca="false">'2026 Forecast A'!C31</f>
        <v>(whole municipality)</v>
      </c>
      <c r="D103" s="10" t="n">
        <f aca="false">'2026 Forecast A'!G31</f>
        <v>0.432327919566899</v>
      </c>
      <c r="E103" s="10" t="n">
        <f aca="false">'2026 Forecast B'!G31</f>
        <v>0.430781129156999</v>
      </c>
      <c r="F103" s="10" t="n">
        <f aca="false">'2026 Forecast C'!G31</f>
        <v>0.43000773395205</v>
      </c>
      <c r="G103" s="45" t="n">
        <f aca="false">(MAX(D103:F103)-MIN(D103:F103))*100</f>
        <v>0.23201856148492</v>
      </c>
      <c r="H103" s="46" t="n">
        <f aca="false">'2026 Forecast A'!L31</f>
        <v>1.94807078030819</v>
      </c>
      <c r="I103" s="46" t="n">
        <f aca="false">'2026 Forecast B'!L31</f>
        <v>2.01385263721301</v>
      </c>
      <c r="J103" s="46" t="n">
        <f aca="false">'2026 Forecast C'!L31</f>
        <v>2.34842085953994</v>
      </c>
      <c r="K103" s="18" t="n">
        <f aca="false">'2026 Forecast A'!F31</f>
        <v>1293</v>
      </c>
      <c r="L103" s="47" t="str">
        <f aca="false">IF(OR(AND(D103&gt;0.5,E103&gt;0.5,F103&gt;0.5),AND(D103&lt;0.5,E103&lt;0.5,F103&lt;0.5)),"Yes","No — toss-up")</f>
        <v>Yes</v>
      </c>
    </row>
    <row r="104" customFormat="false" ht="15" hidden="false" customHeight="false" outlineLevel="0" collapsed="false">
      <c r="A104" s="9" t="str">
        <f aca="false">'2026 Forecast A'!A32</f>
        <v>Carbon</v>
      </c>
      <c r="B104" s="9" t="str">
        <f aca="false">'2026 Forecast A'!B32</f>
        <v>TOWAMENSING TOWNSHIP</v>
      </c>
      <c r="C104" s="9" t="str">
        <f aca="false">'2026 Forecast A'!C32</f>
        <v>(whole municipality)</v>
      </c>
      <c r="D104" s="10" t="n">
        <f aca="false">'2026 Forecast A'!G32</f>
        <v>0.297608503100089</v>
      </c>
      <c r="E104" s="10" t="n">
        <f aca="false">'2026 Forecast B'!G32</f>
        <v>0.29229406554473</v>
      </c>
      <c r="F104" s="10" t="n">
        <f aca="false">'2026 Forecast C'!G32</f>
        <v>0.286536758193091</v>
      </c>
      <c r="G104" s="45" t="n">
        <f aca="false">(MAX(D104:F104)-MIN(D104:F104))*100</f>
        <v>1.10717449069974</v>
      </c>
      <c r="H104" s="46" t="n">
        <f aca="false">'2026 Forecast A'!L32</f>
        <v>1.94807078030819</v>
      </c>
      <c r="I104" s="46" t="n">
        <f aca="false">'2026 Forecast B'!L32</f>
        <v>2.01385263721301</v>
      </c>
      <c r="J104" s="46" t="n">
        <f aca="false">'2026 Forecast C'!L32</f>
        <v>2.34842085953994</v>
      </c>
      <c r="K104" s="18" t="n">
        <f aca="false">'2026 Forecast A'!F32</f>
        <v>2258</v>
      </c>
      <c r="L104" s="47" t="str">
        <f aca="false">IF(OR(AND(D104&gt;0.5,E104&gt;0.5,F104&gt;0.5),AND(D104&lt;0.5,E104&lt;0.5,F104&lt;0.5)),"Yes","No — toss-up")</f>
        <v>Yes</v>
      </c>
    </row>
    <row r="105" customFormat="false" ht="15" hidden="false" customHeight="false" outlineLevel="0" collapsed="false">
      <c r="A105" s="9" t="str">
        <f aca="false">'2026 Forecast A'!A33</f>
        <v>Carbon</v>
      </c>
      <c r="B105" s="9" t="str">
        <f aca="false">'2026 Forecast A'!B33</f>
        <v>WEATHERLY BOROUGH</v>
      </c>
      <c r="C105" s="9" t="str">
        <f aca="false">'2026 Forecast A'!C33</f>
        <v>(whole municipality)</v>
      </c>
      <c r="D105" s="10" t="n">
        <f aca="false">'2026 Forecast A'!G33</f>
        <v>0.303063457330416</v>
      </c>
      <c r="E105" s="10" t="n">
        <f aca="false">'2026 Forecast B'!G33</f>
        <v>0.300875273522976</v>
      </c>
      <c r="F105" s="10" t="n">
        <f aca="false">'2026 Forecast C'!G33</f>
        <v>0.292122538293217</v>
      </c>
      <c r="G105" s="45" t="n">
        <f aca="false">(MAX(D105:F105)-MIN(D105:F105))*100</f>
        <v>1.09409190371991</v>
      </c>
      <c r="H105" s="46" t="n">
        <f aca="false">'2026 Forecast A'!L33</f>
        <v>3.10177225952004</v>
      </c>
      <c r="I105" s="46" t="n">
        <f aca="false">'2026 Forecast B'!L33</f>
        <v>3.01886595295714</v>
      </c>
      <c r="J105" s="46" t="n">
        <f aca="false">'2026 Forecast C'!L33</f>
        <v>3.27121843302961</v>
      </c>
      <c r="K105" s="18" t="n">
        <f aca="false">'2026 Forecast A'!F33</f>
        <v>914</v>
      </c>
      <c r="L105" s="47" t="str">
        <f aca="false">IF(OR(AND(D105&gt;0.5,E105&gt;0.5,F105&gt;0.5),AND(D105&lt;0.5,E105&lt;0.5,F105&lt;0.5)),"Yes","No — toss-up")</f>
        <v>Yes</v>
      </c>
    </row>
    <row r="106" customFormat="false" ht="15" hidden="false" customHeight="false" outlineLevel="0" collapsed="false">
      <c r="A106" s="9" t="str">
        <f aca="false">'2026 Forecast A'!A34</f>
        <v>Carbon</v>
      </c>
      <c r="B106" s="9" t="str">
        <f aca="false">'2026 Forecast A'!B34</f>
        <v>WEISSPORT BOROUGH</v>
      </c>
      <c r="C106" s="9" t="str">
        <f aca="false">'2026 Forecast A'!C34</f>
        <v>(whole municipality)</v>
      </c>
      <c r="D106" s="10" t="n">
        <f aca="false">'2026 Forecast A'!G34</f>
        <v>0.345794392523364</v>
      </c>
      <c r="E106" s="10" t="n">
        <f aca="false">'2026 Forecast B'!G34</f>
        <v>0.355140186915888</v>
      </c>
      <c r="F106" s="10" t="n">
        <f aca="false">'2026 Forecast C'!G34</f>
        <v>0.345794392523364</v>
      </c>
      <c r="G106" s="45" t="n">
        <f aca="false">(MAX(D106:F106)-MIN(D106:F106))*100</f>
        <v>0.934579439252337</v>
      </c>
      <c r="H106" s="46" t="n">
        <f aca="false">'2026 Forecast A'!L34</f>
        <v>3.10177225952004</v>
      </c>
      <c r="I106" s="46" t="n">
        <f aca="false">'2026 Forecast B'!L34</f>
        <v>3.01886595295714</v>
      </c>
      <c r="J106" s="46" t="n">
        <f aca="false">'2026 Forecast C'!L34</f>
        <v>3.27121843302961</v>
      </c>
      <c r="K106" s="18" t="n">
        <f aca="false">'2026 Forecast A'!F34</f>
        <v>107</v>
      </c>
      <c r="L106" s="47" t="str">
        <f aca="false">IF(OR(AND(D106&gt;0.5,E106&gt;0.5,F106&gt;0.5),AND(D106&lt;0.5,E106&lt;0.5,F106&lt;0.5)),"Yes","No — toss-up")</f>
        <v>Yes</v>
      </c>
    </row>
    <row r="107" customFormat="false" ht="15" hidden="false" customHeight="false" outlineLevel="0" collapsed="false">
      <c r="A107" s="9" t="str">
        <f aca="false">'2026 Forecast A'!A35</f>
        <v>Lehigh</v>
      </c>
      <c r="B107" s="9" t="str">
        <f aca="false">'2026 Forecast A'!B35</f>
        <v>ALBURTIS</v>
      </c>
      <c r="C107" s="9" t="str">
        <f aca="false">'2026 Forecast A'!C35</f>
        <v>(whole municipality)</v>
      </c>
      <c r="D107" s="10" t="n">
        <f aca="false">'2026 Forecast A'!G35</f>
        <v>0.471253534401508</v>
      </c>
      <c r="E107" s="10" t="n">
        <f aca="false">'2026 Forecast B'!G35</f>
        <v>0.469368520263902</v>
      </c>
      <c r="F107" s="10" t="n">
        <f aca="false">'2026 Forecast C'!G35</f>
        <v>0.468426013195099</v>
      </c>
      <c r="G107" s="45" t="n">
        <f aca="false">(MAX(D107:F107)-MIN(D107:F107))*100</f>
        <v>0.282752120640906</v>
      </c>
      <c r="H107" s="46" t="n">
        <f aca="false">'2026 Forecast A'!L35</f>
        <v>3.10177225952004</v>
      </c>
      <c r="I107" s="46" t="n">
        <f aca="false">'2026 Forecast B'!L35</f>
        <v>3.01886595295714</v>
      </c>
      <c r="J107" s="46" t="n">
        <f aca="false">'2026 Forecast C'!L35</f>
        <v>3.27121843302961</v>
      </c>
      <c r="K107" s="18" t="n">
        <f aca="false">'2026 Forecast A'!F35</f>
        <v>1061</v>
      </c>
      <c r="L107" s="47" t="str">
        <f aca="false">IF(OR(AND(D107&gt;0.5,E107&gt;0.5,F107&gt;0.5),AND(D107&lt;0.5,E107&lt;0.5,F107&lt;0.5)),"Yes","No — toss-up")</f>
        <v>Yes</v>
      </c>
    </row>
    <row r="108" customFormat="false" ht="15" hidden="false" customHeight="false" outlineLevel="0" collapsed="false">
      <c r="A108" s="9" t="str">
        <f aca="false">'2026 Forecast A'!A36</f>
        <v>Lehigh</v>
      </c>
      <c r="B108" s="9" t="str">
        <f aca="false">'2026 Forecast A'!B36</f>
        <v>ALLENTOWN</v>
      </c>
      <c r="C108" s="9" t="str">
        <f aca="false">'2026 Forecast A'!C36</f>
        <v>(whole municipality)</v>
      </c>
      <c r="D108" s="10" t="n">
        <f aca="false">'2026 Forecast A'!G36</f>
        <v>0.658101131123635</v>
      </c>
      <c r="E108" s="10" t="n">
        <f aca="false">'2026 Forecast B'!G36</f>
        <v>0.65313522248059</v>
      </c>
      <c r="F108" s="10" t="n">
        <f aca="false">'2026 Forecast C'!G36</f>
        <v>0.671698261931975</v>
      </c>
      <c r="G108" s="45" t="n">
        <f aca="false">(MAX(D108:F108)-MIN(D108:F108))*100</f>
        <v>1.85630394513853</v>
      </c>
      <c r="H108" s="46" t="n">
        <f aca="false">'2026 Forecast A'!L36</f>
        <v>2.02826267851162</v>
      </c>
      <c r="I108" s="46" t="n">
        <f aca="false">'2026 Forecast B'!L36</f>
        <v>1.85739930088792</v>
      </c>
      <c r="J108" s="46" t="n">
        <f aca="false">'2026 Forecast C'!L36</f>
        <v>2.09336791106816</v>
      </c>
      <c r="K108" s="18" t="n">
        <f aca="false">'2026 Forecast A'!F36</f>
        <v>25373</v>
      </c>
      <c r="L108" s="47" t="str">
        <f aca="false">IF(OR(AND(D108&gt;0.5,E108&gt;0.5,F108&gt;0.5),AND(D108&lt;0.5,E108&lt;0.5,F108&lt;0.5)),"Yes","No — toss-up")</f>
        <v>Yes</v>
      </c>
    </row>
    <row r="109" customFormat="false" ht="15" hidden="false" customHeight="false" outlineLevel="0" collapsed="false">
      <c r="A109" s="9" t="str">
        <f aca="false">'2026 Forecast A'!A37</f>
        <v>Lehigh</v>
      </c>
      <c r="B109" s="9" t="str">
        <f aca="false">'2026 Forecast A'!B37</f>
        <v>BETHLEHEM</v>
      </c>
      <c r="C109" s="9" t="str">
        <f aca="false">'2026 Forecast A'!C37</f>
        <v>(whole municipality)</v>
      </c>
      <c r="D109" s="10" t="n">
        <f aca="false">'2026 Forecast A'!G37</f>
        <v>0.638585934561865</v>
      </c>
      <c r="E109" s="10" t="n">
        <f aca="false">'2026 Forecast B'!G37</f>
        <v>0.638962015795412</v>
      </c>
      <c r="F109" s="10" t="n">
        <f aca="false">'2026 Forecast C'!G37</f>
        <v>0.649993731979441</v>
      </c>
      <c r="G109" s="45" t="n">
        <f aca="false">(MAX(D109:F109)-MIN(D109:F109))*100</f>
        <v>1.14077974175755</v>
      </c>
      <c r="H109" s="46" t="n">
        <f aca="false">'2026 Forecast A'!L37</f>
        <v>2.02826267851162</v>
      </c>
      <c r="I109" s="46" t="n">
        <f aca="false">'2026 Forecast B'!L37</f>
        <v>1.85739930088792</v>
      </c>
      <c r="J109" s="46" t="n">
        <f aca="false">'2026 Forecast C'!L37</f>
        <v>2.09336791106816</v>
      </c>
      <c r="K109" s="18" t="n">
        <f aca="false">'2026 Forecast A'!F37</f>
        <v>7977</v>
      </c>
      <c r="L109" s="47" t="str">
        <f aca="false">IF(OR(AND(D109&gt;0.5,E109&gt;0.5,F109&gt;0.5),AND(D109&lt;0.5,E109&lt;0.5,F109&lt;0.5)),"Yes","No — toss-up")</f>
        <v>Yes</v>
      </c>
    </row>
    <row r="110" customFormat="false" ht="15" hidden="false" customHeight="false" outlineLevel="0" collapsed="false">
      <c r="A110" s="9" t="str">
        <f aca="false">'2026 Forecast A'!A38</f>
        <v>Lehigh</v>
      </c>
      <c r="B110" s="9" t="str">
        <f aca="false">'2026 Forecast A'!B38</f>
        <v>CATASAUQUA</v>
      </c>
      <c r="C110" s="9" t="str">
        <f aca="false">'2026 Forecast A'!C38</f>
        <v>(whole municipality)</v>
      </c>
      <c r="D110" s="10" t="n">
        <f aca="false">'2026 Forecast A'!G38</f>
        <v>0.524793388429752</v>
      </c>
      <c r="E110" s="10" t="n">
        <f aca="false">'2026 Forecast B'!G38</f>
        <v>0.521120293847567</v>
      </c>
      <c r="F110" s="10" t="n">
        <f aca="false">'2026 Forecast C'!G38</f>
        <v>0.525252525252525</v>
      </c>
      <c r="G110" s="45" t="n">
        <f aca="false">(MAX(D110:F110)-MIN(D110:F110))*100</f>
        <v>0.413223140495878</v>
      </c>
      <c r="H110" s="46" t="n">
        <f aca="false">'2026 Forecast A'!L38</f>
        <v>1.94807078030819</v>
      </c>
      <c r="I110" s="46" t="n">
        <f aca="false">'2026 Forecast B'!L38</f>
        <v>2.01385263721301</v>
      </c>
      <c r="J110" s="46" t="n">
        <f aca="false">'2026 Forecast C'!L38</f>
        <v>2.34842085953994</v>
      </c>
      <c r="K110" s="18" t="n">
        <f aca="false">'2026 Forecast A'!F38</f>
        <v>2178</v>
      </c>
      <c r="L110" s="47" t="str">
        <f aca="false">IF(OR(AND(D110&gt;0.5,E110&gt;0.5,F110&gt;0.5),AND(D110&lt;0.5,E110&lt;0.5,F110&lt;0.5)),"Yes","No — toss-up")</f>
        <v>Yes</v>
      </c>
    </row>
    <row r="111" customFormat="false" ht="15" hidden="false" customHeight="false" outlineLevel="0" collapsed="false">
      <c r="A111" s="9" t="str">
        <f aca="false">'2026 Forecast A'!A39</f>
        <v>Lehigh</v>
      </c>
      <c r="B111" s="9" t="str">
        <f aca="false">'2026 Forecast A'!B39</f>
        <v>COOPERSBURG</v>
      </c>
      <c r="C111" s="9" t="str">
        <f aca="false">'2026 Forecast A'!C39</f>
        <v>(whole municipality)</v>
      </c>
      <c r="D111" s="10" t="n">
        <f aca="false">'2026 Forecast A'!G39</f>
        <v>0.488188976377953</v>
      </c>
      <c r="E111" s="10" t="n">
        <f aca="false">'2026 Forecast B'!G39</f>
        <v>0.492913385826772</v>
      </c>
      <c r="F111" s="10" t="n">
        <f aca="false">'2026 Forecast C'!G39</f>
        <v>0.48503937007874</v>
      </c>
      <c r="G111" s="45" t="n">
        <f aca="false">(MAX(D111:F111)-MIN(D111:F111))*100</f>
        <v>0.787401574803148</v>
      </c>
      <c r="H111" s="46" t="n">
        <f aca="false">'2026 Forecast A'!L39</f>
        <v>1.94807078030819</v>
      </c>
      <c r="I111" s="46" t="n">
        <f aca="false">'2026 Forecast B'!L39</f>
        <v>2.01385263721301</v>
      </c>
      <c r="J111" s="46" t="n">
        <f aca="false">'2026 Forecast C'!L39</f>
        <v>2.34842085953994</v>
      </c>
      <c r="K111" s="18" t="n">
        <f aca="false">'2026 Forecast A'!F39</f>
        <v>1270</v>
      </c>
      <c r="L111" s="47" t="str">
        <f aca="false">IF(OR(AND(D111&gt;0.5,E111&gt;0.5,F111&gt;0.5),AND(D111&lt;0.5,E111&lt;0.5,F111&lt;0.5)),"Yes","No — toss-up")</f>
        <v>Yes</v>
      </c>
    </row>
    <row r="112" customFormat="false" ht="15" hidden="false" customHeight="false" outlineLevel="0" collapsed="false">
      <c r="A112" s="9" t="str">
        <f aca="false">'2026 Forecast A'!A40</f>
        <v>Lehigh</v>
      </c>
      <c r="B112" s="9" t="str">
        <f aca="false">'2026 Forecast A'!B40</f>
        <v>COPLAY</v>
      </c>
      <c r="C112" s="9" t="str">
        <f aca="false">'2026 Forecast A'!C40</f>
        <v>(whole municipality)</v>
      </c>
      <c r="D112" s="10" t="n">
        <f aca="false">'2026 Forecast A'!G40</f>
        <v>0.519061583577713</v>
      </c>
      <c r="E112" s="10" t="n">
        <f aca="false">'2026 Forecast B'!G40</f>
        <v>0.525659824046921</v>
      </c>
      <c r="F112" s="10" t="n">
        <f aca="false">'2026 Forecast C'!G40</f>
        <v>0.519794721407625</v>
      </c>
      <c r="G112" s="45" t="n">
        <f aca="false">(MAX(D112:F112)-MIN(D112:F112))*100</f>
        <v>0.659824046920821</v>
      </c>
      <c r="H112" s="46" t="n">
        <f aca="false">'2026 Forecast A'!L40</f>
        <v>1.94807078030819</v>
      </c>
      <c r="I112" s="46" t="n">
        <f aca="false">'2026 Forecast B'!L40</f>
        <v>2.01385263721301</v>
      </c>
      <c r="J112" s="46" t="n">
        <f aca="false">'2026 Forecast C'!L40</f>
        <v>2.34842085953994</v>
      </c>
      <c r="K112" s="18" t="n">
        <f aca="false">'2026 Forecast A'!F40</f>
        <v>1364</v>
      </c>
      <c r="L112" s="47" t="str">
        <f aca="false">IF(OR(AND(D112&gt;0.5,E112&gt;0.5,F112&gt;0.5),AND(D112&lt;0.5,E112&lt;0.5,F112&lt;0.5)),"Yes","No — toss-up")</f>
        <v>Yes</v>
      </c>
    </row>
    <row r="113" customFormat="false" ht="15" hidden="false" customHeight="false" outlineLevel="0" collapsed="false">
      <c r="A113" s="9" t="str">
        <f aca="false">'2026 Forecast A'!A41</f>
        <v>Lehigh</v>
      </c>
      <c r="B113" s="9" t="str">
        <f aca="false">'2026 Forecast A'!B41</f>
        <v>EMMAUS</v>
      </c>
      <c r="C113" s="9" t="str">
        <f aca="false">'2026 Forecast A'!C41</f>
        <v>(whole municipality)</v>
      </c>
      <c r="D113" s="10" t="n">
        <f aca="false">'2026 Forecast A'!G41</f>
        <v>0.541573867854492</v>
      </c>
      <c r="E113" s="10" t="n">
        <f aca="false">'2026 Forecast B'!G41</f>
        <v>0.546956198960653</v>
      </c>
      <c r="F113" s="10" t="n">
        <f aca="false">'2026 Forecast C'!G41</f>
        <v>0.543058648849295</v>
      </c>
      <c r="G113" s="45" t="n">
        <f aca="false">(MAX(D113:F113)-MIN(D113:F113))*100</f>
        <v>0.538233110616182</v>
      </c>
      <c r="H113" s="46" t="n">
        <f aca="false">'2026 Forecast A'!L41</f>
        <v>2.02826267851162</v>
      </c>
      <c r="I113" s="46" t="n">
        <f aca="false">'2026 Forecast B'!L41</f>
        <v>1.85739930088792</v>
      </c>
      <c r="J113" s="46" t="n">
        <f aca="false">'2026 Forecast C'!L41</f>
        <v>2.09336791106816</v>
      </c>
      <c r="K113" s="18" t="n">
        <f aca="false">'2026 Forecast A'!F41</f>
        <v>5388</v>
      </c>
      <c r="L113" s="47" t="str">
        <f aca="false">IF(OR(AND(D113&gt;0.5,E113&gt;0.5,F113&gt;0.5),AND(D113&lt;0.5,E113&lt;0.5,F113&lt;0.5)),"Yes","No — toss-up")</f>
        <v>Yes</v>
      </c>
    </row>
    <row r="114" customFormat="false" ht="15" hidden="false" customHeight="false" outlineLevel="0" collapsed="false">
      <c r="A114" s="9" t="str">
        <f aca="false">'2026 Forecast A'!A42</f>
        <v>Lehigh</v>
      </c>
      <c r="B114" s="9" t="str">
        <f aca="false">'2026 Forecast A'!B42</f>
        <v>FOUNTAIN HILL</v>
      </c>
      <c r="C114" s="9" t="str">
        <f aca="false">'2026 Forecast A'!C42</f>
        <v>(whole municipality)</v>
      </c>
      <c r="D114" s="10" t="n">
        <f aca="false">'2026 Forecast A'!G42</f>
        <v>0.661059190031153</v>
      </c>
      <c r="E114" s="10" t="n">
        <f aca="false">'2026 Forecast B'!G42</f>
        <v>0.65981308411215</v>
      </c>
      <c r="F114" s="10" t="n">
        <f aca="false">'2026 Forecast C'!G42</f>
        <v>0.674143302180685</v>
      </c>
      <c r="G114" s="45" t="n">
        <f aca="false">(MAX(D114:F114)-MIN(D114:F114))*100</f>
        <v>1.43302180685359</v>
      </c>
      <c r="H114" s="46" t="n">
        <f aca="false">'2026 Forecast A'!L42</f>
        <v>1.94807078030819</v>
      </c>
      <c r="I114" s="46" t="n">
        <f aca="false">'2026 Forecast B'!L42</f>
        <v>2.01385263721301</v>
      </c>
      <c r="J114" s="46" t="n">
        <f aca="false">'2026 Forecast C'!L42</f>
        <v>2.34842085953994</v>
      </c>
      <c r="K114" s="18" t="n">
        <f aca="false">'2026 Forecast A'!F42</f>
        <v>1605</v>
      </c>
      <c r="L114" s="47" t="str">
        <f aca="false">IF(OR(AND(D114&gt;0.5,E114&gt;0.5,F114&gt;0.5),AND(D114&lt;0.5,E114&lt;0.5,F114&lt;0.5)),"Yes","No — toss-up")</f>
        <v>Yes</v>
      </c>
    </row>
    <row r="115" customFormat="false" ht="15" hidden="false" customHeight="false" outlineLevel="0" collapsed="false">
      <c r="A115" s="9" t="str">
        <f aca="false">'2026 Forecast A'!A43</f>
        <v>Lehigh</v>
      </c>
      <c r="B115" s="9" t="str">
        <f aca="false">'2026 Forecast A'!B43</f>
        <v>HANOVER</v>
      </c>
      <c r="C115" s="9" t="str">
        <f aca="false">'2026 Forecast A'!C43</f>
        <v>(whole municipality)</v>
      </c>
      <c r="D115" s="10" t="n">
        <f aca="false">'2026 Forecast A'!G43</f>
        <v>0.543388429752066</v>
      </c>
      <c r="E115" s="10" t="n">
        <f aca="false">'2026 Forecast B'!G43</f>
        <v>0.545454545454545</v>
      </c>
      <c r="F115" s="10" t="n">
        <f aca="false">'2026 Forecast C'!G43</f>
        <v>0.545454545454545</v>
      </c>
      <c r="G115" s="45" t="n">
        <f aca="false">(MAX(D115:F115)-MIN(D115:F115))*100</f>
        <v>0.206611570247928</v>
      </c>
      <c r="H115" s="46" t="n">
        <f aca="false">'2026 Forecast A'!L43</f>
        <v>3.10177225952004</v>
      </c>
      <c r="I115" s="46" t="n">
        <f aca="false">'2026 Forecast B'!L43</f>
        <v>3.01886595295714</v>
      </c>
      <c r="J115" s="46" t="n">
        <f aca="false">'2026 Forecast C'!L43</f>
        <v>3.27121843302961</v>
      </c>
      <c r="K115" s="18" t="n">
        <f aca="false">'2026 Forecast A'!F43</f>
        <v>484</v>
      </c>
      <c r="L115" s="47" t="str">
        <f aca="false">IF(OR(AND(D115&gt;0.5,E115&gt;0.5,F115&gt;0.5),AND(D115&lt;0.5,E115&lt;0.5,F115&lt;0.5)),"Yes","No — toss-up")</f>
        <v>Yes</v>
      </c>
    </row>
    <row r="116" customFormat="false" ht="15" hidden="false" customHeight="false" outlineLevel="0" collapsed="false">
      <c r="A116" s="9" t="str">
        <f aca="false">'2026 Forecast A'!A44</f>
        <v>Lehigh</v>
      </c>
      <c r="B116" s="9" t="str">
        <f aca="false">'2026 Forecast A'!B44</f>
        <v>HEIDELBERG</v>
      </c>
      <c r="C116" s="9" t="str">
        <f aca="false">'2026 Forecast A'!C44</f>
        <v>(whole municipality)</v>
      </c>
      <c r="D116" s="10" t="n">
        <f aca="false">'2026 Forecast A'!G44</f>
        <v>0.324079662039831</v>
      </c>
      <c r="E116" s="10" t="n">
        <f aca="false">'2026 Forecast B'!G44</f>
        <v>0.325890162945082</v>
      </c>
      <c r="F116" s="10" t="n">
        <f aca="false">'2026 Forecast C'!G44</f>
        <v>0.314423657211829</v>
      </c>
      <c r="G116" s="45" t="n">
        <f aca="false">(MAX(D116:F116)-MIN(D116:F116))*100</f>
        <v>1.14665057332529</v>
      </c>
      <c r="H116" s="46" t="n">
        <f aca="false">'2026 Forecast A'!L44</f>
        <v>1.94807078030819</v>
      </c>
      <c r="I116" s="46" t="n">
        <f aca="false">'2026 Forecast B'!L44</f>
        <v>2.01385263721301</v>
      </c>
      <c r="J116" s="46" t="n">
        <f aca="false">'2026 Forecast C'!L44</f>
        <v>2.34842085953994</v>
      </c>
      <c r="K116" s="18" t="n">
        <f aca="false">'2026 Forecast A'!F44</f>
        <v>1657</v>
      </c>
      <c r="L116" s="47" t="str">
        <f aca="false">IF(OR(AND(D116&gt;0.5,E116&gt;0.5,F116&gt;0.5),AND(D116&lt;0.5,E116&lt;0.5,F116&lt;0.5)),"Yes","No — toss-up")</f>
        <v>Yes</v>
      </c>
    </row>
    <row r="117" customFormat="false" ht="15" hidden="false" customHeight="false" outlineLevel="0" collapsed="false">
      <c r="A117" s="9" t="str">
        <f aca="false">'2026 Forecast A'!A45</f>
        <v>Lehigh</v>
      </c>
      <c r="B117" s="9" t="str">
        <f aca="false">'2026 Forecast A'!B45</f>
        <v>LOWER MACUNGIE</v>
      </c>
      <c r="C117" s="9" t="str">
        <f aca="false">'2026 Forecast A'!C45</f>
        <v>(whole municipality)</v>
      </c>
      <c r="D117" s="10" t="n">
        <f aca="false">'2026 Forecast A'!G45</f>
        <v>0.509947964493419</v>
      </c>
      <c r="E117" s="10" t="n">
        <f aca="false">'2026 Forecast B'!G45</f>
        <v>0.509886746250383</v>
      </c>
      <c r="F117" s="10" t="n">
        <f aca="false">'2026 Forecast C'!G45</f>
        <v>0.50805019895929</v>
      </c>
      <c r="G117" s="45" t="n">
        <f aca="false">(MAX(D117:F117)-MIN(D117:F117))*100</f>
        <v>0.189776553412924</v>
      </c>
      <c r="H117" s="46" t="n">
        <f aca="false">'2026 Forecast A'!L45</f>
        <v>2.02826267851162</v>
      </c>
      <c r="I117" s="46" t="n">
        <f aca="false">'2026 Forecast B'!L45</f>
        <v>1.85739930088792</v>
      </c>
      <c r="J117" s="46" t="n">
        <f aca="false">'2026 Forecast C'!L45</f>
        <v>2.09336791106816</v>
      </c>
      <c r="K117" s="18" t="n">
        <f aca="false">'2026 Forecast A'!F45</f>
        <v>16335</v>
      </c>
      <c r="L117" s="47" t="str">
        <f aca="false">IF(OR(AND(D117&gt;0.5,E117&gt;0.5,F117&gt;0.5),AND(D117&lt;0.5,E117&lt;0.5,F117&lt;0.5)),"Yes","No — toss-up")</f>
        <v>Yes</v>
      </c>
    </row>
    <row r="118" customFormat="false" ht="15" hidden="false" customHeight="false" outlineLevel="0" collapsed="false">
      <c r="A118" s="9" t="str">
        <f aca="false">'2026 Forecast A'!A46</f>
        <v>Lehigh</v>
      </c>
      <c r="B118" s="9" t="str">
        <f aca="false">'2026 Forecast A'!B46</f>
        <v>LOWER MILFORD</v>
      </c>
      <c r="C118" s="9" t="str">
        <f aca="false">'2026 Forecast A'!C46</f>
        <v>(whole municipality)</v>
      </c>
      <c r="D118" s="10" t="n">
        <f aca="false">'2026 Forecast A'!G46</f>
        <v>0.382940108892922</v>
      </c>
      <c r="E118" s="10" t="n">
        <f aca="false">'2026 Forecast B'!G46</f>
        <v>0.383847549909256</v>
      </c>
      <c r="F118" s="10" t="n">
        <f aca="false">'2026 Forecast C'!G46</f>
        <v>0.37431941923775</v>
      </c>
      <c r="G118" s="45" t="n">
        <f aca="false">(MAX(D118:F118)-MIN(D118:F118))*100</f>
        <v>0.952813067150637</v>
      </c>
      <c r="H118" s="46" t="n">
        <f aca="false">'2026 Forecast A'!L46</f>
        <v>1.94807078030819</v>
      </c>
      <c r="I118" s="46" t="n">
        <f aca="false">'2026 Forecast B'!L46</f>
        <v>2.01385263721301</v>
      </c>
      <c r="J118" s="46" t="n">
        <f aca="false">'2026 Forecast C'!L46</f>
        <v>2.34842085953994</v>
      </c>
      <c r="K118" s="18" t="n">
        <f aca="false">'2026 Forecast A'!F46</f>
        <v>2204</v>
      </c>
      <c r="L118" s="47" t="str">
        <f aca="false">IF(OR(AND(D118&gt;0.5,E118&gt;0.5,F118&gt;0.5),AND(D118&lt;0.5,E118&lt;0.5,F118&lt;0.5)),"Yes","No — toss-up")</f>
        <v>Yes</v>
      </c>
    </row>
    <row r="119" customFormat="false" ht="15" hidden="false" customHeight="false" outlineLevel="0" collapsed="false">
      <c r="A119" s="9" t="str">
        <f aca="false">'2026 Forecast A'!A47</f>
        <v>Lehigh</v>
      </c>
      <c r="B119" s="9" t="str">
        <f aca="false">'2026 Forecast A'!B47</f>
        <v>LOWHILL</v>
      </c>
      <c r="C119" s="9" t="str">
        <f aca="false">'2026 Forecast A'!C47</f>
        <v>(whole municipality)</v>
      </c>
      <c r="D119" s="10" t="n">
        <f aca="false">'2026 Forecast A'!G47</f>
        <v>0.364591754244139</v>
      </c>
      <c r="E119" s="10" t="n">
        <f aca="false">'2026 Forecast B'!G47</f>
        <v>0.36944219886823</v>
      </c>
      <c r="F119" s="10" t="n">
        <f aca="false">'2026 Forecast C'!G47</f>
        <v>0.354890864995958</v>
      </c>
      <c r="G119" s="45" t="n">
        <f aca="false">(MAX(D119:F119)-MIN(D119:F119))*100</f>
        <v>1.45513338722716</v>
      </c>
      <c r="H119" s="46" t="n">
        <f aca="false">'2026 Forecast A'!L47</f>
        <v>3.10177225952004</v>
      </c>
      <c r="I119" s="46" t="n">
        <f aca="false">'2026 Forecast B'!L47</f>
        <v>3.01886595295714</v>
      </c>
      <c r="J119" s="46" t="n">
        <f aca="false">'2026 Forecast C'!L47</f>
        <v>3.27121843302961</v>
      </c>
      <c r="K119" s="18" t="n">
        <f aca="false">'2026 Forecast A'!F47</f>
        <v>1237</v>
      </c>
      <c r="L119" s="47" t="str">
        <f aca="false">IF(OR(AND(D119&gt;0.5,E119&gt;0.5,F119&gt;0.5),AND(D119&lt;0.5,E119&lt;0.5,F119&lt;0.5)),"Yes","No — toss-up")</f>
        <v>Yes</v>
      </c>
    </row>
    <row r="120" customFormat="false" ht="15" hidden="false" customHeight="false" outlineLevel="0" collapsed="false">
      <c r="A120" s="9" t="str">
        <f aca="false">'2026 Forecast A'!A48</f>
        <v>Lehigh</v>
      </c>
      <c r="B120" s="9" t="str">
        <f aca="false">'2026 Forecast A'!B48</f>
        <v>LYNN</v>
      </c>
      <c r="C120" s="9" t="str">
        <f aca="false">'2026 Forecast A'!C48</f>
        <v>(whole municipality)</v>
      </c>
      <c r="D120" s="10" t="n">
        <f aca="false">'2026 Forecast A'!G48</f>
        <v>0.320711678832117</v>
      </c>
      <c r="E120" s="10" t="n">
        <f aca="false">'2026 Forecast B'!G48</f>
        <v>0.318886861313869</v>
      </c>
      <c r="F120" s="10" t="n">
        <f aca="false">'2026 Forecast C'!G48</f>
        <v>0.31021897810219</v>
      </c>
      <c r="G120" s="45" t="n">
        <f aca="false">(MAX(D120:F120)-MIN(D120:F120))*100</f>
        <v>1.0492700729927</v>
      </c>
      <c r="H120" s="46" t="n">
        <f aca="false">'2026 Forecast A'!L48</f>
        <v>1.94807078030819</v>
      </c>
      <c r="I120" s="46" t="n">
        <f aca="false">'2026 Forecast B'!L48</f>
        <v>2.01385263721301</v>
      </c>
      <c r="J120" s="46" t="n">
        <f aca="false">'2026 Forecast C'!L48</f>
        <v>2.34842085953994</v>
      </c>
      <c r="K120" s="18" t="n">
        <f aca="false">'2026 Forecast A'!F48</f>
        <v>2192</v>
      </c>
      <c r="L120" s="47" t="str">
        <f aca="false">IF(OR(AND(D120&gt;0.5,E120&gt;0.5,F120&gt;0.5),AND(D120&lt;0.5,E120&lt;0.5,F120&lt;0.5)),"Yes","No — toss-up")</f>
        <v>Yes</v>
      </c>
    </row>
    <row r="121" customFormat="false" ht="15" hidden="false" customHeight="false" outlineLevel="0" collapsed="false">
      <c r="A121" s="9" t="str">
        <f aca="false">'2026 Forecast A'!A49</f>
        <v>Lehigh</v>
      </c>
      <c r="B121" s="9" t="str">
        <f aca="false">'2026 Forecast A'!B49</f>
        <v>MACUNGIE</v>
      </c>
      <c r="C121" s="9" t="str">
        <f aca="false">'2026 Forecast A'!C49</f>
        <v>(whole municipality)</v>
      </c>
      <c r="D121" s="10" t="n">
        <f aca="false">'2026 Forecast A'!G49</f>
        <v>0.53734302709848</v>
      </c>
      <c r="E121" s="10" t="n">
        <f aca="false">'2026 Forecast B'!G49</f>
        <v>0.538664904163913</v>
      </c>
      <c r="F121" s="10" t="n">
        <f aca="false">'2026 Forecast C'!G49</f>
        <v>0.53734302709848</v>
      </c>
      <c r="G121" s="45" t="n">
        <f aca="false">(MAX(D121:F121)-MIN(D121:F121))*100</f>
        <v>0.132187706543296</v>
      </c>
      <c r="H121" s="46" t="n">
        <f aca="false">'2026 Forecast A'!L49</f>
        <v>1.94807078030819</v>
      </c>
      <c r="I121" s="46" t="n">
        <f aca="false">'2026 Forecast B'!L49</f>
        <v>2.01385263721301</v>
      </c>
      <c r="J121" s="46" t="n">
        <f aca="false">'2026 Forecast C'!L49</f>
        <v>2.34842085953994</v>
      </c>
      <c r="K121" s="18" t="n">
        <f aca="false">'2026 Forecast A'!F49</f>
        <v>1513</v>
      </c>
      <c r="L121" s="47" t="str">
        <f aca="false">IF(OR(AND(D121&gt;0.5,E121&gt;0.5,F121&gt;0.5),AND(D121&lt;0.5,E121&lt;0.5,F121&lt;0.5)),"Yes","No — toss-up")</f>
        <v>Yes</v>
      </c>
    </row>
    <row r="122" customFormat="false" ht="15" hidden="false" customHeight="false" outlineLevel="0" collapsed="false">
      <c r="A122" s="9" t="str">
        <f aca="false">'2026 Forecast A'!A50</f>
        <v>Lehigh</v>
      </c>
      <c r="B122" s="9" t="str">
        <f aca="false">'2026 Forecast A'!B50</f>
        <v>NORTH WHITEHALL</v>
      </c>
      <c r="C122" s="9" t="str">
        <f aca="false">'2026 Forecast A'!C50</f>
        <v>(whole municipality)</v>
      </c>
      <c r="D122" s="10" t="n">
        <f aca="false">'2026 Forecast A'!G50</f>
        <v>0.423451943776118</v>
      </c>
      <c r="E122" s="10" t="n">
        <f aca="false">'2026 Forecast B'!G50</f>
        <v>0.414461187792833</v>
      </c>
      <c r="F122" s="10" t="n">
        <f aca="false">'2026 Forecast C'!G50</f>
        <v>0.418386729137647</v>
      </c>
      <c r="G122" s="45" t="n">
        <f aca="false">(MAX(D122:F122)-MIN(D122:F122))*100</f>
        <v>0.89907559832848</v>
      </c>
      <c r="H122" s="46" t="n">
        <f aca="false">'2026 Forecast A'!L50</f>
        <v>2.02826267851162</v>
      </c>
      <c r="I122" s="46" t="n">
        <f aca="false">'2026 Forecast B'!L50</f>
        <v>1.85739930088792</v>
      </c>
      <c r="J122" s="46" t="n">
        <f aca="false">'2026 Forecast C'!L50</f>
        <v>2.09336791106816</v>
      </c>
      <c r="K122" s="18" t="n">
        <f aca="false">'2026 Forecast A'!F50</f>
        <v>7897</v>
      </c>
      <c r="L122" s="47" t="str">
        <f aca="false">IF(OR(AND(D122&gt;0.5,E122&gt;0.5,F122&gt;0.5),AND(D122&lt;0.5,E122&lt;0.5,F122&lt;0.5)),"Yes","No — toss-up")</f>
        <v>Yes</v>
      </c>
    </row>
    <row r="123" customFormat="false" ht="15" hidden="false" customHeight="false" outlineLevel="0" collapsed="false">
      <c r="A123" s="9" t="str">
        <f aca="false">'2026 Forecast A'!A51</f>
        <v>Lehigh</v>
      </c>
      <c r="B123" s="9" t="str">
        <f aca="false">'2026 Forecast A'!B51</f>
        <v>SALISBURY</v>
      </c>
      <c r="C123" s="9" t="str">
        <f aca="false">'2026 Forecast A'!C51</f>
        <v>(whole municipality)</v>
      </c>
      <c r="D123" s="10" t="n">
        <f aca="false">'2026 Forecast A'!G51</f>
        <v>0.50606531881804</v>
      </c>
      <c r="E123" s="10" t="n">
        <f aca="false">'2026 Forecast B'!G51</f>
        <v>0.506531881804044</v>
      </c>
      <c r="F123" s="10" t="n">
        <f aca="false">'2026 Forecast C'!G51</f>
        <v>0.504665629860031</v>
      </c>
      <c r="G123" s="45" t="n">
        <f aca="false">(MAX(D123:F123)-MIN(D123:F123))*100</f>
        <v>0.186625194401246</v>
      </c>
      <c r="H123" s="46" t="n">
        <f aca="false">'2026 Forecast A'!L51</f>
        <v>2.02826267851162</v>
      </c>
      <c r="I123" s="46" t="n">
        <f aca="false">'2026 Forecast B'!L51</f>
        <v>1.85739930088792</v>
      </c>
      <c r="J123" s="46" t="n">
        <f aca="false">'2026 Forecast C'!L51</f>
        <v>2.09336791106816</v>
      </c>
      <c r="K123" s="18" t="n">
        <f aca="false">'2026 Forecast A'!F51</f>
        <v>6430</v>
      </c>
      <c r="L123" s="47" t="str">
        <f aca="false">IF(OR(AND(D123&gt;0.5,E123&gt;0.5,F123&gt;0.5),AND(D123&lt;0.5,E123&lt;0.5,F123&lt;0.5)),"Yes","No — toss-up")</f>
        <v>Yes</v>
      </c>
    </row>
    <row r="124" customFormat="false" ht="15" hidden="false" customHeight="false" outlineLevel="0" collapsed="false">
      <c r="A124" s="9" t="str">
        <f aca="false">'2026 Forecast A'!A52</f>
        <v>Lehigh</v>
      </c>
      <c r="B124" s="9" t="str">
        <f aca="false">'2026 Forecast A'!B52</f>
        <v>SLATINGTON</v>
      </c>
      <c r="C124" s="9" t="str">
        <f aca="false">'2026 Forecast A'!C52</f>
        <v>(whole municipality)</v>
      </c>
      <c r="D124" s="10" t="n">
        <f aca="false">'2026 Forecast A'!G52</f>
        <v>0.428057553956835</v>
      </c>
      <c r="E124" s="10" t="n">
        <f aca="false">'2026 Forecast B'!G52</f>
        <v>0.433093525179856</v>
      </c>
      <c r="F124" s="10" t="n">
        <f aca="false">'2026 Forecast C'!G52</f>
        <v>0.425179856115108</v>
      </c>
      <c r="G124" s="45" t="n">
        <f aca="false">(MAX(D124:F124)-MIN(D124:F124))*100</f>
        <v>0.791366906474822</v>
      </c>
      <c r="H124" s="46" t="n">
        <f aca="false">'2026 Forecast A'!L52</f>
        <v>1.94807078030819</v>
      </c>
      <c r="I124" s="46" t="n">
        <f aca="false">'2026 Forecast B'!L52</f>
        <v>2.01385263721301</v>
      </c>
      <c r="J124" s="46" t="n">
        <f aca="false">'2026 Forecast C'!L52</f>
        <v>2.34842085953994</v>
      </c>
      <c r="K124" s="18" t="n">
        <f aca="false">'2026 Forecast A'!F52</f>
        <v>1390</v>
      </c>
      <c r="L124" s="47" t="str">
        <f aca="false">IF(OR(AND(D124&gt;0.5,E124&gt;0.5,F124&gt;0.5),AND(D124&lt;0.5,E124&lt;0.5,F124&lt;0.5)),"Yes","No — toss-up")</f>
        <v>Yes</v>
      </c>
    </row>
    <row r="125" customFormat="false" ht="15" hidden="false" customHeight="false" outlineLevel="0" collapsed="false">
      <c r="A125" s="9" t="str">
        <f aca="false">'2026 Forecast A'!A53</f>
        <v>Lehigh</v>
      </c>
      <c r="B125" s="9" t="str">
        <f aca="false">'2026 Forecast A'!B53</f>
        <v>SOUTH WHITEHALL</v>
      </c>
      <c r="C125" s="9" t="str">
        <f aca="false">'2026 Forecast A'!C53</f>
        <v>(whole municipality)</v>
      </c>
      <c r="D125" s="10" t="n">
        <f aca="false">'2026 Forecast A'!G53</f>
        <v>0.540339500286096</v>
      </c>
      <c r="E125" s="10" t="n">
        <f aca="false">'2026 Forecast B'!G53</f>
        <v>0.54596604997139</v>
      </c>
      <c r="F125" s="10" t="n">
        <f aca="false">'2026 Forecast C'!G53</f>
        <v>0.541674613770742</v>
      </c>
      <c r="G125" s="45" t="n">
        <f aca="false">(MAX(D125:F125)-MIN(D125:F125))*100</f>
        <v>0.562654968529464</v>
      </c>
      <c r="H125" s="46" t="n">
        <f aca="false">'2026 Forecast A'!L53</f>
        <v>2.02826267851162</v>
      </c>
      <c r="I125" s="46" t="n">
        <f aca="false">'2026 Forecast B'!L53</f>
        <v>1.85739930088792</v>
      </c>
      <c r="J125" s="46" t="n">
        <f aca="false">'2026 Forecast C'!L53</f>
        <v>2.09336791106816</v>
      </c>
      <c r="K125" s="18" t="n">
        <f aca="false">'2026 Forecast A'!F53</f>
        <v>10486</v>
      </c>
      <c r="L125" s="47" t="str">
        <f aca="false">IF(OR(AND(D125&gt;0.5,E125&gt;0.5,F125&gt;0.5),AND(D125&lt;0.5,E125&lt;0.5,F125&lt;0.5)),"Yes","No — toss-up")</f>
        <v>Yes</v>
      </c>
    </row>
    <row r="126" customFormat="false" ht="15" hidden="false" customHeight="false" outlineLevel="0" collapsed="false">
      <c r="A126" s="9" t="str">
        <f aca="false">'2026 Forecast A'!A54</f>
        <v>Lehigh</v>
      </c>
      <c r="B126" s="9" t="str">
        <f aca="false">'2026 Forecast A'!B54</f>
        <v>UPPER MACUNGIE</v>
      </c>
      <c r="C126" s="9" t="str">
        <f aca="false">'2026 Forecast A'!C54</f>
        <v>(whole municipality)</v>
      </c>
      <c r="D126" s="10" t="n">
        <f aca="false">'2026 Forecast A'!G54</f>
        <v>0.523607647547797</v>
      </c>
      <c r="E126" s="10" t="n">
        <f aca="false">'2026 Forecast B'!G54</f>
        <v>0.523524522028263</v>
      </c>
      <c r="F126" s="10" t="n">
        <f aca="false">'2026 Forecast C'!G54</f>
        <v>0.523773898586866</v>
      </c>
      <c r="G126" s="45" t="n">
        <f aca="false">(MAX(D126:F126)-MIN(D126:F126))*100</f>
        <v>0.0249376558603465</v>
      </c>
      <c r="H126" s="46" t="n">
        <f aca="false">'2026 Forecast A'!L54</f>
        <v>2.02826267851162</v>
      </c>
      <c r="I126" s="46" t="n">
        <f aca="false">'2026 Forecast B'!L54</f>
        <v>1.85739930088792</v>
      </c>
      <c r="J126" s="46" t="n">
        <f aca="false">'2026 Forecast C'!L54</f>
        <v>2.09336791106816</v>
      </c>
      <c r="K126" s="18" t="n">
        <f aca="false">'2026 Forecast A'!F54</f>
        <v>12030</v>
      </c>
      <c r="L126" s="47" t="str">
        <f aca="false">IF(OR(AND(D126&gt;0.5,E126&gt;0.5,F126&gt;0.5),AND(D126&lt;0.5,E126&lt;0.5,F126&lt;0.5)),"Yes","No — toss-up")</f>
        <v>Yes</v>
      </c>
    </row>
    <row r="127" customFormat="false" ht="15" hidden="false" customHeight="false" outlineLevel="0" collapsed="false">
      <c r="A127" s="9" t="str">
        <f aca="false">'2026 Forecast A'!A55</f>
        <v>Lehigh</v>
      </c>
      <c r="B127" s="9" t="str">
        <f aca="false">'2026 Forecast A'!B55</f>
        <v>UPPER MILFORD</v>
      </c>
      <c r="C127" s="9" t="str">
        <f aca="false">'2026 Forecast A'!C55</f>
        <v>(whole municipality)</v>
      </c>
      <c r="D127" s="10" t="n">
        <f aca="false">'2026 Forecast A'!G55</f>
        <v>0.44234937147811</v>
      </c>
      <c r="E127" s="10" t="n">
        <f aca="false">'2026 Forecast B'!G55</f>
        <v>0.43541395752059</v>
      </c>
      <c r="F127" s="10" t="n">
        <f aca="false">'2026 Forecast C'!G55</f>
        <v>0.43714781100997</v>
      </c>
      <c r="G127" s="45" t="n">
        <f aca="false">(MAX(D127:F127)-MIN(D127:F127))*100</f>
        <v>0.693541395752056</v>
      </c>
      <c r="H127" s="46" t="n">
        <f aca="false">'2026 Forecast A'!L55</f>
        <v>2.02826267851162</v>
      </c>
      <c r="I127" s="46" t="n">
        <f aca="false">'2026 Forecast B'!L55</f>
        <v>1.85739930088792</v>
      </c>
      <c r="J127" s="46" t="n">
        <f aca="false">'2026 Forecast C'!L55</f>
        <v>2.09336791106816</v>
      </c>
      <c r="K127" s="18" t="n">
        <f aca="false">'2026 Forecast A'!F55</f>
        <v>4614</v>
      </c>
      <c r="L127" s="47" t="str">
        <f aca="false">IF(OR(AND(D127&gt;0.5,E127&gt;0.5,F127&gt;0.5),AND(D127&lt;0.5,E127&lt;0.5,F127&lt;0.5)),"Yes","No — toss-up")</f>
        <v>Yes</v>
      </c>
    </row>
    <row r="128" customFormat="false" ht="15" hidden="false" customHeight="false" outlineLevel="0" collapsed="false">
      <c r="A128" s="9" t="str">
        <f aca="false">'2026 Forecast A'!A56</f>
        <v>Lehigh</v>
      </c>
      <c r="B128" s="9" t="str">
        <f aca="false">'2026 Forecast A'!B56</f>
        <v>UPPER SAUCON</v>
      </c>
      <c r="C128" s="9" t="str">
        <f aca="false">'2026 Forecast A'!C56</f>
        <v>(whole municipality)</v>
      </c>
      <c r="D128" s="10" t="n">
        <f aca="false">'2026 Forecast A'!G56</f>
        <v>0.495826198630137</v>
      </c>
      <c r="E128" s="10" t="n">
        <f aca="false">'2026 Forecast B'!G56</f>
        <v>0.492829623287671</v>
      </c>
      <c r="F128" s="10" t="n">
        <f aca="false">'2026 Forecast C'!G56</f>
        <v>0.493257705479452</v>
      </c>
      <c r="G128" s="45" t="n">
        <f aca="false">(MAX(D128:F128)-MIN(D128:F128))*100</f>
        <v>0.299657534246578</v>
      </c>
      <c r="H128" s="46" t="n">
        <f aca="false">'2026 Forecast A'!L56</f>
        <v>2.02826267851162</v>
      </c>
      <c r="I128" s="46" t="n">
        <f aca="false">'2026 Forecast B'!L56</f>
        <v>1.85739930088792</v>
      </c>
      <c r="J128" s="46" t="n">
        <f aca="false">'2026 Forecast C'!L56</f>
        <v>2.09336791106816</v>
      </c>
      <c r="K128" s="18" t="n">
        <f aca="false">'2026 Forecast A'!F56</f>
        <v>9344</v>
      </c>
      <c r="L128" s="47" t="str">
        <f aca="false">IF(OR(AND(D128&gt;0.5,E128&gt;0.5,F128&gt;0.5),AND(D128&lt;0.5,E128&lt;0.5,F128&lt;0.5)),"Yes","No — toss-up")</f>
        <v>Yes</v>
      </c>
    </row>
    <row r="129" customFormat="false" ht="15" hidden="false" customHeight="false" outlineLevel="0" collapsed="false">
      <c r="A129" s="9" t="str">
        <f aca="false">'2026 Forecast A'!A57</f>
        <v>Lehigh</v>
      </c>
      <c r="B129" s="9" t="str">
        <f aca="false">'2026 Forecast A'!B57</f>
        <v>WASHINGTON</v>
      </c>
      <c r="C129" s="9" t="str">
        <f aca="false">'2026 Forecast A'!C57</f>
        <v>(whole municipality)</v>
      </c>
      <c r="D129" s="10" t="n">
        <f aca="false">'2026 Forecast A'!G57</f>
        <v>0.341604898485337</v>
      </c>
      <c r="E129" s="10" t="n">
        <f aca="false">'2026 Forecast B'!G57</f>
        <v>0.341604898485337</v>
      </c>
      <c r="F129" s="10" t="n">
        <f aca="false">'2026 Forecast C'!G57</f>
        <v>0.331936835320657</v>
      </c>
      <c r="G129" s="45" t="n">
        <f aca="false">(MAX(D129:F129)-MIN(D129:F129))*100</f>
        <v>0.966806316467933</v>
      </c>
      <c r="H129" s="46" t="n">
        <f aca="false">'2026 Forecast A'!L57</f>
        <v>2.02826267851162</v>
      </c>
      <c r="I129" s="46" t="n">
        <f aca="false">'2026 Forecast B'!L57</f>
        <v>1.85739930088792</v>
      </c>
      <c r="J129" s="46" t="n">
        <f aca="false">'2026 Forecast C'!L57</f>
        <v>2.09336791106816</v>
      </c>
      <c r="K129" s="18" t="n">
        <f aca="false">'2026 Forecast A'!F57</f>
        <v>3103</v>
      </c>
      <c r="L129" s="47" t="str">
        <f aca="false">IF(OR(AND(D129&gt;0.5,E129&gt;0.5,F129&gt;0.5),AND(D129&lt;0.5,E129&lt;0.5,F129&lt;0.5)),"Yes","No — toss-up")</f>
        <v>Yes</v>
      </c>
    </row>
    <row r="130" customFormat="false" ht="15" hidden="false" customHeight="false" outlineLevel="0" collapsed="false">
      <c r="A130" s="9" t="str">
        <f aca="false">'2026 Forecast A'!A58</f>
        <v>Lehigh</v>
      </c>
      <c r="B130" s="9" t="str">
        <f aca="false">'2026 Forecast A'!B58</f>
        <v>WEISENBERG</v>
      </c>
      <c r="C130" s="9" t="str">
        <f aca="false">'2026 Forecast A'!C58</f>
        <v>(whole municipality)</v>
      </c>
      <c r="D130" s="10" t="n">
        <f aca="false">'2026 Forecast A'!G58</f>
        <v>0.357299270072993</v>
      </c>
      <c r="E130" s="10" t="n">
        <f aca="false">'2026 Forecast B'!G58</f>
        <v>0.363138686131387</v>
      </c>
      <c r="F130" s="10" t="n">
        <f aca="false">'2026 Forecast C'!G58</f>
        <v>0.347810218978102</v>
      </c>
      <c r="G130" s="45" t="n">
        <f aca="false">(MAX(D130:F130)-MIN(D130:F130))*100</f>
        <v>1.53284671532846</v>
      </c>
      <c r="H130" s="46" t="n">
        <f aca="false">'2026 Forecast A'!L58</f>
        <v>1.94807078030819</v>
      </c>
      <c r="I130" s="46" t="n">
        <f aca="false">'2026 Forecast B'!L58</f>
        <v>2.01385263721301</v>
      </c>
      <c r="J130" s="46" t="n">
        <f aca="false">'2026 Forecast C'!L58</f>
        <v>2.34842085953994</v>
      </c>
      <c r="K130" s="18" t="n">
        <f aca="false">'2026 Forecast A'!F58</f>
        <v>2740</v>
      </c>
      <c r="L130" s="47" t="str">
        <f aca="false">IF(OR(AND(D130&gt;0.5,E130&gt;0.5,F130&gt;0.5),AND(D130&lt;0.5,E130&lt;0.5,F130&lt;0.5)),"Yes","No — toss-up")</f>
        <v>Yes</v>
      </c>
    </row>
    <row r="131" customFormat="false" ht="15" hidden="false" customHeight="false" outlineLevel="0" collapsed="false">
      <c r="A131" s="9" t="str">
        <f aca="false">'2026 Forecast A'!A59</f>
        <v>Lehigh</v>
      </c>
      <c r="B131" s="9" t="str">
        <f aca="false">'2026 Forecast A'!B59</f>
        <v>WHITEHALL</v>
      </c>
      <c r="C131" s="9" t="str">
        <f aca="false">'2026 Forecast A'!C59</f>
        <v>(whole municipality)</v>
      </c>
      <c r="D131" s="10" t="n">
        <f aca="false">'2026 Forecast A'!G59</f>
        <v>0.523514851485149</v>
      </c>
      <c r="E131" s="10" t="n">
        <f aca="false">'2026 Forecast B'!G59</f>
        <v>0.521230007616146</v>
      </c>
      <c r="F131" s="10" t="n">
        <f aca="false">'2026 Forecast C'!G59</f>
        <v>0.524276466108149</v>
      </c>
      <c r="G131" s="45" t="n">
        <f aca="false">(MAX(D131:F131)-MIN(D131:F131))*100</f>
        <v>0.304645849200302</v>
      </c>
      <c r="H131" s="46" t="n">
        <f aca="false">'2026 Forecast A'!L59</f>
        <v>2.02826267851162</v>
      </c>
      <c r="I131" s="46" t="n">
        <f aca="false">'2026 Forecast B'!L59</f>
        <v>1.85739930088792</v>
      </c>
      <c r="J131" s="46" t="n">
        <f aca="false">'2026 Forecast C'!L59</f>
        <v>2.09336791106816</v>
      </c>
      <c r="K131" s="18" t="n">
        <f aca="false">'2026 Forecast A'!F59</f>
        <v>10504</v>
      </c>
      <c r="L131" s="47" t="str">
        <f aca="false">IF(OR(AND(D131&gt;0.5,E131&gt;0.5,F131&gt;0.5),AND(D131&lt;0.5,E131&lt;0.5,F131&lt;0.5)),"Yes","No — toss-up")</f>
        <v>Yes</v>
      </c>
    </row>
    <row r="132" customFormat="false" ht="15" hidden="false" customHeight="false" outlineLevel="0" collapsed="false">
      <c r="A132" s="9" t="str">
        <f aca="false">'2026 Forecast A'!A60</f>
        <v>Monroe</v>
      </c>
      <c r="B132" s="9" t="str">
        <f aca="false">'2026 Forecast A'!B60</f>
        <v>ELDRED TOWNSHIP</v>
      </c>
      <c r="C132" s="9" t="str">
        <f aca="false">'2026 Forecast A'!C60</f>
        <v>(whole municipality)</v>
      </c>
      <c r="D132" s="10" t="n">
        <f aca="false">'2026 Forecast A'!G60</f>
        <v>0.303889789303079</v>
      </c>
      <c r="E132" s="10" t="n">
        <f aca="false">'2026 Forecast B'!G60</f>
        <v>0.303079416531605</v>
      </c>
      <c r="F132" s="10" t="n">
        <f aca="false">'2026 Forecast C'!G60</f>
        <v>0.293354943273906</v>
      </c>
      <c r="G132" s="45" t="n">
        <f aca="false">(MAX(D132:F132)-MIN(D132:F132))*100</f>
        <v>1.05348460291734</v>
      </c>
      <c r="H132" s="46" t="n">
        <f aca="false">'2026 Forecast A'!L60</f>
        <v>3.10177225952004</v>
      </c>
      <c r="I132" s="46" t="n">
        <f aca="false">'2026 Forecast B'!L60</f>
        <v>3.01886595295714</v>
      </c>
      <c r="J132" s="46" t="n">
        <f aca="false">'2026 Forecast C'!L60</f>
        <v>3.27121843302961</v>
      </c>
      <c r="K132" s="18" t="n">
        <f aca="false">'2026 Forecast A'!F60</f>
        <v>1234</v>
      </c>
      <c r="L132" s="47" t="str">
        <f aca="false">IF(OR(AND(D132&gt;0.5,E132&gt;0.5,F132&gt;0.5),AND(D132&lt;0.5,E132&lt;0.5,F132&lt;0.5)),"Yes","No — toss-up")</f>
        <v>Yes</v>
      </c>
    </row>
    <row r="133" customFormat="false" ht="15" hidden="false" customHeight="false" outlineLevel="0" collapsed="false">
      <c r="A133" s="9" t="str">
        <f aca="false">'2026 Forecast A'!A61</f>
        <v>Monroe</v>
      </c>
      <c r="B133" s="9" t="str">
        <f aca="false">'2026 Forecast A'!B61</f>
        <v>POLK TOWNSHIP</v>
      </c>
      <c r="C133" s="9" t="str">
        <f aca="false">'2026 Forecast A'!C61</f>
        <v>(whole municipality)</v>
      </c>
      <c r="D133" s="10" t="n">
        <f aca="false">'2026 Forecast A'!G61</f>
        <v>0.341904761904762</v>
      </c>
      <c r="E133" s="10" t="n">
        <f aca="false">'2026 Forecast B'!G61</f>
        <v>0.344126984126984</v>
      </c>
      <c r="F133" s="10" t="n">
        <f aca="false">'2026 Forecast C'!G61</f>
        <v>0.332698412698413</v>
      </c>
      <c r="G133" s="45" t="n">
        <f aca="false">(MAX(D133:F133)-MIN(D133:F133))*100</f>
        <v>1.14285714285714</v>
      </c>
      <c r="H133" s="46" t="n">
        <f aca="false">'2026 Forecast A'!L61</f>
        <v>2.02826267851162</v>
      </c>
      <c r="I133" s="46" t="n">
        <f aca="false">'2026 Forecast B'!L61</f>
        <v>1.85739930088792</v>
      </c>
      <c r="J133" s="46" t="n">
        <f aca="false">'2026 Forecast C'!L61</f>
        <v>2.09336791106816</v>
      </c>
      <c r="K133" s="18" t="n">
        <f aca="false">'2026 Forecast A'!F61</f>
        <v>3150</v>
      </c>
      <c r="L133" s="47" t="str">
        <f aca="false">IF(OR(AND(D133&gt;0.5,E133&gt;0.5,F133&gt;0.5),AND(D133&lt;0.5,E133&lt;0.5,F133&lt;0.5)),"Yes","No — toss-up")</f>
        <v>Yes</v>
      </c>
    </row>
    <row r="134" customFormat="false" ht="15" hidden="false" customHeight="false" outlineLevel="0" collapsed="false">
      <c r="A134" s="9" t="str">
        <f aca="false">'2026 Forecast A'!A62</f>
        <v>Monroe</v>
      </c>
      <c r="B134" s="9" t="str">
        <f aca="false">'2026 Forecast A'!B62</f>
        <v>ROSS TOWNSHIP</v>
      </c>
      <c r="C134" s="9" t="str">
        <f aca="false">'2026 Forecast A'!C62</f>
        <v>(whole municipality)</v>
      </c>
      <c r="D134" s="10" t="n">
        <f aca="false">'2026 Forecast A'!G62</f>
        <v>0.340734415029889</v>
      </c>
      <c r="E134" s="10" t="n">
        <f aca="false">'2026 Forecast B'!G62</f>
        <v>0.338172502134927</v>
      </c>
      <c r="F134" s="10" t="n">
        <f aca="false">'2026 Forecast C'!G62</f>
        <v>0.330486763450043</v>
      </c>
      <c r="G134" s="45" t="n">
        <f aca="false">(MAX(D134:F134)-MIN(D134:F134))*100</f>
        <v>1.02476515798463</v>
      </c>
      <c r="H134" s="46" t="n">
        <f aca="false">'2026 Forecast A'!L62</f>
        <v>3.10177225952004</v>
      </c>
      <c r="I134" s="46" t="n">
        <f aca="false">'2026 Forecast B'!L62</f>
        <v>3.01886595295714</v>
      </c>
      <c r="J134" s="46" t="n">
        <f aca="false">'2026 Forecast C'!L62</f>
        <v>3.27121843302961</v>
      </c>
      <c r="K134" s="18" t="n">
        <f aca="false">'2026 Forecast A'!F62</f>
        <v>1171</v>
      </c>
      <c r="L134" s="47" t="str">
        <f aca="false">IF(OR(AND(D134&gt;0.5,E134&gt;0.5,F134&gt;0.5),AND(D134&lt;0.5,E134&lt;0.5,F134&lt;0.5)),"Yes","No — toss-up")</f>
        <v>Yes</v>
      </c>
    </row>
    <row r="135" customFormat="false" ht="15" hidden="false" customHeight="false" outlineLevel="0" collapsed="false">
      <c r="A135" s="9" t="str">
        <f aca="false">'2026 Forecast A'!A63</f>
        <v>Northampton</v>
      </c>
      <c r="B135" s="9" t="str">
        <f aca="false">'2026 Forecast A'!B63</f>
        <v>ALLEN</v>
      </c>
      <c r="C135" s="9" t="str">
        <f aca="false">'2026 Forecast A'!C63</f>
        <v>(whole municipality)</v>
      </c>
      <c r="D135" s="10" t="n">
        <f aca="false">'2026 Forecast A'!G63</f>
        <v>0.438123383819727</v>
      </c>
      <c r="E135" s="10" t="n">
        <f aca="false">'2026 Forecast B'!G63</f>
        <v>0.436645733284078</v>
      </c>
      <c r="F135" s="10" t="n">
        <f aca="false">'2026 Forecast C'!G63</f>
        <v>0.436276320650166</v>
      </c>
      <c r="G135" s="45" t="n">
        <f aca="false">(MAX(D135:F135)-MIN(D135:F135))*100</f>
        <v>0.18470631695604</v>
      </c>
      <c r="H135" s="46" t="n">
        <f aca="false">'2026 Forecast A'!L63</f>
        <v>1.94807078030819</v>
      </c>
      <c r="I135" s="46" t="n">
        <f aca="false">'2026 Forecast B'!L63</f>
        <v>2.01385263721301</v>
      </c>
      <c r="J135" s="46" t="n">
        <f aca="false">'2026 Forecast C'!L63</f>
        <v>2.34842085953994</v>
      </c>
      <c r="K135" s="18" t="n">
        <f aca="false">'2026 Forecast A'!F63</f>
        <v>2707</v>
      </c>
      <c r="L135" s="47" t="str">
        <f aca="false">IF(OR(AND(D135&gt;0.5,E135&gt;0.5,F135&gt;0.5),AND(D135&lt;0.5,E135&lt;0.5,F135&lt;0.5)),"Yes","No — toss-up")</f>
        <v>Yes</v>
      </c>
    </row>
    <row r="136" customFormat="false" ht="15" hidden="false" customHeight="false" outlineLevel="0" collapsed="false">
      <c r="A136" s="9" t="str">
        <f aca="false">'2026 Forecast A'!A64</f>
        <v>Northampton</v>
      </c>
      <c r="B136" s="9" t="str">
        <f aca="false">'2026 Forecast A'!B64</f>
        <v>BANGOR</v>
      </c>
      <c r="C136" s="9" t="str">
        <f aca="false">'2026 Forecast A'!C64</f>
        <v>(whole municipality)</v>
      </c>
      <c r="D136" s="10" t="n">
        <f aca="false">'2026 Forecast A'!G64</f>
        <v>0.421800947867299</v>
      </c>
      <c r="E136" s="10" t="n">
        <f aca="false">'2026 Forecast B'!G64</f>
        <v>0.42239336492891</v>
      </c>
      <c r="F136" s="10" t="n">
        <f aca="false">'2026 Forecast C'!G64</f>
        <v>0.417654028436019</v>
      </c>
      <c r="G136" s="45" t="n">
        <f aca="false">(MAX(D136:F136)-MIN(D136:F136))*100</f>
        <v>0.473933649289099</v>
      </c>
      <c r="H136" s="46" t="n">
        <f aca="false">'2026 Forecast A'!L64</f>
        <v>1.94807078030819</v>
      </c>
      <c r="I136" s="46" t="n">
        <f aca="false">'2026 Forecast B'!L64</f>
        <v>2.01385263721301</v>
      </c>
      <c r="J136" s="46" t="n">
        <f aca="false">'2026 Forecast C'!L64</f>
        <v>2.34842085953994</v>
      </c>
      <c r="K136" s="18" t="n">
        <f aca="false">'2026 Forecast A'!F64</f>
        <v>1688</v>
      </c>
      <c r="L136" s="47" t="str">
        <f aca="false">IF(OR(AND(D136&gt;0.5,E136&gt;0.5,F136&gt;0.5),AND(D136&lt;0.5,E136&lt;0.5,F136&lt;0.5)),"Yes","No — toss-up")</f>
        <v>Yes</v>
      </c>
    </row>
    <row r="137" customFormat="false" ht="15" hidden="false" customHeight="false" outlineLevel="0" collapsed="false">
      <c r="A137" s="9" t="str">
        <f aca="false">'2026 Forecast A'!A65</f>
        <v>Northampton</v>
      </c>
      <c r="B137" s="9" t="str">
        <f aca="false">'2026 Forecast A'!B65</f>
        <v>BATH</v>
      </c>
      <c r="C137" s="9" t="str">
        <f aca="false">'2026 Forecast A'!C65</f>
        <v>(whole municipality)</v>
      </c>
      <c r="D137" s="10" t="n">
        <f aca="false">'2026 Forecast A'!G65</f>
        <v>0.473425196850394</v>
      </c>
      <c r="E137" s="10" t="n">
        <f aca="false">'2026 Forecast B'!G65</f>
        <v>0.475393700787402</v>
      </c>
      <c r="F137" s="10" t="n">
        <f aca="false">'2026 Forecast C'!G65</f>
        <v>0.470472440944882</v>
      </c>
      <c r="G137" s="45" t="n">
        <f aca="false">(MAX(D137:F137)-MIN(D137:F137))*100</f>
        <v>0.492125984251968</v>
      </c>
      <c r="H137" s="46" t="n">
        <f aca="false">'2026 Forecast A'!L65</f>
        <v>3.10177225952004</v>
      </c>
      <c r="I137" s="46" t="n">
        <f aca="false">'2026 Forecast B'!L65</f>
        <v>3.01886595295714</v>
      </c>
      <c r="J137" s="46" t="n">
        <f aca="false">'2026 Forecast C'!L65</f>
        <v>3.27121843302961</v>
      </c>
      <c r="K137" s="18" t="n">
        <f aca="false">'2026 Forecast A'!F65</f>
        <v>1016</v>
      </c>
      <c r="L137" s="47" t="str">
        <f aca="false">IF(OR(AND(D137&gt;0.5,E137&gt;0.5,F137&gt;0.5),AND(D137&lt;0.5,E137&lt;0.5,F137&lt;0.5)),"Yes","No — toss-up")</f>
        <v>Yes</v>
      </c>
    </row>
    <row r="138" customFormat="false" ht="15" hidden="false" customHeight="false" outlineLevel="0" collapsed="false">
      <c r="A138" s="9" t="str">
        <f aca="false">'2026 Forecast A'!A66</f>
        <v>Northampton</v>
      </c>
      <c r="B138" s="9" t="str">
        <f aca="false">'2026 Forecast A'!B66</f>
        <v>BETHLEHEM</v>
      </c>
      <c r="C138" s="9" t="str">
        <f aca="false">'2026 Forecast A'!C66</f>
        <v>(whole municipality)</v>
      </c>
      <c r="D138" s="10" t="n">
        <f aca="false">'2026 Forecast A'!G66</f>
        <v>0.670988825637782</v>
      </c>
      <c r="E138" s="10" t="n">
        <f aca="false">'2026 Forecast B'!G66</f>
        <v>0.672675521821632</v>
      </c>
      <c r="F138" s="10" t="n">
        <f aca="false">'2026 Forecast C'!G66</f>
        <v>0.685273033944761</v>
      </c>
      <c r="G138" s="45" t="n">
        <f aca="false">(MAX(D138:F138)-MIN(D138:F138))*100</f>
        <v>1.42842083069787</v>
      </c>
      <c r="H138" s="46" t="n">
        <f aca="false">'2026 Forecast A'!L66</f>
        <v>2.02826267851162</v>
      </c>
      <c r="I138" s="46" t="n">
        <f aca="false">'2026 Forecast B'!L66</f>
        <v>1.85739930088792</v>
      </c>
      <c r="J138" s="46" t="n">
        <f aca="false">'2026 Forecast C'!L66</f>
        <v>2.09336791106816</v>
      </c>
      <c r="K138" s="18" t="n">
        <f aca="false">'2026 Forecast A'!F66</f>
        <v>18972</v>
      </c>
      <c r="L138" s="47" t="str">
        <f aca="false">IF(OR(AND(D138&gt;0.5,E138&gt;0.5,F138&gt;0.5),AND(D138&lt;0.5,E138&lt;0.5,F138&lt;0.5)),"Yes","No — toss-up")</f>
        <v>Yes</v>
      </c>
    </row>
    <row r="139" customFormat="false" ht="15" hidden="false" customHeight="false" outlineLevel="0" collapsed="false">
      <c r="A139" s="9" t="str">
        <f aca="false">'2026 Forecast A'!A67</f>
        <v>Northampton</v>
      </c>
      <c r="B139" s="9" t="str">
        <f aca="false">'2026 Forecast A'!B67</f>
        <v>BETHLEHEM TOWNSHIP</v>
      </c>
      <c r="C139" s="9" t="str">
        <f aca="false">'2026 Forecast A'!C67</f>
        <v>(whole municipality)</v>
      </c>
      <c r="D139" s="10" t="n">
        <f aca="false">'2026 Forecast A'!G67</f>
        <v>0.536355792611185</v>
      </c>
      <c r="E139" s="10" t="n">
        <f aca="false">'2026 Forecast B'!G67</f>
        <v>0.540512981410307</v>
      </c>
      <c r="F139" s="10" t="n">
        <f aca="false">'2026 Forecast C'!G67</f>
        <v>0.537218605380814</v>
      </c>
      <c r="G139" s="45" t="n">
        <f aca="false">(MAX(D139:F139)-MIN(D139:F139))*100</f>
        <v>0.415718879912153</v>
      </c>
      <c r="H139" s="46" t="n">
        <f aca="false">'2026 Forecast A'!L67</f>
        <v>2.02826267851162</v>
      </c>
      <c r="I139" s="46" t="n">
        <f aca="false">'2026 Forecast B'!L67</f>
        <v>1.85739930088792</v>
      </c>
      <c r="J139" s="46" t="n">
        <f aca="false">'2026 Forecast C'!L67</f>
        <v>2.09336791106816</v>
      </c>
      <c r="K139" s="18" t="n">
        <f aca="false">'2026 Forecast A'!F67</f>
        <v>12749</v>
      </c>
      <c r="L139" s="47" t="str">
        <f aca="false">IF(OR(AND(D139&gt;0.5,E139&gt;0.5,F139&gt;0.5),AND(D139&lt;0.5,E139&lt;0.5,F139&lt;0.5)),"Yes","No — toss-up")</f>
        <v>Yes</v>
      </c>
    </row>
    <row r="140" customFormat="false" ht="15" hidden="false" customHeight="false" outlineLevel="0" collapsed="false">
      <c r="A140" s="9" t="str">
        <f aca="false">'2026 Forecast A'!A68</f>
        <v>Northampton</v>
      </c>
      <c r="B140" s="9" t="str">
        <f aca="false">'2026 Forecast A'!B68</f>
        <v>BUSHKILL</v>
      </c>
      <c r="C140" s="9" t="str">
        <f aca="false">'2026 Forecast A'!C68</f>
        <v>(whole municipality)</v>
      </c>
      <c r="D140" s="10" t="n">
        <f aca="false">'2026 Forecast A'!G68</f>
        <v>0.383450146959078</v>
      </c>
      <c r="E140" s="10" t="n">
        <f aca="false">'2026 Forecast B'!G68</f>
        <v>0.386841510287135</v>
      </c>
      <c r="F140" s="10" t="n">
        <f aca="false">'2026 Forecast C'!G68</f>
        <v>0.374858693194664</v>
      </c>
      <c r="G140" s="45" t="n">
        <f aca="false">(MAX(D140:F140)-MIN(D140:F140))*100</f>
        <v>1.19828170924712</v>
      </c>
      <c r="H140" s="46" t="n">
        <f aca="false">'2026 Forecast A'!L68</f>
        <v>2.02826267851162</v>
      </c>
      <c r="I140" s="46" t="n">
        <f aca="false">'2026 Forecast B'!L68</f>
        <v>1.85739930088792</v>
      </c>
      <c r="J140" s="46" t="n">
        <f aca="false">'2026 Forecast C'!L68</f>
        <v>2.09336791106816</v>
      </c>
      <c r="K140" s="18" t="n">
        <f aca="false">'2026 Forecast A'!F68</f>
        <v>4423</v>
      </c>
      <c r="L140" s="47" t="str">
        <f aca="false">IF(OR(AND(D140&gt;0.5,E140&gt;0.5,F140&gt;0.5),AND(D140&lt;0.5,E140&lt;0.5,F140&lt;0.5)),"Yes","No — toss-up")</f>
        <v>Yes</v>
      </c>
    </row>
    <row r="141" customFormat="false" ht="15" hidden="false" customHeight="false" outlineLevel="0" collapsed="false">
      <c r="A141" s="9" t="str">
        <f aca="false">'2026 Forecast A'!A69</f>
        <v>Northampton</v>
      </c>
      <c r="B141" s="9" t="str">
        <f aca="false">'2026 Forecast A'!B69</f>
        <v>CHAPMAN</v>
      </c>
      <c r="C141" s="9" t="str">
        <f aca="false">'2026 Forecast A'!C69</f>
        <v>(whole municipality)</v>
      </c>
      <c r="D141" s="10" t="n">
        <f aca="false">'2026 Forecast A'!G69</f>
        <v>0.360824742268041</v>
      </c>
      <c r="E141" s="10" t="n">
        <f aca="false">'2026 Forecast B'!G69</f>
        <v>0.360824742268041</v>
      </c>
      <c r="F141" s="10" t="n">
        <f aca="false">'2026 Forecast C'!G69</f>
        <v>0.360824742268041</v>
      </c>
      <c r="G141" s="45" t="n">
        <f aca="false">(MAX(D141:F141)-MIN(D141:F141))*100</f>
        <v>0</v>
      </c>
      <c r="H141" s="46" t="n">
        <f aca="false">'2026 Forecast A'!L69</f>
        <v>3.10177225952004</v>
      </c>
      <c r="I141" s="46" t="n">
        <f aca="false">'2026 Forecast B'!L69</f>
        <v>3.01886595295714</v>
      </c>
      <c r="J141" s="46" t="n">
        <f aca="false">'2026 Forecast C'!L69</f>
        <v>3.27121843302961</v>
      </c>
      <c r="K141" s="18" t="n">
        <f aca="false">'2026 Forecast A'!F69</f>
        <v>97</v>
      </c>
      <c r="L141" s="47" t="str">
        <f aca="false">IF(OR(AND(D141&gt;0.5,E141&gt;0.5,F141&gt;0.5),AND(D141&lt;0.5,E141&lt;0.5,F141&lt;0.5)),"Yes","No — toss-up")</f>
        <v>Yes</v>
      </c>
    </row>
    <row r="142" customFormat="false" ht="15" hidden="false" customHeight="false" outlineLevel="0" collapsed="false">
      <c r="A142" s="9" t="str">
        <f aca="false">'2026 Forecast A'!A70</f>
        <v>Northampton</v>
      </c>
      <c r="B142" s="9" t="str">
        <f aca="false">'2026 Forecast A'!B70</f>
        <v>EAST ALLEN</v>
      </c>
      <c r="C142" s="9" t="str">
        <f aca="false">'2026 Forecast A'!C70</f>
        <v>(whole municipality)</v>
      </c>
      <c r="D142" s="10" t="n">
        <f aca="false">'2026 Forecast A'!G70</f>
        <v>0.435062476334722</v>
      </c>
      <c r="E142" s="10" t="n">
        <f aca="false">'2026 Forecast B'!G70</f>
        <v>0.430897387353275</v>
      </c>
      <c r="F142" s="10" t="n">
        <f aca="false">'2026 Forecast C'!G70</f>
        <v>0.431276031806134</v>
      </c>
      <c r="G142" s="45" t="n">
        <f aca="false">(MAX(D142:F142)-MIN(D142:F142))*100</f>
        <v>0.416508898144641</v>
      </c>
      <c r="H142" s="46" t="n">
        <f aca="false">'2026 Forecast A'!L70</f>
        <v>1.94807078030819</v>
      </c>
      <c r="I142" s="46" t="n">
        <f aca="false">'2026 Forecast B'!L70</f>
        <v>2.01385263721301</v>
      </c>
      <c r="J142" s="46" t="n">
        <f aca="false">'2026 Forecast C'!L70</f>
        <v>2.34842085953994</v>
      </c>
      <c r="K142" s="18" t="n">
        <f aca="false">'2026 Forecast A'!F70</f>
        <v>2641</v>
      </c>
      <c r="L142" s="47" t="str">
        <f aca="false">IF(OR(AND(D142&gt;0.5,E142&gt;0.5,F142&gt;0.5),AND(D142&lt;0.5,E142&lt;0.5,F142&lt;0.5)),"Yes","No — toss-up")</f>
        <v>Yes</v>
      </c>
    </row>
    <row r="143" customFormat="false" ht="15" hidden="false" customHeight="false" outlineLevel="0" collapsed="false">
      <c r="A143" s="9" t="str">
        <f aca="false">'2026 Forecast A'!A71</f>
        <v>Northampton</v>
      </c>
      <c r="B143" s="9" t="str">
        <f aca="false">'2026 Forecast A'!B71</f>
        <v>EAST BANGOR</v>
      </c>
      <c r="C143" s="9" t="str">
        <f aca="false">'2026 Forecast A'!C71</f>
        <v>(whole municipality)</v>
      </c>
      <c r="D143" s="10" t="n">
        <f aca="false">'2026 Forecast A'!G71</f>
        <v>0.411111111111111</v>
      </c>
      <c r="E143" s="10" t="n">
        <f aca="false">'2026 Forecast B'!G71</f>
        <v>0.411111111111111</v>
      </c>
      <c r="F143" s="10" t="n">
        <f aca="false">'2026 Forecast C'!G71</f>
        <v>0.402777777777778</v>
      </c>
      <c r="G143" s="45" t="n">
        <f aca="false">(MAX(D143:F143)-MIN(D143:F143))*100</f>
        <v>0.83333333333333</v>
      </c>
      <c r="H143" s="46" t="n">
        <f aca="false">'2026 Forecast A'!L71</f>
        <v>3.10177225952004</v>
      </c>
      <c r="I143" s="46" t="n">
        <f aca="false">'2026 Forecast B'!L71</f>
        <v>3.01886595295714</v>
      </c>
      <c r="J143" s="46" t="n">
        <f aca="false">'2026 Forecast C'!L71</f>
        <v>3.27121843302961</v>
      </c>
      <c r="K143" s="18" t="n">
        <f aca="false">'2026 Forecast A'!F71</f>
        <v>360</v>
      </c>
      <c r="L143" s="47" t="str">
        <f aca="false">IF(OR(AND(D143&gt;0.5,E143&gt;0.5,F143&gt;0.5),AND(D143&lt;0.5,E143&lt;0.5,F143&lt;0.5)),"Yes","No — toss-up")</f>
        <v>Yes</v>
      </c>
    </row>
    <row r="144" customFormat="false" ht="15" hidden="false" customHeight="false" outlineLevel="0" collapsed="false">
      <c r="A144" s="9" t="str">
        <f aca="false">'2026 Forecast A'!A72</f>
        <v>Northampton</v>
      </c>
      <c r="B144" s="9" t="str">
        <f aca="false">'2026 Forecast A'!B72</f>
        <v>EASTON</v>
      </c>
      <c r="C144" s="9" t="str">
        <f aca="false">'2026 Forecast A'!C72</f>
        <v>(whole municipality)</v>
      </c>
      <c r="D144" s="10" t="n">
        <f aca="false">'2026 Forecast A'!G72</f>
        <v>0.689324379882143</v>
      </c>
      <c r="E144" s="10" t="n">
        <f aca="false">'2026 Forecast B'!G72</f>
        <v>0.698917363299986</v>
      </c>
      <c r="F144" s="10" t="n">
        <f aca="false">'2026 Forecast C'!G72</f>
        <v>0.705358366451967</v>
      </c>
      <c r="G144" s="45" t="n">
        <f aca="false">(MAX(D144:F144)-MIN(D144:F144))*100</f>
        <v>1.60339865698232</v>
      </c>
      <c r="H144" s="46" t="n">
        <f aca="false">'2026 Forecast A'!L72</f>
        <v>2.02826267851162</v>
      </c>
      <c r="I144" s="46" t="n">
        <f aca="false">'2026 Forecast B'!L72</f>
        <v>1.85739930088792</v>
      </c>
      <c r="J144" s="46" t="n">
        <f aca="false">'2026 Forecast C'!L72</f>
        <v>2.09336791106816</v>
      </c>
      <c r="K144" s="18" t="n">
        <f aca="false">'2026 Forecast A'!F72</f>
        <v>7297</v>
      </c>
      <c r="L144" s="47" t="str">
        <f aca="false">IF(OR(AND(D144&gt;0.5,E144&gt;0.5,F144&gt;0.5),AND(D144&lt;0.5,E144&lt;0.5,F144&lt;0.5)),"Yes","No — toss-up")</f>
        <v>Yes</v>
      </c>
    </row>
    <row r="145" customFormat="false" ht="15" hidden="false" customHeight="false" outlineLevel="0" collapsed="false">
      <c r="A145" s="9" t="str">
        <f aca="false">'2026 Forecast A'!A73</f>
        <v>Northampton</v>
      </c>
      <c r="B145" s="9" t="str">
        <f aca="false">'2026 Forecast A'!B73</f>
        <v>FORKS</v>
      </c>
      <c r="C145" s="9" t="str">
        <f aca="false">'2026 Forecast A'!C73</f>
        <v>(whole municipality)</v>
      </c>
      <c r="D145" s="10" t="n">
        <f aca="false">'2026 Forecast A'!G73</f>
        <v>0.52256880733945</v>
      </c>
      <c r="E145" s="10" t="n">
        <f aca="false">'2026 Forecast B'!G73</f>
        <v>0.522201834862385</v>
      </c>
      <c r="F145" s="10" t="n">
        <f aca="false">'2026 Forecast C'!G73</f>
        <v>0.522691131498471</v>
      </c>
      <c r="G145" s="45" t="n">
        <f aca="false">(MAX(D145:F145)-MIN(D145:F145))*100</f>
        <v>0.0489296636085546</v>
      </c>
      <c r="H145" s="46" t="n">
        <f aca="false">'2026 Forecast A'!L73</f>
        <v>2.02826267851162</v>
      </c>
      <c r="I145" s="46" t="n">
        <f aca="false">'2026 Forecast B'!L73</f>
        <v>1.85739930088792</v>
      </c>
      <c r="J145" s="46" t="n">
        <f aca="false">'2026 Forecast C'!L73</f>
        <v>2.09336791106816</v>
      </c>
      <c r="K145" s="18" t="n">
        <f aca="false">'2026 Forecast A'!F73</f>
        <v>8175</v>
      </c>
      <c r="L145" s="47" t="str">
        <f aca="false">IF(OR(AND(D145&gt;0.5,E145&gt;0.5,F145&gt;0.5),AND(D145&lt;0.5,E145&lt;0.5,F145&lt;0.5)),"Yes","No — toss-up")</f>
        <v>Yes</v>
      </c>
    </row>
    <row r="146" customFormat="false" ht="15" hidden="false" customHeight="false" outlineLevel="0" collapsed="false">
      <c r="A146" s="9" t="str">
        <f aca="false">'2026 Forecast A'!A74</f>
        <v>Northampton</v>
      </c>
      <c r="B146" s="9" t="str">
        <f aca="false">'2026 Forecast A'!B74</f>
        <v>FREEMANSBURG</v>
      </c>
      <c r="C146" s="9" t="str">
        <f aca="false">'2026 Forecast A'!C74</f>
        <v>(whole municipality)</v>
      </c>
      <c r="D146" s="10" t="n">
        <f aca="false">'2026 Forecast A'!G74</f>
        <v>0.602959309494451</v>
      </c>
      <c r="E146" s="10" t="n">
        <f aca="false">'2026 Forecast B'!G74</f>
        <v>0.594327990135635</v>
      </c>
      <c r="F146" s="10" t="n">
        <f aca="false">'2026 Forecast C'!G74</f>
        <v>0.61035758323058</v>
      </c>
      <c r="G146" s="45" t="n">
        <f aca="false">(MAX(D146:F146)-MIN(D146:F146))*100</f>
        <v>1.60295930949446</v>
      </c>
      <c r="H146" s="46" t="n">
        <f aca="false">'2026 Forecast A'!L74</f>
        <v>3.10177225952004</v>
      </c>
      <c r="I146" s="46" t="n">
        <f aca="false">'2026 Forecast B'!L74</f>
        <v>3.01886595295714</v>
      </c>
      <c r="J146" s="46" t="n">
        <f aca="false">'2026 Forecast C'!L74</f>
        <v>3.27121843302961</v>
      </c>
      <c r="K146" s="18" t="n">
        <f aca="false">'2026 Forecast A'!F74</f>
        <v>811</v>
      </c>
      <c r="L146" s="47" t="str">
        <f aca="false">IF(OR(AND(D146&gt;0.5,E146&gt;0.5,F146&gt;0.5),AND(D146&lt;0.5,E146&lt;0.5,F146&lt;0.5)),"Yes","No — toss-up")</f>
        <v>Yes</v>
      </c>
    </row>
    <row r="147" customFormat="false" ht="15" hidden="false" customHeight="false" outlineLevel="0" collapsed="false">
      <c r="A147" s="9" t="str">
        <f aca="false">'2026 Forecast A'!A75</f>
        <v>Northampton</v>
      </c>
      <c r="B147" s="9" t="str">
        <f aca="false">'2026 Forecast A'!B75</f>
        <v>GLENDON</v>
      </c>
      <c r="C147" s="9" t="str">
        <f aca="false">'2026 Forecast A'!C75</f>
        <v>(whole municipality)</v>
      </c>
      <c r="D147" s="10" t="n">
        <f aca="false">'2026 Forecast A'!G75</f>
        <v>0.520833333333333</v>
      </c>
      <c r="E147" s="10" t="n">
        <f aca="false">'2026 Forecast B'!G75</f>
        <v>0.520833333333333</v>
      </c>
      <c r="F147" s="10" t="n">
        <f aca="false">'2026 Forecast C'!G75</f>
        <v>0.520833333333333</v>
      </c>
      <c r="G147" s="45" t="n">
        <f aca="false">(MAX(D147:F147)-MIN(D147:F147))*100</f>
        <v>0</v>
      </c>
      <c r="H147" s="46" t="n">
        <f aca="false">'2026 Forecast A'!L75</f>
        <v>3.10177225952004</v>
      </c>
      <c r="I147" s="46" t="n">
        <f aca="false">'2026 Forecast B'!L75</f>
        <v>3.01886595295714</v>
      </c>
      <c r="J147" s="46" t="n">
        <f aca="false">'2026 Forecast C'!L75</f>
        <v>3.27121843302961</v>
      </c>
      <c r="K147" s="18" t="n">
        <f aca="false">'2026 Forecast A'!F75</f>
        <v>144</v>
      </c>
      <c r="L147" s="47" t="str">
        <f aca="false">IF(OR(AND(D147&gt;0.5,E147&gt;0.5,F147&gt;0.5),AND(D147&lt;0.5,E147&lt;0.5,F147&lt;0.5)),"Yes","No — toss-up")</f>
        <v>Yes</v>
      </c>
    </row>
    <row r="148" customFormat="false" ht="15" hidden="false" customHeight="false" outlineLevel="0" collapsed="false">
      <c r="A148" s="9" t="str">
        <f aca="false">'2026 Forecast A'!A76</f>
        <v>Northampton</v>
      </c>
      <c r="B148" s="9" t="str">
        <f aca="false">'2026 Forecast A'!B76</f>
        <v>HANOVER</v>
      </c>
      <c r="C148" s="9" t="str">
        <f aca="false">'2026 Forecast A'!C76</f>
        <v>(whole municipality)</v>
      </c>
      <c r="D148" s="10" t="n">
        <f aca="false">'2026 Forecast A'!G76</f>
        <v>0.543671181690799</v>
      </c>
      <c r="E148" s="10" t="n">
        <f aca="false">'2026 Forecast B'!G76</f>
        <v>0.54258134827962</v>
      </c>
      <c r="F148" s="10" t="n">
        <f aca="false">'2026 Forecast C'!G76</f>
        <v>0.545228086563911</v>
      </c>
      <c r="G148" s="45" t="n">
        <f aca="false">(MAX(D148:F148)-MIN(D148:F148))*100</f>
        <v>0.264673828429085</v>
      </c>
      <c r="H148" s="46" t="n">
        <f aca="false">'2026 Forecast A'!L76</f>
        <v>2.02826267851162</v>
      </c>
      <c r="I148" s="46" t="n">
        <f aca="false">'2026 Forecast B'!L76</f>
        <v>1.85739930088792</v>
      </c>
      <c r="J148" s="46" t="n">
        <f aca="false">'2026 Forecast C'!L76</f>
        <v>2.09336791106816</v>
      </c>
      <c r="K148" s="18" t="n">
        <f aca="false">'2026 Forecast A'!F76</f>
        <v>6423</v>
      </c>
      <c r="L148" s="47" t="str">
        <f aca="false">IF(OR(AND(D148&gt;0.5,E148&gt;0.5,F148&gt;0.5),AND(D148&lt;0.5,E148&lt;0.5,F148&lt;0.5)),"Yes","No — toss-up")</f>
        <v>Yes</v>
      </c>
    </row>
    <row r="149" customFormat="false" ht="15" hidden="false" customHeight="false" outlineLevel="0" collapsed="false">
      <c r="A149" s="9" t="str">
        <f aca="false">'2026 Forecast A'!A77</f>
        <v>Northampton</v>
      </c>
      <c r="B149" s="9" t="str">
        <f aca="false">'2026 Forecast A'!B77</f>
        <v>HELLERTOWN</v>
      </c>
      <c r="C149" s="9" t="str">
        <f aca="false">'2026 Forecast A'!C77</f>
        <v>(whole municipality)</v>
      </c>
      <c r="D149" s="10" t="n">
        <f aca="false">'2026 Forecast A'!G77</f>
        <v>0.520928462709285</v>
      </c>
      <c r="E149" s="10" t="n">
        <f aca="false">'2026 Forecast B'!G77</f>
        <v>0.519406392694064</v>
      </c>
      <c r="F149" s="10" t="n">
        <f aca="false">'2026 Forecast C'!G77</f>
        <v>0.520928462709285</v>
      </c>
      <c r="G149" s="45" t="n">
        <f aca="false">(MAX(D149:F149)-MIN(D149:F149))*100</f>
        <v>0.152207001522064</v>
      </c>
      <c r="H149" s="46" t="n">
        <f aca="false">'2026 Forecast A'!L77</f>
        <v>1.94807078030819</v>
      </c>
      <c r="I149" s="46" t="n">
        <f aca="false">'2026 Forecast B'!L77</f>
        <v>2.01385263721301</v>
      </c>
      <c r="J149" s="46" t="n">
        <f aca="false">'2026 Forecast C'!L77</f>
        <v>2.34842085953994</v>
      </c>
      <c r="K149" s="18" t="n">
        <f aca="false">'2026 Forecast A'!F77</f>
        <v>2628</v>
      </c>
      <c r="L149" s="47" t="str">
        <f aca="false">IF(OR(AND(D149&gt;0.5,E149&gt;0.5,F149&gt;0.5),AND(D149&lt;0.5,E149&lt;0.5,F149&lt;0.5)),"Yes","No — toss-up")</f>
        <v>Yes</v>
      </c>
    </row>
    <row r="150" customFormat="false" ht="15" hidden="false" customHeight="false" outlineLevel="0" collapsed="false">
      <c r="A150" s="9" t="str">
        <f aca="false">'2026 Forecast A'!A78</f>
        <v>Northampton</v>
      </c>
      <c r="B150" s="9" t="str">
        <f aca="false">'2026 Forecast A'!B78</f>
        <v>LEHIGH</v>
      </c>
      <c r="C150" s="9" t="str">
        <f aca="false">'2026 Forecast A'!C78</f>
        <v>(whole municipality)</v>
      </c>
      <c r="D150" s="10" t="n">
        <f aca="false">'2026 Forecast A'!G78</f>
        <v>0.345008428544671</v>
      </c>
      <c r="E150" s="10" t="n">
        <f aca="false">'2026 Forecast B'!G78</f>
        <v>0.345570331522757</v>
      </c>
      <c r="F150" s="10" t="n">
        <f aca="false">'2026 Forecast C'!G78</f>
        <v>0.336017980895299</v>
      </c>
      <c r="G150" s="45" t="n">
        <f aca="false">(MAX(D150:F150)-MIN(D150:F150))*100</f>
        <v>0.955235062745835</v>
      </c>
      <c r="H150" s="46" t="n">
        <f aca="false">'2026 Forecast A'!L78</f>
        <v>2.02826267851162</v>
      </c>
      <c r="I150" s="46" t="n">
        <f aca="false">'2026 Forecast B'!L78</f>
        <v>1.85739930088792</v>
      </c>
      <c r="J150" s="46" t="n">
        <f aca="false">'2026 Forecast C'!L78</f>
        <v>2.09336791106816</v>
      </c>
      <c r="K150" s="18" t="n">
        <f aca="false">'2026 Forecast A'!F78</f>
        <v>5339</v>
      </c>
      <c r="L150" s="47" t="str">
        <f aca="false">IF(OR(AND(D150&gt;0.5,E150&gt;0.5,F150&gt;0.5),AND(D150&lt;0.5,E150&lt;0.5,F150&lt;0.5)),"Yes","No — toss-up")</f>
        <v>Yes</v>
      </c>
    </row>
    <row r="151" customFormat="false" ht="15" hidden="false" customHeight="false" outlineLevel="0" collapsed="false">
      <c r="A151" s="9" t="str">
        <f aca="false">'2026 Forecast A'!A79</f>
        <v>Northampton</v>
      </c>
      <c r="B151" s="9" t="str">
        <f aca="false">'2026 Forecast A'!B79</f>
        <v>LOWER MOUNT BETHEL</v>
      </c>
      <c r="C151" s="9" t="str">
        <f aca="false">'2026 Forecast A'!C79</f>
        <v>(whole municipality)</v>
      </c>
      <c r="D151" s="10" t="n">
        <f aca="false">'2026 Forecast A'!G79</f>
        <v>0.346314325452017</v>
      </c>
      <c r="E151" s="10" t="n">
        <f aca="false">'2026 Forecast B'!G79</f>
        <v>0.345618915159944</v>
      </c>
      <c r="F151" s="10" t="n">
        <f aca="false">'2026 Forecast C'!G79</f>
        <v>0.336578581363004</v>
      </c>
      <c r="G151" s="45" t="n">
        <f aca="false">(MAX(D151:F151)-MIN(D151:F151))*100</f>
        <v>0.973574408901251</v>
      </c>
      <c r="H151" s="46" t="n">
        <f aca="false">'2026 Forecast A'!L79</f>
        <v>1.94807078030819</v>
      </c>
      <c r="I151" s="46" t="n">
        <f aca="false">'2026 Forecast B'!L79</f>
        <v>2.01385263721301</v>
      </c>
      <c r="J151" s="46" t="n">
        <f aca="false">'2026 Forecast C'!L79</f>
        <v>2.34842085953994</v>
      </c>
      <c r="K151" s="18" t="n">
        <f aca="false">'2026 Forecast A'!F79</f>
        <v>1438</v>
      </c>
      <c r="L151" s="47" t="str">
        <f aca="false">IF(OR(AND(D151&gt;0.5,E151&gt;0.5,F151&gt;0.5),AND(D151&lt;0.5,E151&lt;0.5,F151&lt;0.5)),"Yes","No — toss-up")</f>
        <v>Yes</v>
      </c>
    </row>
    <row r="152" customFormat="false" ht="15" hidden="false" customHeight="false" outlineLevel="0" collapsed="false">
      <c r="A152" s="9" t="str">
        <f aca="false">'2026 Forecast A'!A80</f>
        <v>Northampton</v>
      </c>
      <c r="B152" s="9" t="str">
        <f aca="false">'2026 Forecast A'!B80</f>
        <v>LOWER NAZARETH</v>
      </c>
      <c r="C152" s="9" t="str">
        <f aca="false">'2026 Forecast A'!C80</f>
        <v>(whole municipality)</v>
      </c>
      <c r="D152" s="10" t="n">
        <f aca="false">'2026 Forecast A'!G80</f>
        <v>0.463460505104782</v>
      </c>
      <c r="E152" s="10" t="n">
        <f aca="false">'2026 Forecast B'!G80</f>
        <v>0.457012358946803</v>
      </c>
      <c r="F152" s="10" t="n">
        <f aca="false">'2026 Forecast C'!G80</f>
        <v>0.458087049973133</v>
      </c>
      <c r="G152" s="45" t="n">
        <f aca="false">(MAX(D152:F152)-MIN(D152:F152))*100</f>
        <v>0.644814615797956</v>
      </c>
      <c r="H152" s="46" t="n">
        <f aca="false">'2026 Forecast A'!L80</f>
        <v>2.02826267851162</v>
      </c>
      <c r="I152" s="46" t="n">
        <f aca="false">'2026 Forecast B'!L80</f>
        <v>1.85739930088792</v>
      </c>
      <c r="J152" s="46" t="n">
        <f aca="false">'2026 Forecast C'!L80</f>
        <v>2.09336791106816</v>
      </c>
      <c r="K152" s="18" t="n">
        <f aca="false">'2026 Forecast A'!F80</f>
        <v>3722</v>
      </c>
      <c r="L152" s="47" t="str">
        <f aca="false">IF(OR(AND(D152&gt;0.5,E152&gt;0.5,F152&gt;0.5),AND(D152&lt;0.5,E152&lt;0.5,F152&lt;0.5)),"Yes","No — toss-up")</f>
        <v>Yes</v>
      </c>
    </row>
    <row r="153" customFormat="false" ht="15" hidden="false" customHeight="false" outlineLevel="0" collapsed="false">
      <c r="A153" s="9" t="str">
        <f aca="false">'2026 Forecast A'!A81</f>
        <v>Northampton</v>
      </c>
      <c r="B153" s="9" t="str">
        <f aca="false">'2026 Forecast A'!B81</f>
        <v>LOWER SAUCON</v>
      </c>
      <c r="C153" s="9" t="str">
        <f aca="false">'2026 Forecast A'!C81</f>
        <v>(whole municipality)</v>
      </c>
      <c r="D153" s="10" t="n">
        <f aca="false">'2026 Forecast A'!G81</f>
        <v>0.489702903443619</v>
      </c>
      <c r="E153" s="10" t="n">
        <f aca="false">'2026 Forecast B'!G81</f>
        <v>0.488858879135719</v>
      </c>
      <c r="F153" s="10" t="n">
        <f aca="false">'2026 Forecast C'!G81</f>
        <v>0.486664415935179</v>
      </c>
      <c r="G153" s="45" t="n">
        <f aca="false">(MAX(D153:F153)-MIN(D153:F153))*100</f>
        <v>0.303848750844021</v>
      </c>
      <c r="H153" s="46" t="n">
        <f aca="false">'2026 Forecast A'!L81</f>
        <v>2.02826267851162</v>
      </c>
      <c r="I153" s="46" t="n">
        <f aca="false">'2026 Forecast B'!L81</f>
        <v>1.85739930088792</v>
      </c>
      <c r="J153" s="46" t="n">
        <f aca="false">'2026 Forecast C'!L81</f>
        <v>2.09336791106816</v>
      </c>
      <c r="K153" s="18" t="n">
        <f aca="false">'2026 Forecast A'!F81</f>
        <v>5924</v>
      </c>
      <c r="L153" s="47" t="str">
        <f aca="false">IF(OR(AND(D153&gt;0.5,E153&gt;0.5,F153&gt;0.5),AND(D153&lt;0.5,E153&lt;0.5,F153&lt;0.5)),"Yes","No — toss-up")</f>
        <v>Yes</v>
      </c>
    </row>
    <row r="154" customFormat="false" ht="15" hidden="false" customHeight="false" outlineLevel="0" collapsed="false">
      <c r="A154" s="9" t="str">
        <f aca="false">'2026 Forecast A'!A82</f>
        <v>Northampton</v>
      </c>
      <c r="B154" s="9" t="str">
        <f aca="false">'2026 Forecast A'!B82</f>
        <v>MOORE</v>
      </c>
      <c r="C154" s="9" t="str">
        <f aca="false">'2026 Forecast A'!C82</f>
        <v>(whole municipality)</v>
      </c>
      <c r="D154" s="10" t="n">
        <f aca="false">'2026 Forecast A'!G82</f>
        <v>0.338490099009901</v>
      </c>
      <c r="E154" s="10" t="n">
        <f aca="false">'2026 Forecast B'!G82</f>
        <v>0.339727722772277</v>
      </c>
      <c r="F154" s="10" t="n">
        <f aca="false">'2026 Forecast C'!G82</f>
        <v>0.328795379537954</v>
      </c>
      <c r="G154" s="45" t="n">
        <f aca="false">(MAX(D154:F154)-MIN(D154:F154))*100</f>
        <v>1.09323432343235</v>
      </c>
      <c r="H154" s="46" t="n">
        <f aca="false">'2026 Forecast A'!L82</f>
        <v>2.02826267851162</v>
      </c>
      <c r="I154" s="46" t="n">
        <f aca="false">'2026 Forecast B'!L82</f>
        <v>1.85739930088792</v>
      </c>
      <c r="J154" s="46" t="n">
        <f aca="false">'2026 Forecast C'!L82</f>
        <v>2.09336791106816</v>
      </c>
      <c r="K154" s="18" t="n">
        <f aca="false">'2026 Forecast A'!F82</f>
        <v>4848</v>
      </c>
      <c r="L154" s="47" t="str">
        <f aca="false">IF(OR(AND(D154&gt;0.5,E154&gt;0.5,F154&gt;0.5),AND(D154&lt;0.5,E154&lt;0.5,F154&lt;0.5)),"Yes","No — toss-up")</f>
        <v>Yes</v>
      </c>
    </row>
    <row r="155" customFormat="false" ht="15" hidden="false" customHeight="false" outlineLevel="0" collapsed="false">
      <c r="A155" s="9" t="str">
        <f aca="false">'2026 Forecast A'!A83</f>
        <v>Northampton</v>
      </c>
      <c r="B155" s="9" t="str">
        <f aca="false">'2026 Forecast A'!B83</f>
        <v>NAZARETH</v>
      </c>
      <c r="C155" s="9" t="str">
        <f aca="false">'2026 Forecast A'!C83</f>
        <v>(whole municipality)</v>
      </c>
      <c r="D155" s="10" t="n">
        <f aca="false">'2026 Forecast A'!G83</f>
        <v>0.495029821073559</v>
      </c>
      <c r="E155" s="10" t="n">
        <f aca="false">'2026 Forecast B'!G83</f>
        <v>0.498608349900596</v>
      </c>
      <c r="F155" s="10" t="n">
        <f aca="false">'2026 Forecast C'!G83</f>
        <v>0.492644135188867</v>
      </c>
      <c r="G155" s="45" t="n">
        <f aca="false">(MAX(D155:F155)-MIN(D155:F155))*100</f>
        <v>0.596421471172964</v>
      </c>
      <c r="H155" s="46" t="n">
        <f aca="false">'2026 Forecast A'!L83</f>
        <v>1.94807078030819</v>
      </c>
      <c r="I155" s="46" t="n">
        <f aca="false">'2026 Forecast B'!L83</f>
        <v>2.01385263721301</v>
      </c>
      <c r="J155" s="46" t="n">
        <f aca="false">'2026 Forecast C'!L83</f>
        <v>2.34842085953994</v>
      </c>
      <c r="K155" s="18" t="n">
        <f aca="false">'2026 Forecast A'!F83</f>
        <v>2515</v>
      </c>
      <c r="L155" s="47" t="str">
        <f aca="false">IF(OR(AND(D155&gt;0.5,E155&gt;0.5,F155&gt;0.5),AND(D155&lt;0.5,E155&lt;0.5,F155&lt;0.5)),"Yes","No — toss-up")</f>
        <v>Yes</v>
      </c>
    </row>
    <row r="156" customFormat="false" ht="15" hidden="false" customHeight="false" outlineLevel="0" collapsed="false">
      <c r="A156" s="9" t="str">
        <f aca="false">'2026 Forecast A'!A84</f>
        <v>Northampton</v>
      </c>
      <c r="B156" s="9" t="str">
        <f aca="false">'2026 Forecast A'!B84</f>
        <v>NORTH CATASAUQUA</v>
      </c>
      <c r="C156" s="9" t="str">
        <f aca="false">'2026 Forecast A'!C84</f>
        <v>(whole municipality)</v>
      </c>
      <c r="D156" s="10" t="n">
        <f aca="false">'2026 Forecast A'!G84</f>
        <v>0.499299719887955</v>
      </c>
      <c r="E156" s="10" t="n">
        <f aca="false">'2026 Forecast B'!G84</f>
        <v>0.502801120448179</v>
      </c>
      <c r="F156" s="10" t="n">
        <f aca="false">'2026 Forecast C'!G84</f>
        <v>0.497198879551821</v>
      </c>
      <c r="G156" s="45" t="n">
        <f aca="false">(MAX(D156:F156)-MIN(D156:F156))*100</f>
        <v>0.560224089635852</v>
      </c>
      <c r="H156" s="46" t="n">
        <f aca="false">'2026 Forecast A'!L84</f>
        <v>1.94807078030819</v>
      </c>
      <c r="I156" s="46" t="n">
        <f aca="false">'2026 Forecast B'!L84</f>
        <v>2.01385263721301</v>
      </c>
      <c r="J156" s="46" t="n">
        <f aca="false">'2026 Forecast C'!L84</f>
        <v>2.34842085953994</v>
      </c>
      <c r="K156" s="18" t="n">
        <f aca="false">'2026 Forecast A'!F84</f>
        <v>1428</v>
      </c>
      <c r="L156" s="47" t="str">
        <f aca="false">IF(OR(AND(D156&gt;0.5,E156&gt;0.5,F156&gt;0.5),AND(D156&lt;0.5,E156&lt;0.5,F156&lt;0.5)),"Yes","No — toss-up")</f>
        <v>No — toss-up</v>
      </c>
    </row>
    <row r="157" customFormat="false" ht="15" hidden="false" customHeight="false" outlineLevel="0" collapsed="false">
      <c r="A157" s="9" t="str">
        <f aca="false">'2026 Forecast A'!A85</f>
        <v>Northampton</v>
      </c>
      <c r="B157" s="9" t="str">
        <f aca="false">'2026 Forecast A'!B85</f>
        <v>NORTHAMPTON</v>
      </c>
      <c r="C157" s="9" t="str">
        <f aca="false">'2026 Forecast A'!C85</f>
        <v>(whole municipality)</v>
      </c>
      <c r="D157" s="10" t="n">
        <f aca="false">'2026 Forecast A'!G85</f>
        <v>0.476464937560038</v>
      </c>
      <c r="E157" s="10" t="n">
        <f aca="false">'2026 Forecast B'!G85</f>
        <v>0.473102785782901</v>
      </c>
      <c r="F157" s="10" t="n">
        <f aca="false">'2026 Forecast C'!G85</f>
        <v>0.473583093179635</v>
      </c>
      <c r="G157" s="45" t="n">
        <f aca="false">(MAX(D157:F157)-MIN(D157:F157))*100</f>
        <v>0.336215177713739</v>
      </c>
      <c r="H157" s="46" t="n">
        <f aca="false">'2026 Forecast A'!L85</f>
        <v>2.02826267851162</v>
      </c>
      <c r="I157" s="46" t="n">
        <f aca="false">'2026 Forecast B'!L85</f>
        <v>1.85739930088792</v>
      </c>
      <c r="J157" s="46" t="n">
        <f aca="false">'2026 Forecast C'!L85</f>
        <v>2.09336791106816</v>
      </c>
      <c r="K157" s="18" t="n">
        <f aca="false">'2026 Forecast A'!F85</f>
        <v>4164</v>
      </c>
      <c r="L157" s="47" t="str">
        <f aca="false">IF(OR(AND(D157&gt;0.5,E157&gt;0.5,F157&gt;0.5),AND(D157&lt;0.5,E157&lt;0.5,F157&lt;0.5)),"Yes","No — toss-up")</f>
        <v>Yes</v>
      </c>
    </row>
    <row r="158" customFormat="false" ht="15" hidden="false" customHeight="false" outlineLevel="0" collapsed="false">
      <c r="A158" s="9" t="str">
        <f aca="false">'2026 Forecast A'!A86</f>
        <v>Northampton</v>
      </c>
      <c r="B158" s="9" t="str">
        <f aca="false">'2026 Forecast A'!B86</f>
        <v>PALMER</v>
      </c>
      <c r="C158" s="9" t="str">
        <f aca="false">'2026 Forecast A'!C86</f>
        <v>(whole municipality)</v>
      </c>
      <c r="D158" s="10" t="n">
        <f aca="false">'2026 Forecast A'!G86</f>
        <v>0.516092709017547</v>
      </c>
      <c r="E158" s="10" t="n">
        <f aca="false">'2026 Forecast B'!G86</f>
        <v>0.51674955428357</v>
      </c>
      <c r="F158" s="10" t="n">
        <f aca="false">'2026 Forecast C'!G86</f>
        <v>0.515623533827531</v>
      </c>
      <c r="G158" s="45" t="n">
        <f aca="false">(MAX(D158:F158)-MIN(D158:F158))*100</f>
        <v>0.112602045603827</v>
      </c>
      <c r="H158" s="46" t="n">
        <f aca="false">'2026 Forecast A'!L86</f>
        <v>2.02826267851162</v>
      </c>
      <c r="I158" s="46" t="n">
        <f aca="false">'2026 Forecast B'!L86</f>
        <v>1.85739930088792</v>
      </c>
      <c r="J158" s="46" t="n">
        <f aca="false">'2026 Forecast C'!L86</f>
        <v>2.09336791106816</v>
      </c>
      <c r="K158" s="18" t="n">
        <f aca="false">'2026 Forecast A'!F86</f>
        <v>10657</v>
      </c>
      <c r="L158" s="47" t="str">
        <f aca="false">IF(OR(AND(D158&gt;0.5,E158&gt;0.5,F158&gt;0.5),AND(D158&lt;0.5,E158&lt;0.5,F158&lt;0.5)),"Yes","No — toss-up")</f>
        <v>Yes</v>
      </c>
    </row>
    <row r="159" customFormat="false" ht="15" hidden="false" customHeight="false" outlineLevel="0" collapsed="false">
      <c r="A159" s="9" t="str">
        <f aca="false">'2026 Forecast A'!A87</f>
        <v>Northampton</v>
      </c>
      <c r="B159" s="9" t="str">
        <f aca="false">'2026 Forecast A'!B87</f>
        <v>PEN ARGYL</v>
      </c>
      <c r="C159" s="9" t="str">
        <f aca="false">'2026 Forecast A'!C87</f>
        <v>(whole municipality)</v>
      </c>
      <c r="D159" s="10" t="n">
        <f aca="false">'2026 Forecast A'!G87</f>
        <v>0.374449339207049</v>
      </c>
      <c r="E159" s="10" t="n">
        <f aca="false">'2026 Forecast B'!G87</f>
        <v>0.378120411160059</v>
      </c>
      <c r="F159" s="10" t="n">
        <f aca="false">'2026 Forecast C'!G87</f>
        <v>0.366372980910426</v>
      </c>
      <c r="G159" s="45" t="n">
        <f aca="false">(MAX(D159:F159)-MIN(D159:F159))*100</f>
        <v>1.17474302496329</v>
      </c>
      <c r="H159" s="46" t="n">
        <f aca="false">'2026 Forecast A'!L87</f>
        <v>1.94807078030819</v>
      </c>
      <c r="I159" s="46" t="n">
        <f aca="false">'2026 Forecast B'!L87</f>
        <v>2.01385263721301</v>
      </c>
      <c r="J159" s="46" t="n">
        <f aca="false">'2026 Forecast C'!L87</f>
        <v>2.34842085953994</v>
      </c>
      <c r="K159" s="18" t="n">
        <f aca="false">'2026 Forecast A'!F87</f>
        <v>1362</v>
      </c>
      <c r="L159" s="47" t="str">
        <f aca="false">IF(OR(AND(D159&gt;0.5,E159&gt;0.5,F159&gt;0.5),AND(D159&lt;0.5,E159&lt;0.5,F159&lt;0.5)),"Yes","No — toss-up")</f>
        <v>Yes</v>
      </c>
    </row>
    <row r="160" customFormat="false" ht="15" hidden="false" customHeight="false" outlineLevel="0" collapsed="false">
      <c r="A160" s="9" t="str">
        <f aca="false">'2026 Forecast A'!A88</f>
        <v>Northampton</v>
      </c>
      <c r="B160" s="9" t="str">
        <f aca="false">'2026 Forecast A'!B88</f>
        <v>PLAINFIELD</v>
      </c>
      <c r="C160" s="9" t="str">
        <f aca="false">'2026 Forecast A'!C88</f>
        <v>(whole municipality)</v>
      </c>
      <c r="D160" s="10" t="n">
        <f aca="false">'2026 Forecast A'!G88</f>
        <v>0.343800064082025</v>
      </c>
      <c r="E160" s="10" t="n">
        <f aca="false">'2026 Forecast B'!G88</f>
        <v>0.346042934956745</v>
      </c>
      <c r="F160" s="10" t="n">
        <f aca="false">'2026 Forecast C'!G88</f>
        <v>0.334187760333227</v>
      </c>
      <c r="G160" s="45" t="n">
        <f aca="false">(MAX(D160:F160)-MIN(D160:F160))*100</f>
        <v>1.18551746235182</v>
      </c>
      <c r="H160" s="46" t="n">
        <f aca="false">'2026 Forecast A'!L88</f>
        <v>2.02826267851162</v>
      </c>
      <c r="I160" s="46" t="n">
        <f aca="false">'2026 Forecast B'!L88</f>
        <v>1.85739930088792</v>
      </c>
      <c r="J160" s="46" t="n">
        <f aca="false">'2026 Forecast C'!L88</f>
        <v>2.09336791106816</v>
      </c>
      <c r="K160" s="18" t="n">
        <f aca="false">'2026 Forecast A'!F88</f>
        <v>3121</v>
      </c>
      <c r="L160" s="47" t="str">
        <f aca="false">IF(OR(AND(D160&gt;0.5,E160&gt;0.5,F160&gt;0.5),AND(D160&lt;0.5,E160&lt;0.5,F160&lt;0.5)),"Yes","No — toss-up")</f>
        <v>Yes</v>
      </c>
    </row>
    <row r="161" customFormat="false" ht="15" hidden="false" customHeight="false" outlineLevel="0" collapsed="false">
      <c r="A161" s="9" t="str">
        <f aca="false">'2026 Forecast A'!A89</f>
        <v>Northampton</v>
      </c>
      <c r="B161" s="9" t="str">
        <f aca="false">'2026 Forecast A'!B89</f>
        <v>PORTLAND</v>
      </c>
      <c r="C161" s="9" t="str">
        <f aca="false">'2026 Forecast A'!C89</f>
        <v>(whole municipality)</v>
      </c>
      <c r="D161" s="10" t="n">
        <f aca="false">'2026 Forecast A'!G89</f>
        <v>0.357142857142857</v>
      </c>
      <c r="E161" s="10" t="n">
        <f aca="false">'2026 Forecast B'!G89</f>
        <v>0.362244897959184</v>
      </c>
      <c r="F161" s="10" t="n">
        <f aca="false">'2026 Forecast C'!G89</f>
        <v>0.346938775510204</v>
      </c>
      <c r="G161" s="45" t="n">
        <f aca="false">(MAX(D161:F161)-MIN(D161:F161))*100</f>
        <v>1.53061224489796</v>
      </c>
      <c r="H161" s="46" t="n">
        <f aca="false">'2026 Forecast A'!L89</f>
        <v>3.10177225952004</v>
      </c>
      <c r="I161" s="46" t="n">
        <f aca="false">'2026 Forecast B'!L89</f>
        <v>3.01886595295714</v>
      </c>
      <c r="J161" s="46" t="n">
        <f aca="false">'2026 Forecast C'!L89</f>
        <v>3.27121843302961</v>
      </c>
      <c r="K161" s="18" t="n">
        <f aca="false">'2026 Forecast A'!F89</f>
        <v>196</v>
      </c>
      <c r="L161" s="47" t="str">
        <f aca="false">IF(OR(AND(D161&gt;0.5,E161&gt;0.5,F161&gt;0.5),AND(D161&lt;0.5,E161&lt;0.5,F161&lt;0.5)),"Yes","No — toss-up")</f>
        <v>Yes</v>
      </c>
    </row>
    <row r="162" customFormat="false" ht="15" hidden="false" customHeight="false" outlineLevel="0" collapsed="false">
      <c r="A162" s="9" t="str">
        <f aca="false">'2026 Forecast A'!A90</f>
        <v>Northampton</v>
      </c>
      <c r="B162" s="9" t="str">
        <f aca="false">'2026 Forecast A'!B90</f>
        <v>ROSETO</v>
      </c>
      <c r="C162" s="9" t="str">
        <f aca="false">'2026 Forecast A'!C90</f>
        <v>(whole municipality)</v>
      </c>
      <c r="D162" s="10" t="n">
        <f aca="false">'2026 Forecast A'!G90</f>
        <v>0.37719298245614</v>
      </c>
      <c r="E162" s="10" t="n">
        <f aca="false">'2026 Forecast B'!G90</f>
        <v>0.374269005847953</v>
      </c>
      <c r="F162" s="10" t="n">
        <f aca="false">'2026 Forecast C'!G90</f>
        <v>0.371345029239766</v>
      </c>
      <c r="G162" s="45" t="n">
        <f aca="false">(MAX(D162:F162)-MIN(D162:F162))*100</f>
        <v>0.584795321637427</v>
      </c>
      <c r="H162" s="46" t="n">
        <f aca="false">'2026 Forecast A'!L90</f>
        <v>3.10177225952004</v>
      </c>
      <c r="I162" s="46" t="n">
        <f aca="false">'2026 Forecast B'!L90</f>
        <v>3.01886595295714</v>
      </c>
      <c r="J162" s="46" t="n">
        <f aca="false">'2026 Forecast C'!L90</f>
        <v>3.27121843302961</v>
      </c>
      <c r="K162" s="18" t="n">
        <f aca="false">'2026 Forecast A'!F90</f>
        <v>684</v>
      </c>
      <c r="L162" s="47" t="str">
        <f aca="false">IF(OR(AND(D162&gt;0.5,E162&gt;0.5,F162&gt;0.5),AND(D162&lt;0.5,E162&lt;0.5,F162&lt;0.5)),"Yes","No — toss-up")</f>
        <v>Yes</v>
      </c>
    </row>
    <row r="163" customFormat="false" ht="15" hidden="false" customHeight="false" outlineLevel="0" collapsed="false">
      <c r="A163" s="9" t="str">
        <f aca="false">'2026 Forecast A'!A91</f>
        <v>Northampton</v>
      </c>
      <c r="B163" s="9" t="str">
        <f aca="false">'2026 Forecast A'!B91</f>
        <v>STOCKERTOWN</v>
      </c>
      <c r="C163" s="9" t="str">
        <f aca="false">'2026 Forecast A'!C91</f>
        <v>(whole municipality)</v>
      </c>
      <c r="D163" s="10" t="n">
        <f aca="false">'2026 Forecast A'!G91</f>
        <v>0.416452442159383</v>
      </c>
      <c r="E163" s="10" t="n">
        <f aca="false">'2026 Forecast B'!G91</f>
        <v>0.416452442159383</v>
      </c>
      <c r="F163" s="10" t="n">
        <f aca="false">'2026 Forecast C'!G91</f>
        <v>0.408740359897172</v>
      </c>
      <c r="G163" s="45" t="n">
        <f aca="false">(MAX(D163:F163)-MIN(D163:F163))*100</f>
        <v>0.771208226221082</v>
      </c>
      <c r="H163" s="46" t="n">
        <f aca="false">'2026 Forecast A'!L91</f>
        <v>3.10177225952004</v>
      </c>
      <c r="I163" s="46" t="n">
        <f aca="false">'2026 Forecast B'!L91</f>
        <v>3.01886595295714</v>
      </c>
      <c r="J163" s="46" t="n">
        <f aca="false">'2026 Forecast C'!L91</f>
        <v>3.27121843302961</v>
      </c>
      <c r="K163" s="18" t="n">
        <f aca="false">'2026 Forecast A'!F91</f>
        <v>389</v>
      </c>
      <c r="L163" s="47" t="str">
        <f aca="false">IF(OR(AND(D163&gt;0.5,E163&gt;0.5,F163&gt;0.5),AND(D163&lt;0.5,E163&lt;0.5,F163&lt;0.5)),"Yes","No — toss-up")</f>
        <v>Yes</v>
      </c>
    </row>
    <row r="164" customFormat="false" ht="15" hidden="false" customHeight="false" outlineLevel="0" collapsed="false">
      <c r="A164" s="9" t="str">
        <f aca="false">'2026 Forecast A'!A92</f>
        <v>Northampton</v>
      </c>
      <c r="B164" s="9" t="str">
        <f aca="false">'2026 Forecast A'!B92</f>
        <v>TATAMY</v>
      </c>
      <c r="C164" s="9" t="str">
        <f aca="false">'2026 Forecast A'!C92</f>
        <v>(whole municipality)</v>
      </c>
      <c r="D164" s="10" t="n">
        <f aca="false">'2026 Forecast A'!G92</f>
        <v>0.426910299003322</v>
      </c>
      <c r="E164" s="10" t="n">
        <f aca="false">'2026 Forecast B'!G92</f>
        <v>0.425249169435216</v>
      </c>
      <c r="F164" s="10" t="n">
        <f aca="false">'2026 Forecast C'!G92</f>
        <v>0.42358803986711</v>
      </c>
      <c r="G164" s="45" t="n">
        <f aca="false">(MAX(D164:F164)-MIN(D164:F164))*100</f>
        <v>0.332225913621265</v>
      </c>
      <c r="H164" s="46" t="n">
        <f aca="false">'2026 Forecast A'!L92</f>
        <v>3.10177225952004</v>
      </c>
      <c r="I164" s="46" t="n">
        <f aca="false">'2026 Forecast B'!L92</f>
        <v>3.01886595295714</v>
      </c>
      <c r="J164" s="46" t="n">
        <f aca="false">'2026 Forecast C'!L92</f>
        <v>3.27121843302961</v>
      </c>
      <c r="K164" s="18" t="n">
        <f aca="false">'2026 Forecast A'!F92</f>
        <v>602</v>
      </c>
      <c r="L164" s="47" t="str">
        <f aca="false">IF(OR(AND(D164&gt;0.5,E164&gt;0.5,F164&gt;0.5),AND(D164&lt;0.5,E164&lt;0.5,F164&lt;0.5)),"Yes","No — toss-up")</f>
        <v>Yes</v>
      </c>
    </row>
    <row r="165" customFormat="false" ht="15" hidden="false" customHeight="false" outlineLevel="0" collapsed="false">
      <c r="A165" s="9" t="str">
        <f aca="false">'2026 Forecast A'!A93</f>
        <v>Northampton</v>
      </c>
      <c r="B165" s="9" t="str">
        <f aca="false">'2026 Forecast A'!B93</f>
        <v>UPPER MOUNT BETHEL</v>
      </c>
      <c r="C165" s="9" t="str">
        <f aca="false">'2026 Forecast A'!C93</f>
        <v>(whole municipality)</v>
      </c>
      <c r="D165" s="10" t="n">
        <f aca="false">'2026 Forecast A'!G93</f>
        <v>0.321678321678322</v>
      </c>
      <c r="E165" s="10" t="n">
        <f aca="false">'2026 Forecast B'!G93</f>
        <v>0.323585505403687</v>
      </c>
      <c r="F165" s="10" t="n">
        <f aca="false">'2026 Forecast C'!G93</f>
        <v>0.311506675143039</v>
      </c>
      <c r="G165" s="45" t="n">
        <f aca="false">(MAX(D165:F165)-MIN(D165:F165))*100</f>
        <v>1.20788302606485</v>
      </c>
      <c r="H165" s="46" t="n">
        <f aca="false">'2026 Forecast A'!L93</f>
        <v>2.02826267851162</v>
      </c>
      <c r="I165" s="46" t="n">
        <f aca="false">'2026 Forecast B'!L93</f>
        <v>1.85739930088792</v>
      </c>
      <c r="J165" s="46" t="n">
        <f aca="false">'2026 Forecast C'!L93</f>
        <v>2.09336791106816</v>
      </c>
      <c r="K165" s="18" t="n">
        <f aca="false">'2026 Forecast A'!F93</f>
        <v>3146</v>
      </c>
      <c r="L165" s="47" t="str">
        <f aca="false">IF(OR(AND(D165&gt;0.5,E165&gt;0.5,F165&gt;0.5),AND(D165&lt;0.5,E165&lt;0.5,F165&lt;0.5)),"Yes","No — toss-up")</f>
        <v>Yes</v>
      </c>
    </row>
    <row r="166" customFormat="false" ht="15" hidden="false" customHeight="false" outlineLevel="0" collapsed="false">
      <c r="A166" s="9" t="str">
        <f aca="false">'2026 Forecast A'!A94</f>
        <v>Northampton</v>
      </c>
      <c r="B166" s="9" t="str">
        <f aca="false">'2026 Forecast A'!B94</f>
        <v>UPPER NAZARETH</v>
      </c>
      <c r="C166" s="9" t="str">
        <f aca="false">'2026 Forecast A'!C94</f>
        <v>(whole municipality)</v>
      </c>
      <c r="D166" s="10" t="n">
        <f aca="false">'2026 Forecast A'!G94</f>
        <v>0.486725663716814</v>
      </c>
      <c r="E166" s="10" t="n">
        <f aca="false">'2026 Forecast B'!G94</f>
        <v>0.488251449496491</v>
      </c>
      <c r="F166" s="10" t="n">
        <f aca="false">'2026 Forecast C'!G94</f>
        <v>0.482758620689655</v>
      </c>
      <c r="G166" s="45" t="n">
        <f aca="false">(MAX(D166:F166)-MIN(D166:F166))*100</f>
        <v>0.549282880683549</v>
      </c>
      <c r="H166" s="46" t="n">
        <f aca="false">'2026 Forecast A'!L94</f>
        <v>2.02826267851162</v>
      </c>
      <c r="I166" s="46" t="n">
        <f aca="false">'2026 Forecast B'!L94</f>
        <v>1.85739930088792</v>
      </c>
      <c r="J166" s="46" t="n">
        <f aca="false">'2026 Forecast C'!L94</f>
        <v>2.09336791106816</v>
      </c>
      <c r="K166" s="18" t="n">
        <f aca="false">'2026 Forecast A'!F94</f>
        <v>3277</v>
      </c>
      <c r="L166" s="47" t="str">
        <f aca="false">IF(OR(AND(D166&gt;0.5,E166&gt;0.5,F166&gt;0.5),AND(D166&lt;0.5,E166&lt;0.5,F166&lt;0.5)),"Yes","No — toss-up")</f>
        <v>Yes</v>
      </c>
    </row>
    <row r="167" customFormat="false" ht="15" hidden="false" customHeight="false" outlineLevel="0" collapsed="false">
      <c r="A167" s="9" t="str">
        <f aca="false">'2026 Forecast A'!A95</f>
        <v>Northampton</v>
      </c>
      <c r="B167" s="9" t="str">
        <f aca="false">'2026 Forecast A'!B95</f>
        <v>WALNUTPORT</v>
      </c>
      <c r="C167" s="9" t="str">
        <f aca="false">'2026 Forecast A'!C95</f>
        <v>(whole municipality)</v>
      </c>
      <c r="D167" s="10" t="n">
        <f aca="false">'2026 Forecast A'!G95</f>
        <v>0.394218134034166</v>
      </c>
      <c r="E167" s="10" t="n">
        <f aca="false">'2026 Forecast B'!G95</f>
        <v>0.400788436268068</v>
      </c>
      <c r="F167" s="10" t="n">
        <f aca="false">'2026 Forecast C'!G95</f>
        <v>0.387647831800263</v>
      </c>
      <c r="G167" s="45" t="n">
        <f aca="false">(MAX(D167:F167)-MIN(D167:F167))*100</f>
        <v>1.31406044678055</v>
      </c>
      <c r="H167" s="46" t="n">
        <f aca="false">'2026 Forecast A'!L95</f>
        <v>3.10177225952004</v>
      </c>
      <c r="I167" s="46" t="n">
        <f aca="false">'2026 Forecast B'!L95</f>
        <v>3.01886595295714</v>
      </c>
      <c r="J167" s="46" t="n">
        <f aca="false">'2026 Forecast C'!L95</f>
        <v>3.27121843302961</v>
      </c>
      <c r="K167" s="18" t="n">
        <f aca="false">'2026 Forecast A'!F95</f>
        <v>761</v>
      </c>
      <c r="L167" s="47" t="str">
        <f aca="false">IF(OR(AND(D167&gt;0.5,E167&gt;0.5,F167&gt;0.5),AND(D167&lt;0.5,E167&lt;0.5,F167&lt;0.5)),"Yes","No — toss-up")</f>
        <v>Yes</v>
      </c>
    </row>
    <row r="168" customFormat="false" ht="15" hidden="false" customHeight="false" outlineLevel="0" collapsed="false">
      <c r="A168" s="9" t="str">
        <f aca="false">'2026 Forecast A'!A96</f>
        <v>Northampton</v>
      </c>
      <c r="B168" s="9" t="str">
        <f aca="false">'2026 Forecast A'!B96</f>
        <v>WASHINGTON</v>
      </c>
      <c r="C168" s="9" t="str">
        <f aca="false">'2026 Forecast A'!C96</f>
        <v>(whole municipality)</v>
      </c>
      <c r="D168" s="10" t="n">
        <f aca="false">'2026 Forecast A'!G96</f>
        <v>0.338500209467951</v>
      </c>
      <c r="E168" s="10" t="n">
        <f aca="false">'2026 Forecast B'!G96</f>
        <v>0.343527440301634</v>
      </c>
      <c r="F168" s="10" t="n">
        <f aca="false">'2026 Forecast C'!G96</f>
        <v>0.3292836196062</v>
      </c>
      <c r="G168" s="45" t="n">
        <f aca="false">(MAX(D168:F168)-MIN(D168:F168))*100</f>
        <v>1.42438206954336</v>
      </c>
      <c r="H168" s="46" t="n">
        <f aca="false">'2026 Forecast A'!L96</f>
        <v>1.94807078030819</v>
      </c>
      <c r="I168" s="46" t="n">
        <f aca="false">'2026 Forecast B'!L96</f>
        <v>2.01385263721301</v>
      </c>
      <c r="J168" s="46" t="n">
        <f aca="false">'2026 Forecast C'!L96</f>
        <v>2.34842085953994</v>
      </c>
      <c r="K168" s="18" t="n">
        <f aca="false">'2026 Forecast A'!F96</f>
        <v>2387</v>
      </c>
      <c r="L168" s="47" t="str">
        <f aca="false">IF(OR(AND(D168&gt;0.5,E168&gt;0.5,F168&gt;0.5),AND(D168&lt;0.5,E168&lt;0.5,F168&lt;0.5)),"Yes","No — toss-up")</f>
        <v>Yes</v>
      </c>
    </row>
    <row r="169" customFormat="false" ht="15" hidden="false" customHeight="false" outlineLevel="0" collapsed="false">
      <c r="A169" s="9" t="str">
        <f aca="false">'2026 Forecast A'!A97</f>
        <v>Northampton</v>
      </c>
      <c r="B169" s="9" t="str">
        <f aca="false">'2026 Forecast A'!B97</f>
        <v>WEST EASTON</v>
      </c>
      <c r="C169" s="9" t="str">
        <f aca="false">'2026 Forecast A'!C97</f>
        <v>(whole municipality)</v>
      </c>
      <c r="D169" s="10" t="n">
        <f aca="false">'2026 Forecast A'!G97</f>
        <v>0.488584474885845</v>
      </c>
      <c r="E169" s="10" t="n">
        <f aca="false">'2026 Forecast B'!G97</f>
        <v>0.486301369863014</v>
      </c>
      <c r="F169" s="10" t="n">
        <f aca="false">'2026 Forecast C'!G97</f>
        <v>0.486301369863014</v>
      </c>
      <c r="G169" s="45" t="n">
        <f aca="false">(MAX(D169:F169)-MIN(D169:F169))*100</f>
        <v>0.228310502283102</v>
      </c>
      <c r="H169" s="46" t="n">
        <f aca="false">'2026 Forecast A'!L97</f>
        <v>3.10177225952004</v>
      </c>
      <c r="I169" s="46" t="n">
        <f aca="false">'2026 Forecast B'!L97</f>
        <v>3.01886595295714</v>
      </c>
      <c r="J169" s="46" t="n">
        <f aca="false">'2026 Forecast C'!L97</f>
        <v>3.27121843302961</v>
      </c>
      <c r="K169" s="18" t="n">
        <f aca="false">'2026 Forecast A'!F97</f>
        <v>438</v>
      </c>
      <c r="L169" s="47" t="str">
        <f aca="false">IF(OR(AND(D169&gt;0.5,E169&gt;0.5,F169&gt;0.5),AND(D169&lt;0.5,E169&lt;0.5,F169&lt;0.5)),"Yes","No — toss-up")</f>
        <v>Yes</v>
      </c>
    </row>
    <row r="170" customFormat="false" ht="15" hidden="false" customHeight="false" outlineLevel="0" collapsed="false">
      <c r="A170" s="9" t="str">
        <f aca="false">'2026 Forecast A'!A98</f>
        <v>Northampton</v>
      </c>
      <c r="B170" s="9" t="str">
        <f aca="false">'2026 Forecast A'!B98</f>
        <v>WILLIAMS TOWNSHIP</v>
      </c>
      <c r="C170" s="9" t="str">
        <f aca="false">'2026 Forecast A'!C98</f>
        <v>(whole municipality)</v>
      </c>
      <c r="D170" s="10" t="n">
        <f aca="false">'2026 Forecast A'!G98</f>
        <v>0.437017231134878</v>
      </c>
      <c r="E170" s="10" t="n">
        <f aca="false">'2026 Forecast B'!G98</f>
        <v>0.432857991681521</v>
      </c>
      <c r="F170" s="10" t="n">
        <f aca="false">'2026 Forecast C'!G98</f>
        <v>0.434046345811052</v>
      </c>
      <c r="G170" s="45" t="n">
        <f aca="false">(MAX(D170:F170)-MIN(D170:F170))*100</f>
        <v>0.415923945335706</v>
      </c>
      <c r="H170" s="46" t="n">
        <f aca="false">'2026 Forecast A'!L98</f>
        <v>2.02826267851162</v>
      </c>
      <c r="I170" s="46" t="n">
        <f aca="false">'2026 Forecast B'!L98</f>
        <v>1.85739930088792</v>
      </c>
      <c r="J170" s="46" t="n">
        <f aca="false">'2026 Forecast C'!L98</f>
        <v>2.09336791106816</v>
      </c>
      <c r="K170" s="18" t="n">
        <f aca="false">'2026 Forecast A'!F98</f>
        <v>3366</v>
      </c>
      <c r="L170" s="47" t="str">
        <f aca="false">IF(OR(AND(D170&gt;0.5,E170&gt;0.5,F170&gt;0.5),AND(D170&lt;0.5,E170&lt;0.5,F170&lt;0.5)),"Yes","No — toss-up")</f>
        <v>Yes</v>
      </c>
    </row>
    <row r="171" customFormat="false" ht="15" hidden="false" customHeight="false" outlineLevel="0" collapsed="false">
      <c r="A171" s="9" t="str">
        <f aca="false">'2026 Forecast A'!A99</f>
        <v>Northampton</v>
      </c>
      <c r="B171" s="9" t="str">
        <f aca="false">'2026 Forecast A'!B99</f>
        <v>WILSON</v>
      </c>
      <c r="C171" s="9" t="str">
        <f aca="false">'2026 Forecast A'!C99</f>
        <v>(whole municipality)</v>
      </c>
      <c r="D171" s="10" t="n">
        <f aca="false">'2026 Forecast A'!G99</f>
        <v>0.562553191489362</v>
      </c>
      <c r="E171" s="10" t="n">
        <f aca="false">'2026 Forecast B'!G99</f>
        <v>0.565106382978723</v>
      </c>
      <c r="F171" s="10" t="n">
        <f aca="false">'2026 Forecast C'!G99</f>
        <v>0.565957446808511</v>
      </c>
      <c r="G171" s="45" t="n">
        <f aca="false">(MAX(D171:F171)-MIN(D171:F171))*100</f>
        <v>0.340425531914901</v>
      </c>
      <c r="H171" s="46" t="n">
        <f aca="false">'2026 Forecast A'!L99</f>
        <v>1.94807078030819</v>
      </c>
      <c r="I171" s="46" t="n">
        <f aca="false">'2026 Forecast B'!L99</f>
        <v>2.01385263721301</v>
      </c>
      <c r="J171" s="46" t="n">
        <f aca="false">'2026 Forecast C'!L99</f>
        <v>2.34842085953994</v>
      </c>
      <c r="K171" s="18" t="n">
        <f aca="false">'2026 Forecast A'!F99</f>
        <v>2350</v>
      </c>
      <c r="L171" s="47" t="str">
        <f aca="false">IF(OR(AND(D171&gt;0.5,E171&gt;0.5,F171&gt;0.5),AND(D171&lt;0.5,E171&lt;0.5,F171&lt;0.5)),"Yes","No — toss-up")</f>
        <v>Yes</v>
      </c>
    </row>
    <row r="172" customFormat="false" ht="15" hidden="false" customHeight="false" outlineLevel="0" collapsed="false">
      <c r="A172" s="9" t="str">
        <f aca="false">'2026 Forecast A'!A100</f>
        <v>Northampton</v>
      </c>
      <c r="B172" s="9" t="str">
        <f aca="false">'2026 Forecast A'!B100</f>
        <v>WIND GAP</v>
      </c>
      <c r="C172" s="9" t="str">
        <f aca="false">'2026 Forecast A'!C100</f>
        <v>(whole municipality)</v>
      </c>
      <c r="D172" s="10" t="n">
        <f aca="false">'2026 Forecast A'!G100</f>
        <v>0.434061135371179</v>
      </c>
      <c r="E172" s="10" t="n">
        <f aca="false">'2026 Forecast B'!G100</f>
        <v>0.436681222707424</v>
      </c>
      <c r="F172" s="10" t="n">
        <f aca="false">'2026 Forecast C'!G100</f>
        <v>0.431441048034935</v>
      </c>
      <c r="G172" s="45" t="n">
        <f aca="false">(MAX(D172:F172)-MIN(D172:F172))*100</f>
        <v>0.524017467248911</v>
      </c>
      <c r="H172" s="46" t="n">
        <f aca="false">'2026 Forecast A'!L100</f>
        <v>3.10177225952004</v>
      </c>
      <c r="I172" s="46" t="n">
        <f aca="false">'2026 Forecast B'!L100</f>
        <v>3.01886595295714</v>
      </c>
      <c r="J172" s="46" t="n">
        <f aca="false">'2026 Forecast C'!L100</f>
        <v>3.27121843302961</v>
      </c>
      <c r="K172" s="18" t="n">
        <f aca="false">'2026 Forecast A'!F100</f>
        <v>1145</v>
      </c>
      <c r="L172" s="47" t="str">
        <f aca="false">IF(OR(AND(D172&gt;0.5,E172&gt;0.5,F172&gt;0.5),AND(D172&lt;0.5,E172&lt;0.5,F172&lt;0.5)),"Yes","No — toss-up")</f>
        <v>Yes</v>
      </c>
    </row>
  </sheetData>
  <mergeCells count="18">
    <mergeCell ref="A5:I5"/>
    <mergeCell ref="A9:I9"/>
    <mergeCell ref="A16:I16"/>
    <mergeCell ref="A29:J29"/>
    <mergeCell ref="A34:J34"/>
    <mergeCell ref="A36:L36"/>
    <mergeCell ref="A50:L50"/>
    <mergeCell ref="A52:L52"/>
    <mergeCell ref="A54:L54"/>
    <mergeCell ref="A56:L56"/>
    <mergeCell ref="A58:L58"/>
    <mergeCell ref="A70:L70"/>
    <mergeCell ref="A72:L72"/>
    <mergeCell ref="A74:L74"/>
    <mergeCell ref="A76:L76"/>
    <mergeCell ref="A78:L78"/>
    <mergeCell ref="A80:L80"/>
    <mergeCell ref="A82:L82"/>
  </mergeCells>
  <conditionalFormatting sqref="D84:F172">
    <cfRule type="colorScale" priority="2">
      <colorScale>
        <cfvo type="num" val="0.25"/>
        <cfvo type="num" val="0.5"/>
        <cfvo type="num" val="0.75"/>
        <color rgb="FFF4B6B6"/>
        <color rgb="FFFFFFFF"/>
        <color rgb="FFB4C7E7"/>
      </colorScale>
    </cfRule>
  </conditionalFormatting>
  <conditionalFormatting sqref="L84:L172">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118</v>
      </c>
    </row>
    <row r="2" customFormat="false" ht="15" hidden="false" customHeight="false" outlineLevel="0" collapsed="false">
      <c r="A2" s="2" t="s">
        <v>119</v>
      </c>
    </row>
    <row r="3" customFormat="false" ht="15" hidden="false" customHeight="false" outlineLevel="0" collapsed="false">
      <c r="A3" s="13" t="s">
        <v>120</v>
      </c>
      <c r="B3" s="13"/>
      <c r="C3" s="13"/>
      <c r="D3" s="13"/>
      <c r="E3" s="13"/>
      <c r="F3" s="13"/>
      <c r="G3" s="13"/>
      <c r="H3" s="13"/>
      <c r="I3" s="13"/>
    </row>
    <row r="4" customFormat="false" ht="15" hidden="false" customHeight="false" outlineLevel="0" collapsed="false">
      <c r="A4" s="0" t="s">
        <v>121</v>
      </c>
      <c r="B4" s="0" t="s">
        <v>122</v>
      </c>
      <c r="C4" s="0" t="s">
        <v>123</v>
      </c>
      <c r="D4" s="48" t="n">
        <v>46300</v>
      </c>
      <c r="E4" s="49" t="s">
        <v>124</v>
      </c>
      <c r="F4" s="49" t="s">
        <v>125</v>
      </c>
      <c r="G4" s="49" t="s">
        <v>126</v>
      </c>
      <c r="H4" s="49" t="s">
        <v>127</v>
      </c>
    </row>
    <row r="5" customFormat="false" ht="15" hidden="false" customHeight="false" outlineLevel="0" collapsed="false">
      <c r="A5" s="0" t="s">
        <v>128</v>
      </c>
      <c r="B5" s="50" t="n">
        <f aca="false">'Scenario &amp; Comparison'!$C$6</f>
        <v>0.498309819554836</v>
      </c>
      <c r="C5" s="49" t="s">
        <v>129</v>
      </c>
      <c r="D5" s="51" t="n">
        <f aca="false">B5-SUMPRODUCT(R12:R100,S12:S100)/SUM(S12:S100)/100</f>
        <v>0.425229619002027</v>
      </c>
      <c r="E5" s="49" t="s">
        <v>130</v>
      </c>
      <c r="F5" s="52" t="n">
        <f aca="false">'Scenario &amp; Comparison'!$C$7</f>
        <v>1</v>
      </c>
    </row>
    <row r="6" customFormat="false" ht="15" hidden="false" customHeight="false" outlineLevel="0" collapsed="false">
      <c r="A6" s="4" t="s">
        <v>131</v>
      </c>
      <c r="B6" s="4"/>
      <c r="C6" s="4"/>
      <c r="D6" s="4"/>
      <c r="E6" s="4"/>
      <c r="F6" s="4"/>
      <c r="G6" s="4"/>
      <c r="H6" s="4"/>
      <c r="I6" s="4"/>
      <c r="J6" s="4"/>
      <c r="K6" s="4"/>
      <c r="L6" s="4"/>
      <c r="M6" s="4"/>
      <c r="N6" s="4"/>
      <c r="O6" s="4"/>
      <c r="P6" s="4"/>
    </row>
    <row r="7" customFormat="false" ht="45" hidden="false" customHeight="true" outlineLevel="0" collapsed="false">
      <c r="A7" s="8" t="s">
        <v>132</v>
      </c>
      <c r="B7" s="8" t="s">
        <v>133</v>
      </c>
      <c r="C7" s="8" t="s">
        <v>134</v>
      </c>
      <c r="D7" s="8" t="s">
        <v>36</v>
      </c>
      <c r="E7" s="8" t="s">
        <v>37</v>
      </c>
      <c r="F7" s="8" t="s">
        <v>38</v>
      </c>
      <c r="G7" s="8" t="s">
        <v>39</v>
      </c>
      <c r="H7" s="8" t="s">
        <v>135</v>
      </c>
      <c r="I7" s="8" t="s">
        <v>136</v>
      </c>
      <c r="J7" s="8" t="s">
        <v>137</v>
      </c>
      <c r="K7" s="8" t="s">
        <v>138</v>
      </c>
      <c r="L7" s="8" t="s">
        <v>139</v>
      </c>
      <c r="M7" s="8" t="s">
        <v>140</v>
      </c>
      <c r="N7" s="8" t="s">
        <v>141</v>
      </c>
      <c r="O7" s="8" t="s">
        <v>142</v>
      </c>
      <c r="P7" s="8" t="s">
        <v>143</v>
      </c>
    </row>
    <row r="8" customFormat="false" ht="15" hidden="false" customHeight="false" outlineLevel="0" collapsed="false">
      <c r="A8" s="20" t="s">
        <v>144</v>
      </c>
      <c r="B8" s="20" t="s">
        <v>145</v>
      </c>
      <c r="C8" s="20"/>
      <c r="D8" s="53" t="n">
        <f aca="false">SUM(D12:D100)</f>
        <v>152551</v>
      </c>
      <c r="E8" s="53" t="n">
        <f aca="false">SUM(E12:E100)</f>
        <v>153578</v>
      </c>
      <c r="F8" s="53" t="n">
        <f aca="false">D8+E8</f>
        <v>306129</v>
      </c>
      <c r="G8" s="54" t="n">
        <f aca="false">IF(F8=0,"",D8/F8)</f>
        <v>0.498322602562972</v>
      </c>
      <c r="H8" s="54" t="n">
        <f aca="false">IF(F8=0,"",E8/F8)</f>
        <v>0.501677397437028</v>
      </c>
      <c r="I8" s="20" t="s">
        <v>146</v>
      </c>
      <c r="J8" s="55" t="n">
        <v>0</v>
      </c>
      <c r="K8" s="55" t="n">
        <v>1.27505696797933</v>
      </c>
      <c r="L8" s="55" t="n">
        <f aca="false">SQRT(J8^2+K8^2)</f>
        <v>1.27505696797933</v>
      </c>
      <c r="M8" s="54" t="n">
        <f aca="false">G8-1.96*L8/100</f>
        <v>0.473331485990577</v>
      </c>
      <c r="N8" s="54" t="n">
        <f aca="false">G8+1.96*L8/100</f>
        <v>0.523313719135367</v>
      </c>
      <c r="O8" s="53" t="n">
        <f aca="false">ROUND(F8*0.04363,0)</f>
        <v>13356</v>
      </c>
      <c r="P8" s="53" t="n">
        <f aca="false">ROUND(SQRT((F8*L8/100)^2+(G8*O8)^2),0)</f>
        <v>7716</v>
      </c>
    </row>
    <row r="9" customFormat="false" ht="15" hidden="false" customHeight="false" outlineLevel="0" collapsed="false">
      <c r="A9" s="13" t="s">
        <v>147</v>
      </c>
      <c r="B9" s="13"/>
      <c r="C9" s="13"/>
      <c r="D9" s="13"/>
      <c r="E9" s="13"/>
      <c r="F9" s="13"/>
      <c r="G9" s="13"/>
      <c r="H9" s="13"/>
      <c r="I9" s="13"/>
      <c r="J9" s="13"/>
      <c r="K9" s="13"/>
      <c r="L9" s="13"/>
      <c r="M9" s="13"/>
      <c r="N9" s="13"/>
      <c r="O9" s="13"/>
      <c r="P9" s="13"/>
    </row>
    <row r="10" customFormat="false" ht="15" hidden="false" customHeight="false" outlineLevel="0" collapsed="false">
      <c r="A10" s="4" t="s">
        <v>148</v>
      </c>
      <c r="B10" s="4"/>
      <c r="C10" s="4"/>
      <c r="D10" s="4"/>
      <c r="E10" s="4"/>
      <c r="F10" s="4"/>
      <c r="G10" s="4"/>
      <c r="H10" s="4"/>
      <c r="I10" s="4"/>
      <c r="J10" s="4"/>
      <c r="K10" s="4"/>
      <c r="L10" s="4"/>
      <c r="M10" s="4"/>
      <c r="N10" s="4"/>
      <c r="O10" s="4"/>
      <c r="P10" s="4"/>
      <c r="R10" s="56" t="s">
        <v>149</v>
      </c>
      <c r="S10" s="57"/>
      <c r="T10" s="57"/>
      <c r="U10" s="57"/>
      <c r="V10" s="57"/>
      <c r="W10" s="57"/>
      <c r="X10" s="57"/>
      <c r="Y10" s="57"/>
    </row>
    <row r="11" customFormat="false" ht="31.5" hidden="false" customHeight="true" outlineLevel="0" collapsed="false">
      <c r="A11" s="8" t="s">
        <v>110</v>
      </c>
      <c r="B11" s="8" t="s">
        <v>111</v>
      </c>
      <c r="C11" s="8" t="s">
        <v>112</v>
      </c>
      <c r="D11" s="8" t="s">
        <v>36</v>
      </c>
      <c r="E11" s="8" t="s">
        <v>37</v>
      </c>
      <c r="F11" s="8" t="s">
        <v>38</v>
      </c>
      <c r="G11" s="8" t="s">
        <v>39</v>
      </c>
      <c r="H11" s="8" t="s">
        <v>135</v>
      </c>
      <c r="I11" s="8" t="s">
        <v>150</v>
      </c>
      <c r="J11" s="8" t="s">
        <v>137</v>
      </c>
      <c r="K11" s="8" t="s">
        <v>138</v>
      </c>
      <c r="L11" s="8" t="s">
        <v>139</v>
      </c>
      <c r="M11" s="8" t="s">
        <v>140</v>
      </c>
      <c r="N11" s="8" t="s">
        <v>141</v>
      </c>
      <c r="O11" s="8" t="s">
        <v>142</v>
      </c>
      <c r="P11" s="8" t="s">
        <v>143</v>
      </c>
      <c r="R11" s="58" t="s">
        <v>151</v>
      </c>
      <c r="S11" s="58" t="s">
        <v>152</v>
      </c>
      <c r="T11" s="58" t="s">
        <v>153</v>
      </c>
      <c r="U11" s="58" t="s">
        <v>154</v>
      </c>
      <c r="V11" s="58" t="s">
        <v>155</v>
      </c>
      <c r="W11" s="58" t="s">
        <v>156</v>
      </c>
      <c r="X11" s="58" t="s">
        <v>157</v>
      </c>
      <c r="Y11" s="58" t="s">
        <v>158</v>
      </c>
    </row>
    <row r="12" customFormat="false" ht="15" hidden="false" customHeight="false" outlineLevel="0" collapsed="false">
      <c r="A12" s="32" t="s">
        <v>159</v>
      </c>
      <c r="B12" s="32" t="s">
        <v>160</v>
      </c>
      <c r="C12" s="32" t="s">
        <v>161</v>
      </c>
      <c r="D12" s="59" t="n">
        <f aca="false">ROUND(S12*T12,0)</f>
        <v>139</v>
      </c>
      <c r="E12" s="59" t="n">
        <f aca="false">ROUND(S12,0)-D12</f>
        <v>225</v>
      </c>
      <c r="F12" s="59" t="n">
        <f aca="false">IF(COUNTA(D12:E12)=0,"",SUM(D12:E12))</f>
        <v>364</v>
      </c>
      <c r="G12" s="40" t="n">
        <f aca="false">IF(OR(F12="",F12=0),"",D12/F12)</f>
        <v>0.381868131868132</v>
      </c>
      <c r="H12" s="40" t="n">
        <f aca="false">IF(OR(F12="",F12=0),"",E12/F12)</f>
        <v>0.618131868131868</v>
      </c>
      <c r="I12" s="32" t="s">
        <v>162</v>
      </c>
      <c r="J12" s="36" t="n">
        <v>2.82758216119982</v>
      </c>
      <c r="K12" s="36" t="n">
        <f aca="false">$K$8</f>
        <v>1.27505696797933</v>
      </c>
      <c r="L12" s="36" t="n">
        <f aca="false">SQRT(J12^2+K12^2)</f>
        <v>3.10177225952004</v>
      </c>
      <c r="M12" s="40" t="n">
        <f aca="false">IF(G12="","",MAX(0,G12-1.96*L12/100))</f>
        <v>0.321073395581539</v>
      </c>
      <c r="N12" s="40" t="n">
        <f aca="false">IF(G12="","",MIN(1,G12+1.96*L12/100))</f>
        <v>0.442662868154725</v>
      </c>
      <c r="O12" s="59" t="n">
        <f aca="false">ROUND(S12*W12,0)</f>
        <v>28</v>
      </c>
      <c r="P12" s="59" t="n">
        <f aca="false">IF(F12="","",ROUND(SQRT((F12*L12/100)^2+(G12*O12)^2),0))</f>
        <v>16</v>
      </c>
      <c r="R12" s="60" t="n">
        <v>-4.36445125609278</v>
      </c>
      <c r="S12" s="61" t="n">
        <f aca="false">U12*V12*$F$5</f>
        <v>364.490963855422</v>
      </c>
      <c r="T12" s="62" t="n">
        <f aca="false">MAX(0,MIN(1,R12/100+$D$5))</f>
        <v>0.381585106441099</v>
      </c>
      <c r="U12" s="62" t="n">
        <v>0.581325301204819</v>
      </c>
      <c r="V12" s="61" t="n">
        <v>627</v>
      </c>
      <c r="W12" s="62" t="n">
        <v>0.0777040344688333</v>
      </c>
      <c r="X12" s="63" t="s">
        <v>163</v>
      </c>
      <c r="Y12" s="63" t="s">
        <v>164</v>
      </c>
    </row>
    <row r="13" customFormat="false" ht="15" hidden="false" customHeight="false" outlineLevel="0" collapsed="false">
      <c r="A13" s="32" t="s">
        <v>159</v>
      </c>
      <c r="B13" s="32" t="s">
        <v>165</v>
      </c>
      <c r="C13" s="32" t="s">
        <v>161</v>
      </c>
      <c r="D13" s="59" t="n">
        <f aca="false">ROUND(S13*T13,0)</f>
        <v>98</v>
      </c>
      <c r="E13" s="59" t="n">
        <f aca="false">ROUND(S13,0)-D13</f>
        <v>232</v>
      </c>
      <c r="F13" s="59" t="n">
        <f aca="false">IF(COUNTA(D13:E13)=0,"",SUM(D13:E13))</f>
        <v>330</v>
      </c>
      <c r="G13" s="40" t="n">
        <f aca="false">IF(OR(F13="",F13=0),"",D13/F13)</f>
        <v>0.296969696969697</v>
      </c>
      <c r="H13" s="40" t="n">
        <f aca="false">IF(OR(F13="",F13=0),"",E13/F13)</f>
        <v>0.703030303030303</v>
      </c>
      <c r="I13" s="32" t="s">
        <v>162</v>
      </c>
      <c r="J13" s="36" t="n">
        <v>2.82758216119982</v>
      </c>
      <c r="K13" s="36" t="n">
        <f aca="false">$K$8</f>
        <v>1.27505696797933</v>
      </c>
      <c r="L13" s="36" t="n">
        <f aca="false">SQRT(J13^2+K13^2)</f>
        <v>3.10177225952004</v>
      </c>
      <c r="M13" s="40" t="n">
        <f aca="false">IF(G13="","",MAX(0,G13-1.96*L13/100))</f>
        <v>0.236174960683104</v>
      </c>
      <c r="N13" s="40" t="n">
        <f aca="false">IF(G13="","",MIN(1,G13+1.96*L13/100))</f>
        <v>0.35776443325629</v>
      </c>
      <c r="O13" s="59" t="n">
        <f aca="false">ROUND(S13*W13,0)</f>
        <v>26</v>
      </c>
      <c r="P13" s="59" t="n">
        <f aca="false">IF(F13="","",ROUND(SQRT((F13*L13/100)^2+(G13*O13)^2),0))</f>
        <v>13</v>
      </c>
      <c r="R13" s="60" t="n">
        <v>-12.8161212462476</v>
      </c>
      <c r="S13" s="61" t="n">
        <f aca="false">U13*V13*$F$5</f>
        <v>330.130136986301</v>
      </c>
      <c r="T13" s="62" t="n">
        <f aca="false">MAX(0,MIN(1,R13/100+$D$5))</f>
        <v>0.297068406539551</v>
      </c>
      <c r="U13" s="62" t="n">
        <v>0.537671232876712</v>
      </c>
      <c r="V13" s="61" t="n">
        <v>614</v>
      </c>
      <c r="W13" s="62" t="n">
        <v>0.0777040344688333</v>
      </c>
      <c r="X13" s="63" t="s">
        <v>163</v>
      </c>
      <c r="Y13" s="63" t="s">
        <v>164</v>
      </c>
    </row>
    <row r="14" customFormat="false" ht="15" hidden="false" customHeight="false" outlineLevel="0" collapsed="false">
      <c r="A14" s="32" t="s">
        <v>159</v>
      </c>
      <c r="B14" s="32" t="s">
        <v>166</v>
      </c>
      <c r="C14" s="32" t="s">
        <v>161</v>
      </c>
      <c r="D14" s="59" t="n">
        <f aca="false">ROUND(S14*T14,0)</f>
        <v>120</v>
      </c>
      <c r="E14" s="59" t="n">
        <f aca="false">ROUND(S14,0)-D14</f>
        <v>236</v>
      </c>
      <c r="F14" s="59" t="n">
        <f aca="false">IF(COUNTA(D14:E14)=0,"",SUM(D14:E14))</f>
        <v>356</v>
      </c>
      <c r="G14" s="40" t="n">
        <f aca="false">IF(OR(F14="",F14=0),"",D14/F14)</f>
        <v>0.337078651685393</v>
      </c>
      <c r="H14" s="40" t="n">
        <f aca="false">IF(OR(F14="",F14=0),"",E14/F14)</f>
        <v>0.662921348314607</v>
      </c>
      <c r="I14" s="32" t="s">
        <v>162</v>
      </c>
      <c r="J14" s="36" t="n">
        <v>2.82758216119982</v>
      </c>
      <c r="K14" s="36" t="n">
        <f aca="false">$K$8</f>
        <v>1.27505696797933</v>
      </c>
      <c r="L14" s="36" t="n">
        <f aca="false">SQRT(J14^2+K14^2)</f>
        <v>3.10177225952004</v>
      </c>
      <c r="M14" s="40" t="n">
        <f aca="false">IF(G14="","",MAX(0,G14-1.96*L14/100))</f>
        <v>0.276283915398801</v>
      </c>
      <c r="N14" s="40" t="n">
        <f aca="false">IF(G14="","",MIN(1,G14+1.96*L14/100))</f>
        <v>0.397873387971986</v>
      </c>
      <c r="O14" s="59" t="n">
        <f aca="false">ROUND(S14*W14,0)</f>
        <v>28</v>
      </c>
      <c r="P14" s="59" t="n">
        <f aca="false">IF(F14="","",ROUND(SQRT((F14*L14/100)^2+(G14*O14)^2),0))</f>
        <v>15</v>
      </c>
      <c r="R14" s="60" t="n">
        <v>-8.8130031354795</v>
      </c>
      <c r="S14" s="61" t="n">
        <f aca="false">U14*V14*$F$5</f>
        <v>355.63436928702</v>
      </c>
      <c r="T14" s="62" t="n">
        <f aca="false">MAX(0,MIN(1,R14/100+$D$5))</f>
        <v>0.337099587647232</v>
      </c>
      <c r="U14" s="62" t="n">
        <v>0.636197440585009</v>
      </c>
      <c r="V14" s="61" t="n">
        <v>559</v>
      </c>
      <c r="W14" s="62" t="n">
        <v>0.0777040344688333</v>
      </c>
      <c r="X14" s="63" t="s">
        <v>163</v>
      </c>
      <c r="Y14" s="63" t="s">
        <v>164</v>
      </c>
    </row>
    <row r="15" customFormat="false" ht="15" hidden="false" customHeight="false" outlineLevel="0" collapsed="false">
      <c r="A15" s="32" t="s">
        <v>159</v>
      </c>
      <c r="B15" s="32" t="s">
        <v>167</v>
      </c>
      <c r="C15" s="32" t="s">
        <v>161</v>
      </c>
      <c r="D15" s="59" t="n">
        <f aca="false">ROUND(S15*T15,0)</f>
        <v>375</v>
      </c>
      <c r="E15" s="59" t="n">
        <f aca="false">ROUND(S15,0)-D15</f>
        <v>960</v>
      </c>
      <c r="F15" s="59" t="n">
        <f aca="false">IF(COUNTA(D15:E15)=0,"",SUM(D15:E15))</f>
        <v>1335</v>
      </c>
      <c r="G15" s="40" t="n">
        <f aca="false">IF(OR(F15="",F15=0),"",D15/F15)</f>
        <v>0.280898876404494</v>
      </c>
      <c r="H15" s="40" t="n">
        <f aca="false">IF(OR(F15="",F15=0),"",E15/F15)</f>
        <v>0.719101123595506</v>
      </c>
      <c r="I15" s="32" t="s">
        <v>162</v>
      </c>
      <c r="J15" s="36" t="n">
        <v>1.47282364643495</v>
      </c>
      <c r="K15" s="36" t="n">
        <f aca="false">$K$8</f>
        <v>1.27505696797933</v>
      </c>
      <c r="L15" s="36" t="n">
        <f aca="false">SQRT(J15^2+K15^2)</f>
        <v>1.94807078030819</v>
      </c>
      <c r="M15" s="40" t="n">
        <f aca="false">IF(G15="","",MAX(0,G15-1.96*L15/100))</f>
        <v>0.242716689110454</v>
      </c>
      <c r="N15" s="40" t="n">
        <f aca="false">IF(G15="","",MIN(1,G15+1.96*L15/100))</f>
        <v>0.319081063698535</v>
      </c>
      <c r="O15" s="59" t="n">
        <f aca="false">ROUND(S15*W15,0)</f>
        <v>81</v>
      </c>
      <c r="P15" s="59" t="n">
        <f aca="false">IF(F15="","",ROUND(SQRT((F15*L15/100)^2+(G15*O15)^2),0))</f>
        <v>35</v>
      </c>
      <c r="R15" s="60" t="n">
        <v>-14.4157782566539</v>
      </c>
      <c r="S15" s="61" t="n">
        <f aca="false">U15*V15*$F$5</f>
        <v>1334.82101558572</v>
      </c>
      <c r="T15" s="62" t="n">
        <f aca="false">MAX(0,MIN(1,R15/100+$D$5))</f>
        <v>0.281071836435488</v>
      </c>
      <c r="U15" s="62" t="n">
        <v>0.652086475615887</v>
      </c>
      <c r="V15" s="61" t="n">
        <v>2047</v>
      </c>
      <c r="W15" s="62" t="n">
        <v>0.0606122259008943</v>
      </c>
      <c r="X15" s="63" t="s">
        <v>168</v>
      </c>
      <c r="Y15" s="63" t="s">
        <v>164</v>
      </c>
    </row>
    <row r="16" customFormat="false" ht="15" hidden="false" customHeight="false" outlineLevel="0" collapsed="false">
      <c r="A16" s="32" t="s">
        <v>159</v>
      </c>
      <c r="B16" s="32" t="s">
        <v>169</v>
      </c>
      <c r="C16" s="32" t="s">
        <v>161</v>
      </c>
      <c r="D16" s="59" t="n">
        <f aca="false">ROUND(S16*T16,0)</f>
        <v>33</v>
      </c>
      <c r="E16" s="59" t="n">
        <f aca="false">ROUND(S16,0)-D16</f>
        <v>60</v>
      </c>
      <c r="F16" s="59" t="n">
        <f aca="false">IF(COUNTA(D16:E16)=0,"",SUM(D16:E16))</f>
        <v>93</v>
      </c>
      <c r="G16" s="40" t="n">
        <f aca="false">IF(OR(F16="",F16=0),"",D16/F16)</f>
        <v>0.354838709677419</v>
      </c>
      <c r="H16" s="40" t="n">
        <f aca="false">IF(OR(F16="",F16=0),"",E16/F16)</f>
        <v>0.645161290322581</v>
      </c>
      <c r="I16" s="32" t="s">
        <v>162</v>
      </c>
      <c r="J16" s="36" t="n">
        <v>2.82758216119982</v>
      </c>
      <c r="K16" s="36" t="n">
        <f aca="false">$K$8</f>
        <v>1.27505696797933</v>
      </c>
      <c r="L16" s="36" t="n">
        <f aca="false">SQRT(J16^2+K16^2)</f>
        <v>3.10177225952004</v>
      </c>
      <c r="M16" s="40" t="n">
        <f aca="false">IF(G16="","",MAX(0,G16-1.96*L16/100))</f>
        <v>0.294043973390827</v>
      </c>
      <c r="N16" s="40" t="n">
        <f aca="false">IF(G16="","",MIN(1,G16+1.96*L16/100))</f>
        <v>0.415633445964012</v>
      </c>
      <c r="O16" s="59" t="n">
        <f aca="false">ROUND(S16*W16,0)</f>
        <v>7</v>
      </c>
      <c r="P16" s="59" t="n">
        <f aca="false">IF(F16="","",ROUND(SQRT((F16*L16/100)^2+(G16*O16)^2),0))</f>
        <v>4</v>
      </c>
      <c r="R16" s="60" t="n">
        <v>-7.27427745030853</v>
      </c>
      <c r="S16" s="61" t="n">
        <f aca="false">U16*V16*$F$5</f>
        <v>93.4268292682927</v>
      </c>
      <c r="T16" s="62" t="n">
        <f aca="false">MAX(0,MIN(1,R16/100+$D$5))</f>
        <v>0.352486844498941</v>
      </c>
      <c r="U16" s="62" t="n">
        <v>0.573170731707317</v>
      </c>
      <c r="V16" s="61" t="n">
        <v>163</v>
      </c>
      <c r="W16" s="62" t="n">
        <v>0.0777040344688333</v>
      </c>
      <c r="X16" s="63" t="s">
        <v>163</v>
      </c>
      <c r="Y16" s="63" t="s">
        <v>164</v>
      </c>
    </row>
    <row r="17" customFormat="false" ht="15" hidden="false" customHeight="false" outlineLevel="0" collapsed="false">
      <c r="A17" s="32" t="s">
        <v>159</v>
      </c>
      <c r="B17" s="32" t="s">
        <v>170</v>
      </c>
      <c r="C17" s="32" t="s">
        <v>161</v>
      </c>
      <c r="D17" s="59" t="n">
        <f aca="false">ROUND(S17*T17,0)</f>
        <v>577</v>
      </c>
      <c r="E17" s="59" t="n">
        <f aca="false">ROUND(S17,0)-D17</f>
        <v>1405</v>
      </c>
      <c r="F17" s="59" t="n">
        <f aca="false">IF(COUNTA(D17:E17)=0,"",SUM(D17:E17))</f>
        <v>1982</v>
      </c>
      <c r="G17" s="40" t="n">
        <f aca="false">IF(OR(F17="",F17=0),"",D17/F17)</f>
        <v>0.291120080726539</v>
      </c>
      <c r="H17" s="40" t="n">
        <f aca="false">IF(OR(F17="",F17=0),"",E17/F17)</f>
        <v>0.708879919273461</v>
      </c>
      <c r="I17" s="32" t="s">
        <v>162</v>
      </c>
      <c r="J17" s="36" t="n">
        <v>1.47282364643495</v>
      </c>
      <c r="K17" s="36" t="n">
        <f aca="false">$K$8</f>
        <v>1.27505696797933</v>
      </c>
      <c r="L17" s="36" t="n">
        <f aca="false">SQRT(J17^2+K17^2)</f>
        <v>1.94807078030819</v>
      </c>
      <c r="M17" s="40" t="n">
        <f aca="false">IF(G17="","",MAX(0,G17-1.96*L17/100))</f>
        <v>0.252937893432498</v>
      </c>
      <c r="N17" s="40" t="n">
        <f aca="false">IF(G17="","",MIN(1,G17+1.96*L17/100))</f>
        <v>0.329302268020579</v>
      </c>
      <c r="O17" s="59" t="n">
        <f aca="false">ROUND(S17*W17,0)</f>
        <v>120</v>
      </c>
      <c r="P17" s="59" t="n">
        <f aca="false">IF(F17="","",ROUND(SQRT((F17*L17/100)^2+(G17*O17)^2),0))</f>
        <v>52</v>
      </c>
      <c r="R17" s="60" t="n">
        <v>-13.4093803743718</v>
      </c>
      <c r="S17" s="61" t="n">
        <f aca="false">U17*V17*$F$5</f>
        <v>1982.00903517264</v>
      </c>
      <c r="T17" s="62" t="n">
        <f aca="false">MAX(0,MIN(1,R17/100+$D$5))</f>
        <v>0.291135815258309</v>
      </c>
      <c r="U17" s="62" t="n">
        <v>0.631816715069377</v>
      </c>
      <c r="V17" s="61" t="n">
        <v>3137</v>
      </c>
      <c r="W17" s="62" t="n">
        <v>0.0606122259008943</v>
      </c>
      <c r="X17" s="63" t="s">
        <v>168</v>
      </c>
      <c r="Y17" s="63" t="s">
        <v>164</v>
      </c>
    </row>
    <row r="18" customFormat="false" ht="15" hidden="false" customHeight="false" outlineLevel="0" collapsed="false">
      <c r="A18" s="32" t="s">
        <v>159</v>
      </c>
      <c r="B18" s="32" t="s">
        <v>171</v>
      </c>
      <c r="C18" s="32" t="s">
        <v>161</v>
      </c>
      <c r="D18" s="59" t="n">
        <f aca="false">ROUND(S18*T18,0)</f>
        <v>923</v>
      </c>
      <c r="E18" s="59" t="n">
        <f aca="false">ROUND(S18,0)-D18</f>
        <v>1185</v>
      </c>
      <c r="F18" s="59" t="n">
        <f aca="false">IF(COUNTA(D18:E18)=0,"",SUM(D18:E18))</f>
        <v>2108</v>
      </c>
      <c r="G18" s="40" t="n">
        <f aca="false">IF(OR(F18="",F18=0),"",D18/F18)</f>
        <v>0.437855787476281</v>
      </c>
      <c r="H18" s="40" t="n">
        <f aca="false">IF(OR(F18="",F18=0),"",E18/F18)</f>
        <v>0.562144212523719</v>
      </c>
      <c r="I18" s="32" t="s">
        <v>162</v>
      </c>
      <c r="J18" s="36" t="n">
        <v>1.47282364643495</v>
      </c>
      <c r="K18" s="36" t="n">
        <f aca="false">$K$8</f>
        <v>1.27505696797933</v>
      </c>
      <c r="L18" s="36" t="n">
        <f aca="false">SQRT(J18^2+K18^2)</f>
        <v>1.94807078030819</v>
      </c>
      <c r="M18" s="40" t="n">
        <f aca="false">IF(G18="","",MAX(0,G18-1.96*L18/100))</f>
        <v>0.39967360018224</v>
      </c>
      <c r="N18" s="40" t="n">
        <f aca="false">IF(G18="","",MIN(1,G18+1.96*L18/100))</f>
        <v>0.476037974770321</v>
      </c>
      <c r="O18" s="59" t="n">
        <f aca="false">ROUND(S18*W18,0)</f>
        <v>128</v>
      </c>
      <c r="P18" s="59" t="n">
        <f aca="false">IF(F18="","",ROUND(SQRT((F18*L18/100)^2+(G18*O18)^2),0))</f>
        <v>69</v>
      </c>
      <c r="R18" s="60" t="n">
        <v>1.27902631725225</v>
      </c>
      <c r="S18" s="61" t="n">
        <f aca="false">U18*V18*$F$5</f>
        <v>2107.72563176895</v>
      </c>
      <c r="T18" s="62" t="n">
        <f aca="false">MAX(0,MIN(1,R18/100+$D$5))</f>
        <v>0.438019882174549</v>
      </c>
      <c r="U18" s="62" t="n">
        <v>0.642599277978339</v>
      </c>
      <c r="V18" s="61" t="n">
        <v>3280</v>
      </c>
      <c r="W18" s="62" t="n">
        <v>0.0606122259008943</v>
      </c>
      <c r="X18" s="63" t="s">
        <v>168</v>
      </c>
      <c r="Y18" s="63" t="s">
        <v>164</v>
      </c>
    </row>
    <row r="19" customFormat="false" ht="15" hidden="false" customHeight="false" outlineLevel="0" collapsed="false">
      <c r="A19" s="32" t="s">
        <v>159</v>
      </c>
      <c r="B19" s="32" t="s">
        <v>172</v>
      </c>
      <c r="C19" s="32" t="s">
        <v>161</v>
      </c>
      <c r="D19" s="59" t="n">
        <f aca="false">ROUND(S19*T19,0)</f>
        <v>278</v>
      </c>
      <c r="E19" s="59" t="n">
        <f aca="false">ROUND(S19,0)-D19</f>
        <v>527</v>
      </c>
      <c r="F19" s="59" t="n">
        <f aca="false">IF(COUNTA(D19:E19)=0,"",SUM(D19:E19))</f>
        <v>805</v>
      </c>
      <c r="G19" s="40" t="n">
        <f aca="false">IF(OR(F19="",F19=0),"",D19/F19)</f>
        <v>0.345341614906832</v>
      </c>
      <c r="H19" s="40" t="n">
        <f aca="false">IF(OR(F19="",F19=0),"",E19/F19)</f>
        <v>0.654658385093168</v>
      </c>
      <c r="I19" s="32" t="s">
        <v>162</v>
      </c>
      <c r="J19" s="36" t="n">
        <v>2.82758216119982</v>
      </c>
      <c r="K19" s="36" t="n">
        <f aca="false">$K$8</f>
        <v>1.27505696797933</v>
      </c>
      <c r="L19" s="36" t="n">
        <f aca="false">SQRT(J19^2+K19^2)</f>
        <v>3.10177225952004</v>
      </c>
      <c r="M19" s="40" t="n">
        <f aca="false">IF(G19="","",MAX(0,G19-1.96*L19/100))</f>
        <v>0.28454687862024</v>
      </c>
      <c r="N19" s="40" t="n">
        <f aca="false">IF(G19="","",MIN(1,G19+1.96*L19/100))</f>
        <v>0.406136351193425</v>
      </c>
      <c r="O19" s="59" t="n">
        <f aca="false">ROUND(S19*W19,0)</f>
        <v>63</v>
      </c>
      <c r="P19" s="59" t="n">
        <f aca="false">IF(F19="","",ROUND(SQRT((F19*L19/100)^2+(G19*O19)^2),0))</f>
        <v>33</v>
      </c>
      <c r="R19" s="60" t="n">
        <v>-7.98619494302291</v>
      </c>
      <c r="S19" s="61" t="n">
        <f aca="false">U19*V19*$F$5</f>
        <v>804.850331125828</v>
      </c>
      <c r="T19" s="62" t="n">
        <f aca="false">MAX(0,MIN(1,R19/100+$D$5))</f>
        <v>0.345367669571797</v>
      </c>
      <c r="U19" s="62" t="n">
        <v>0.554304635761589</v>
      </c>
      <c r="V19" s="61" t="n">
        <v>1452</v>
      </c>
      <c r="W19" s="62" t="n">
        <v>0.0777040344688333</v>
      </c>
      <c r="X19" s="63" t="s">
        <v>163</v>
      </c>
      <c r="Y19" s="63" t="s">
        <v>164</v>
      </c>
    </row>
    <row r="20" customFormat="false" ht="15" hidden="false" customHeight="false" outlineLevel="0" collapsed="false">
      <c r="A20" s="32" t="s">
        <v>159</v>
      </c>
      <c r="B20" s="32" t="s">
        <v>173</v>
      </c>
      <c r="C20" s="32" t="s">
        <v>161</v>
      </c>
      <c r="D20" s="59" t="n">
        <f aca="false">ROUND(S20*T20,0)</f>
        <v>451</v>
      </c>
      <c r="E20" s="59" t="n">
        <f aca="false">ROUND(S20,0)-D20</f>
        <v>632</v>
      </c>
      <c r="F20" s="59" t="n">
        <f aca="false">IF(COUNTA(D20:E20)=0,"",SUM(D20:E20))</f>
        <v>1083</v>
      </c>
      <c r="G20" s="40" t="n">
        <f aca="false">IF(OR(F20="",F20=0),"",D20/F20)</f>
        <v>0.416435826408126</v>
      </c>
      <c r="H20" s="40" t="n">
        <f aca="false">IF(OR(F20="",F20=0),"",E20/F20)</f>
        <v>0.583564173591874</v>
      </c>
      <c r="I20" s="32" t="s">
        <v>162</v>
      </c>
      <c r="J20" s="36" t="n">
        <v>2.82758216119982</v>
      </c>
      <c r="K20" s="36" t="n">
        <f aca="false">$K$8</f>
        <v>1.27505696797933</v>
      </c>
      <c r="L20" s="36" t="n">
        <f aca="false">SQRT(J20^2+K20^2)</f>
        <v>3.10177225952004</v>
      </c>
      <c r="M20" s="40" t="n">
        <f aca="false">IF(G20="","",MAX(0,G20-1.96*L20/100))</f>
        <v>0.355641090121533</v>
      </c>
      <c r="N20" s="40" t="n">
        <f aca="false">IF(G20="","",MIN(1,G20+1.96*L20/100))</f>
        <v>0.477230562694718</v>
      </c>
      <c r="O20" s="59" t="n">
        <f aca="false">ROUND(S20*W20,0)</f>
        <v>84</v>
      </c>
      <c r="P20" s="59" t="n">
        <f aca="false">IF(F20="","",ROUND(SQRT((F20*L20/100)^2+(G20*O20)^2),0))</f>
        <v>48</v>
      </c>
      <c r="R20" s="60" t="n">
        <v>-0.857854360785832</v>
      </c>
      <c r="S20" s="61" t="n">
        <f aca="false">U20*V20*$F$5</f>
        <v>1083.4829443447</v>
      </c>
      <c r="T20" s="62" t="n">
        <f aca="false">MAX(0,MIN(1,R20/100+$D$5))</f>
        <v>0.416651075394168</v>
      </c>
      <c r="U20" s="62" t="n">
        <v>0.448833034111311</v>
      </c>
      <c r="V20" s="61" t="n">
        <v>2414</v>
      </c>
      <c r="W20" s="62" t="n">
        <v>0.0777040344688333</v>
      </c>
      <c r="X20" s="63" t="s">
        <v>163</v>
      </c>
      <c r="Y20" s="63" t="s">
        <v>164</v>
      </c>
    </row>
    <row r="21" customFormat="false" ht="15" hidden="false" customHeight="false" outlineLevel="0" collapsed="false">
      <c r="A21" s="32" t="s">
        <v>159</v>
      </c>
      <c r="B21" s="32" t="s">
        <v>174</v>
      </c>
      <c r="C21" s="32" t="s">
        <v>161</v>
      </c>
      <c r="D21" s="59" t="n">
        <f aca="false">ROUND(S21*T21,0)</f>
        <v>33</v>
      </c>
      <c r="E21" s="59" t="n">
        <f aca="false">ROUND(S21,0)-D21</f>
        <v>85</v>
      </c>
      <c r="F21" s="59" t="n">
        <f aca="false">IF(COUNTA(D21:E21)=0,"",SUM(D21:E21))</f>
        <v>118</v>
      </c>
      <c r="G21" s="40" t="n">
        <f aca="false">IF(OR(F21="",F21=0),"",D21/F21)</f>
        <v>0.279661016949153</v>
      </c>
      <c r="H21" s="40" t="n">
        <f aca="false">IF(OR(F21="",F21=0),"",E21/F21)</f>
        <v>0.720338983050847</v>
      </c>
      <c r="I21" s="32" t="s">
        <v>162</v>
      </c>
      <c r="J21" s="36" t="n">
        <v>2.82758216119982</v>
      </c>
      <c r="K21" s="36" t="n">
        <f aca="false">$K$8</f>
        <v>1.27505696797933</v>
      </c>
      <c r="L21" s="36" t="n">
        <f aca="false">SQRT(J21^2+K21^2)</f>
        <v>3.10177225952004</v>
      </c>
      <c r="M21" s="40" t="n">
        <f aca="false">IF(G21="","",MAX(0,G21-1.96*L21/100))</f>
        <v>0.21886628066256</v>
      </c>
      <c r="N21" s="40" t="n">
        <f aca="false">IF(G21="","",MIN(1,G21+1.96*L21/100))</f>
        <v>0.340455753235745</v>
      </c>
      <c r="O21" s="59" t="n">
        <f aca="false">ROUND(S21*W21,0)</f>
        <v>9</v>
      </c>
      <c r="P21" s="59" t="n">
        <f aca="false">IF(F21="","",ROUND(SQRT((F21*L21/100)^2+(G21*O21)^2),0))</f>
        <v>4</v>
      </c>
      <c r="R21" s="60" t="n">
        <v>-14.6047714535222</v>
      </c>
      <c r="S21" s="61" t="n">
        <f aca="false">U21*V21*$F$5</f>
        <v>118.285714285714</v>
      </c>
      <c r="T21" s="62" t="n">
        <f aca="false">MAX(0,MIN(1,R21/100+$D$5))</f>
        <v>0.279181904466805</v>
      </c>
      <c r="U21" s="62" t="n">
        <v>0.657142857142857</v>
      </c>
      <c r="V21" s="61" t="n">
        <v>180</v>
      </c>
      <c r="W21" s="62" t="n">
        <v>0.0777040344688333</v>
      </c>
      <c r="X21" s="63" t="s">
        <v>163</v>
      </c>
      <c r="Y21" s="63" t="s">
        <v>164</v>
      </c>
    </row>
    <row r="22" customFormat="false" ht="15" hidden="false" customHeight="false" outlineLevel="0" collapsed="false">
      <c r="A22" s="32" t="s">
        <v>159</v>
      </c>
      <c r="B22" s="32" t="s">
        <v>175</v>
      </c>
      <c r="C22" s="32" t="s">
        <v>161</v>
      </c>
      <c r="D22" s="59" t="n">
        <f aca="false">ROUND(S22*T22,0)</f>
        <v>50</v>
      </c>
      <c r="E22" s="59" t="n">
        <f aca="false">ROUND(S22,0)-D22</f>
        <v>187</v>
      </c>
      <c r="F22" s="59" t="n">
        <f aca="false">IF(COUNTA(D22:E22)=0,"",SUM(D22:E22))</f>
        <v>237</v>
      </c>
      <c r="G22" s="40" t="n">
        <f aca="false">IF(OR(F22="",F22=0),"",D22/F22)</f>
        <v>0.210970464135021</v>
      </c>
      <c r="H22" s="40" t="n">
        <f aca="false">IF(OR(F22="",F22=0),"",E22/F22)</f>
        <v>0.789029535864979</v>
      </c>
      <c r="I22" s="32" t="s">
        <v>162</v>
      </c>
      <c r="J22" s="36" t="n">
        <v>2.82758216119982</v>
      </c>
      <c r="K22" s="36" t="n">
        <f aca="false">$K$8</f>
        <v>1.27505696797933</v>
      </c>
      <c r="L22" s="36" t="n">
        <f aca="false">SQRT(J22^2+K22^2)</f>
        <v>3.10177225952004</v>
      </c>
      <c r="M22" s="40" t="n">
        <f aca="false">IF(G22="","",MAX(0,G22-1.96*L22/100))</f>
        <v>0.150175727848428</v>
      </c>
      <c r="N22" s="40" t="n">
        <f aca="false">IF(G22="","",MIN(1,G22+1.96*L22/100))</f>
        <v>0.271765200421614</v>
      </c>
      <c r="O22" s="59" t="n">
        <f aca="false">ROUND(S22*W22,0)</f>
        <v>18</v>
      </c>
      <c r="P22" s="59" t="n">
        <f aca="false">IF(F22="","",ROUND(SQRT((F22*L22/100)^2+(G22*O22)^2),0))</f>
        <v>8</v>
      </c>
      <c r="R22" s="60" t="n">
        <v>-21.3208363133048</v>
      </c>
      <c r="S22" s="61" t="n">
        <f aca="false">U22*V22*$F$5</f>
        <v>236.844827586207</v>
      </c>
      <c r="T22" s="62" t="n">
        <f aca="false">MAX(0,MIN(1,R22/100+$D$5))</f>
        <v>0.212021255868978</v>
      </c>
      <c r="U22" s="62" t="n">
        <v>0.692528735632184</v>
      </c>
      <c r="V22" s="61" t="n">
        <v>342</v>
      </c>
      <c r="W22" s="62" t="n">
        <v>0.0777040344688333</v>
      </c>
      <c r="X22" s="63" t="s">
        <v>163</v>
      </c>
      <c r="Y22" s="63" t="s">
        <v>164</v>
      </c>
    </row>
    <row r="23" customFormat="false" ht="15" hidden="false" customHeight="false" outlineLevel="0" collapsed="false">
      <c r="A23" s="32" t="s">
        <v>159</v>
      </c>
      <c r="B23" s="32" t="s">
        <v>176</v>
      </c>
      <c r="C23" s="32" t="s">
        <v>161</v>
      </c>
      <c r="D23" s="59" t="n">
        <f aca="false">ROUND(S23*T23,0)</f>
        <v>712</v>
      </c>
      <c r="E23" s="59" t="n">
        <f aca="false">ROUND(S23,0)-D23</f>
        <v>1042</v>
      </c>
      <c r="F23" s="59" t="n">
        <f aca="false">IF(COUNTA(D23:E23)=0,"",SUM(D23:E23))</f>
        <v>1754</v>
      </c>
      <c r="G23" s="40" t="n">
        <f aca="false">IF(OR(F23="",F23=0),"",D23/F23)</f>
        <v>0.405929304446978</v>
      </c>
      <c r="H23" s="40" t="n">
        <f aca="false">IF(OR(F23="",F23=0),"",E23/F23)</f>
        <v>0.594070695553022</v>
      </c>
      <c r="I23" s="32" t="s">
        <v>162</v>
      </c>
      <c r="J23" s="36" t="n">
        <v>1.47282364643495</v>
      </c>
      <c r="K23" s="36" t="n">
        <f aca="false">$K$8</f>
        <v>1.27505696797933</v>
      </c>
      <c r="L23" s="36" t="n">
        <f aca="false">SQRT(J23^2+K23^2)</f>
        <v>1.94807078030819</v>
      </c>
      <c r="M23" s="40" t="n">
        <f aca="false">IF(G23="","",MAX(0,G23-1.96*L23/100))</f>
        <v>0.367747117152938</v>
      </c>
      <c r="N23" s="40" t="n">
        <f aca="false">IF(G23="","",MIN(1,G23+1.96*L23/100))</f>
        <v>0.444111491741019</v>
      </c>
      <c r="O23" s="59" t="n">
        <f aca="false">ROUND(S23*W23,0)</f>
        <v>106</v>
      </c>
      <c r="P23" s="59" t="n">
        <f aca="false">IF(F23="","",ROUND(SQRT((F23*L23/100)^2+(G23*O23)^2),0))</f>
        <v>55</v>
      </c>
      <c r="R23" s="60" t="n">
        <v>-1.93674941041121</v>
      </c>
      <c r="S23" s="61" t="n">
        <f aca="false">U23*V23*$F$5</f>
        <v>1753.74077578051</v>
      </c>
      <c r="T23" s="62" t="n">
        <f aca="false">MAX(0,MIN(1,R23/100+$D$5))</f>
        <v>0.405862124897915</v>
      </c>
      <c r="U23" s="62" t="n">
        <v>0.525701671397036</v>
      </c>
      <c r="V23" s="61" t="n">
        <v>3336</v>
      </c>
      <c r="W23" s="62" t="n">
        <v>0.0606122259008943</v>
      </c>
      <c r="X23" s="63" t="s">
        <v>168</v>
      </c>
      <c r="Y23" s="63" t="s">
        <v>164</v>
      </c>
    </row>
    <row r="24" customFormat="false" ht="15" hidden="false" customHeight="false" outlineLevel="0" collapsed="false">
      <c r="A24" s="32" t="s">
        <v>159</v>
      </c>
      <c r="B24" s="32" t="s">
        <v>177</v>
      </c>
      <c r="C24" s="32" t="s">
        <v>161</v>
      </c>
      <c r="D24" s="59" t="n">
        <f aca="false">ROUND(S24*T24,0)</f>
        <v>410</v>
      </c>
      <c r="E24" s="59" t="n">
        <f aca="false">ROUND(S24,0)-D24</f>
        <v>991</v>
      </c>
      <c r="F24" s="59" t="n">
        <f aca="false">IF(COUNTA(D24:E24)=0,"",SUM(D24:E24))</f>
        <v>1401</v>
      </c>
      <c r="G24" s="40" t="n">
        <f aca="false">IF(OR(F24="",F24=0),"",D24/F24)</f>
        <v>0.292648108493933</v>
      </c>
      <c r="H24" s="40" t="n">
        <f aca="false">IF(OR(F24="",F24=0),"",E24/F24)</f>
        <v>0.707351891506067</v>
      </c>
      <c r="I24" s="32" t="s">
        <v>162</v>
      </c>
      <c r="J24" s="36" t="n">
        <v>1.47282364643495</v>
      </c>
      <c r="K24" s="36" t="n">
        <f aca="false">$K$8</f>
        <v>1.27505696797933</v>
      </c>
      <c r="L24" s="36" t="n">
        <f aca="false">SQRT(J24^2+K24^2)</f>
        <v>1.94807078030819</v>
      </c>
      <c r="M24" s="40" t="n">
        <f aca="false">IF(G24="","",MAX(0,G24-1.96*L24/100))</f>
        <v>0.254465921199892</v>
      </c>
      <c r="N24" s="40" t="n">
        <f aca="false">IF(G24="","",MIN(1,G24+1.96*L24/100))</f>
        <v>0.330830295787974</v>
      </c>
      <c r="O24" s="59" t="n">
        <f aca="false">ROUND(S24*W24,0)</f>
        <v>85</v>
      </c>
      <c r="P24" s="59" t="n">
        <f aca="false">IF(F24="","",ROUND(SQRT((F24*L24/100)^2+(G24*O24)^2),0))</f>
        <v>37</v>
      </c>
      <c r="R24" s="60" t="n">
        <v>-13.2924973856715</v>
      </c>
      <c r="S24" s="61" t="n">
        <f aca="false">U24*V24*$F$5</f>
        <v>1401.11772917636</v>
      </c>
      <c r="T24" s="62" t="n">
        <f aca="false">MAX(0,MIN(1,R24/100+$D$5))</f>
        <v>0.292304645145312</v>
      </c>
      <c r="U24" s="62" t="n">
        <v>0.626337831549558</v>
      </c>
      <c r="V24" s="61" t="n">
        <v>2237</v>
      </c>
      <c r="W24" s="62" t="n">
        <v>0.0606122259008943</v>
      </c>
      <c r="X24" s="63" t="s">
        <v>168</v>
      </c>
      <c r="Y24" s="63" t="s">
        <v>164</v>
      </c>
    </row>
    <row r="25" customFormat="false" ht="15" hidden="false" customHeight="false" outlineLevel="0" collapsed="false">
      <c r="A25" s="32" t="s">
        <v>159</v>
      </c>
      <c r="B25" s="32" t="s">
        <v>178</v>
      </c>
      <c r="C25" s="32" t="s">
        <v>161</v>
      </c>
      <c r="D25" s="59" t="n">
        <f aca="false">ROUND(S25*T25,0)</f>
        <v>569</v>
      </c>
      <c r="E25" s="59" t="n">
        <f aca="false">ROUND(S25,0)-D25</f>
        <v>1309</v>
      </c>
      <c r="F25" s="59" t="n">
        <f aca="false">IF(COUNTA(D25:E25)=0,"",SUM(D25:E25))</f>
        <v>1878</v>
      </c>
      <c r="G25" s="40" t="n">
        <f aca="false">IF(OR(F25="",F25=0),"",D25/F25)</f>
        <v>0.302981895633653</v>
      </c>
      <c r="H25" s="40" t="n">
        <f aca="false">IF(OR(F25="",F25=0),"",E25/F25)</f>
        <v>0.697018104366347</v>
      </c>
      <c r="I25" s="32" t="s">
        <v>162</v>
      </c>
      <c r="J25" s="36" t="n">
        <v>1.47282364643495</v>
      </c>
      <c r="K25" s="36" t="n">
        <f aca="false">$K$8</f>
        <v>1.27505696797933</v>
      </c>
      <c r="L25" s="36" t="n">
        <f aca="false">SQRT(J25^2+K25^2)</f>
        <v>1.94807078030819</v>
      </c>
      <c r="M25" s="40" t="n">
        <f aca="false">IF(G25="","",MAX(0,G25-1.96*L25/100))</f>
        <v>0.264799708339612</v>
      </c>
      <c r="N25" s="40" t="n">
        <f aca="false">IF(G25="","",MIN(1,G25+1.96*L25/100))</f>
        <v>0.341164082927693</v>
      </c>
      <c r="O25" s="59" t="n">
        <f aca="false">ROUND(S25*W25,0)</f>
        <v>114</v>
      </c>
      <c r="P25" s="59" t="n">
        <f aca="false">IF(F25="","",ROUND(SQRT((F25*L25/100)^2+(G25*O25)^2),0))</f>
        <v>50</v>
      </c>
      <c r="R25" s="60" t="n">
        <v>-12.207281423149</v>
      </c>
      <c r="S25" s="61" t="n">
        <f aca="false">U25*V25*$F$5</f>
        <v>1878.41828929068</v>
      </c>
      <c r="T25" s="62" t="n">
        <f aca="false">MAX(0,MIN(1,R25/100+$D$5))</f>
        <v>0.303156804770536</v>
      </c>
      <c r="U25" s="62" t="n">
        <v>0.616481223922114</v>
      </c>
      <c r="V25" s="61" t="n">
        <v>3047</v>
      </c>
      <c r="W25" s="62" t="n">
        <v>0.0606122259008943</v>
      </c>
      <c r="X25" s="63" t="s">
        <v>168</v>
      </c>
      <c r="Y25" s="63" t="s">
        <v>164</v>
      </c>
    </row>
    <row r="26" customFormat="false" ht="15" hidden="false" customHeight="false" outlineLevel="0" collapsed="false">
      <c r="A26" s="32" t="s">
        <v>159</v>
      </c>
      <c r="B26" s="32" t="s">
        <v>179</v>
      </c>
      <c r="C26" s="32" t="s">
        <v>161</v>
      </c>
      <c r="D26" s="59" t="n">
        <f aca="false">ROUND(S26*T26,0)</f>
        <v>487</v>
      </c>
      <c r="E26" s="59" t="n">
        <f aca="false">ROUND(S26,0)-D26</f>
        <v>727</v>
      </c>
      <c r="F26" s="59" t="n">
        <f aca="false">IF(COUNTA(D26:E26)=0,"",SUM(D26:E26))</f>
        <v>1214</v>
      </c>
      <c r="G26" s="40" t="n">
        <f aca="false">IF(OR(F26="",F26=0),"",D26/F26)</f>
        <v>0.401153212520593</v>
      </c>
      <c r="H26" s="40" t="n">
        <f aca="false">IF(OR(F26="",F26=0),"",E26/F26)</f>
        <v>0.598846787479407</v>
      </c>
      <c r="I26" s="32" t="s">
        <v>162</v>
      </c>
      <c r="J26" s="36" t="n">
        <v>2.82758216119982</v>
      </c>
      <c r="K26" s="36" t="n">
        <f aca="false">$K$8</f>
        <v>1.27505696797933</v>
      </c>
      <c r="L26" s="36" t="n">
        <f aca="false">SQRT(J26^2+K26^2)</f>
        <v>3.10177225952004</v>
      </c>
      <c r="M26" s="40" t="n">
        <f aca="false">IF(G26="","",MAX(0,G26-1.96*L26/100))</f>
        <v>0.340358476234</v>
      </c>
      <c r="N26" s="40" t="n">
        <f aca="false">IF(G26="","",MIN(1,G26+1.96*L26/100))</f>
        <v>0.461947948807186</v>
      </c>
      <c r="O26" s="59" t="n">
        <f aca="false">ROUND(S26*W26,0)</f>
        <v>94</v>
      </c>
      <c r="P26" s="59" t="n">
        <f aca="false">IF(F26="","",ROUND(SQRT((F26*L26/100)^2+(G26*O26)^2),0))</f>
        <v>53</v>
      </c>
      <c r="R26" s="60" t="n">
        <v>-2.37359506849417</v>
      </c>
      <c r="S26" s="61" t="n">
        <f aca="false">U26*V26*$F$5</f>
        <v>1214.17865765331</v>
      </c>
      <c r="T26" s="62" t="n">
        <f aca="false">MAX(0,MIN(1,R26/100+$D$5))</f>
        <v>0.401493668317085</v>
      </c>
      <c r="U26" s="62" t="n">
        <v>0.576533075808788</v>
      </c>
      <c r="V26" s="61" t="n">
        <v>2106</v>
      </c>
      <c r="W26" s="62" t="n">
        <v>0.0777040344688333</v>
      </c>
      <c r="X26" s="63" t="s">
        <v>163</v>
      </c>
      <c r="Y26" s="63" t="s">
        <v>164</v>
      </c>
    </row>
    <row r="27" customFormat="false" ht="15" hidden="false" customHeight="false" outlineLevel="0" collapsed="false">
      <c r="A27" s="32" t="s">
        <v>159</v>
      </c>
      <c r="B27" s="32" t="s">
        <v>180</v>
      </c>
      <c r="C27" s="32" t="s">
        <v>161</v>
      </c>
      <c r="D27" s="59" t="n">
        <f aca="false">ROUND(S27*T27,0)</f>
        <v>110</v>
      </c>
      <c r="E27" s="59" t="n">
        <f aca="false">ROUND(S27,0)-D27</f>
        <v>420</v>
      </c>
      <c r="F27" s="59" t="n">
        <f aca="false">IF(COUNTA(D27:E27)=0,"",SUM(D27:E27))</f>
        <v>530</v>
      </c>
      <c r="G27" s="40" t="n">
        <f aca="false">IF(OR(F27="",F27=0),"",D27/F27)</f>
        <v>0.207547169811321</v>
      </c>
      <c r="H27" s="40" t="n">
        <f aca="false">IF(OR(F27="",F27=0),"",E27/F27)</f>
        <v>0.792452830188679</v>
      </c>
      <c r="I27" s="32" t="s">
        <v>162</v>
      </c>
      <c r="J27" s="36" t="n">
        <v>2.82758216119982</v>
      </c>
      <c r="K27" s="36" t="n">
        <f aca="false">$K$8</f>
        <v>1.27505696797933</v>
      </c>
      <c r="L27" s="36" t="n">
        <f aca="false">SQRT(J27^2+K27^2)</f>
        <v>3.10177225952004</v>
      </c>
      <c r="M27" s="40" t="n">
        <f aca="false">IF(G27="","",MAX(0,G27-1.96*L27/100))</f>
        <v>0.146752433524728</v>
      </c>
      <c r="N27" s="40" t="n">
        <f aca="false">IF(G27="","",MIN(1,G27+1.96*L27/100))</f>
        <v>0.268341906097914</v>
      </c>
      <c r="O27" s="59" t="n">
        <f aca="false">ROUND(S27*W27,0)</f>
        <v>41</v>
      </c>
      <c r="P27" s="59" t="n">
        <f aca="false">IF(F27="","",ROUND(SQRT((F27*L27/100)^2+(G27*O27)^2),0))</f>
        <v>19</v>
      </c>
      <c r="R27" s="60" t="n">
        <v>-21.7215092643287</v>
      </c>
      <c r="S27" s="61" t="n">
        <f aca="false">U27*V27*$F$5</f>
        <v>530.117647058824</v>
      </c>
      <c r="T27" s="62" t="n">
        <f aca="false">MAX(0,MIN(1,R27/100+$D$5))</f>
        <v>0.208014526358739</v>
      </c>
      <c r="U27" s="62" t="n">
        <v>0.705882352941177</v>
      </c>
      <c r="V27" s="61" t="n">
        <v>751</v>
      </c>
      <c r="W27" s="62" t="n">
        <v>0.0777040344688333</v>
      </c>
      <c r="X27" s="63" t="s">
        <v>163</v>
      </c>
      <c r="Y27" s="63" t="s">
        <v>164</v>
      </c>
    </row>
    <row r="28" customFormat="false" ht="15" hidden="false" customHeight="false" outlineLevel="0" collapsed="false">
      <c r="A28" s="32" t="s">
        <v>159</v>
      </c>
      <c r="B28" s="32" t="s">
        <v>181</v>
      </c>
      <c r="C28" s="32" t="s">
        <v>161</v>
      </c>
      <c r="D28" s="59" t="n">
        <f aca="false">ROUND(S28*T28,0)</f>
        <v>735</v>
      </c>
      <c r="E28" s="59" t="n">
        <f aca="false">ROUND(S28,0)-D28</f>
        <v>1256</v>
      </c>
      <c r="F28" s="59" t="n">
        <f aca="false">IF(COUNTA(D28:E28)=0,"",SUM(D28:E28))</f>
        <v>1991</v>
      </c>
      <c r="G28" s="40" t="n">
        <f aca="false">IF(OR(F28="",F28=0),"",D28/F28)</f>
        <v>0.369161225514817</v>
      </c>
      <c r="H28" s="40" t="n">
        <f aca="false">IF(OR(F28="",F28=0),"",E28/F28)</f>
        <v>0.630838774485183</v>
      </c>
      <c r="I28" s="32" t="s">
        <v>162</v>
      </c>
      <c r="J28" s="36" t="n">
        <v>1.47282364643495</v>
      </c>
      <c r="K28" s="36" t="n">
        <f aca="false">$K$8</f>
        <v>1.27505696797933</v>
      </c>
      <c r="L28" s="36" t="n">
        <f aca="false">SQRT(J28^2+K28^2)</f>
        <v>1.94807078030819</v>
      </c>
      <c r="M28" s="40" t="n">
        <f aca="false">IF(G28="","",MAX(0,G28-1.96*L28/100))</f>
        <v>0.330979038220776</v>
      </c>
      <c r="N28" s="40" t="n">
        <f aca="false">IF(G28="","",MIN(1,G28+1.96*L28/100))</f>
        <v>0.407343412808857</v>
      </c>
      <c r="O28" s="59" t="n">
        <f aca="false">ROUND(S28*W28,0)</f>
        <v>121</v>
      </c>
      <c r="P28" s="59" t="n">
        <f aca="false">IF(F28="","",ROUND(SQRT((F28*L28/100)^2+(G28*O28)^2),0))</f>
        <v>59</v>
      </c>
      <c r="R28" s="60" t="n">
        <v>-5.60038879763469</v>
      </c>
      <c r="S28" s="61" t="n">
        <f aca="false">U28*V28*$F$5</f>
        <v>1991.47057118005</v>
      </c>
      <c r="T28" s="62" t="n">
        <f aca="false">MAX(0,MIN(1,R28/100+$D$5))</f>
        <v>0.36922573102568</v>
      </c>
      <c r="U28" s="62" t="n">
        <v>0.553493766309075</v>
      </c>
      <c r="V28" s="61" t="n">
        <v>3598</v>
      </c>
      <c r="W28" s="62" t="n">
        <v>0.0606122259008943</v>
      </c>
      <c r="X28" s="63" t="s">
        <v>168</v>
      </c>
      <c r="Y28" s="63" t="s">
        <v>164</v>
      </c>
    </row>
    <row r="29" customFormat="false" ht="15" hidden="false" customHeight="false" outlineLevel="0" collapsed="false">
      <c r="A29" s="32" t="s">
        <v>159</v>
      </c>
      <c r="B29" s="32" t="s">
        <v>182</v>
      </c>
      <c r="C29" s="32" t="s">
        <v>161</v>
      </c>
      <c r="D29" s="59" t="n">
        <f aca="false">ROUND(S29*T29,0)</f>
        <v>59</v>
      </c>
      <c r="E29" s="59" t="n">
        <f aca="false">ROUND(S29,0)-D29</f>
        <v>126</v>
      </c>
      <c r="F29" s="59" t="n">
        <f aca="false">IF(COUNTA(D29:E29)=0,"",SUM(D29:E29))</f>
        <v>185</v>
      </c>
      <c r="G29" s="40" t="n">
        <f aca="false">IF(OR(F29="",F29=0),"",D29/F29)</f>
        <v>0.318918918918919</v>
      </c>
      <c r="H29" s="40" t="n">
        <f aca="false">IF(OR(F29="",F29=0),"",E29/F29)</f>
        <v>0.681081081081081</v>
      </c>
      <c r="I29" s="32" t="s">
        <v>162</v>
      </c>
      <c r="J29" s="36" t="n">
        <v>2.82758216119982</v>
      </c>
      <c r="K29" s="36" t="n">
        <f aca="false">$K$8</f>
        <v>1.27505696797933</v>
      </c>
      <c r="L29" s="36" t="n">
        <f aca="false">SQRT(J29^2+K29^2)</f>
        <v>3.10177225952004</v>
      </c>
      <c r="M29" s="40" t="n">
        <f aca="false">IF(G29="","",MAX(0,G29-1.96*L29/100))</f>
        <v>0.258124182632326</v>
      </c>
      <c r="N29" s="40" t="n">
        <f aca="false">IF(G29="","",MIN(1,G29+1.96*L29/100))</f>
        <v>0.379713655205512</v>
      </c>
      <c r="O29" s="59" t="n">
        <f aca="false">ROUND(S29*W29,0)</f>
        <v>14</v>
      </c>
      <c r="P29" s="59" t="n">
        <f aca="false">IF(F29="","",ROUND(SQRT((F29*L29/100)^2+(G29*O29)^2),0))</f>
        <v>7</v>
      </c>
      <c r="R29" s="60" t="n">
        <v>-10.5868356380772</v>
      </c>
      <c r="S29" s="61" t="n">
        <f aca="false">U29*V29*$F$5</f>
        <v>184.547540983607</v>
      </c>
      <c r="T29" s="62" t="n">
        <f aca="false">MAX(0,MIN(1,R29/100+$D$5))</f>
        <v>0.319361262621255</v>
      </c>
      <c r="U29" s="62" t="n">
        <v>0.613114754098361</v>
      </c>
      <c r="V29" s="61" t="n">
        <v>301</v>
      </c>
      <c r="W29" s="62" t="n">
        <v>0.0777040344688333</v>
      </c>
      <c r="X29" s="63" t="s">
        <v>163</v>
      </c>
      <c r="Y29" s="63" t="s">
        <v>164</v>
      </c>
    </row>
    <row r="30" customFormat="false" ht="15" hidden="false" customHeight="false" outlineLevel="0" collapsed="false">
      <c r="A30" s="32" t="s">
        <v>159</v>
      </c>
      <c r="B30" s="32" t="s">
        <v>183</v>
      </c>
      <c r="C30" s="32" t="s">
        <v>161</v>
      </c>
      <c r="D30" s="59" t="n">
        <f aca="false">ROUND(S30*T30,0)</f>
        <v>1643</v>
      </c>
      <c r="E30" s="59" t="n">
        <f aca="false">ROUND(S30,0)-D30</f>
        <v>2829</v>
      </c>
      <c r="F30" s="59" t="n">
        <f aca="false">IF(COUNTA(D30:E30)=0,"",SUM(D30:E30))</f>
        <v>4472</v>
      </c>
      <c r="G30" s="40" t="n">
        <f aca="false">IF(OR(F30="",F30=0),"",D30/F30)</f>
        <v>0.367397137745975</v>
      </c>
      <c r="H30" s="40" t="n">
        <f aca="false">IF(OR(F30="",F30=0),"",E30/F30)</f>
        <v>0.632602862254025</v>
      </c>
      <c r="I30" s="32" t="s">
        <v>162</v>
      </c>
      <c r="J30" s="36" t="n">
        <v>1.57736464441501</v>
      </c>
      <c r="K30" s="36" t="n">
        <f aca="false">$K$8</f>
        <v>1.27505696797933</v>
      </c>
      <c r="L30" s="36" t="n">
        <f aca="false">SQRT(J30^2+K30^2)</f>
        <v>2.02826267851162</v>
      </c>
      <c r="M30" s="40" t="n">
        <f aca="false">IF(G30="","",MAX(0,G30-1.96*L30/100))</f>
        <v>0.327643189247147</v>
      </c>
      <c r="N30" s="40" t="n">
        <f aca="false">IF(G30="","",MIN(1,G30+1.96*L30/100))</f>
        <v>0.407151086244803</v>
      </c>
      <c r="O30" s="59" t="n">
        <f aca="false">ROUND(S30*W30,0)</f>
        <v>247</v>
      </c>
      <c r="P30" s="59" t="n">
        <f aca="false">IF(F30="","",ROUND(SQRT((F30*L30/100)^2+(G30*O30)^2),0))</f>
        <v>128</v>
      </c>
      <c r="R30" s="60" t="n">
        <v>-5.7949757700205</v>
      </c>
      <c r="S30" s="61" t="n">
        <f aca="false">U30*V30*$F$5</f>
        <v>4472.46592381446</v>
      </c>
      <c r="T30" s="62" t="n">
        <f aca="false">MAX(0,MIN(1,R30/100+$D$5))</f>
        <v>0.367279861301822</v>
      </c>
      <c r="U30" s="62" t="n">
        <v>0.560248769111169</v>
      </c>
      <c r="V30" s="61" t="n">
        <v>7983</v>
      </c>
      <c r="W30" s="62" t="n">
        <v>0.0551273752894184</v>
      </c>
      <c r="X30" s="63" t="s">
        <v>184</v>
      </c>
      <c r="Y30" s="63" t="s">
        <v>164</v>
      </c>
    </row>
    <row r="31" customFormat="false" ht="15" hidden="false" customHeight="false" outlineLevel="0" collapsed="false">
      <c r="A31" s="32" t="s">
        <v>159</v>
      </c>
      <c r="B31" s="32" t="s">
        <v>185</v>
      </c>
      <c r="C31" s="32" t="s">
        <v>161</v>
      </c>
      <c r="D31" s="59" t="n">
        <f aca="false">ROUND(S31*T31,0)</f>
        <v>559</v>
      </c>
      <c r="E31" s="59" t="n">
        <f aca="false">ROUND(S31,0)-D31</f>
        <v>734</v>
      </c>
      <c r="F31" s="59" t="n">
        <f aca="false">IF(COUNTA(D31:E31)=0,"",SUM(D31:E31))</f>
        <v>1293</v>
      </c>
      <c r="G31" s="40" t="n">
        <f aca="false">IF(OR(F31="",F31=0),"",D31/F31)</f>
        <v>0.432327919566899</v>
      </c>
      <c r="H31" s="40" t="n">
        <f aca="false">IF(OR(F31="",F31=0),"",E31/F31)</f>
        <v>0.567672080433101</v>
      </c>
      <c r="I31" s="32" t="s">
        <v>162</v>
      </c>
      <c r="J31" s="36" t="n">
        <v>1.47282364643495</v>
      </c>
      <c r="K31" s="36" t="n">
        <f aca="false">$K$8</f>
        <v>1.27505696797933</v>
      </c>
      <c r="L31" s="36" t="n">
        <f aca="false">SQRT(J31^2+K31^2)</f>
        <v>1.94807078030819</v>
      </c>
      <c r="M31" s="40" t="n">
        <f aca="false">IF(G31="","",MAX(0,G31-1.96*L31/100))</f>
        <v>0.394145732272858</v>
      </c>
      <c r="N31" s="40" t="n">
        <f aca="false">IF(G31="","",MIN(1,G31+1.96*L31/100))</f>
        <v>0.470510106860939</v>
      </c>
      <c r="O31" s="59" t="n">
        <f aca="false">ROUND(S31*W31,0)</f>
        <v>78</v>
      </c>
      <c r="P31" s="59" t="n">
        <f aca="false">IF(F31="","",ROUND(SQRT((F31*L31/100)^2+(G31*O31)^2),0))</f>
        <v>42</v>
      </c>
      <c r="R31" s="60" t="n">
        <v>0.700201762469248</v>
      </c>
      <c r="S31" s="61" t="n">
        <f aca="false">U31*V31*$F$5</f>
        <v>1293.28908554572</v>
      </c>
      <c r="T31" s="62" t="n">
        <f aca="false">MAX(0,MIN(1,R31/100+$D$5))</f>
        <v>0.432231636626719</v>
      </c>
      <c r="U31" s="62" t="n">
        <v>0.607177974434612</v>
      </c>
      <c r="V31" s="61" t="n">
        <v>2130</v>
      </c>
      <c r="W31" s="62" t="n">
        <v>0.0606122259008943</v>
      </c>
      <c r="X31" s="63" t="s">
        <v>168</v>
      </c>
      <c r="Y31" s="63" t="s">
        <v>164</v>
      </c>
    </row>
    <row r="32" customFormat="false" ht="15" hidden="false" customHeight="false" outlineLevel="0" collapsed="false">
      <c r="A32" s="32" t="s">
        <v>159</v>
      </c>
      <c r="B32" s="32" t="s">
        <v>186</v>
      </c>
      <c r="C32" s="32" t="s">
        <v>161</v>
      </c>
      <c r="D32" s="59" t="n">
        <f aca="false">ROUND(S32*T32,0)</f>
        <v>672</v>
      </c>
      <c r="E32" s="59" t="n">
        <f aca="false">ROUND(S32,0)-D32</f>
        <v>1586</v>
      </c>
      <c r="F32" s="59" t="n">
        <f aca="false">IF(COUNTA(D32:E32)=0,"",SUM(D32:E32))</f>
        <v>2258</v>
      </c>
      <c r="G32" s="40" t="n">
        <f aca="false">IF(OR(F32="",F32=0),"",D32/F32)</f>
        <v>0.297608503100089</v>
      </c>
      <c r="H32" s="40" t="n">
        <f aca="false">IF(OR(F32="",F32=0),"",E32/F32)</f>
        <v>0.702391496899911</v>
      </c>
      <c r="I32" s="32" t="s">
        <v>162</v>
      </c>
      <c r="J32" s="36" t="n">
        <v>1.47282364643495</v>
      </c>
      <c r="K32" s="36" t="n">
        <f aca="false">$K$8</f>
        <v>1.27505696797933</v>
      </c>
      <c r="L32" s="36" t="n">
        <f aca="false">SQRT(J32^2+K32^2)</f>
        <v>1.94807078030819</v>
      </c>
      <c r="M32" s="40" t="n">
        <f aca="false">IF(G32="","",MAX(0,G32-1.96*L32/100))</f>
        <v>0.259426315806048</v>
      </c>
      <c r="N32" s="40" t="n">
        <f aca="false">IF(G32="","",MIN(1,G32+1.96*L32/100))</f>
        <v>0.335790690394129</v>
      </c>
      <c r="O32" s="59" t="n">
        <f aca="false">ROUND(S32*W32,0)</f>
        <v>137</v>
      </c>
      <c r="P32" s="59" t="n">
        <f aca="false">IF(F32="","",ROUND(SQRT((F32*L32/100)^2+(G32*O32)^2),0))</f>
        <v>60</v>
      </c>
      <c r="R32" s="60" t="n">
        <v>-12.77286978706</v>
      </c>
      <c r="S32" s="61" t="n">
        <f aca="false">U32*V32*$F$5</f>
        <v>2258.11685530743</v>
      </c>
      <c r="T32" s="62" t="n">
        <f aca="false">MAX(0,MIN(1,R32/100+$D$5))</f>
        <v>0.297500921131426</v>
      </c>
      <c r="U32" s="62" t="n">
        <v>0.65188130926889</v>
      </c>
      <c r="V32" s="61" t="n">
        <v>3464</v>
      </c>
      <c r="W32" s="62" t="n">
        <v>0.0606122259008943</v>
      </c>
      <c r="X32" s="63" t="s">
        <v>168</v>
      </c>
      <c r="Y32" s="63" t="s">
        <v>164</v>
      </c>
    </row>
    <row r="33" customFormat="false" ht="15" hidden="false" customHeight="false" outlineLevel="0" collapsed="false">
      <c r="A33" s="32" t="s">
        <v>159</v>
      </c>
      <c r="B33" s="32" t="s">
        <v>187</v>
      </c>
      <c r="C33" s="32" t="s">
        <v>161</v>
      </c>
      <c r="D33" s="59" t="n">
        <f aca="false">ROUND(S33*T33,0)</f>
        <v>277</v>
      </c>
      <c r="E33" s="59" t="n">
        <f aca="false">ROUND(S33,0)-D33</f>
        <v>637</v>
      </c>
      <c r="F33" s="59" t="n">
        <f aca="false">IF(COUNTA(D33:E33)=0,"",SUM(D33:E33))</f>
        <v>914</v>
      </c>
      <c r="G33" s="40" t="n">
        <f aca="false">IF(OR(F33="",F33=0),"",D33/F33)</f>
        <v>0.303063457330416</v>
      </c>
      <c r="H33" s="40" t="n">
        <f aca="false">IF(OR(F33="",F33=0),"",E33/F33)</f>
        <v>0.696936542669584</v>
      </c>
      <c r="I33" s="32" t="s">
        <v>162</v>
      </c>
      <c r="J33" s="36" t="n">
        <v>2.82758216119982</v>
      </c>
      <c r="K33" s="36" t="n">
        <f aca="false">$K$8</f>
        <v>1.27505696797933</v>
      </c>
      <c r="L33" s="36" t="n">
        <f aca="false">SQRT(J33^2+K33^2)</f>
        <v>3.10177225952004</v>
      </c>
      <c r="M33" s="40" t="n">
        <f aca="false">IF(G33="","",MAX(0,G33-1.96*L33/100))</f>
        <v>0.242268721043823</v>
      </c>
      <c r="N33" s="40" t="n">
        <f aca="false">IF(G33="","",MIN(1,G33+1.96*L33/100))</f>
        <v>0.363858193617009</v>
      </c>
      <c r="O33" s="59" t="n">
        <f aca="false">ROUND(S33*W33,0)</f>
        <v>71</v>
      </c>
      <c r="P33" s="59" t="n">
        <f aca="false">IF(F33="","",ROUND(SQRT((F33*L33/100)^2+(G33*O33)^2),0))</f>
        <v>36</v>
      </c>
      <c r="R33" s="60" t="n">
        <v>-12.2500345025058</v>
      </c>
      <c r="S33" s="61" t="n">
        <f aca="false">U33*V33*$F$5</f>
        <v>913.771907216495</v>
      </c>
      <c r="T33" s="62" t="n">
        <f aca="false">MAX(0,MIN(1,R33/100+$D$5))</f>
        <v>0.302729273976969</v>
      </c>
      <c r="U33" s="62" t="n">
        <v>0.580541237113402</v>
      </c>
      <c r="V33" s="61" t="n">
        <v>1574</v>
      </c>
      <c r="W33" s="62" t="n">
        <v>0.0777040344688333</v>
      </c>
      <c r="X33" s="63" t="s">
        <v>163</v>
      </c>
      <c r="Y33" s="63" t="s">
        <v>164</v>
      </c>
    </row>
    <row r="34" customFormat="false" ht="15" hidden="false" customHeight="false" outlineLevel="0" collapsed="false">
      <c r="A34" s="32" t="s">
        <v>159</v>
      </c>
      <c r="B34" s="32" t="s">
        <v>188</v>
      </c>
      <c r="C34" s="32" t="s">
        <v>161</v>
      </c>
      <c r="D34" s="59" t="n">
        <f aca="false">ROUND(S34*T34,0)</f>
        <v>37</v>
      </c>
      <c r="E34" s="59" t="n">
        <f aca="false">ROUND(S34,0)-D34</f>
        <v>70</v>
      </c>
      <c r="F34" s="59" t="n">
        <f aca="false">IF(COUNTA(D34:E34)=0,"",SUM(D34:E34))</f>
        <v>107</v>
      </c>
      <c r="G34" s="40" t="n">
        <f aca="false">IF(OR(F34="",F34=0),"",D34/F34)</f>
        <v>0.345794392523364</v>
      </c>
      <c r="H34" s="40" t="n">
        <f aca="false">IF(OR(F34="",F34=0),"",E34/F34)</f>
        <v>0.654205607476636</v>
      </c>
      <c r="I34" s="32" t="s">
        <v>162</v>
      </c>
      <c r="J34" s="36" t="n">
        <v>2.82758216119982</v>
      </c>
      <c r="K34" s="36" t="n">
        <f aca="false">$K$8</f>
        <v>1.27505696797933</v>
      </c>
      <c r="L34" s="36" t="n">
        <f aca="false">SQRT(J34^2+K34^2)</f>
        <v>3.10177225952004</v>
      </c>
      <c r="M34" s="40" t="n">
        <f aca="false">IF(G34="","",MAX(0,G34-1.96*L34/100))</f>
        <v>0.284999656236772</v>
      </c>
      <c r="N34" s="40" t="n">
        <f aca="false">IF(G34="","",MIN(1,G34+1.96*L34/100))</f>
        <v>0.406589128809957</v>
      </c>
      <c r="O34" s="59" t="n">
        <f aca="false">ROUND(S34*W34,0)</f>
        <v>8</v>
      </c>
      <c r="P34" s="59" t="n">
        <f aca="false">IF(F34="","",ROUND(SQRT((F34*L34/100)^2+(G34*O34)^2),0))</f>
        <v>4</v>
      </c>
      <c r="R34" s="60" t="n">
        <v>-7.39846260696866</v>
      </c>
      <c r="S34" s="61" t="n">
        <f aca="false">U34*V34*$F$5</f>
        <v>106.666666666667</v>
      </c>
      <c r="T34" s="62" t="n">
        <f aca="false">MAX(0,MIN(1,R34/100+$D$5))</f>
        <v>0.35124499293234</v>
      </c>
      <c r="U34" s="62" t="n">
        <v>0.444444444444444</v>
      </c>
      <c r="V34" s="61" t="n">
        <v>240</v>
      </c>
      <c r="W34" s="62" t="n">
        <v>0.0777040344688333</v>
      </c>
      <c r="X34" s="63" t="s">
        <v>163</v>
      </c>
      <c r="Y34" s="63" t="s">
        <v>164</v>
      </c>
    </row>
    <row r="35" customFormat="false" ht="15" hidden="false" customHeight="false" outlineLevel="0" collapsed="false">
      <c r="A35" s="32" t="s">
        <v>189</v>
      </c>
      <c r="B35" s="32" t="s">
        <v>190</v>
      </c>
      <c r="C35" s="32" t="s">
        <v>161</v>
      </c>
      <c r="D35" s="59" t="n">
        <f aca="false">ROUND(S35*T35,0)</f>
        <v>500</v>
      </c>
      <c r="E35" s="59" t="n">
        <f aca="false">ROUND(S35,0)-D35</f>
        <v>561</v>
      </c>
      <c r="F35" s="59" t="n">
        <f aca="false">IF(COUNTA(D35:E35)=0,"",SUM(D35:E35))</f>
        <v>1061</v>
      </c>
      <c r="G35" s="40" t="n">
        <f aca="false">IF(OR(F35="",F35=0),"",D35/F35)</f>
        <v>0.471253534401508</v>
      </c>
      <c r="H35" s="40" t="n">
        <f aca="false">IF(OR(F35="",F35=0),"",E35/F35)</f>
        <v>0.528746465598492</v>
      </c>
      <c r="I35" s="32" t="s">
        <v>162</v>
      </c>
      <c r="J35" s="36" t="n">
        <v>2.82758216119982</v>
      </c>
      <c r="K35" s="36" t="n">
        <f aca="false">$K$8</f>
        <v>1.27505696797933</v>
      </c>
      <c r="L35" s="36" t="n">
        <f aca="false">SQRT(J35^2+K35^2)</f>
        <v>3.10177225952004</v>
      </c>
      <c r="M35" s="40" t="n">
        <f aca="false">IF(G35="","",MAX(0,G35-1.96*L35/100))</f>
        <v>0.410458798114915</v>
      </c>
      <c r="N35" s="40" t="n">
        <f aca="false">IF(G35="","",MIN(1,G35+1.96*L35/100))</f>
        <v>0.532048270688101</v>
      </c>
      <c r="O35" s="59" t="n">
        <f aca="false">ROUND(S35*W35,0)</f>
        <v>82</v>
      </c>
      <c r="P35" s="59" t="n">
        <f aca="false">IF(F35="","",ROUND(SQRT((F35*L35/100)^2+(G35*O35)^2),0))</f>
        <v>51</v>
      </c>
      <c r="R35" s="60" t="n">
        <v>4.6396282543268</v>
      </c>
      <c r="S35" s="61" t="n">
        <f aca="false">U35*V35*$F$5</f>
        <v>1060.80585424134</v>
      </c>
      <c r="T35" s="62" t="n">
        <f aca="false">MAX(0,MIN(1,R35/100+$D$5))</f>
        <v>0.471625901545295</v>
      </c>
      <c r="U35" s="62" t="n">
        <v>0.605137395459976</v>
      </c>
      <c r="V35" s="61" t="n">
        <v>1753</v>
      </c>
      <c r="W35" s="62" t="n">
        <v>0.0777040344688333</v>
      </c>
      <c r="X35" s="63" t="s">
        <v>163</v>
      </c>
      <c r="Y35" s="63" t="s">
        <v>164</v>
      </c>
    </row>
    <row r="36" customFormat="false" ht="15" hidden="false" customHeight="false" outlineLevel="0" collapsed="false">
      <c r="A36" s="32" t="s">
        <v>189</v>
      </c>
      <c r="B36" s="32" t="s">
        <v>191</v>
      </c>
      <c r="C36" s="32" t="s">
        <v>161</v>
      </c>
      <c r="D36" s="59" t="n">
        <f aca="false">ROUND(S36*T36,0)</f>
        <v>16698</v>
      </c>
      <c r="E36" s="59" t="n">
        <f aca="false">ROUND(S36,0)-D36</f>
        <v>8675</v>
      </c>
      <c r="F36" s="59" t="n">
        <f aca="false">IF(COUNTA(D36:E36)=0,"",SUM(D36:E36))</f>
        <v>25373</v>
      </c>
      <c r="G36" s="40" t="n">
        <f aca="false">IF(OR(F36="",F36=0),"",D36/F36)</f>
        <v>0.658101131123635</v>
      </c>
      <c r="H36" s="40" t="n">
        <f aca="false">IF(OR(F36="",F36=0),"",E36/F36)</f>
        <v>0.341898868876365</v>
      </c>
      <c r="I36" s="32" t="s">
        <v>162</v>
      </c>
      <c r="J36" s="36" t="n">
        <v>1.57736464441501</v>
      </c>
      <c r="K36" s="36" t="n">
        <f aca="false">$K$8</f>
        <v>1.27505696797933</v>
      </c>
      <c r="L36" s="36" t="n">
        <f aca="false">SQRT(J36^2+K36^2)</f>
        <v>2.02826267851162</v>
      </c>
      <c r="M36" s="40" t="n">
        <f aca="false">IF(G36="","",MAX(0,G36-1.96*L36/100))</f>
        <v>0.618347182624808</v>
      </c>
      <c r="N36" s="40" t="n">
        <f aca="false">IF(G36="","",MIN(1,G36+1.96*L36/100))</f>
        <v>0.697855079622463</v>
      </c>
      <c r="O36" s="59" t="n">
        <f aca="false">ROUND(S36*W36,0)</f>
        <v>1399</v>
      </c>
      <c r="P36" s="59" t="n">
        <f aca="false">IF(F36="","",ROUND(SQRT((F36*L36/100)^2+(G36*O36)^2),0))</f>
        <v>1055</v>
      </c>
      <c r="R36" s="60" t="n">
        <v>23.2849499687244</v>
      </c>
      <c r="S36" s="61" t="n">
        <f aca="false">U36*V36*$F$5</f>
        <v>25373.374760008</v>
      </c>
      <c r="T36" s="62" t="n">
        <f aca="false">MAX(0,MIN(1,R36/100+$D$5))</f>
        <v>0.65807911868927</v>
      </c>
      <c r="U36" s="62" t="n">
        <v>0.356778519643522</v>
      </c>
      <c r="V36" s="61" t="n">
        <v>71118</v>
      </c>
      <c r="W36" s="62" t="n">
        <v>0.0551273752894184</v>
      </c>
      <c r="X36" s="63" t="s">
        <v>184</v>
      </c>
      <c r="Y36" s="63" t="s">
        <v>164</v>
      </c>
    </row>
    <row r="37" customFormat="false" ht="15" hidden="false" customHeight="false" outlineLevel="0" collapsed="false">
      <c r="A37" s="32" t="s">
        <v>189</v>
      </c>
      <c r="B37" s="32" t="s">
        <v>192</v>
      </c>
      <c r="C37" s="32" t="s">
        <v>161</v>
      </c>
      <c r="D37" s="59" t="n">
        <f aca="false">ROUND(S37*T37,0)</f>
        <v>5094</v>
      </c>
      <c r="E37" s="59" t="n">
        <f aca="false">ROUND(S37,0)-D37</f>
        <v>2883</v>
      </c>
      <c r="F37" s="59" t="n">
        <f aca="false">IF(COUNTA(D37:E37)=0,"",SUM(D37:E37))</f>
        <v>7977</v>
      </c>
      <c r="G37" s="40" t="n">
        <f aca="false">IF(OR(F37="",F37=0),"",D37/F37)</f>
        <v>0.638585934561865</v>
      </c>
      <c r="H37" s="40" t="n">
        <f aca="false">IF(OR(F37="",F37=0),"",E37/F37)</f>
        <v>0.361414065438135</v>
      </c>
      <c r="I37" s="32" t="s">
        <v>162</v>
      </c>
      <c r="J37" s="36" t="n">
        <v>1.57736464441501</v>
      </c>
      <c r="K37" s="36" t="n">
        <f aca="false">$K$8</f>
        <v>1.27505696797933</v>
      </c>
      <c r="L37" s="36" t="n">
        <f aca="false">SQRT(J37^2+K37^2)</f>
        <v>2.02826267851162</v>
      </c>
      <c r="M37" s="40" t="n">
        <f aca="false">IF(G37="","",MAX(0,G37-1.96*L37/100))</f>
        <v>0.598831986063038</v>
      </c>
      <c r="N37" s="40" t="n">
        <f aca="false">IF(G37="","",MIN(1,G37+1.96*L37/100))</f>
        <v>0.678339883060693</v>
      </c>
      <c r="O37" s="59" t="n">
        <f aca="false">ROUND(S37*W37,0)</f>
        <v>440</v>
      </c>
      <c r="P37" s="59" t="n">
        <f aca="false">IF(F37="","",ROUND(SQRT((F37*L37/100)^2+(G37*O37)^2),0))</f>
        <v>324</v>
      </c>
      <c r="R37" s="60" t="n">
        <v>21.3395743362006</v>
      </c>
      <c r="S37" s="61" t="n">
        <f aca="false">U37*V37*$F$5</f>
        <v>7976.55329986175</v>
      </c>
      <c r="T37" s="62" t="n">
        <f aca="false">MAX(0,MIN(1,R37/100+$D$5))</f>
        <v>0.638625362364032</v>
      </c>
      <c r="U37" s="62" t="n">
        <v>0.574183220548643</v>
      </c>
      <c r="V37" s="61" t="n">
        <v>13892</v>
      </c>
      <c r="W37" s="62" t="n">
        <v>0.0551273752894184</v>
      </c>
      <c r="X37" s="63" t="s">
        <v>184</v>
      </c>
      <c r="Y37" s="63" t="s">
        <v>164</v>
      </c>
    </row>
    <row r="38" customFormat="false" ht="15" hidden="false" customHeight="false" outlineLevel="0" collapsed="false">
      <c r="A38" s="32" t="s">
        <v>189</v>
      </c>
      <c r="B38" s="32" t="s">
        <v>193</v>
      </c>
      <c r="C38" s="32" t="s">
        <v>161</v>
      </c>
      <c r="D38" s="59" t="n">
        <f aca="false">ROUND(S38*T38,0)</f>
        <v>1143</v>
      </c>
      <c r="E38" s="59" t="n">
        <f aca="false">ROUND(S38,0)-D38</f>
        <v>1035</v>
      </c>
      <c r="F38" s="59" t="n">
        <f aca="false">IF(COUNTA(D38:E38)=0,"",SUM(D38:E38))</f>
        <v>2178</v>
      </c>
      <c r="G38" s="40" t="n">
        <f aca="false">IF(OR(F38="",F38=0),"",D38/F38)</f>
        <v>0.524793388429752</v>
      </c>
      <c r="H38" s="40" t="n">
        <f aca="false">IF(OR(F38="",F38=0),"",E38/F38)</f>
        <v>0.475206611570248</v>
      </c>
      <c r="I38" s="32" t="s">
        <v>162</v>
      </c>
      <c r="J38" s="36" t="n">
        <v>1.47282364643495</v>
      </c>
      <c r="K38" s="36" t="n">
        <f aca="false">$K$8</f>
        <v>1.27505696797933</v>
      </c>
      <c r="L38" s="36" t="n">
        <f aca="false">SQRT(J38^2+K38^2)</f>
        <v>1.94807078030819</v>
      </c>
      <c r="M38" s="40" t="n">
        <f aca="false">IF(G38="","",MAX(0,G38-1.96*L38/100))</f>
        <v>0.486611201135712</v>
      </c>
      <c r="N38" s="40" t="n">
        <f aca="false">IF(G38="","",MIN(1,G38+1.96*L38/100))</f>
        <v>0.562975575723793</v>
      </c>
      <c r="O38" s="59" t="n">
        <f aca="false">ROUND(S38*W38,0)</f>
        <v>132</v>
      </c>
      <c r="P38" s="59" t="n">
        <f aca="false">IF(F38="","",ROUND(SQRT((F38*L38/100)^2+(G38*O38)^2),0))</f>
        <v>81</v>
      </c>
      <c r="R38" s="60" t="n">
        <v>9.9578873177351</v>
      </c>
      <c r="S38" s="61" t="n">
        <f aca="false">U38*V38*$F$5</f>
        <v>2177.82706204834</v>
      </c>
      <c r="T38" s="62" t="n">
        <f aca="false">MAX(0,MIN(1,R38/100+$D$5))</f>
        <v>0.524808492179378</v>
      </c>
      <c r="U38" s="62" t="n">
        <v>0.525791178669325</v>
      </c>
      <c r="V38" s="61" t="n">
        <v>4142</v>
      </c>
      <c r="W38" s="62" t="n">
        <v>0.0606122259008943</v>
      </c>
      <c r="X38" s="63" t="s">
        <v>168</v>
      </c>
      <c r="Y38" s="63" t="s">
        <v>164</v>
      </c>
    </row>
    <row r="39" customFormat="false" ht="15" hidden="false" customHeight="false" outlineLevel="0" collapsed="false">
      <c r="A39" s="32" t="s">
        <v>189</v>
      </c>
      <c r="B39" s="32" t="s">
        <v>194</v>
      </c>
      <c r="C39" s="32" t="s">
        <v>161</v>
      </c>
      <c r="D39" s="59" t="n">
        <f aca="false">ROUND(S39*T39,0)</f>
        <v>620</v>
      </c>
      <c r="E39" s="59" t="n">
        <f aca="false">ROUND(S39,0)-D39</f>
        <v>650</v>
      </c>
      <c r="F39" s="59" t="n">
        <f aca="false">IF(COUNTA(D39:E39)=0,"",SUM(D39:E39))</f>
        <v>1270</v>
      </c>
      <c r="G39" s="40" t="n">
        <f aca="false">IF(OR(F39="",F39=0),"",D39/F39)</f>
        <v>0.488188976377953</v>
      </c>
      <c r="H39" s="40" t="n">
        <f aca="false">IF(OR(F39="",F39=0),"",E39/F39)</f>
        <v>0.511811023622047</v>
      </c>
      <c r="I39" s="32" t="s">
        <v>162</v>
      </c>
      <c r="J39" s="36" t="n">
        <v>1.47282364643495</v>
      </c>
      <c r="K39" s="36" t="n">
        <f aca="false">$K$8</f>
        <v>1.27505696797933</v>
      </c>
      <c r="L39" s="36" t="n">
        <f aca="false">SQRT(J39^2+K39^2)</f>
        <v>1.94807078030819</v>
      </c>
      <c r="M39" s="40" t="n">
        <f aca="false">IF(G39="","",MAX(0,G39-1.96*L39/100))</f>
        <v>0.450006789083912</v>
      </c>
      <c r="N39" s="40" t="n">
        <f aca="false">IF(G39="","",MIN(1,G39+1.96*L39/100))</f>
        <v>0.526371163671993</v>
      </c>
      <c r="O39" s="59" t="n">
        <f aca="false">ROUND(S39*W39,0)</f>
        <v>77</v>
      </c>
      <c r="P39" s="59" t="n">
        <f aca="false">IF(F39="","",ROUND(SQRT((F39*L39/100)^2+(G39*O39)^2),0))</f>
        <v>45</v>
      </c>
      <c r="R39" s="60" t="n">
        <v>6.26699745539133</v>
      </c>
      <c r="S39" s="61" t="n">
        <f aca="false">U39*V39*$F$5</f>
        <v>1270.44031093837</v>
      </c>
      <c r="T39" s="62" t="n">
        <f aca="false">MAX(0,MIN(1,R39/100+$D$5))</f>
        <v>0.48789959355594</v>
      </c>
      <c r="U39" s="62" t="n">
        <v>0.676846196557468</v>
      </c>
      <c r="V39" s="61" t="n">
        <v>1877</v>
      </c>
      <c r="W39" s="62" t="n">
        <v>0.0606122259008943</v>
      </c>
      <c r="X39" s="63" t="s">
        <v>168</v>
      </c>
      <c r="Y39" s="63" t="s">
        <v>164</v>
      </c>
    </row>
    <row r="40" customFormat="false" ht="15" hidden="false" customHeight="false" outlineLevel="0" collapsed="false">
      <c r="A40" s="32" t="s">
        <v>189</v>
      </c>
      <c r="B40" s="32" t="s">
        <v>195</v>
      </c>
      <c r="C40" s="32" t="s">
        <v>161</v>
      </c>
      <c r="D40" s="59" t="n">
        <f aca="false">ROUND(S40*T40,0)</f>
        <v>708</v>
      </c>
      <c r="E40" s="59" t="n">
        <f aca="false">ROUND(S40,0)-D40</f>
        <v>656</v>
      </c>
      <c r="F40" s="59" t="n">
        <f aca="false">IF(COUNTA(D40:E40)=0,"",SUM(D40:E40))</f>
        <v>1364</v>
      </c>
      <c r="G40" s="40" t="n">
        <f aca="false">IF(OR(F40="",F40=0),"",D40/F40)</f>
        <v>0.519061583577713</v>
      </c>
      <c r="H40" s="40" t="n">
        <f aca="false">IF(OR(F40="",F40=0),"",E40/F40)</f>
        <v>0.480938416422287</v>
      </c>
      <c r="I40" s="32" t="s">
        <v>162</v>
      </c>
      <c r="J40" s="36" t="n">
        <v>1.47282364643495</v>
      </c>
      <c r="K40" s="36" t="n">
        <f aca="false">$K$8</f>
        <v>1.27505696797933</v>
      </c>
      <c r="L40" s="36" t="n">
        <f aca="false">SQRT(J40^2+K40^2)</f>
        <v>1.94807078030819</v>
      </c>
      <c r="M40" s="40" t="n">
        <f aca="false">IF(G40="","",MAX(0,G40-1.96*L40/100))</f>
        <v>0.480879396283672</v>
      </c>
      <c r="N40" s="40" t="n">
        <f aca="false">IF(G40="","",MIN(1,G40+1.96*L40/100))</f>
        <v>0.557243770871753</v>
      </c>
      <c r="O40" s="59" t="n">
        <f aca="false">ROUND(S40*W40,0)</f>
        <v>83</v>
      </c>
      <c r="P40" s="59" t="n">
        <f aca="false">IF(F40="","",ROUND(SQRT((F40*L40/100)^2+(G40*O40)^2),0))</f>
        <v>51</v>
      </c>
      <c r="R40" s="60" t="n">
        <v>9.418338235686</v>
      </c>
      <c r="S40" s="61" t="n">
        <f aca="false">U40*V40*$F$5</f>
        <v>1363.93435943866</v>
      </c>
      <c r="T40" s="62" t="n">
        <f aca="false">MAX(0,MIN(1,R40/100+$D$5))</f>
        <v>0.519413001358887</v>
      </c>
      <c r="U40" s="62" t="n">
        <v>0.587143503847895</v>
      </c>
      <c r="V40" s="61" t="n">
        <v>2323</v>
      </c>
      <c r="W40" s="62" t="n">
        <v>0.0606122259008943</v>
      </c>
      <c r="X40" s="63" t="s">
        <v>168</v>
      </c>
      <c r="Y40" s="63" t="s">
        <v>164</v>
      </c>
    </row>
    <row r="41" customFormat="false" ht="15" hidden="false" customHeight="false" outlineLevel="0" collapsed="false">
      <c r="A41" s="32" t="s">
        <v>189</v>
      </c>
      <c r="B41" s="32" t="s">
        <v>196</v>
      </c>
      <c r="C41" s="32" t="s">
        <v>161</v>
      </c>
      <c r="D41" s="59" t="n">
        <f aca="false">ROUND(S41*T41,0)</f>
        <v>2918</v>
      </c>
      <c r="E41" s="59" t="n">
        <f aca="false">ROUND(S41,0)-D41</f>
        <v>2470</v>
      </c>
      <c r="F41" s="59" t="n">
        <f aca="false">IF(COUNTA(D41:E41)=0,"",SUM(D41:E41))</f>
        <v>5388</v>
      </c>
      <c r="G41" s="40" t="n">
        <f aca="false">IF(OR(F41="",F41=0),"",D41/F41)</f>
        <v>0.541573867854492</v>
      </c>
      <c r="H41" s="40" t="n">
        <f aca="false">IF(OR(F41="",F41=0),"",E41/F41)</f>
        <v>0.458426132145509</v>
      </c>
      <c r="I41" s="32" t="s">
        <v>162</v>
      </c>
      <c r="J41" s="36" t="n">
        <v>1.57736464441501</v>
      </c>
      <c r="K41" s="36" t="n">
        <f aca="false">$K$8</f>
        <v>1.27505696797933</v>
      </c>
      <c r="L41" s="36" t="n">
        <f aca="false">SQRT(J41^2+K41^2)</f>
        <v>2.02826267851162</v>
      </c>
      <c r="M41" s="40" t="n">
        <f aca="false">IF(G41="","",MAX(0,G41-1.96*L41/100))</f>
        <v>0.501819919355664</v>
      </c>
      <c r="N41" s="40" t="n">
        <f aca="false">IF(G41="","",MIN(1,G41+1.96*L41/100))</f>
        <v>0.581327816353319</v>
      </c>
      <c r="O41" s="59" t="n">
        <f aca="false">ROUND(S41*W41,0)</f>
        <v>297</v>
      </c>
      <c r="P41" s="59" t="n">
        <f aca="false">IF(F41="","",ROUND(SQRT((F41*L41/100)^2+(G41*O41)^2),0))</f>
        <v>194</v>
      </c>
      <c r="R41" s="60" t="n">
        <v>11.6259265404951</v>
      </c>
      <c r="S41" s="61" t="n">
        <f aca="false">U41*V41*$F$5</f>
        <v>5388.18679314119</v>
      </c>
      <c r="T41" s="62" t="n">
        <f aca="false">MAX(0,MIN(1,R41/100+$D$5))</f>
        <v>0.541488884406978</v>
      </c>
      <c r="U41" s="62" t="n">
        <v>0.618265839717865</v>
      </c>
      <c r="V41" s="61" t="n">
        <v>8715</v>
      </c>
      <c r="W41" s="62" t="n">
        <v>0.0551273752894184</v>
      </c>
      <c r="X41" s="63" t="s">
        <v>184</v>
      </c>
      <c r="Y41" s="63" t="s">
        <v>164</v>
      </c>
    </row>
    <row r="42" customFormat="false" ht="15" hidden="false" customHeight="false" outlineLevel="0" collapsed="false">
      <c r="A42" s="32" t="s">
        <v>189</v>
      </c>
      <c r="B42" s="32" t="s">
        <v>197</v>
      </c>
      <c r="C42" s="32" t="s">
        <v>161</v>
      </c>
      <c r="D42" s="59" t="n">
        <f aca="false">ROUND(S42*T42,0)</f>
        <v>1061</v>
      </c>
      <c r="E42" s="59" t="n">
        <f aca="false">ROUND(S42,0)-D42</f>
        <v>544</v>
      </c>
      <c r="F42" s="59" t="n">
        <f aca="false">IF(COUNTA(D42:E42)=0,"",SUM(D42:E42))</f>
        <v>1605</v>
      </c>
      <c r="G42" s="40" t="n">
        <f aca="false">IF(OR(F42="",F42=0),"",D42/F42)</f>
        <v>0.661059190031153</v>
      </c>
      <c r="H42" s="40" t="n">
        <f aca="false">IF(OR(F42="",F42=0),"",E42/F42)</f>
        <v>0.338940809968847</v>
      </c>
      <c r="I42" s="32" t="s">
        <v>162</v>
      </c>
      <c r="J42" s="36" t="n">
        <v>1.47282364643495</v>
      </c>
      <c r="K42" s="36" t="n">
        <f aca="false">$K$8</f>
        <v>1.27505696797933</v>
      </c>
      <c r="L42" s="36" t="n">
        <f aca="false">SQRT(J42^2+K42^2)</f>
        <v>1.94807078030819</v>
      </c>
      <c r="M42" s="40" t="n">
        <f aca="false">IF(G42="","",MAX(0,G42-1.96*L42/100))</f>
        <v>0.622877002737112</v>
      </c>
      <c r="N42" s="40" t="n">
        <f aca="false">IF(G42="","",MIN(1,G42+1.96*L42/100))</f>
        <v>0.699241377325193</v>
      </c>
      <c r="O42" s="59" t="n">
        <f aca="false">ROUND(S42*W42,0)</f>
        <v>97</v>
      </c>
      <c r="P42" s="59" t="n">
        <f aca="false">IF(F42="","",ROUND(SQRT((F42*L42/100)^2+(G42*O42)^2),0))</f>
        <v>71</v>
      </c>
      <c r="R42" s="60" t="n">
        <v>23.5756044466956</v>
      </c>
      <c r="S42" s="61" t="n">
        <f aca="false">U42*V42*$F$5</f>
        <v>1605.4392182842</v>
      </c>
      <c r="T42" s="62" t="n">
        <f aca="false">MAX(0,MIN(1,R42/100+$D$5))</f>
        <v>0.660985663468982</v>
      </c>
      <c r="U42" s="62" t="n">
        <v>0.513083802583637</v>
      </c>
      <c r="V42" s="61" t="n">
        <v>3129</v>
      </c>
      <c r="W42" s="62" t="n">
        <v>0.0606122259008943</v>
      </c>
      <c r="X42" s="63" t="s">
        <v>168</v>
      </c>
      <c r="Y42" s="63" t="s">
        <v>164</v>
      </c>
    </row>
    <row r="43" customFormat="false" ht="15" hidden="false" customHeight="false" outlineLevel="0" collapsed="false">
      <c r="A43" s="32" t="s">
        <v>189</v>
      </c>
      <c r="B43" s="32" t="s">
        <v>198</v>
      </c>
      <c r="C43" s="32" t="s">
        <v>161</v>
      </c>
      <c r="D43" s="59" t="n">
        <f aca="false">ROUND(S43*T43,0)</f>
        <v>263</v>
      </c>
      <c r="E43" s="59" t="n">
        <f aca="false">ROUND(S43,0)-D43</f>
        <v>221</v>
      </c>
      <c r="F43" s="59" t="n">
        <f aca="false">IF(COUNTA(D43:E43)=0,"",SUM(D43:E43))</f>
        <v>484</v>
      </c>
      <c r="G43" s="40" t="n">
        <f aca="false">IF(OR(F43="",F43=0),"",D43/F43)</f>
        <v>0.543388429752066</v>
      </c>
      <c r="H43" s="40" t="n">
        <f aca="false">IF(OR(F43="",F43=0),"",E43/F43)</f>
        <v>0.456611570247934</v>
      </c>
      <c r="I43" s="32" t="s">
        <v>162</v>
      </c>
      <c r="J43" s="36" t="n">
        <v>2.82758216119982</v>
      </c>
      <c r="K43" s="36" t="n">
        <f aca="false">$K$8</f>
        <v>1.27505696797933</v>
      </c>
      <c r="L43" s="36" t="n">
        <f aca="false">SQRT(J43^2+K43^2)</f>
        <v>3.10177225952004</v>
      </c>
      <c r="M43" s="40" t="n">
        <f aca="false">IF(G43="","",MAX(0,G43-1.96*L43/100))</f>
        <v>0.482593693465473</v>
      </c>
      <c r="N43" s="40" t="n">
        <f aca="false">IF(G43="","",MIN(1,G43+1.96*L43/100))</f>
        <v>0.604183166038659</v>
      </c>
      <c r="O43" s="59" t="n">
        <f aca="false">ROUND(S43*W43,0)</f>
        <v>38</v>
      </c>
      <c r="P43" s="59" t="n">
        <f aca="false">IF(F43="","",ROUND(SQRT((F43*L43/100)^2+(G43*O43)^2),0))</f>
        <v>26</v>
      </c>
      <c r="R43" s="60" t="n">
        <v>11.7720524204254</v>
      </c>
      <c r="S43" s="61" t="n">
        <f aca="false">U43*V43*$F$5</f>
        <v>483.913480885312</v>
      </c>
      <c r="T43" s="62" t="n">
        <f aca="false">MAX(0,MIN(1,R43/100+$D$5))</f>
        <v>0.54295014320628</v>
      </c>
      <c r="U43" s="62" t="n">
        <v>0.469818913480885</v>
      </c>
      <c r="V43" s="61" t="n">
        <v>1030</v>
      </c>
      <c r="W43" s="62" t="n">
        <v>0.0777040344688333</v>
      </c>
      <c r="X43" s="63" t="s">
        <v>163</v>
      </c>
      <c r="Y43" s="63" t="s">
        <v>164</v>
      </c>
    </row>
    <row r="44" customFormat="false" ht="15" hidden="false" customHeight="false" outlineLevel="0" collapsed="false">
      <c r="A44" s="32" t="s">
        <v>189</v>
      </c>
      <c r="B44" s="32" t="s">
        <v>199</v>
      </c>
      <c r="C44" s="32" t="s">
        <v>161</v>
      </c>
      <c r="D44" s="59" t="n">
        <f aca="false">ROUND(S44*T44,0)</f>
        <v>537</v>
      </c>
      <c r="E44" s="59" t="n">
        <f aca="false">ROUND(S44,0)-D44</f>
        <v>1120</v>
      </c>
      <c r="F44" s="59" t="n">
        <f aca="false">IF(COUNTA(D44:E44)=0,"",SUM(D44:E44))</f>
        <v>1657</v>
      </c>
      <c r="G44" s="40" t="n">
        <f aca="false">IF(OR(F44="",F44=0),"",D44/F44)</f>
        <v>0.324079662039831</v>
      </c>
      <c r="H44" s="40" t="n">
        <f aca="false">IF(OR(F44="",F44=0),"",E44/F44)</f>
        <v>0.675920337960169</v>
      </c>
      <c r="I44" s="32" t="s">
        <v>162</v>
      </c>
      <c r="J44" s="36" t="n">
        <v>1.47282364643495</v>
      </c>
      <c r="K44" s="36" t="n">
        <f aca="false">$K$8</f>
        <v>1.27505696797933</v>
      </c>
      <c r="L44" s="36" t="n">
        <f aca="false">SQRT(J44^2+K44^2)</f>
        <v>1.94807078030819</v>
      </c>
      <c r="M44" s="40" t="n">
        <f aca="false">IF(G44="","",MAX(0,G44-1.96*L44/100))</f>
        <v>0.28589747474579</v>
      </c>
      <c r="N44" s="40" t="n">
        <f aca="false">IF(G44="","",MIN(1,G44+1.96*L44/100))</f>
        <v>0.362261849333872</v>
      </c>
      <c r="O44" s="59" t="n">
        <f aca="false">ROUND(S44*W44,0)</f>
        <v>100</v>
      </c>
      <c r="P44" s="59" t="n">
        <f aca="false">IF(F44="","",ROUND(SQRT((F44*L44/100)^2+(G44*O44)^2),0))</f>
        <v>46</v>
      </c>
      <c r="R44" s="60" t="n">
        <v>-10.0819581734198</v>
      </c>
      <c r="S44" s="61" t="n">
        <f aca="false">U44*V44*$F$5</f>
        <v>1656.73758865248</v>
      </c>
      <c r="T44" s="62" t="n">
        <f aca="false">MAX(0,MIN(1,R44/100+$D$5))</f>
        <v>0.324410037267828</v>
      </c>
      <c r="U44" s="62" t="n">
        <v>0.66750104297038</v>
      </c>
      <c r="V44" s="61" t="n">
        <v>2482</v>
      </c>
      <c r="W44" s="62" t="n">
        <v>0.0606122259008943</v>
      </c>
      <c r="X44" s="63" t="s">
        <v>168</v>
      </c>
      <c r="Y44" s="63" t="s">
        <v>164</v>
      </c>
    </row>
    <row r="45" customFormat="false" ht="15" hidden="false" customHeight="false" outlineLevel="0" collapsed="false">
      <c r="A45" s="32" t="s">
        <v>189</v>
      </c>
      <c r="B45" s="32" t="s">
        <v>200</v>
      </c>
      <c r="C45" s="32" t="s">
        <v>161</v>
      </c>
      <c r="D45" s="59" t="n">
        <f aca="false">ROUND(S45*T45,0)</f>
        <v>8330</v>
      </c>
      <c r="E45" s="59" t="n">
        <f aca="false">ROUND(S45,0)-D45</f>
        <v>8005</v>
      </c>
      <c r="F45" s="59" t="n">
        <f aca="false">IF(COUNTA(D45:E45)=0,"",SUM(D45:E45))</f>
        <v>16335</v>
      </c>
      <c r="G45" s="40" t="n">
        <f aca="false">IF(OR(F45="",F45=0),"",D45/F45)</f>
        <v>0.509947964493419</v>
      </c>
      <c r="H45" s="40" t="n">
        <f aca="false">IF(OR(F45="",F45=0),"",E45/F45)</f>
        <v>0.490052035506581</v>
      </c>
      <c r="I45" s="32" t="s">
        <v>162</v>
      </c>
      <c r="J45" s="36" t="n">
        <v>1.57736464441501</v>
      </c>
      <c r="K45" s="36" t="n">
        <f aca="false">$K$8</f>
        <v>1.27505696797933</v>
      </c>
      <c r="L45" s="36" t="n">
        <f aca="false">SQRT(J45^2+K45^2)</f>
        <v>2.02826267851162</v>
      </c>
      <c r="M45" s="40" t="n">
        <f aca="false">IF(G45="","",MAX(0,G45-1.96*L45/100))</f>
        <v>0.470194015994591</v>
      </c>
      <c r="N45" s="40" t="n">
        <f aca="false">IF(G45="","",MIN(1,G45+1.96*L45/100))</f>
        <v>0.549701912992247</v>
      </c>
      <c r="O45" s="59" t="n">
        <f aca="false">ROUND(S45*W45,0)</f>
        <v>900</v>
      </c>
      <c r="P45" s="59" t="n">
        <f aca="false">IF(F45="","",ROUND(SQRT((F45*L45/100)^2+(G45*O45)^2),0))</f>
        <v>566</v>
      </c>
      <c r="R45" s="60" t="n">
        <v>8.47090736456011</v>
      </c>
      <c r="S45" s="61" t="n">
        <f aca="false">U45*V45*$F$5</f>
        <v>16334.7109624891</v>
      </c>
      <c r="T45" s="62" t="n">
        <f aca="false">MAX(0,MIN(1,R45/100+$D$5))</f>
        <v>0.509938692647628</v>
      </c>
      <c r="U45" s="62" t="n">
        <v>0.662692643210236</v>
      </c>
      <c r="V45" s="61" t="n">
        <v>24649</v>
      </c>
      <c r="W45" s="62" t="n">
        <v>0.0551273752894184</v>
      </c>
      <c r="X45" s="63" t="s">
        <v>184</v>
      </c>
      <c r="Y45" s="63" t="s">
        <v>164</v>
      </c>
    </row>
    <row r="46" customFormat="false" ht="15" hidden="false" customHeight="false" outlineLevel="0" collapsed="false">
      <c r="A46" s="32" t="s">
        <v>189</v>
      </c>
      <c r="B46" s="32" t="s">
        <v>201</v>
      </c>
      <c r="C46" s="32" t="s">
        <v>161</v>
      </c>
      <c r="D46" s="59" t="n">
        <f aca="false">ROUND(S46*T46,0)</f>
        <v>844</v>
      </c>
      <c r="E46" s="59" t="n">
        <f aca="false">ROUND(S46,0)-D46</f>
        <v>1360</v>
      </c>
      <c r="F46" s="59" t="n">
        <f aca="false">IF(COUNTA(D46:E46)=0,"",SUM(D46:E46))</f>
        <v>2204</v>
      </c>
      <c r="G46" s="40" t="n">
        <f aca="false">IF(OR(F46="",F46=0),"",D46/F46)</f>
        <v>0.382940108892922</v>
      </c>
      <c r="H46" s="40" t="n">
        <f aca="false">IF(OR(F46="",F46=0),"",E46/F46)</f>
        <v>0.617059891107078</v>
      </c>
      <c r="I46" s="32" t="s">
        <v>162</v>
      </c>
      <c r="J46" s="36" t="n">
        <v>1.47282364643495</v>
      </c>
      <c r="K46" s="36" t="n">
        <f aca="false">$K$8</f>
        <v>1.27505696797933</v>
      </c>
      <c r="L46" s="36" t="n">
        <f aca="false">SQRT(J46^2+K46^2)</f>
        <v>1.94807078030819</v>
      </c>
      <c r="M46" s="40" t="n">
        <f aca="false">IF(G46="","",MAX(0,G46-1.96*L46/100))</f>
        <v>0.344757921598881</v>
      </c>
      <c r="N46" s="40" t="n">
        <f aca="false">IF(G46="","",MIN(1,G46+1.96*L46/100))</f>
        <v>0.421122296186963</v>
      </c>
      <c r="O46" s="59" t="n">
        <f aca="false">ROUND(S46*W46,0)</f>
        <v>134</v>
      </c>
      <c r="P46" s="59" t="n">
        <f aca="false">IF(F46="","",ROUND(SQRT((F46*L46/100)^2+(G46*O46)^2),0))</f>
        <v>67</v>
      </c>
      <c r="R46" s="60" t="n">
        <v>-4.22233188085432</v>
      </c>
      <c r="S46" s="61" t="n">
        <f aca="false">U46*V46*$F$5</f>
        <v>2204.10505319149</v>
      </c>
      <c r="T46" s="62" t="n">
        <f aca="false">MAX(0,MIN(1,R46/100+$D$5))</f>
        <v>0.383006300193484</v>
      </c>
      <c r="U46" s="62" t="n">
        <v>0.718417553191489</v>
      </c>
      <c r="V46" s="61" t="n">
        <v>3068</v>
      </c>
      <c r="W46" s="62" t="n">
        <v>0.0606122259008943</v>
      </c>
      <c r="X46" s="63" t="s">
        <v>168</v>
      </c>
      <c r="Y46" s="63" t="s">
        <v>164</v>
      </c>
    </row>
    <row r="47" customFormat="false" ht="15" hidden="false" customHeight="false" outlineLevel="0" collapsed="false">
      <c r="A47" s="32" t="s">
        <v>189</v>
      </c>
      <c r="B47" s="32" t="s">
        <v>202</v>
      </c>
      <c r="C47" s="32" t="s">
        <v>161</v>
      </c>
      <c r="D47" s="59" t="n">
        <f aca="false">ROUND(S47*T47,0)</f>
        <v>451</v>
      </c>
      <c r="E47" s="59" t="n">
        <f aca="false">ROUND(S47,0)-D47</f>
        <v>786</v>
      </c>
      <c r="F47" s="59" t="n">
        <f aca="false">IF(COUNTA(D47:E47)=0,"",SUM(D47:E47))</f>
        <v>1237</v>
      </c>
      <c r="G47" s="40" t="n">
        <f aca="false">IF(OR(F47="",F47=0),"",D47/F47)</f>
        <v>0.364591754244139</v>
      </c>
      <c r="H47" s="40" t="n">
        <f aca="false">IF(OR(F47="",F47=0),"",E47/F47)</f>
        <v>0.635408245755861</v>
      </c>
      <c r="I47" s="32" t="s">
        <v>162</v>
      </c>
      <c r="J47" s="36" t="n">
        <v>2.82758216119982</v>
      </c>
      <c r="K47" s="36" t="n">
        <f aca="false">$K$8</f>
        <v>1.27505696797933</v>
      </c>
      <c r="L47" s="36" t="n">
        <f aca="false">SQRT(J47^2+K47^2)</f>
        <v>3.10177225952004</v>
      </c>
      <c r="M47" s="40" t="n">
        <f aca="false">IF(G47="","",MAX(0,G47-1.96*L47/100))</f>
        <v>0.303797017957546</v>
      </c>
      <c r="N47" s="40" t="n">
        <f aca="false">IF(G47="","",MIN(1,G47+1.96*L47/100))</f>
        <v>0.425386490530732</v>
      </c>
      <c r="O47" s="59" t="n">
        <f aca="false">ROUND(S47*W47,0)</f>
        <v>96</v>
      </c>
      <c r="P47" s="59" t="n">
        <f aca="false">IF(F47="","",ROUND(SQRT((F47*L47/100)^2+(G47*O47)^2),0))</f>
        <v>52</v>
      </c>
      <c r="R47" s="60" t="n">
        <v>-6.10296765269628</v>
      </c>
      <c r="S47" s="61" t="n">
        <f aca="false">U47*V47*$F$5</f>
        <v>1236.97340124505</v>
      </c>
      <c r="T47" s="62" t="n">
        <f aca="false">MAX(0,MIN(1,R47/100+$D$5))</f>
        <v>0.364199942475064</v>
      </c>
      <c r="U47" s="62" t="n">
        <v>0.688737973967176</v>
      </c>
      <c r="V47" s="61" t="n">
        <v>1796</v>
      </c>
      <c r="W47" s="62" t="n">
        <v>0.0777040344688333</v>
      </c>
      <c r="X47" s="63" t="s">
        <v>163</v>
      </c>
      <c r="Y47" s="63" t="s">
        <v>164</v>
      </c>
    </row>
    <row r="48" customFormat="false" ht="15" hidden="false" customHeight="false" outlineLevel="0" collapsed="false">
      <c r="A48" s="32" t="s">
        <v>189</v>
      </c>
      <c r="B48" s="32" t="s">
        <v>203</v>
      </c>
      <c r="C48" s="32" t="s">
        <v>161</v>
      </c>
      <c r="D48" s="59" t="n">
        <f aca="false">ROUND(S48*T48,0)</f>
        <v>703</v>
      </c>
      <c r="E48" s="59" t="n">
        <f aca="false">ROUND(S48,0)-D48</f>
        <v>1489</v>
      </c>
      <c r="F48" s="59" t="n">
        <f aca="false">IF(COUNTA(D48:E48)=0,"",SUM(D48:E48))</f>
        <v>2192</v>
      </c>
      <c r="G48" s="40" t="n">
        <f aca="false">IF(OR(F48="",F48=0),"",D48/F48)</f>
        <v>0.320711678832117</v>
      </c>
      <c r="H48" s="40" t="n">
        <f aca="false">IF(OR(F48="",F48=0),"",E48/F48)</f>
        <v>0.679288321167883</v>
      </c>
      <c r="I48" s="32" t="s">
        <v>162</v>
      </c>
      <c r="J48" s="36" t="n">
        <v>1.47282364643495</v>
      </c>
      <c r="K48" s="36" t="n">
        <f aca="false">$K$8</f>
        <v>1.27505696797933</v>
      </c>
      <c r="L48" s="36" t="n">
        <f aca="false">SQRT(J48^2+K48^2)</f>
        <v>1.94807078030819</v>
      </c>
      <c r="M48" s="40" t="n">
        <f aca="false">IF(G48="","",MAX(0,G48-1.96*L48/100))</f>
        <v>0.282529491538076</v>
      </c>
      <c r="N48" s="40" t="n">
        <f aca="false">IF(G48="","",MIN(1,G48+1.96*L48/100))</f>
        <v>0.358893866126157</v>
      </c>
      <c r="O48" s="59" t="n">
        <f aca="false">ROUND(S48*W48,0)</f>
        <v>133</v>
      </c>
      <c r="P48" s="59" t="n">
        <f aca="false">IF(F48="","",ROUND(SQRT((F48*L48/100)^2+(G48*O48)^2),0))</f>
        <v>60</v>
      </c>
      <c r="R48" s="60" t="n">
        <v>-10.4648916683058</v>
      </c>
      <c r="S48" s="61" t="n">
        <f aca="false">U48*V48*$F$5</f>
        <v>2191.88036117382</v>
      </c>
      <c r="T48" s="62" t="n">
        <f aca="false">MAX(0,MIN(1,R48/100+$D$5))</f>
        <v>0.320580702318969</v>
      </c>
      <c r="U48" s="62" t="n">
        <v>0.694292163818123</v>
      </c>
      <c r="V48" s="61" t="n">
        <v>3157</v>
      </c>
      <c r="W48" s="62" t="n">
        <v>0.0606122259008943</v>
      </c>
      <c r="X48" s="63" t="s">
        <v>168</v>
      </c>
      <c r="Y48" s="63" t="s">
        <v>164</v>
      </c>
    </row>
    <row r="49" customFormat="false" ht="15" hidden="false" customHeight="false" outlineLevel="0" collapsed="false">
      <c r="A49" s="32" t="s">
        <v>189</v>
      </c>
      <c r="B49" s="32" t="s">
        <v>204</v>
      </c>
      <c r="C49" s="32" t="s">
        <v>161</v>
      </c>
      <c r="D49" s="59" t="n">
        <f aca="false">ROUND(S49*T49,0)</f>
        <v>813</v>
      </c>
      <c r="E49" s="59" t="n">
        <f aca="false">ROUND(S49,0)-D49</f>
        <v>700</v>
      </c>
      <c r="F49" s="59" t="n">
        <f aca="false">IF(COUNTA(D49:E49)=0,"",SUM(D49:E49))</f>
        <v>1513</v>
      </c>
      <c r="G49" s="40" t="n">
        <f aca="false">IF(OR(F49="",F49=0),"",D49/F49)</f>
        <v>0.53734302709848</v>
      </c>
      <c r="H49" s="40" t="n">
        <f aca="false">IF(OR(F49="",F49=0),"",E49/F49)</f>
        <v>0.46265697290152</v>
      </c>
      <c r="I49" s="32" t="s">
        <v>162</v>
      </c>
      <c r="J49" s="36" t="n">
        <v>1.47282364643495</v>
      </c>
      <c r="K49" s="36" t="n">
        <f aca="false">$K$8</f>
        <v>1.27505696797933</v>
      </c>
      <c r="L49" s="36" t="n">
        <f aca="false">SQRT(J49^2+K49^2)</f>
        <v>1.94807078030819</v>
      </c>
      <c r="M49" s="40" t="n">
        <f aca="false">IF(G49="","",MAX(0,G49-1.96*L49/100))</f>
        <v>0.499160839804439</v>
      </c>
      <c r="N49" s="40" t="n">
        <f aca="false">IF(G49="","",MIN(1,G49+1.96*L49/100))</f>
        <v>0.575525214392521</v>
      </c>
      <c r="O49" s="59" t="n">
        <f aca="false">ROUND(S49*W49,0)</f>
        <v>92</v>
      </c>
      <c r="P49" s="59" t="n">
        <f aca="false">IF(F49="","",ROUND(SQRT((F49*L49/100)^2+(G49*O49)^2),0))</f>
        <v>58</v>
      </c>
      <c r="R49" s="60" t="n">
        <v>11.2149764598869</v>
      </c>
      <c r="S49" s="61" t="n">
        <f aca="false">U49*V49*$F$5</f>
        <v>1512.74151436031</v>
      </c>
      <c r="T49" s="62" t="n">
        <f aca="false">MAX(0,MIN(1,R49/100+$D$5))</f>
        <v>0.537379383600895</v>
      </c>
      <c r="U49" s="62" t="n">
        <v>0.616187989556136</v>
      </c>
      <c r="V49" s="61" t="n">
        <v>2455</v>
      </c>
      <c r="W49" s="62" t="n">
        <v>0.0606122259008943</v>
      </c>
      <c r="X49" s="63" t="s">
        <v>168</v>
      </c>
      <c r="Y49" s="63" t="s">
        <v>164</v>
      </c>
    </row>
    <row r="50" customFormat="false" ht="15" hidden="false" customHeight="false" outlineLevel="0" collapsed="false">
      <c r="A50" s="32" t="s">
        <v>189</v>
      </c>
      <c r="B50" s="32" t="s">
        <v>205</v>
      </c>
      <c r="C50" s="32" t="s">
        <v>161</v>
      </c>
      <c r="D50" s="59" t="n">
        <f aca="false">ROUND(S50*T50,0)</f>
        <v>3344</v>
      </c>
      <c r="E50" s="59" t="n">
        <f aca="false">ROUND(S50,0)-D50</f>
        <v>4553</v>
      </c>
      <c r="F50" s="59" t="n">
        <f aca="false">IF(COUNTA(D50:E50)=0,"",SUM(D50:E50))</f>
        <v>7897</v>
      </c>
      <c r="G50" s="40" t="n">
        <f aca="false">IF(OR(F50="",F50=0),"",D50/F50)</f>
        <v>0.423451943776118</v>
      </c>
      <c r="H50" s="40" t="n">
        <f aca="false">IF(OR(F50="",F50=0),"",E50/F50)</f>
        <v>0.576548056223883</v>
      </c>
      <c r="I50" s="32" t="s">
        <v>162</v>
      </c>
      <c r="J50" s="36" t="n">
        <v>1.57736464441501</v>
      </c>
      <c r="K50" s="36" t="n">
        <f aca="false">$K$8</f>
        <v>1.27505696797933</v>
      </c>
      <c r="L50" s="36" t="n">
        <f aca="false">SQRT(J50^2+K50^2)</f>
        <v>2.02826267851162</v>
      </c>
      <c r="M50" s="40" t="n">
        <f aca="false">IF(G50="","",MAX(0,G50-1.96*L50/100))</f>
        <v>0.38369799527729</v>
      </c>
      <c r="N50" s="40" t="n">
        <f aca="false">IF(G50="","",MIN(1,G50+1.96*L50/100))</f>
        <v>0.463205892274945</v>
      </c>
      <c r="O50" s="59" t="n">
        <f aca="false">ROUND(S50*W50,0)</f>
        <v>435</v>
      </c>
      <c r="P50" s="59" t="n">
        <f aca="false">IF(F50="","",ROUND(SQRT((F50*L50/100)^2+(G50*O50)^2),0))</f>
        <v>244</v>
      </c>
      <c r="R50" s="60" t="n">
        <v>-0.180554733016204</v>
      </c>
      <c r="S50" s="61" t="n">
        <f aca="false">U50*V50*$F$5</f>
        <v>7896.5113304721</v>
      </c>
      <c r="T50" s="62" t="n">
        <f aca="false">MAX(0,MIN(1,R50/100+$D$5))</f>
        <v>0.423424071671865</v>
      </c>
      <c r="U50" s="62" t="n">
        <v>0.662403433476395</v>
      </c>
      <c r="V50" s="61" t="n">
        <v>11921</v>
      </c>
      <c r="W50" s="62" t="n">
        <v>0.0551273752894184</v>
      </c>
      <c r="X50" s="63" t="s">
        <v>184</v>
      </c>
      <c r="Y50" s="63" t="s">
        <v>164</v>
      </c>
    </row>
    <row r="51" customFormat="false" ht="15" hidden="false" customHeight="false" outlineLevel="0" collapsed="false">
      <c r="A51" s="32" t="s">
        <v>189</v>
      </c>
      <c r="B51" s="32" t="s">
        <v>206</v>
      </c>
      <c r="C51" s="32" t="s">
        <v>161</v>
      </c>
      <c r="D51" s="59" t="n">
        <f aca="false">ROUND(S51*T51,0)</f>
        <v>3254</v>
      </c>
      <c r="E51" s="59" t="n">
        <f aca="false">ROUND(S51,0)-D51</f>
        <v>3176</v>
      </c>
      <c r="F51" s="59" t="n">
        <f aca="false">IF(COUNTA(D51:E51)=0,"",SUM(D51:E51))</f>
        <v>6430</v>
      </c>
      <c r="G51" s="40" t="n">
        <f aca="false">IF(OR(F51="",F51=0),"",D51/F51)</f>
        <v>0.50606531881804</v>
      </c>
      <c r="H51" s="40" t="n">
        <f aca="false">IF(OR(F51="",F51=0),"",E51/F51)</f>
        <v>0.49393468118196</v>
      </c>
      <c r="I51" s="32" t="s">
        <v>162</v>
      </c>
      <c r="J51" s="36" t="n">
        <v>1.57736464441501</v>
      </c>
      <c r="K51" s="36" t="n">
        <f aca="false">$K$8</f>
        <v>1.27505696797933</v>
      </c>
      <c r="L51" s="36" t="n">
        <f aca="false">SQRT(J51^2+K51^2)</f>
        <v>2.02826267851162</v>
      </c>
      <c r="M51" s="40" t="n">
        <f aca="false">IF(G51="","",MAX(0,G51-1.96*L51/100))</f>
        <v>0.466311370319213</v>
      </c>
      <c r="N51" s="40" t="n">
        <f aca="false">IF(G51="","",MIN(1,G51+1.96*L51/100))</f>
        <v>0.545819267316868</v>
      </c>
      <c r="O51" s="59" t="n">
        <f aca="false">ROUND(S51*W51,0)</f>
        <v>354</v>
      </c>
      <c r="P51" s="59" t="n">
        <f aca="false">IF(F51="","",ROUND(SQRT((F51*L51/100)^2+(G51*O51)^2),0))</f>
        <v>222</v>
      </c>
      <c r="R51" s="60" t="n">
        <v>8.08543357295569</v>
      </c>
      <c r="S51" s="61" t="n">
        <f aca="false">U51*V51*$F$5</f>
        <v>6429.9709076009</v>
      </c>
      <c r="T51" s="62" t="n">
        <f aca="false">MAX(0,MIN(1,R51/100+$D$5))</f>
        <v>0.506083954731584</v>
      </c>
      <c r="U51" s="62" t="n">
        <v>0.652325343167384</v>
      </c>
      <c r="V51" s="61" t="n">
        <v>9857</v>
      </c>
      <c r="W51" s="62" t="n">
        <v>0.0551273752894184</v>
      </c>
      <c r="X51" s="63" t="s">
        <v>184</v>
      </c>
      <c r="Y51" s="63" t="s">
        <v>164</v>
      </c>
    </row>
    <row r="52" customFormat="false" ht="15" hidden="false" customHeight="false" outlineLevel="0" collapsed="false">
      <c r="A52" s="32" t="s">
        <v>189</v>
      </c>
      <c r="B52" s="32" t="s">
        <v>207</v>
      </c>
      <c r="C52" s="32" t="s">
        <v>161</v>
      </c>
      <c r="D52" s="59" t="n">
        <f aca="false">ROUND(S52*T52,0)</f>
        <v>595</v>
      </c>
      <c r="E52" s="59" t="n">
        <f aca="false">ROUND(S52,0)-D52</f>
        <v>795</v>
      </c>
      <c r="F52" s="59" t="n">
        <f aca="false">IF(COUNTA(D52:E52)=0,"",SUM(D52:E52))</f>
        <v>1390</v>
      </c>
      <c r="G52" s="40" t="n">
        <f aca="false">IF(OR(F52="",F52=0),"",D52/F52)</f>
        <v>0.428057553956835</v>
      </c>
      <c r="H52" s="40" t="n">
        <f aca="false">IF(OR(F52="",F52=0),"",E52/F52)</f>
        <v>0.571942446043166</v>
      </c>
      <c r="I52" s="32" t="s">
        <v>162</v>
      </c>
      <c r="J52" s="36" t="n">
        <v>1.47282364643495</v>
      </c>
      <c r="K52" s="36" t="n">
        <f aca="false">$K$8</f>
        <v>1.27505696797933</v>
      </c>
      <c r="L52" s="36" t="n">
        <f aca="false">SQRT(J52^2+K52^2)</f>
        <v>1.94807078030819</v>
      </c>
      <c r="M52" s="40" t="n">
        <f aca="false">IF(G52="","",MAX(0,G52-1.96*L52/100))</f>
        <v>0.389875366662794</v>
      </c>
      <c r="N52" s="40" t="n">
        <f aca="false">IF(G52="","",MIN(1,G52+1.96*L52/100))</f>
        <v>0.466239741250875</v>
      </c>
      <c r="O52" s="59" t="n">
        <f aca="false">ROUND(S52*W52,0)</f>
        <v>84</v>
      </c>
      <c r="P52" s="59" t="n">
        <f aca="false">IF(F52="","",ROUND(SQRT((F52*L52/100)^2+(G52*O52)^2),0))</f>
        <v>45</v>
      </c>
      <c r="R52" s="60" t="n">
        <v>0.272694186691614</v>
      </c>
      <c r="S52" s="61" t="n">
        <f aca="false">U52*V52*$F$5</f>
        <v>1390.15942028986</v>
      </c>
      <c r="T52" s="62" t="n">
        <f aca="false">MAX(0,MIN(1,R52/100+$D$5))</f>
        <v>0.427956560868943</v>
      </c>
      <c r="U52" s="62" t="n">
        <v>0.529181355268312</v>
      </c>
      <c r="V52" s="61" t="n">
        <v>2627</v>
      </c>
      <c r="W52" s="62" t="n">
        <v>0.0606122259008943</v>
      </c>
      <c r="X52" s="63" t="s">
        <v>168</v>
      </c>
      <c r="Y52" s="63" t="s">
        <v>164</v>
      </c>
    </row>
    <row r="53" customFormat="false" ht="15" hidden="false" customHeight="false" outlineLevel="0" collapsed="false">
      <c r="A53" s="32" t="s">
        <v>189</v>
      </c>
      <c r="B53" s="32" t="s">
        <v>208</v>
      </c>
      <c r="C53" s="32" t="s">
        <v>161</v>
      </c>
      <c r="D53" s="59" t="n">
        <f aca="false">ROUND(S53*T53,0)</f>
        <v>5666</v>
      </c>
      <c r="E53" s="59" t="n">
        <f aca="false">ROUND(S53,0)-D53</f>
        <v>4820</v>
      </c>
      <c r="F53" s="59" t="n">
        <f aca="false">IF(COUNTA(D53:E53)=0,"",SUM(D53:E53))</f>
        <v>10486</v>
      </c>
      <c r="G53" s="40" t="n">
        <f aca="false">IF(OR(F53="",F53=0),"",D53/F53)</f>
        <v>0.540339500286096</v>
      </c>
      <c r="H53" s="40" t="n">
        <f aca="false">IF(OR(F53="",F53=0),"",E53/F53)</f>
        <v>0.459660499713904</v>
      </c>
      <c r="I53" s="32" t="s">
        <v>162</v>
      </c>
      <c r="J53" s="36" t="n">
        <v>1.57736464441501</v>
      </c>
      <c r="K53" s="36" t="n">
        <f aca="false">$K$8</f>
        <v>1.27505696797933</v>
      </c>
      <c r="L53" s="36" t="n">
        <f aca="false">SQRT(J53^2+K53^2)</f>
        <v>2.02826267851162</v>
      </c>
      <c r="M53" s="40" t="n">
        <f aca="false">IF(G53="","",MAX(0,G53-1.96*L53/100))</f>
        <v>0.500585551787268</v>
      </c>
      <c r="N53" s="40" t="n">
        <f aca="false">IF(G53="","",MIN(1,G53+1.96*L53/100))</f>
        <v>0.580093448784923</v>
      </c>
      <c r="O53" s="59" t="n">
        <f aca="false">ROUND(S53*W53,0)</f>
        <v>578</v>
      </c>
      <c r="P53" s="59" t="n">
        <f aca="false">IF(F53="","",ROUND(SQRT((F53*L53/100)^2+(G53*O53)^2),0))</f>
        <v>378</v>
      </c>
      <c r="R53" s="60" t="n">
        <v>11.5130259514704</v>
      </c>
      <c r="S53" s="61" t="n">
        <f aca="false">U53*V53*$F$5</f>
        <v>10486.1559171025</v>
      </c>
      <c r="T53" s="62" t="n">
        <f aca="false">MAX(0,MIN(1,R53/100+$D$5))</f>
        <v>0.540359878516731</v>
      </c>
      <c r="U53" s="62" t="n">
        <v>0.653302343598683</v>
      </c>
      <c r="V53" s="61" t="n">
        <v>16051</v>
      </c>
      <c r="W53" s="62" t="n">
        <v>0.0551273752894184</v>
      </c>
      <c r="X53" s="63" t="s">
        <v>184</v>
      </c>
      <c r="Y53" s="63" t="s">
        <v>164</v>
      </c>
    </row>
    <row r="54" customFormat="false" ht="15" hidden="false" customHeight="false" outlineLevel="0" collapsed="false">
      <c r="A54" s="32" t="s">
        <v>189</v>
      </c>
      <c r="B54" s="32" t="s">
        <v>209</v>
      </c>
      <c r="C54" s="32" t="s">
        <v>161</v>
      </c>
      <c r="D54" s="59" t="n">
        <f aca="false">ROUND(S54*T54,0)</f>
        <v>6299</v>
      </c>
      <c r="E54" s="59" t="n">
        <f aca="false">ROUND(S54,0)-D54</f>
        <v>5731</v>
      </c>
      <c r="F54" s="59" t="n">
        <f aca="false">IF(COUNTA(D54:E54)=0,"",SUM(D54:E54))</f>
        <v>12030</v>
      </c>
      <c r="G54" s="40" t="n">
        <f aca="false">IF(OR(F54="",F54=0),"",D54/F54)</f>
        <v>0.523607647547797</v>
      </c>
      <c r="H54" s="40" t="n">
        <f aca="false">IF(OR(F54="",F54=0),"",E54/F54)</f>
        <v>0.476392352452203</v>
      </c>
      <c r="I54" s="32" t="s">
        <v>162</v>
      </c>
      <c r="J54" s="36" t="n">
        <v>1.57736464441501</v>
      </c>
      <c r="K54" s="36" t="n">
        <f aca="false">$K$8</f>
        <v>1.27505696797933</v>
      </c>
      <c r="L54" s="36" t="n">
        <f aca="false">SQRT(J54^2+K54^2)</f>
        <v>2.02826267851162</v>
      </c>
      <c r="M54" s="40" t="n">
        <f aca="false">IF(G54="","",MAX(0,G54-1.96*L54/100))</f>
        <v>0.48385369904897</v>
      </c>
      <c r="N54" s="40" t="n">
        <f aca="false">IF(G54="","",MIN(1,G54+1.96*L54/100))</f>
        <v>0.563361596046625</v>
      </c>
      <c r="O54" s="59" t="n">
        <f aca="false">ROUND(S54*W54,0)</f>
        <v>663</v>
      </c>
      <c r="P54" s="59" t="n">
        <f aca="false">IF(F54="","",ROUND(SQRT((F54*L54/100)^2+(G54*O54)^2),0))</f>
        <v>424</v>
      </c>
      <c r="R54" s="60" t="n">
        <v>9.83322777547197</v>
      </c>
      <c r="S54" s="61" t="n">
        <f aca="false">U54*V54*$F$5</f>
        <v>12030.3346699902</v>
      </c>
      <c r="T54" s="62" t="n">
        <f aca="false">MAX(0,MIN(1,R54/100+$D$5))</f>
        <v>0.523561896756746</v>
      </c>
      <c r="U54" s="62" t="n">
        <v>0.610490950471443</v>
      </c>
      <c r="V54" s="61" t="n">
        <v>19706</v>
      </c>
      <c r="W54" s="62" t="n">
        <v>0.0551273752894184</v>
      </c>
      <c r="X54" s="63" t="s">
        <v>184</v>
      </c>
      <c r="Y54" s="63" t="s">
        <v>164</v>
      </c>
    </row>
    <row r="55" customFormat="false" ht="15" hidden="false" customHeight="false" outlineLevel="0" collapsed="false">
      <c r="A55" s="32" t="s">
        <v>189</v>
      </c>
      <c r="B55" s="32" t="s">
        <v>210</v>
      </c>
      <c r="C55" s="32" t="s">
        <v>161</v>
      </c>
      <c r="D55" s="59" t="n">
        <f aca="false">ROUND(S55*T55,0)</f>
        <v>2041</v>
      </c>
      <c r="E55" s="59" t="n">
        <f aca="false">ROUND(S55,0)-D55</f>
        <v>2573</v>
      </c>
      <c r="F55" s="59" t="n">
        <f aca="false">IF(COUNTA(D55:E55)=0,"",SUM(D55:E55))</f>
        <v>4614</v>
      </c>
      <c r="G55" s="40" t="n">
        <f aca="false">IF(OR(F55="",F55=0),"",D55/F55)</f>
        <v>0.44234937147811</v>
      </c>
      <c r="H55" s="40" t="n">
        <f aca="false">IF(OR(F55="",F55=0),"",E55/F55)</f>
        <v>0.55765062852189</v>
      </c>
      <c r="I55" s="32" t="s">
        <v>162</v>
      </c>
      <c r="J55" s="36" t="n">
        <v>1.57736464441501</v>
      </c>
      <c r="K55" s="36" t="n">
        <f aca="false">$K$8</f>
        <v>1.27505696797933</v>
      </c>
      <c r="L55" s="36" t="n">
        <f aca="false">SQRT(J55^2+K55^2)</f>
        <v>2.02826267851162</v>
      </c>
      <c r="M55" s="40" t="n">
        <f aca="false">IF(G55="","",MAX(0,G55-1.96*L55/100))</f>
        <v>0.402595422979282</v>
      </c>
      <c r="N55" s="40" t="n">
        <f aca="false">IF(G55="","",MIN(1,G55+1.96*L55/100))</f>
        <v>0.482103319976938</v>
      </c>
      <c r="O55" s="59" t="n">
        <f aca="false">ROUND(S55*W55,0)</f>
        <v>254</v>
      </c>
      <c r="P55" s="59" t="n">
        <f aca="false">IF(F55="","",ROUND(SQRT((F55*L55/100)^2+(G55*O55)^2),0))</f>
        <v>146</v>
      </c>
      <c r="R55" s="60" t="n">
        <v>1.70892032409147</v>
      </c>
      <c r="S55" s="61" t="n">
        <f aca="false">U55*V55*$F$5</f>
        <v>4613.50991276765</v>
      </c>
      <c r="T55" s="62" t="n">
        <f aca="false">MAX(0,MIN(1,R55/100+$D$5))</f>
        <v>0.442318822242941</v>
      </c>
      <c r="U55" s="62" t="n">
        <v>0.71086439333862</v>
      </c>
      <c r="V55" s="61" t="n">
        <v>6490</v>
      </c>
      <c r="W55" s="62" t="n">
        <v>0.0551273752894184</v>
      </c>
      <c r="X55" s="63" t="s">
        <v>184</v>
      </c>
      <c r="Y55" s="63" t="s">
        <v>164</v>
      </c>
    </row>
    <row r="56" customFormat="false" ht="15" hidden="false" customHeight="false" outlineLevel="0" collapsed="false">
      <c r="A56" s="32" t="s">
        <v>189</v>
      </c>
      <c r="B56" s="32" t="s">
        <v>211</v>
      </c>
      <c r="C56" s="32" t="s">
        <v>161</v>
      </c>
      <c r="D56" s="59" t="n">
        <f aca="false">ROUND(S56*T56,0)</f>
        <v>4633</v>
      </c>
      <c r="E56" s="59" t="n">
        <f aca="false">ROUND(S56,0)-D56</f>
        <v>4711</v>
      </c>
      <c r="F56" s="59" t="n">
        <f aca="false">IF(COUNTA(D56:E56)=0,"",SUM(D56:E56))</f>
        <v>9344</v>
      </c>
      <c r="G56" s="40" t="n">
        <f aca="false">IF(OR(F56="",F56=0),"",D56/F56)</f>
        <v>0.495826198630137</v>
      </c>
      <c r="H56" s="40" t="n">
        <f aca="false">IF(OR(F56="",F56=0),"",E56/F56)</f>
        <v>0.504173801369863</v>
      </c>
      <c r="I56" s="32" t="s">
        <v>162</v>
      </c>
      <c r="J56" s="36" t="n">
        <v>1.57736464441501</v>
      </c>
      <c r="K56" s="36" t="n">
        <f aca="false">$K$8</f>
        <v>1.27505696797933</v>
      </c>
      <c r="L56" s="36" t="n">
        <f aca="false">SQRT(J56^2+K56^2)</f>
        <v>2.02826267851162</v>
      </c>
      <c r="M56" s="40" t="n">
        <f aca="false">IF(G56="","",MAX(0,G56-1.96*L56/100))</f>
        <v>0.456072250131309</v>
      </c>
      <c r="N56" s="40" t="n">
        <f aca="false">IF(G56="","",MIN(1,G56+1.96*L56/100))</f>
        <v>0.535580147128965</v>
      </c>
      <c r="O56" s="59" t="n">
        <f aca="false">ROUND(S56*W56,0)</f>
        <v>515</v>
      </c>
      <c r="P56" s="59" t="n">
        <f aca="false">IF(F56="","",ROUND(SQRT((F56*L56/100)^2+(G56*O56)^2),0))</f>
        <v>318</v>
      </c>
      <c r="R56" s="60" t="n">
        <v>7.05898561158625</v>
      </c>
      <c r="S56" s="61" t="n">
        <f aca="false">U56*V56*$F$5</f>
        <v>9343.93860561915</v>
      </c>
      <c r="T56" s="62" t="n">
        <f aca="false">MAX(0,MIN(1,R56/100+$D$5))</f>
        <v>0.495819475117889</v>
      </c>
      <c r="U56" s="62" t="n">
        <v>0.702393340270552</v>
      </c>
      <c r="V56" s="61" t="n">
        <v>13303</v>
      </c>
      <c r="W56" s="62" t="n">
        <v>0.0551273752894184</v>
      </c>
      <c r="X56" s="63" t="s">
        <v>184</v>
      </c>
      <c r="Y56" s="63" t="s">
        <v>164</v>
      </c>
    </row>
    <row r="57" customFormat="false" ht="15" hidden="false" customHeight="false" outlineLevel="0" collapsed="false">
      <c r="A57" s="32" t="s">
        <v>189</v>
      </c>
      <c r="B57" s="32" t="s">
        <v>212</v>
      </c>
      <c r="C57" s="32" t="s">
        <v>161</v>
      </c>
      <c r="D57" s="59" t="n">
        <f aca="false">ROUND(S57*T57,0)</f>
        <v>1060</v>
      </c>
      <c r="E57" s="59" t="n">
        <f aca="false">ROUND(S57,0)-D57</f>
        <v>2043</v>
      </c>
      <c r="F57" s="59" t="n">
        <f aca="false">IF(COUNTA(D57:E57)=0,"",SUM(D57:E57))</f>
        <v>3103</v>
      </c>
      <c r="G57" s="40" t="n">
        <f aca="false">IF(OR(F57="",F57=0),"",D57/F57)</f>
        <v>0.341604898485337</v>
      </c>
      <c r="H57" s="40" t="n">
        <f aca="false">IF(OR(F57="",F57=0),"",E57/F57)</f>
        <v>0.658395101514663</v>
      </c>
      <c r="I57" s="32" t="s">
        <v>162</v>
      </c>
      <c r="J57" s="36" t="n">
        <v>1.57736464441501</v>
      </c>
      <c r="K57" s="36" t="n">
        <f aca="false">$K$8</f>
        <v>1.27505696797933</v>
      </c>
      <c r="L57" s="36" t="n">
        <f aca="false">SQRT(J57^2+K57^2)</f>
        <v>2.02826267851162</v>
      </c>
      <c r="M57" s="40" t="n">
        <f aca="false">IF(G57="","",MAX(0,G57-1.96*L57/100))</f>
        <v>0.301850949986509</v>
      </c>
      <c r="N57" s="40" t="n">
        <f aca="false">IF(G57="","",MIN(1,G57+1.96*L57/100))</f>
        <v>0.381358846984164</v>
      </c>
      <c r="O57" s="59" t="n">
        <f aca="false">ROUND(S57*W57,0)</f>
        <v>171</v>
      </c>
      <c r="P57" s="59" t="n">
        <f aca="false">IF(F57="","",ROUND(SQRT((F57*L57/100)^2+(G57*O57)^2),0))</f>
        <v>86</v>
      </c>
      <c r="R57" s="60" t="n">
        <v>-8.37313587488369</v>
      </c>
      <c r="S57" s="61" t="n">
        <f aca="false">U57*V57*$F$5</f>
        <v>3102.86358754028</v>
      </c>
      <c r="T57" s="62" t="n">
        <f aca="false">MAX(0,MIN(1,R57/100+$D$5))</f>
        <v>0.34149826025319</v>
      </c>
      <c r="U57" s="62" t="n">
        <v>0.645757250268529</v>
      </c>
      <c r="V57" s="61" t="n">
        <v>4805</v>
      </c>
      <c r="W57" s="62" t="n">
        <v>0.0551273752894184</v>
      </c>
      <c r="X57" s="63" t="s">
        <v>184</v>
      </c>
      <c r="Y57" s="63" t="s">
        <v>164</v>
      </c>
    </row>
    <row r="58" customFormat="false" ht="15" hidden="false" customHeight="false" outlineLevel="0" collapsed="false">
      <c r="A58" s="32" t="s">
        <v>189</v>
      </c>
      <c r="B58" s="32" t="s">
        <v>213</v>
      </c>
      <c r="C58" s="32" t="s">
        <v>161</v>
      </c>
      <c r="D58" s="59" t="n">
        <f aca="false">ROUND(S58*T58,0)</f>
        <v>979</v>
      </c>
      <c r="E58" s="59" t="n">
        <f aca="false">ROUND(S58,0)-D58</f>
        <v>1761</v>
      </c>
      <c r="F58" s="59" t="n">
        <f aca="false">IF(COUNTA(D58:E58)=0,"",SUM(D58:E58))</f>
        <v>2740</v>
      </c>
      <c r="G58" s="40" t="n">
        <f aca="false">IF(OR(F58="",F58=0),"",D58/F58)</f>
        <v>0.357299270072993</v>
      </c>
      <c r="H58" s="40" t="n">
        <f aca="false">IF(OR(F58="",F58=0),"",E58/F58)</f>
        <v>0.642700729927007</v>
      </c>
      <c r="I58" s="32" t="s">
        <v>162</v>
      </c>
      <c r="J58" s="36" t="n">
        <v>1.47282364643495</v>
      </c>
      <c r="K58" s="36" t="n">
        <f aca="false">$K$8</f>
        <v>1.27505696797933</v>
      </c>
      <c r="L58" s="36" t="n">
        <f aca="false">SQRT(J58^2+K58^2)</f>
        <v>1.94807078030819</v>
      </c>
      <c r="M58" s="40" t="n">
        <f aca="false">IF(G58="","",MAX(0,G58-1.96*L58/100))</f>
        <v>0.319117082778952</v>
      </c>
      <c r="N58" s="40" t="n">
        <f aca="false">IF(G58="","",MIN(1,G58+1.96*L58/100))</f>
        <v>0.395481457367033</v>
      </c>
      <c r="O58" s="59" t="n">
        <f aca="false">ROUND(S58*W58,0)</f>
        <v>166</v>
      </c>
      <c r="P58" s="59" t="n">
        <f aca="false">IF(F58="","",ROUND(SQRT((F58*L58/100)^2+(G58*O58)^2),0))</f>
        <v>80</v>
      </c>
      <c r="R58" s="60" t="n">
        <v>-6.78161203615547</v>
      </c>
      <c r="S58" s="61" t="n">
        <f aca="false">U58*V58*$F$5</f>
        <v>2739.5017118778</v>
      </c>
      <c r="T58" s="62" t="n">
        <f aca="false">MAX(0,MIN(1,R58/100+$D$5))</f>
        <v>0.357413498640472</v>
      </c>
      <c r="U58" s="62" t="n">
        <v>0.708980774295496</v>
      </c>
      <c r="V58" s="61" t="n">
        <v>3864</v>
      </c>
      <c r="W58" s="62" t="n">
        <v>0.0606122259008943</v>
      </c>
      <c r="X58" s="63" t="s">
        <v>168</v>
      </c>
      <c r="Y58" s="63" t="s">
        <v>164</v>
      </c>
    </row>
    <row r="59" customFormat="false" ht="15" hidden="false" customHeight="false" outlineLevel="0" collapsed="false">
      <c r="A59" s="32" t="s">
        <v>189</v>
      </c>
      <c r="B59" s="32" t="s">
        <v>214</v>
      </c>
      <c r="C59" s="32" t="s">
        <v>161</v>
      </c>
      <c r="D59" s="59" t="n">
        <f aca="false">ROUND(S59*T59,0)</f>
        <v>5499</v>
      </c>
      <c r="E59" s="59" t="n">
        <f aca="false">ROUND(S59,0)-D59</f>
        <v>5005</v>
      </c>
      <c r="F59" s="59" t="n">
        <f aca="false">IF(COUNTA(D59:E59)=0,"",SUM(D59:E59))</f>
        <v>10504</v>
      </c>
      <c r="G59" s="40" t="n">
        <f aca="false">IF(OR(F59="",F59=0),"",D59/F59)</f>
        <v>0.523514851485149</v>
      </c>
      <c r="H59" s="40" t="n">
        <f aca="false">IF(OR(F59="",F59=0),"",E59/F59)</f>
        <v>0.476485148514851</v>
      </c>
      <c r="I59" s="32" t="s">
        <v>162</v>
      </c>
      <c r="J59" s="36" t="n">
        <v>1.57736464441501</v>
      </c>
      <c r="K59" s="36" t="n">
        <f aca="false">$K$8</f>
        <v>1.27505696797933</v>
      </c>
      <c r="L59" s="36" t="n">
        <f aca="false">SQRT(J59^2+K59^2)</f>
        <v>2.02826267851162</v>
      </c>
      <c r="M59" s="40" t="n">
        <f aca="false">IF(G59="","",MAX(0,G59-1.96*L59/100))</f>
        <v>0.483760902986321</v>
      </c>
      <c r="N59" s="40" t="n">
        <f aca="false">IF(G59="","",MIN(1,G59+1.96*L59/100))</f>
        <v>0.563268799983976</v>
      </c>
      <c r="O59" s="59" t="n">
        <f aca="false">ROUND(S59*W59,0)</f>
        <v>579</v>
      </c>
      <c r="P59" s="59" t="n">
        <f aca="false">IF(F59="","",ROUND(SQRT((F59*L59/100)^2+(G59*O59)^2),0))</f>
        <v>370</v>
      </c>
      <c r="R59" s="60" t="n">
        <v>9.82443730644097</v>
      </c>
      <c r="S59" s="61" t="n">
        <f aca="false">U59*V59*$F$5</f>
        <v>10504.2978562557</v>
      </c>
      <c r="T59" s="62" t="n">
        <f aca="false">MAX(0,MIN(1,R59/100+$D$5))</f>
        <v>0.523473992066436</v>
      </c>
      <c r="U59" s="62" t="n">
        <v>0.555753550407689</v>
      </c>
      <c r="V59" s="61" t="n">
        <v>18901</v>
      </c>
      <c r="W59" s="62" t="n">
        <v>0.0551273752894184</v>
      </c>
      <c r="X59" s="63" t="s">
        <v>184</v>
      </c>
      <c r="Y59" s="63" t="s">
        <v>164</v>
      </c>
    </row>
    <row r="60" customFormat="false" ht="15" hidden="false" customHeight="false" outlineLevel="0" collapsed="false">
      <c r="A60" s="32" t="s">
        <v>215</v>
      </c>
      <c r="B60" s="32" t="s">
        <v>216</v>
      </c>
      <c r="C60" s="32" t="s">
        <v>161</v>
      </c>
      <c r="D60" s="59" t="n">
        <f aca="false">ROUND(S60*T60,0)</f>
        <v>375</v>
      </c>
      <c r="E60" s="59" t="n">
        <f aca="false">ROUND(S60,0)-D60</f>
        <v>859</v>
      </c>
      <c r="F60" s="59" t="n">
        <f aca="false">IF(COUNTA(D60:E60)=0,"",SUM(D60:E60))</f>
        <v>1234</v>
      </c>
      <c r="G60" s="40" t="n">
        <f aca="false">IF(OR(F60="",F60=0),"",D60/F60)</f>
        <v>0.303889789303079</v>
      </c>
      <c r="H60" s="40" t="n">
        <f aca="false">IF(OR(F60="",F60=0),"",E60/F60)</f>
        <v>0.696110210696921</v>
      </c>
      <c r="I60" s="32" t="s">
        <v>162</v>
      </c>
      <c r="J60" s="36" t="n">
        <v>2.82758216119982</v>
      </c>
      <c r="K60" s="36" t="n">
        <f aca="false">$K$8</f>
        <v>1.27505696797933</v>
      </c>
      <c r="L60" s="36" t="n">
        <f aca="false">SQRT(J60^2+K60^2)</f>
        <v>3.10177225952004</v>
      </c>
      <c r="M60" s="40" t="n">
        <f aca="false">IF(G60="","",MAX(0,G60-1.96*L60/100))</f>
        <v>0.243095053016487</v>
      </c>
      <c r="N60" s="40" t="n">
        <f aca="false">IF(G60="","",MIN(1,G60+1.96*L60/100))</f>
        <v>0.364684525589672</v>
      </c>
      <c r="O60" s="59" t="n">
        <f aca="false">ROUND(S60*W60,0)</f>
        <v>96</v>
      </c>
      <c r="P60" s="59" t="n">
        <f aca="false">IF(F60="","",ROUND(SQRT((F60*L60/100)^2+(G60*O60)^2),0))</f>
        <v>48</v>
      </c>
      <c r="R60" s="60" t="n">
        <v>-12.1623778771817</v>
      </c>
      <c r="S60" s="61" t="n">
        <f aca="false">U60*V60*$F$5</f>
        <v>1234.45226917058</v>
      </c>
      <c r="T60" s="62" t="n">
        <f aca="false">MAX(0,MIN(1,R60/100+$D$5))</f>
        <v>0.303605840230209</v>
      </c>
      <c r="U60" s="62" t="n">
        <v>0.618153364632238</v>
      </c>
      <c r="V60" s="61" t="n">
        <v>1997</v>
      </c>
      <c r="W60" s="62" t="n">
        <v>0.0777040344688333</v>
      </c>
      <c r="X60" s="63" t="s">
        <v>163</v>
      </c>
      <c r="Y60" s="63" t="s">
        <v>217</v>
      </c>
    </row>
    <row r="61" customFormat="false" ht="15" hidden="false" customHeight="false" outlineLevel="0" collapsed="false">
      <c r="A61" s="32" t="s">
        <v>215</v>
      </c>
      <c r="B61" s="32" t="s">
        <v>218</v>
      </c>
      <c r="C61" s="32" t="s">
        <v>161</v>
      </c>
      <c r="D61" s="59" t="n">
        <f aca="false">ROUND(S61*T61,0)</f>
        <v>1077</v>
      </c>
      <c r="E61" s="59" t="n">
        <f aca="false">ROUND(S61,0)-D61</f>
        <v>2073</v>
      </c>
      <c r="F61" s="59" t="n">
        <f aca="false">IF(COUNTA(D61:E61)=0,"",SUM(D61:E61))</f>
        <v>3150</v>
      </c>
      <c r="G61" s="40" t="n">
        <f aca="false">IF(OR(F61="",F61=0),"",D61/F61)</f>
        <v>0.341904761904762</v>
      </c>
      <c r="H61" s="40" t="n">
        <f aca="false">IF(OR(F61="",F61=0),"",E61/F61)</f>
        <v>0.658095238095238</v>
      </c>
      <c r="I61" s="32" t="s">
        <v>162</v>
      </c>
      <c r="J61" s="36" t="n">
        <v>1.57736464441501</v>
      </c>
      <c r="K61" s="36" t="n">
        <f aca="false">$K$8</f>
        <v>1.27505696797933</v>
      </c>
      <c r="L61" s="36" t="n">
        <f aca="false">SQRT(J61^2+K61^2)</f>
        <v>2.02826267851162</v>
      </c>
      <c r="M61" s="40" t="n">
        <f aca="false">IF(G61="","",MAX(0,G61-1.96*L61/100))</f>
        <v>0.302150813405934</v>
      </c>
      <c r="N61" s="40" t="n">
        <f aca="false">IF(G61="","",MIN(1,G61+1.96*L61/100))</f>
        <v>0.38165871040359</v>
      </c>
      <c r="O61" s="59" t="n">
        <f aca="false">ROUND(S61*W61,0)</f>
        <v>174</v>
      </c>
      <c r="P61" s="59" t="n">
        <f aca="false">IF(F61="","",ROUND(SQRT((F61*L61/100)^2+(G61*O61)^2),0))</f>
        <v>87</v>
      </c>
      <c r="R61" s="60" t="n">
        <v>-8.35157548760539</v>
      </c>
      <c r="S61" s="61" t="n">
        <f aca="false">U61*V61*$F$5</f>
        <v>3150.44851429639</v>
      </c>
      <c r="T61" s="62" t="n">
        <f aca="false">MAX(0,MIN(1,R61/100+$D$5))</f>
        <v>0.341713864125973</v>
      </c>
      <c r="U61" s="62" t="n">
        <v>0.56157727527565</v>
      </c>
      <c r="V61" s="61" t="n">
        <v>5610</v>
      </c>
      <c r="W61" s="62" t="n">
        <v>0.0551273752894184</v>
      </c>
      <c r="X61" s="63" t="s">
        <v>184</v>
      </c>
      <c r="Y61" s="63" t="s">
        <v>217</v>
      </c>
    </row>
    <row r="62" customFormat="false" ht="15" hidden="false" customHeight="false" outlineLevel="0" collapsed="false">
      <c r="A62" s="32" t="s">
        <v>215</v>
      </c>
      <c r="B62" s="32" t="s">
        <v>219</v>
      </c>
      <c r="C62" s="32" t="s">
        <v>161</v>
      </c>
      <c r="D62" s="59" t="n">
        <f aca="false">ROUND(S62*T62,0)</f>
        <v>399</v>
      </c>
      <c r="E62" s="59" t="n">
        <f aca="false">ROUND(S62,0)-D62</f>
        <v>772</v>
      </c>
      <c r="F62" s="59" t="n">
        <f aca="false">IF(COUNTA(D62:E62)=0,"",SUM(D62:E62))</f>
        <v>1171</v>
      </c>
      <c r="G62" s="40" t="n">
        <f aca="false">IF(OR(F62="",F62=0),"",D62/F62)</f>
        <v>0.340734415029889</v>
      </c>
      <c r="H62" s="40" t="n">
        <f aca="false">IF(OR(F62="",F62=0),"",E62/F62)</f>
        <v>0.659265584970111</v>
      </c>
      <c r="I62" s="32" t="s">
        <v>162</v>
      </c>
      <c r="J62" s="36" t="n">
        <v>2.82758216119982</v>
      </c>
      <c r="K62" s="36" t="n">
        <f aca="false">$K$8</f>
        <v>1.27505696797933</v>
      </c>
      <c r="L62" s="36" t="n">
        <f aca="false">SQRT(J62^2+K62^2)</f>
        <v>3.10177225952004</v>
      </c>
      <c r="M62" s="40" t="n">
        <f aca="false">IF(G62="","",MAX(0,G62-1.96*L62/100))</f>
        <v>0.279939678743296</v>
      </c>
      <c r="N62" s="40" t="n">
        <f aca="false">IF(G62="","",MIN(1,G62+1.96*L62/100))</f>
        <v>0.401529151316482</v>
      </c>
      <c r="O62" s="59" t="n">
        <f aca="false">ROUND(S62*W62,0)</f>
        <v>91</v>
      </c>
      <c r="P62" s="59" t="n">
        <f aca="false">IF(F62="","",ROUND(SQRT((F62*L62/100)^2+(G62*O62)^2),0))</f>
        <v>48</v>
      </c>
      <c r="R62" s="60" t="n">
        <v>-8.44865527421784</v>
      </c>
      <c r="S62" s="61" t="n">
        <f aca="false">U62*V62*$F$5</f>
        <v>1170.82273494654</v>
      </c>
      <c r="T62" s="62" t="n">
        <f aca="false">MAX(0,MIN(1,R62/100+$D$5))</f>
        <v>0.340743066259848</v>
      </c>
      <c r="U62" s="62" t="n">
        <v>0.625773776027012</v>
      </c>
      <c r="V62" s="61" t="n">
        <v>1871</v>
      </c>
      <c r="W62" s="62" t="n">
        <v>0.0777040344688333</v>
      </c>
      <c r="X62" s="63" t="s">
        <v>163</v>
      </c>
      <c r="Y62" s="63" t="s">
        <v>217</v>
      </c>
    </row>
    <row r="63" customFormat="false" ht="15" hidden="false" customHeight="false" outlineLevel="0" collapsed="false">
      <c r="A63" s="32" t="s">
        <v>220</v>
      </c>
      <c r="B63" s="32" t="s">
        <v>221</v>
      </c>
      <c r="C63" s="32" t="s">
        <v>161</v>
      </c>
      <c r="D63" s="59" t="n">
        <f aca="false">ROUND(S63*T63,0)</f>
        <v>1186</v>
      </c>
      <c r="E63" s="59" t="n">
        <f aca="false">ROUND(S63,0)-D63</f>
        <v>1521</v>
      </c>
      <c r="F63" s="59" t="n">
        <f aca="false">IF(COUNTA(D63:E63)=0,"",SUM(D63:E63))</f>
        <v>2707</v>
      </c>
      <c r="G63" s="40" t="n">
        <f aca="false">IF(OR(F63="",F63=0),"",D63/F63)</f>
        <v>0.438123383819727</v>
      </c>
      <c r="H63" s="40" t="n">
        <f aca="false">IF(OR(F63="",F63=0),"",E63/F63)</f>
        <v>0.561876616180273</v>
      </c>
      <c r="I63" s="32" t="s">
        <v>162</v>
      </c>
      <c r="J63" s="36" t="n">
        <v>1.47282364643495</v>
      </c>
      <c r="K63" s="36" t="n">
        <f aca="false">$K$8</f>
        <v>1.27505696797933</v>
      </c>
      <c r="L63" s="36" t="n">
        <f aca="false">SQRT(J63^2+K63^2)</f>
        <v>1.94807078030819</v>
      </c>
      <c r="M63" s="40" t="n">
        <f aca="false">IF(G63="","",MAX(0,G63-1.96*L63/100))</f>
        <v>0.399941196525686</v>
      </c>
      <c r="N63" s="40" t="n">
        <f aca="false">IF(G63="","",MIN(1,G63+1.96*L63/100))</f>
        <v>0.476305571113767</v>
      </c>
      <c r="O63" s="59" t="n">
        <f aca="false">ROUND(S63*W63,0)</f>
        <v>164</v>
      </c>
      <c r="P63" s="59" t="n">
        <f aca="false">IF(F63="","",ROUND(SQRT((F63*L63/100)^2+(G63*O63)^2),0))</f>
        <v>89</v>
      </c>
      <c r="R63" s="60" t="n">
        <v>1.28899408568386</v>
      </c>
      <c r="S63" s="61" t="n">
        <f aca="false">U63*V63*$F$5</f>
        <v>2707.41725054361</v>
      </c>
      <c r="T63" s="62" t="n">
        <f aca="false">MAX(0,MIN(1,R63/100+$D$5))</f>
        <v>0.438119559858865</v>
      </c>
      <c r="U63" s="62" t="n">
        <v>0.628171055810582</v>
      </c>
      <c r="V63" s="61" t="n">
        <v>4310</v>
      </c>
      <c r="W63" s="62" t="n">
        <v>0.0606122259008943</v>
      </c>
      <c r="X63" s="63" t="s">
        <v>168</v>
      </c>
      <c r="Y63" s="63" t="s">
        <v>164</v>
      </c>
    </row>
    <row r="64" customFormat="false" ht="15" hidden="false" customHeight="false" outlineLevel="0" collapsed="false">
      <c r="A64" s="32" t="s">
        <v>220</v>
      </c>
      <c r="B64" s="32" t="s">
        <v>222</v>
      </c>
      <c r="C64" s="32" t="s">
        <v>161</v>
      </c>
      <c r="D64" s="59" t="n">
        <f aca="false">ROUND(S64*T64,0)</f>
        <v>712</v>
      </c>
      <c r="E64" s="59" t="n">
        <f aca="false">ROUND(S64,0)-D64</f>
        <v>976</v>
      </c>
      <c r="F64" s="59" t="n">
        <f aca="false">IF(COUNTA(D64:E64)=0,"",SUM(D64:E64))</f>
        <v>1688</v>
      </c>
      <c r="G64" s="40" t="n">
        <f aca="false">IF(OR(F64="",F64=0),"",D64/F64)</f>
        <v>0.421800947867299</v>
      </c>
      <c r="H64" s="40" t="n">
        <f aca="false">IF(OR(F64="",F64=0),"",E64/F64)</f>
        <v>0.578199052132701</v>
      </c>
      <c r="I64" s="32" t="s">
        <v>162</v>
      </c>
      <c r="J64" s="36" t="n">
        <v>1.47282364643495</v>
      </c>
      <c r="K64" s="36" t="n">
        <f aca="false">$K$8</f>
        <v>1.27505696797933</v>
      </c>
      <c r="L64" s="36" t="n">
        <f aca="false">SQRT(J64^2+K64^2)</f>
        <v>1.94807078030819</v>
      </c>
      <c r="M64" s="40" t="n">
        <f aca="false">IF(G64="","",MAX(0,G64-1.96*L64/100))</f>
        <v>0.383618760573258</v>
      </c>
      <c r="N64" s="40" t="n">
        <f aca="false">IF(G64="","",MIN(1,G64+1.96*L64/100))</f>
        <v>0.459983135161339</v>
      </c>
      <c r="O64" s="59" t="n">
        <f aca="false">ROUND(S64*W64,0)</f>
        <v>102</v>
      </c>
      <c r="P64" s="59" t="n">
        <f aca="false">IF(F64="","",ROUND(SQRT((F64*L64/100)^2+(G64*O64)^2),0))</f>
        <v>54</v>
      </c>
      <c r="R64" s="60" t="n">
        <v>-0.343111614441918</v>
      </c>
      <c r="S64" s="61" t="n">
        <f aca="false">U64*V64*$F$5</f>
        <v>1687.9765578635</v>
      </c>
      <c r="T64" s="62" t="n">
        <f aca="false">MAX(0,MIN(1,R64/100+$D$5))</f>
        <v>0.421798502857607</v>
      </c>
      <c r="U64" s="62" t="n">
        <v>0.491691394658754</v>
      </c>
      <c r="V64" s="61" t="n">
        <v>3433</v>
      </c>
      <c r="W64" s="62" t="n">
        <v>0.0606122259008943</v>
      </c>
      <c r="X64" s="63" t="s">
        <v>168</v>
      </c>
      <c r="Y64" s="63" t="s">
        <v>164</v>
      </c>
    </row>
    <row r="65" customFormat="false" ht="15" hidden="false" customHeight="false" outlineLevel="0" collapsed="false">
      <c r="A65" s="32" t="s">
        <v>220</v>
      </c>
      <c r="B65" s="32" t="s">
        <v>223</v>
      </c>
      <c r="C65" s="32" t="s">
        <v>161</v>
      </c>
      <c r="D65" s="59" t="n">
        <f aca="false">ROUND(S65*T65,0)</f>
        <v>481</v>
      </c>
      <c r="E65" s="59" t="n">
        <f aca="false">ROUND(S65,0)-D65</f>
        <v>535</v>
      </c>
      <c r="F65" s="59" t="n">
        <f aca="false">IF(COUNTA(D65:E65)=0,"",SUM(D65:E65))</f>
        <v>1016</v>
      </c>
      <c r="G65" s="40" t="n">
        <f aca="false">IF(OR(F65="",F65=0),"",D65/F65)</f>
        <v>0.473425196850394</v>
      </c>
      <c r="H65" s="40" t="n">
        <f aca="false">IF(OR(F65="",F65=0),"",E65/F65)</f>
        <v>0.526574803149606</v>
      </c>
      <c r="I65" s="32" t="s">
        <v>162</v>
      </c>
      <c r="J65" s="36" t="n">
        <v>2.82758216119982</v>
      </c>
      <c r="K65" s="36" t="n">
        <f aca="false">$K$8</f>
        <v>1.27505696797933</v>
      </c>
      <c r="L65" s="36" t="n">
        <f aca="false">SQRT(J65^2+K65^2)</f>
        <v>3.10177225952004</v>
      </c>
      <c r="M65" s="40" t="n">
        <f aca="false">IF(G65="","",MAX(0,G65-1.96*L65/100))</f>
        <v>0.412630460563801</v>
      </c>
      <c r="N65" s="40" t="n">
        <f aca="false">IF(G65="","",MIN(1,G65+1.96*L65/100))</f>
        <v>0.534219933136987</v>
      </c>
      <c r="O65" s="59" t="n">
        <f aca="false">ROUND(S65*W65,0)</f>
        <v>79</v>
      </c>
      <c r="P65" s="59" t="n">
        <f aca="false">IF(F65="","",ROUND(SQRT((F65*L65/100)^2+(G65*O65)^2),0))</f>
        <v>49</v>
      </c>
      <c r="R65" s="60" t="n">
        <v>4.85223444750988</v>
      </c>
      <c r="S65" s="61" t="n">
        <f aca="false">U65*V65*$F$5</f>
        <v>1015.97556912826</v>
      </c>
      <c r="T65" s="62" t="n">
        <f aca="false">MAX(0,MIN(1,R65/100+$D$5))</f>
        <v>0.473751963477125</v>
      </c>
      <c r="U65" s="62" t="n">
        <v>0.529705719044975</v>
      </c>
      <c r="V65" s="61" t="n">
        <v>1918</v>
      </c>
      <c r="W65" s="62" t="n">
        <v>0.0777040344688333</v>
      </c>
      <c r="X65" s="63" t="s">
        <v>163</v>
      </c>
      <c r="Y65" s="63" t="s">
        <v>164</v>
      </c>
    </row>
    <row r="66" customFormat="false" ht="15" hidden="false" customHeight="false" outlineLevel="0" collapsed="false">
      <c r="A66" s="32" t="s">
        <v>220</v>
      </c>
      <c r="B66" s="32" t="s">
        <v>192</v>
      </c>
      <c r="C66" s="32" t="s">
        <v>161</v>
      </c>
      <c r="D66" s="59" t="n">
        <f aca="false">ROUND(S66*T66,0)</f>
        <v>12730</v>
      </c>
      <c r="E66" s="59" t="n">
        <f aca="false">ROUND(S66,0)-D66</f>
        <v>6242</v>
      </c>
      <c r="F66" s="59" t="n">
        <f aca="false">IF(COUNTA(D66:E66)=0,"",SUM(D66:E66))</f>
        <v>18972</v>
      </c>
      <c r="G66" s="40" t="n">
        <f aca="false">IF(OR(F66="",F66=0),"",D66/F66)</f>
        <v>0.670988825637782</v>
      </c>
      <c r="H66" s="40" t="n">
        <f aca="false">IF(OR(F66="",F66=0),"",E66/F66)</f>
        <v>0.329011174362218</v>
      </c>
      <c r="I66" s="32" t="s">
        <v>162</v>
      </c>
      <c r="J66" s="36" t="n">
        <v>1.57736464441501</v>
      </c>
      <c r="K66" s="36" t="n">
        <f aca="false">$K$8</f>
        <v>1.27505696797933</v>
      </c>
      <c r="L66" s="36" t="n">
        <f aca="false">SQRT(J66^2+K66^2)</f>
        <v>2.02826267851162</v>
      </c>
      <c r="M66" s="40" t="n">
        <f aca="false">IF(G66="","",MAX(0,G66-1.96*L66/100))</f>
        <v>0.631234877138954</v>
      </c>
      <c r="N66" s="40" t="n">
        <f aca="false">IF(G66="","",MIN(1,G66+1.96*L66/100))</f>
        <v>0.71074277413661</v>
      </c>
      <c r="O66" s="59" t="n">
        <f aca="false">ROUND(S66*W66,0)</f>
        <v>1046</v>
      </c>
      <c r="P66" s="59" t="n">
        <f aca="false">IF(F66="","",ROUND(SQRT((F66*L66/100)^2+(G66*O66)^2),0))</f>
        <v>800</v>
      </c>
      <c r="R66" s="60" t="n">
        <v>24.5725113748891</v>
      </c>
      <c r="S66" s="61" t="n">
        <f aca="false">U66*V66*$F$5</f>
        <v>18972.4050126369</v>
      </c>
      <c r="T66" s="62" t="n">
        <f aca="false">MAX(0,MIN(1,R66/100+$D$5))</f>
        <v>0.670954732750918</v>
      </c>
      <c r="U66" s="62" t="n">
        <v>0.476358466722831</v>
      </c>
      <c r="V66" s="61" t="n">
        <v>39828</v>
      </c>
      <c r="W66" s="62" t="n">
        <v>0.0551273752894184</v>
      </c>
      <c r="X66" s="63" t="s">
        <v>184</v>
      </c>
      <c r="Y66" s="63" t="s">
        <v>217</v>
      </c>
    </row>
    <row r="67" customFormat="false" ht="15" hidden="false" customHeight="false" outlineLevel="0" collapsed="false">
      <c r="A67" s="32" t="s">
        <v>220</v>
      </c>
      <c r="B67" s="32" t="s">
        <v>224</v>
      </c>
      <c r="C67" s="32" t="s">
        <v>161</v>
      </c>
      <c r="D67" s="59" t="n">
        <f aca="false">ROUND(S67*T67,0)</f>
        <v>6838</v>
      </c>
      <c r="E67" s="59" t="n">
        <f aca="false">ROUND(S67,0)-D67</f>
        <v>5911</v>
      </c>
      <c r="F67" s="59" t="n">
        <f aca="false">IF(COUNTA(D67:E67)=0,"",SUM(D67:E67))</f>
        <v>12749</v>
      </c>
      <c r="G67" s="40" t="n">
        <f aca="false">IF(OR(F67="",F67=0),"",D67/F67)</f>
        <v>0.536355792611185</v>
      </c>
      <c r="H67" s="40" t="n">
        <f aca="false">IF(OR(F67="",F67=0),"",E67/F67)</f>
        <v>0.463644207388815</v>
      </c>
      <c r="I67" s="32" t="s">
        <v>162</v>
      </c>
      <c r="J67" s="36" t="n">
        <v>1.57736464441501</v>
      </c>
      <c r="K67" s="36" t="n">
        <f aca="false">$K$8</f>
        <v>1.27505696797933</v>
      </c>
      <c r="L67" s="36" t="n">
        <f aca="false">SQRT(J67^2+K67^2)</f>
        <v>2.02826267851162</v>
      </c>
      <c r="M67" s="40" t="n">
        <f aca="false">IF(G67="","",MAX(0,G67-1.96*L67/100))</f>
        <v>0.496601844112357</v>
      </c>
      <c r="N67" s="40" t="n">
        <f aca="false">IF(G67="","",MIN(1,G67+1.96*L67/100))</f>
        <v>0.576109741110013</v>
      </c>
      <c r="O67" s="59" t="n">
        <f aca="false">ROUND(S67*W67,0)</f>
        <v>703</v>
      </c>
      <c r="P67" s="59" t="n">
        <f aca="false">IF(F67="","",ROUND(SQRT((F67*L67/100)^2+(G67*O67)^2),0))</f>
        <v>457</v>
      </c>
      <c r="R67" s="60" t="n">
        <v>11.1159953173501</v>
      </c>
      <c r="S67" s="61" t="n">
        <f aca="false">U67*V67*$F$5</f>
        <v>12748.560475162</v>
      </c>
      <c r="T67" s="62" t="n">
        <f aca="false">MAX(0,MIN(1,R67/100+$D$5))</f>
        <v>0.536389572175528</v>
      </c>
      <c r="U67" s="62" t="n">
        <v>0.629589632829374</v>
      </c>
      <c r="V67" s="61" t="n">
        <v>20249</v>
      </c>
      <c r="W67" s="62" t="n">
        <v>0.0551273752894184</v>
      </c>
      <c r="X67" s="63" t="s">
        <v>184</v>
      </c>
      <c r="Y67" s="63" t="s">
        <v>217</v>
      </c>
    </row>
    <row r="68" customFormat="false" ht="15" hidden="false" customHeight="false" outlineLevel="0" collapsed="false">
      <c r="A68" s="32" t="s">
        <v>220</v>
      </c>
      <c r="B68" s="32" t="s">
        <v>225</v>
      </c>
      <c r="C68" s="32" t="s">
        <v>161</v>
      </c>
      <c r="D68" s="59" t="n">
        <f aca="false">ROUND(S68*T68,0)</f>
        <v>1696</v>
      </c>
      <c r="E68" s="59" t="n">
        <f aca="false">ROUND(S68,0)-D68</f>
        <v>2727</v>
      </c>
      <c r="F68" s="59" t="n">
        <f aca="false">IF(COUNTA(D68:E68)=0,"",SUM(D68:E68))</f>
        <v>4423</v>
      </c>
      <c r="G68" s="40" t="n">
        <f aca="false">IF(OR(F68="",F68=0),"",D68/F68)</f>
        <v>0.383450146959078</v>
      </c>
      <c r="H68" s="40" t="n">
        <f aca="false">IF(OR(F68="",F68=0),"",E68/F68)</f>
        <v>0.616549853040923</v>
      </c>
      <c r="I68" s="32" t="s">
        <v>162</v>
      </c>
      <c r="J68" s="36" t="n">
        <v>1.57736464441501</v>
      </c>
      <c r="K68" s="36" t="n">
        <f aca="false">$K$8</f>
        <v>1.27505696797933</v>
      </c>
      <c r="L68" s="36" t="n">
        <f aca="false">SQRT(J68^2+K68^2)</f>
        <v>2.02826267851162</v>
      </c>
      <c r="M68" s="40" t="n">
        <f aca="false">IF(G68="","",MAX(0,G68-1.96*L68/100))</f>
        <v>0.34369619846025</v>
      </c>
      <c r="N68" s="40" t="n">
        <f aca="false">IF(G68="","",MIN(1,G68+1.96*L68/100))</f>
        <v>0.423204095457905</v>
      </c>
      <c r="O68" s="59" t="n">
        <f aca="false">ROUND(S68*W68,0)</f>
        <v>244</v>
      </c>
      <c r="P68" s="59" t="n">
        <f aca="false">IF(F68="","",ROUND(SQRT((F68*L68/100)^2+(G68*O68)^2),0))</f>
        <v>130</v>
      </c>
      <c r="R68" s="60" t="n">
        <v>-4.17315769005015</v>
      </c>
      <c r="S68" s="61" t="n">
        <f aca="false">U68*V68*$F$5</f>
        <v>4422.68236877524</v>
      </c>
      <c r="T68" s="62" t="n">
        <f aca="false">MAX(0,MIN(1,R68/100+$D$5))</f>
        <v>0.383498042101525</v>
      </c>
      <c r="U68" s="62" t="n">
        <v>0.657843577089876</v>
      </c>
      <c r="V68" s="61" t="n">
        <v>6723</v>
      </c>
      <c r="W68" s="62" t="n">
        <v>0.0551273752894184</v>
      </c>
      <c r="X68" s="63" t="s">
        <v>184</v>
      </c>
      <c r="Y68" s="63" t="s">
        <v>164</v>
      </c>
    </row>
    <row r="69" customFormat="false" ht="15" hidden="false" customHeight="false" outlineLevel="0" collapsed="false">
      <c r="A69" s="32" t="s">
        <v>220</v>
      </c>
      <c r="B69" s="32" t="s">
        <v>226</v>
      </c>
      <c r="C69" s="32" t="s">
        <v>161</v>
      </c>
      <c r="D69" s="59" t="n">
        <f aca="false">ROUND(S69*T69,0)</f>
        <v>35</v>
      </c>
      <c r="E69" s="59" t="n">
        <f aca="false">ROUND(S69,0)-D69</f>
        <v>62</v>
      </c>
      <c r="F69" s="59" t="n">
        <f aca="false">IF(COUNTA(D69:E69)=0,"",SUM(D69:E69))</f>
        <v>97</v>
      </c>
      <c r="G69" s="40" t="n">
        <f aca="false">IF(OR(F69="",F69=0),"",D69/F69)</f>
        <v>0.360824742268041</v>
      </c>
      <c r="H69" s="40" t="n">
        <f aca="false">IF(OR(F69="",F69=0),"",E69/F69)</f>
        <v>0.639175257731959</v>
      </c>
      <c r="I69" s="32" t="s">
        <v>162</v>
      </c>
      <c r="J69" s="36" t="n">
        <v>2.82758216119982</v>
      </c>
      <c r="K69" s="36" t="n">
        <f aca="false">$K$8</f>
        <v>1.27505696797933</v>
      </c>
      <c r="L69" s="36" t="n">
        <f aca="false">SQRT(J69^2+K69^2)</f>
        <v>3.10177225952004</v>
      </c>
      <c r="M69" s="40" t="n">
        <f aca="false">IF(G69="","",MAX(0,G69-1.96*L69/100))</f>
        <v>0.300030005981448</v>
      </c>
      <c r="N69" s="40" t="n">
        <f aca="false">IF(G69="","",MIN(1,G69+1.96*L69/100))</f>
        <v>0.421619478554634</v>
      </c>
      <c r="O69" s="59" t="n">
        <f aca="false">ROUND(S69*W69,0)</f>
        <v>8</v>
      </c>
      <c r="P69" s="59" t="n">
        <f aca="false">IF(F69="","",ROUND(SQRT((F69*L69/100)^2+(G69*O69)^2),0))</f>
        <v>4</v>
      </c>
      <c r="R69" s="60" t="n">
        <v>-6.11205109809097</v>
      </c>
      <c r="S69" s="61" t="n">
        <f aca="false">U69*V69*$F$5</f>
        <v>97.2992700729927</v>
      </c>
      <c r="T69" s="62" t="n">
        <f aca="false">MAX(0,MIN(1,R69/100+$D$5))</f>
        <v>0.364109108021117</v>
      </c>
      <c r="U69" s="62" t="n">
        <v>0.627737226277372</v>
      </c>
      <c r="V69" s="61" t="n">
        <v>155</v>
      </c>
      <c r="W69" s="62" t="n">
        <v>0.0777040344688333</v>
      </c>
      <c r="X69" s="63" t="s">
        <v>163</v>
      </c>
      <c r="Y69" s="63" t="s">
        <v>164</v>
      </c>
    </row>
    <row r="70" customFormat="false" ht="15" hidden="false" customHeight="false" outlineLevel="0" collapsed="false">
      <c r="A70" s="32" t="s">
        <v>220</v>
      </c>
      <c r="B70" s="32" t="s">
        <v>227</v>
      </c>
      <c r="C70" s="32" t="s">
        <v>161</v>
      </c>
      <c r="D70" s="59" t="n">
        <f aca="false">ROUND(S70*T70,0)</f>
        <v>1149</v>
      </c>
      <c r="E70" s="59" t="n">
        <f aca="false">ROUND(S70,0)-D70</f>
        <v>1492</v>
      </c>
      <c r="F70" s="59" t="n">
        <f aca="false">IF(COUNTA(D70:E70)=0,"",SUM(D70:E70))</f>
        <v>2641</v>
      </c>
      <c r="G70" s="40" t="n">
        <f aca="false">IF(OR(F70="",F70=0),"",D70/F70)</f>
        <v>0.435062476334722</v>
      </c>
      <c r="H70" s="40" t="n">
        <f aca="false">IF(OR(F70="",F70=0),"",E70/F70)</f>
        <v>0.564937523665278</v>
      </c>
      <c r="I70" s="32" t="s">
        <v>162</v>
      </c>
      <c r="J70" s="36" t="n">
        <v>1.47282364643495</v>
      </c>
      <c r="K70" s="36" t="n">
        <f aca="false">$K$8</f>
        <v>1.27505696797933</v>
      </c>
      <c r="L70" s="36" t="n">
        <f aca="false">SQRT(J70^2+K70^2)</f>
        <v>1.94807078030819</v>
      </c>
      <c r="M70" s="40" t="n">
        <f aca="false">IF(G70="","",MAX(0,G70-1.96*L70/100))</f>
        <v>0.396880289040681</v>
      </c>
      <c r="N70" s="40" t="n">
        <f aca="false">IF(G70="","",MIN(1,G70+1.96*L70/100))</f>
        <v>0.473244663628762</v>
      </c>
      <c r="O70" s="59" t="n">
        <f aca="false">ROUND(S70*W70,0)</f>
        <v>160</v>
      </c>
      <c r="P70" s="59" t="n">
        <f aca="false">IF(F70="","",ROUND(SQRT((F70*L70/100)^2+(G70*O70)^2),0))</f>
        <v>87</v>
      </c>
      <c r="R70" s="60" t="n">
        <v>0.996056038614616</v>
      </c>
      <c r="S70" s="61" t="n">
        <f aca="false">U70*V70*$F$5</f>
        <v>2640.91189093663</v>
      </c>
      <c r="T70" s="62" t="n">
        <f aca="false">MAX(0,MIN(1,R70/100+$D$5))</f>
        <v>0.435190179388173</v>
      </c>
      <c r="U70" s="62" t="n">
        <v>0.635445594546832</v>
      </c>
      <c r="V70" s="61" t="n">
        <v>4156</v>
      </c>
      <c r="W70" s="62" t="n">
        <v>0.0606122259008943</v>
      </c>
      <c r="X70" s="63" t="s">
        <v>168</v>
      </c>
      <c r="Y70" s="63" t="s">
        <v>164</v>
      </c>
    </row>
    <row r="71" customFormat="false" ht="15" hidden="false" customHeight="false" outlineLevel="0" collapsed="false">
      <c r="A71" s="32" t="s">
        <v>220</v>
      </c>
      <c r="B71" s="32" t="s">
        <v>228</v>
      </c>
      <c r="C71" s="32" t="s">
        <v>161</v>
      </c>
      <c r="D71" s="59" t="n">
        <f aca="false">ROUND(S71*T71,0)</f>
        <v>148</v>
      </c>
      <c r="E71" s="59" t="n">
        <f aca="false">ROUND(S71,0)-D71</f>
        <v>212</v>
      </c>
      <c r="F71" s="59" t="n">
        <f aca="false">IF(COUNTA(D71:E71)=0,"",SUM(D71:E71))</f>
        <v>360</v>
      </c>
      <c r="G71" s="40" t="n">
        <f aca="false">IF(OR(F71="",F71=0),"",D71/F71)</f>
        <v>0.411111111111111</v>
      </c>
      <c r="H71" s="40" t="n">
        <f aca="false">IF(OR(F71="",F71=0),"",E71/F71)</f>
        <v>0.588888888888889</v>
      </c>
      <c r="I71" s="32" t="s">
        <v>162</v>
      </c>
      <c r="J71" s="36" t="n">
        <v>2.82758216119982</v>
      </c>
      <c r="K71" s="36" t="n">
        <f aca="false">$K$8</f>
        <v>1.27505696797933</v>
      </c>
      <c r="L71" s="36" t="n">
        <f aca="false">SQRT(J71^2+K71^2)</f>
        <v>3.10177225952004</v>
      </c>
      <c r="M71" s="40" t="n">
        <f aca="false">IF(G71="","",MAX(0,G71-1.96*L71/100))</f>
        <v>0.350316374824518</v>
      </c>
      <c r="N71" s="40" t="n">
        <f aca="false">IF(G71="","",MIN(1,G71+1.96*L71/100))</f>
        <v>0.471905847397704</v>
      </c>
      <c r="O71" s="59" t="n">
        <f aca="false">ROUND(S71*W71,0)</f>
        <v>28</v>
      </c>
      <c r="P71" s="59" t="n">
        <f aca="false">IF(F71="","",ROUND(SQRT((F71*L71/100)^2+(G71*O71)^2),0))</f>
        <v>16</v>
      </c>
      <c r="R71" s="60" t="n">
        <v>-1.55042457828872</v>
      </c>
      <c r="S71" s="61" t="n">
        <f aca="false">U71*V71*$F$5</f>
        <v>360.236842105263</v>
      </c>
      <c r="T71" s="62" t="n">
        <f aca="false">MAX(0,MIN(1,R71/100+$D$5))</f>
        <v>0.409725373219139</v>
      </c>
      <c r="U71" s="62" t="n">
        <v>0.513157894736842</v>
      </c>
      <c r="V71" s="61" t="n">
        <v>702</v>
      </c>
      <c r="W71" s="62" t="n">
        <v>0.0777040344688333</v>
      </c>
      <c r="X71" s="63" t="s">
        <v>163</v>
      </c>
      <c r="Y71" s="63" t="s">
        <v>164</v>
      </c>
    </row>
    <row r="72" customFormat="false" ht="15" hidden="false" customHeight="false" outlineLevel="0" collapsed="false">
      <c r="A72" s="32" t="s">
        <v>220</v>
      </c>
      <c r="B72" s="32" t="s">
        <v>229</v>
      </c>
      <c r="C72" s="32" t="s">
        <v>161</v>
      </c>
      <c r="D72" s="59" t="n">
        <f aca="false">ROUND(S72*T72,0)</f>
        <v>5030</v>
      </c>
      <c r="E72" s="59" t="n">
        <f aca="false">ROUND(S72,0)-D72</f>
        <v>2267</v>
      </c>
      <c r="F72" s="59" t="n">
        <f aca="false">IF(COUNTA(D72:E72)=0,"",SUM(D72:E72))</f>
        <v>7297</v>
      </c>
      <c r="G72" s="40" t="n">
        <f aca="false">IF(OR(F72="",F72=0),"",D72/F72)</f>
        <v>0.689324379882143</v>
      </c>
      <c r="H72" s="40" t="n">
        <f aca="false">IF(OR(F72="",F72=0),"",E72/F72)</f>
        <v>0.310675620117857</v>
      </c>
      <c r="I72" s="32" t="s">
        <v>162</v>
      </c>
      <c r="J72" s="36" t="n">
        <v>1.57736464441501</v>
      </c>
      <c r="K72" s="36" t="n">
        <f aca="false">$K$8</f>
        <v>1.27505696797933</v>
      </c>
      <c r="L72" s="36" t="n">
        <f aca="false">SQRT(J72^2+K72^2)</f>
        <v>2.02826267851162</v>
      </c>
      <c r="M72" s="40" t="n">
        <f aca="false">IF(G72="","",MAX(0,G72-1.96*L72/100))</f>
        <v>0.649570431383316</v>
      </c>
      <c r="N72" s="40" t="n">
        <f aca="false">IF(G72="","",MIN(1,G72+1.96*L72/100))</f>
        <v>0.729078328380971</v>
      </c>
      <c r="O72" s="59" t="n">
        <f aca="false">ROUND(S72*W72,0)</f>
        <v>402</v>
      </c>
      <c r="P72" s="59" t="n">
        <f aca="false">IF(F72="","",ROUND(SQRT((F72*L72/100)^2+(G72*O72)^2),0))</f>
        <v>314</v>
      </c>
      <c r="R72" s="60" t="n">
        <v>26.401602395669</v>
      </c>
      <c r="S72" s="61" t="n">
        <f aca="false">U72*V72*$F$5</f>
        <v>7297.15979682392</v>
      </c>
      <c r="T72" s="62" t="n">
        <f aca="false">MAX(0,MIN(1,R72/100+$D$5))</f>
        <v>0.689245642958716</v>
      </c>
      <c r="U72" s="62" t="n">
        <v>0.414117234936945</v>
      </c>
      <c r="V72" s="61" t="n">
        <v>17621</v>
      </c>
      <c r="W72" s="62" t="n">
        <v>0.0551273752894184</v>
      </c>
      <c r="X72" s="63" t="s">
        <v>184</v>
      </c>
      <c r="Y72" s="63" t="s">
        <v>164</v>
      </c>
    </row>
    <row r="73" customFormat="false" ht="15" hidden="false" customHeight="false" outlineLevel="0" collapsed="false">
      <c r="A73" s="32" t="s">
        <v>220</v>
      </c>
      <c r="B73" s="32" t="s">
        <v>230</v>
      </c>
      <c r="C73" s="32" t="s">
        <v>161</v>
      </c>
      <c r="D73" s="59" t="n">
        <f aca="false">ROUND(S73*T73,0)</f>
        <v>4272</v>
      </c>
      <c r="E73" s="59" t="n">
        <f aca="false">ROUND(S73,0)-D73</f>
        <v>3903</v>
      </c>
      <c r="F73" s="59" t="n">
        <f aca="false">IF(COUNTA(D73:E73)=0,"",SUM(D73:E73))</f>
        <v>8175</v>
      </c>
      <c r="G73" s="40" t="n">
        <f aca="false">IF(OR(F73="",F73=0),"",D73/F73)</f>
        <v>0.52256880733945</v>
      </c>
      <c r="H73" s="40" t="n">
        <f aca="false">IF(OR(F73="",F73=0),"",E73/F73)</f>
        <v>0.47743119266055</v>
      </c>
      <c r="I73" s="32" t="s">
        <v>162</v>
      </c>
      <c r="J73" s="36" t="n">
        <v>1.57736464441501</v>
      </c>
      <c r="K73" s="36" t="n">
        <f aca="false">$K$8</f>
        <v>1.27505696797933</v>
      </c>
      <c r="L73" s="36" t="n">
        <f aca="false">SQRT(J73^2+K73^2)</f>
        <v>2.02826267851162</v>
      </c>
      <c r="M73" s="40" t="n">
        <f aca="false">IF(G73="","",MAX(0,G73-1.96*L73/100))</f>
        <v>0.482814858840622</v>
      </c>
      <c r="N73" s="40" t="n">
        <f aca="false">IF(G73="","",MIN(1,G73+1.96*L73/100))</f>
        <v>0.562322755838277</v>
      </c>
      <c r="O73" s="59" t="n">
        <f aca="false">ROUND(S73*W73,0)</f>
        <v>451</v>
      </c>
      <c r="P73" s="59" t="n">
        <f aca="false">IF(F73="","",ROUND(SQRT((F73*L73/100)^2+(G73*O73)^2),0))</f>
        <v>288</v>
      </c>
      <c r="R73" s="60" t="n">
        <v>9.73139702001213</v>
      </c>
      <c r="S73" s="61" t="n">
        <f aca="false">U73*V73*$F$5</f>
        <v>8175.00272606901</v>
      </c>
      <c r="T73" s="62" t="n">
        <f aca="false">MAX(0,MIN(1,R73/100+$D$5))</f>
        <v>0.522543589202148</v>
      </c>
      <c r="U73" s="62" t="n">
        <v>0.618428226497391</v>
      </c>
      <c r="V73" s="61" t="n">
        <v>13219</v>
      </c>
      <c r="W73" s="62" t="n">
        <v>0.0551273752894184</v>
      </c>
      <c r="X73" s="63" t="s">
        <v>184</v>
      </c>
      <c r="Y73" s="63" t="s">
        <v>164</v>
      </c>
    </row>
    <row r="74" customFormat="false" ht="15" hidden="false" customHeight="false" outlineLevel="0" collapsed="false">
      <c r="A74" s="32" t="s">
        <v>220</v>
      </c>
      <c r="B74" s="32" t="s">
        <v>231</v>
      </c>
      <c r="C74" s="32" t="s">
        <v>161</v>
      </c>
      <c r="D74" s="59" t="n">
        <f aca="false">ROUND(S74*T74,0)</f>
        <v>489</v>
      </c>
      <c r="E74" s="59" t="n">
        <f aca="false">ROUND(S74,0)-D74</f>
        <v>322</v>
      </c>
      <c r="F74" s="59" t="n">
        <f aca="false">IF(COUNTA(D74:E74)=0,"",SUM(D74:E74))</f>
        <v>811</v>
      </c>
      <c r="G74" s="40" t="n">
        <f aca="false">IF(OR(F74="",F74=0),"",D74/F74)</f>
        <v>0.602959309494451</v>
      </c>
      <c r="H74" s="40" t="n">
        <f aca="false">IF(OR(F74="",F74=0),"",E74/F74)</f>
        <v>0.397040690505549</v>
      </c>
      <c r="I74" s="32" t="s">
        <v>162</v>
      </c>
      <c r="J74" s="36" t="n">
        <v>2.82758216119982</v>
      </c>
      <c r="K74" s="36" t="n">
        <f aca="false">$K$8</f>
        <v>1.27505696797933</v>
      </c>
      <c r="L74" s="36" t="n">
        <f aca="false">SQRT(J74^2+K74^2)</f>
        <v>3.10177225952004</v>
      </c>
      <c r="M74" s="40" t="n">
        <f aca="false">IF(G74="","",MAX(0,G74-1.96*L74/100))</f>
        <v>0.542164573207859</v>
      </c>
      <c r="N74" s="40" t="n">
        <f aca="false">IF(G74="","",MIN(1,G74+1.96*L74/100))</f>
        <v>0.663754045781044</v>
      </c>
      <c r="O74" s="59" t="n">
        <f aca="false">ROUND(S74*W74,0)</f>
        <v>63</v>
      </c>
      <c r="P74" s="59" t="n">
        <f aca="false">IF(F74="","",ROUND(SQRT((F74*L74/100)^2+(G74*O74)^2),0))</f>
        <v>46</v>
      </c>
      <c r="R74" s="60" t="n">
        <v>17.7388032737215</v>
      </c>
      <c r="S74" s="61" t="n">
        <f aca="false">U74*V74*$F$5</f>
        <v>811.272251308901</v>
      </c>
      <c r="T74" s="62" t="n">
        <f aca="false">MAX(0,MIN(1,R74/100+$D$5))</f>
        <v>0.602617651739241</v>
      </c>
      <c r="U74" s="62" t="n">
        <v>0.424083769633508</v>
      </c>
      <c r="V74" s="61" t="n">
        <v>1913</v>
      </c>
      <c r="W74" s="62" t="n">
        <v>0.0777040344688333</v>
      </c>
      <c r="X74" s="63" t="s">
        <v>163</v>
      </c>
      <c r="Y74" s="63" t="s">
        <v>164</v>
      </c>
    </row>
    <row r="75" customFormat="false" ht="15" hidden="false" customHeight="false" outlineLevel="0" collapsed="false">
      <c r="A75" s="32" t="s">
        <v>220</v>
      </c>
      <c r="B75" s="32" t="s">
        <v>232</v>
      </c>
      <c r="C75" s="32" t="s">
        <v>161</v>
      </c>
      <c r="D75" s="59" t="n">
        <f aca="false">ROUND(S75*T75,0)</f>
        <v>75</v>
      </c>
      <c r="E75" s="59" t="n">
        <f aca="false">ROUND(S75,0)-D75</f>
        <v>69</v>
      </c>
      <c r="F75" s="59" t="n">
        <f aca="false">IF(COUNTA(D75:E75)=0,"",SUM(D75:E75))</f>
        <v>144</v>
      </c>
      <c r="G75" s="40" t="n">
        <f aca="false">IF(OR(F75="",F75=0),"",D75/F75)</f>
        <v>0.520833333333333</v>
      </c>
      <c r="H75" s="40" t="n">
        <f aca="false">IF(OR(F75="",F75=0),"",E75/F75)</f>
        <v>0.479166666666667</v>
      </c>
      <c r="I75" s="32" t="s">
        <v>162</v>
      </c>
      <c r="J75" s="36" t="n">
        <v>2.82758216119982</v>
      </c>
      <c r="K75" s="36" t="n">
        <f aca="false">$K$8</f>
        <v>1.27505696797933</v>
      </c>
      <c r="L75" s="36" t="n">
        <f aca="false">SQRT(J75^2+K75^2)</f>
        <v>3.10177225952004</v>
      </c>
      <c r="M75" s="40" t="n">
        <f aca="false">IF(G75="","",MAX(0,G75-1.96*L75/100))</f>
        <v>0.460038597046741</v>
      </c>
      <c r="N75" s="40" t="n">
        <f aca="false">IF(G75="","",MIN(1,G75+1.96*L75/100))</f>
        <v>0.581628069619926</v>
      </c>
      <c r="O75" s="59" t="n">
        <f aca="false">ROUND(S75*W75,0)</f>
        <v>11</v>
      </c>
      <c r="P75" s="59" t="n">
        <f aca="false">IF(F75="","",ROUND(SQRT((F75*L75/100)^2+(G75*O75)^2),0))</f>
        <v>7</v>
      </c>
      <c r="R75" s="60" t="n">
        <v>9.6922713631151</v>
      </c>
      <c r="S75" s="61" t="n">
        <f aca="false">U75*V75*$F$5</f>
        <v>143.630597014925</v>
      </c>
      <c r="T75" s="62" t="n">
        <f aca="false">MAX(0,MIN(1,R75/100+$D$5))</f>
        <v>0.522152332633178</v>
      </c>
      <c r="U75" s="62" t="n">
        <v>0.526119402985075</v>
      </c>
      <c r="V75" s="61" t="n">
        <v>273</v>
      </c>
      <c r="W75" s="62" t="n">
        <v>0.0777040344688333</v>
      </c>
      <c r="X75" s="63" t="s">
        <v>163</v>
      </c>
      <c r="Y75" s="63" t="s">
        <v>164</v>
      </c>
    </row>
    <row r="76" customFormat="false" ht="15" hidden="false" customHeight="false" outlineLevel="0" collapsed="false">
      <c r="A76" s="32" t="s">
        <v>220</v>
      </c>
      <c r="B76" s="32" t="s">
        <v>198</v>
      </c>
      <c r="C76" s="32" t="s">
        <v>161</v>
      </c>
      <c r="D76" s="59" t="n">
        <f aca="false">ROUND(S76*T76,0)</f>
        <v>3492</v>
      </c>
      <c r="E76" s="59" t="n">
        <f aca="false">ROUND(S76,0)-D76</f>
        <v>2931</v>
      </c>
      <c r="F76" s="59" t="n">
        <f aca="false">IF(COUNTA(D76:E76)=0,"",SUM(D76:E76))</f>
        <v>6423</v>
      </c>
      <c r="G76" s="40" t="n">
        <f aca="false">IF(OR(F76="",F76=0),"",D76/F76)</f>
        <v>0.543671181690799</v>
      </c>
      <c r="H76" s="40" t="n">
        <f aca="false">IF(OR(F76="",F76=0),"",E76/F76)</f>
        <v>0.456328818309201</v>
      </c>
      <c r="I76" s="32" t="s">
        <v>162</v>
      </c>
      <c r="J76" s="36" t="n">
        <v>1.57736464441501</v>
      </c>
      <c r="K76" s="36" t="n">
        <f aca="false">$K$8</f>
        <v>1.27505696797933</v>
      </c>
      <c r="L76" s="36" t="n">
        <f aca="false">SQRT(J76^2+K76^2)</f>
        <v>2.02826267851162</v>
      </c>
      <c r="M76" s="40" t="n">
        <f aca="false">IF(G76="","",MAX(0,G76-1.96*L76/100))</f>
        <v>0.503917233191971</v>
      </c>
      <c r="N76" s="40" t="n">
        <f aca="false">IF(G76="","",MIN(1,G76+1.96*L76/100))</f>
        <v>0.583425130189626</v>
      </c>
      <c r="O76" s="59" t="n">
        <f aca="false">ROUND(S76*W76,0)</f>
        <v>354</v>
      </c>
      <c r="P76" s="59" t="n">
        <f aca="false">IF(F76="","",ROUND(SQRT((F76*L76/100)^2+(G76*O76)^2),0))</f>
        <v>232</v>
      </c>
      <c r="R76" s="60" t="n">
        <v>11.8483171350896</v>
      </c>
      <c r="S76" s="61" t="n">
        <f aca="false">U76*V76*$F$5</f>
        <v>6422.70106427379</v>
      </c>
      <c r="T76" s="62" t="n">
        <f aca="false">MAX(0,MIN(1,R76/100+$D$5))</f>
        <v>0.543712790352923</v>
      </c>
      <c r="U76" s="62" t="n">
        <v>0.673309682804674</v>
      </c>
      <c r="V76" s="61" t="n">
        <v>9539</v>
      </c>
      <c r="W76" s="62" t="n">
        <v>0.0551273752894184</v>
      </c>
      <c r="X76" s="63" t="s">
        <v>184</v>
      </c>
      <c r="Y76" s="63" t="s">
        <v>164</v>
      </c>
    </row>
    <row r="77" customFormat="false" ht="15" hidden="false" customHeight="false" outlineLevel="0" collapsed="false">
      <c r="A77" s="32" t="s">
        <v>220</v>
      </c>
      <c r="B77" s="32" t="s">
        <v>233</v>
      </c>
      <c r="C77" s="32" t="s">
        <v>161</v>
      </c>
      <c r="D77" s="59" t="n">
        <f aca="false">ROUND(S77*T77,0)</f>
        <v>1369</v>
      </c>
      <c r="E77" s="59" t="n">
        <f aca="false">ROUND(S77,0)-D77</f>
        <v>1259</v>
      </c>
      <c r="F77" s="59" t="n">
        <f aca="false">IF(COUNTA(D77:E77)=0,"",SUM(D77:E77))</f>
        <v>2628</v>
      </c>
      <c r="G77" s="40" t="n">
        <f aca="false">IF(OR(F77="",F77=0),"",D77/F77)</f>
        <v>0.520928462709285</v>
      </c>
      <c r="H77" s="40" t="n">
        <f aca="false">IF(OR(F77="",F77=0),"",E77/F77)</f>
        <v>0.479071537290715</v>
      </c>
      <c r="I77" s="32" t="s">
        <v>162</v>
      </c>
      <c r="J77" s="36" t="n">
        <v>1.47282364643495</v>
      </c>
      <c r="K77" s="36" t="n">
        <f aca="false">$K$8</f>
        <v>1.27505696797933</v>
      </c>
      <c r="L77" s="36" t="n">
        <f aca="false">SQRT(J77^2+K77^2)</f>
        <v>1.94807078030819</v>
      </c>
      <c r="M77" s="40" t="n">
        <f aca="false">IF(G77="","",MAX(0,G77-1.96*L77/100))</f>
        <v>0.482746275415244</v>
      </c>
      <c r="N77" s="40" t="n">
        <f aca="false">IF(G77="","",MIN(1,G77+1.96*L77/100))</f>
        <v>0.559110650003325</v>
      </c>
      <c r="O77" s="59" t="n">
        <f aca="false">ROUND(S77*W77,0)</f>
        <v>159</v>
      </c>
      <c r="P77" s="59" t="n">
        <f aca="false">IF(F77="","",ROUND(SQRT((F77*L77/100)^2+(G77*O77)^2),0))</f>
        <v>97</v>
      </c>
      <c r="R77" s="60" t="n">
        <v>9.56989785621808</v>
      </c>
      <c r="S77" s="61" t="n">
        <f aca="false">U77*V77*$F$5</f>
        <v>2628.02463970246</v>
      </c>
      <c r="T77" s="62" t="n">
        <f aca="false">MAX(0,MIN(1,R77/100+$D$5))</f>
        <v>0.520928597564207</v>
      </c>
      <c r="U77" s="62" t="n">
        <v>0.598093909809391</v>
      </c>
      <c r="V77" s="61" t="n">
        <v>4394</v>
      </c>
      <c r="W77" s="62" t="n">
        <v>0.0606122259008943</v>
      </c>
      <c r="X77" s="63" t="s">
        <v>168</v>
      </c>
      <c r="Y77" s="63" t="s">
        <v>164</v>
      </c>
    </row>
    <row r="78" customFormat="false" ht="15" hidden="false" customHeight="false" outlineLevel="0" collapsed="false">
      <c r="A78" s="32" t="s">
        <v>220</v>
      </c>
      <c r="B78" s="32" t="s">
        <v>234</v>
      </c>
      <c r="C78" s="32" t="s">
        <v>161</v>
      </c>
      <c r="D78" s="59" t="n">
        <f aca="false">ROUND(S78*T78,0)</f>
        <v>1842</v>
      </c>
      <c r="E78" s="59" t="n">
        <f aca="false">ROUND(S78,0)-D78</f>
        <v>3497</v>
      </c>
      <c r="F78" s="59" t="n">
        <f aca="false">IF(COUNTA(D78:E78)=0,"",SUM(D78:E78))</f>
        <v>5339</v>
      </c>
      <c r="G78" s="40" t="n">
        <f aca="false">IF(OR(F78="",F78=0),"",D78/F78)</f>
        <v>0.345008428544671</v>
      </c>
      <c r="H78" s="40" t="n">
        <f aca="false">IF(OR(F78="",F78=0),"",E78/F78)</f>
        <v>0.654991571455329</v>
      </c>
      <c r="I78" s="32" t="s">
        <v>162</v>
      </c>
      <c r="J78" s="36" t="n">
        <v>1.57736464441501</v>
      </c>
      <c r="K78" s="36" t="n">
        <f aca="false">$K$8</f>
        <v>1.27505696797933</v>
      </c>
      <c r="L78" s="36" t="n">
        <f aca="false">SQRT(J78^2+K78^2)</f>
        <v>2.02826267851162</v>
      </c>
      <c r="M78" s="40" t="n">
        <f aca="false">IF(G78="","",MAX(0,G78-1.96*L78/100))</f>
        <v>0.305254480045844</v>
      </c>
      <c r="N78" s="40" t="n">
        <f aca="false">IF(G78="","",MIN(1,G78+1.96*L78/100))</f>
        <v>0.384762377043499</v>
      </c>
      <c r="O78" s="59" t="n">
        <f aca="false">ROUND(S78*W78,0)</f>
        <v>294</v>
      </c>
      <c r="P78" s="59" t="n">
        <f aca="false">IF(F78="","",ROUND(SQRT((F78*L78/100)^2+(G78*O78)^2),0))</f>
        <v>148</v>
      </c>
      <c r="R78" s="60" t="n">
        <v>-8.01518754987538</v>
      </c>
      <c r="S78" s="61" t="n">
        <f aca="false">U78*V78*$F$5</f>
        <v>5339.13569131833</v>
      </c>
      <c r="T78" s="62" t="n">
        <f aca="false">MAX(0,MIN(1,R78/100+$D$5))</f>
        <v>0.345077743503273</v>
      </c>
      <c r="U78" s="62" t="n">
        <v>0.656720257234727</v>
      </c>
      <c r="V78" s="61" t="n">
        <v>8130</v>
      </c>
      <c r="W78" s="62" t="n">
        <v>0.0551273752894184</v>
      </c>
      <c r="X78" s="63" t="s">
        <v>184</v>
      </c>
      <c r="Y78" s="63" t="s">
        <v>164</v>
      </c>
    </row>
    <row r="79" customFormat="false" ht="15" hidden="false" customHeight="false" outlineLevel="0" collapsed="false">
      <c r="A79" s="32" t="s">
        <v>220</v>
      </c>
      <c r="B79" s="32" t="s">
        <v>235</v>
      </c>
      <c r="C79" s="32" t="s">
        <v>161</v>
      </c>
      <c r="D79" s="59" t="n">
        <f aca="false">ROUND(S79*T79,0)</f>
        <v>498</v>
      </c>
      <c r="E79" s="59" t="n">
        <f aca="false">ROUND(S79,0)-D79</f>
        <v>940</v>
      </c>
      <c r="F79" s="59" t="n">
        <f aca="false">IF(COUNTA(D79:E79)=0,"",SUM(D79:E79))</f>
        <v>1438</v>
      </c>
      <c r="G79" s="40" t="n">
        <f aca="false">IF(OR(F79="",F79=0),"",D79/F79)</f>
        <v>0.346314325452017</v>
      </c>
      <c r="H79" s="40" t="n">
        <f aca="false">IF(OR(F79="",F79=0),"",E79/F79)</f>
        <v>0.653685674547983</v>
      </c>
      <c r="I79" s="32" t="s">
        <v>162</v>
      </c>
      <c r="J79" s="36" t="n">
        <v>1.47282364643495</v>
      </c>
      <c r="K79" s="36" t="n">
        <f aca="false">$K$8</f>
        <v>1.27505696797933</v>
      </c>
      <c r="L79" s="36" t="n">
        <f aca="false">SQRT(J79^2+K79^2)</f>
        <v>1.94807078030819</v>
      </c>
      <c r="M79" s="40" t="n">
        <f aca="false">IF(G79="","",MAX(0,G79-1.96*L79/100))</f>
        <v>0.308132138157976</v>
      </c>
      <c r="N79" s="40" t="n">
        <f aca="false">IF(G79="","",MIN(1,G79+1.96*L79/100))</f>
        <v>0.384496512746057</v>
      </c>
      <c r="O79" s="59" t="n">
        <f aca="false">ROUND(S79*W79,0)</f>
        <v>87</v>
      </c>
      <c r="P79" s="59" t="n">
        <f aca="false">IF(F79="","",ROUND(SQRT((F79*L79/100)^2+(G79*O79)^2),0))</f>
        <v>41</v>
      </c>
      <c r="R79" s="60" t="n">
        <v>-7.87361569519703</v>
      </c>
      <c r="S79" s="61" t="n">
        <f aca="false">U79*V79*$F$5</f>
        <v>1437.5</v>
      </c>
      <c r="T79" s="62" t="n">
        <f aca="false">MAX(0,MIN(1,R79/100+$D$5))</f>
        <v>0.346493462050056</v>
      </c>
      <c r="U79" s="62" t="n">
        <v>0.625</v>
      </c>
      <c r="V79" s="61" t="n">
        <v>2300</v>
      </c>
      <c r="W79" s="62" t="n">
        <v>0.0606122259008943</v>
      </c>
      <c r="X79" s="63" t="s">
        <v>168</v>
      </c>
      <c r="Y79" s="63" t="s">
        <v>164</v>
      </c>
    </row>
    <row r="80" customFormat="false" ht="15" hidden="false" customHeight="false" outlineLevel="0" collapsed="false">
      <c r="A80" s="32" t="s">
        <v>220</v>
      </c>
      <c r="B80" s="32" t="s">
        <v>236</v>
      </c>
      <c r="C80" s="32" t="s">
        <v>161</v>
      </c>
      <c r="D80" s="59" t="n">
        <f aca="false">ROUND(S80*T80,0)</f>
        <v>1725</v>
      </c>
      <c r="E80" s="59" t="n">
        <f aca="false">ROUND(S80,0)-D80</f>
        <v>1997</v>
      </c>
      <c r="F80" s="59" t="n">
        <f aca="false">IF(COUNTA(D80:E80)=0,"",SUM(D80:E80))</f>
        <v>3722</v>
      </c>
      <c r="G80" s="40" t="n">
        <f aca="false">IF(OR(F80="",F80=0),"",D80/F80)</f>
        <v>0.463460505104782</v>
      </c>
      <c r="H80" s="40" t="n">
        <f aca="false">IF(OR(F80="",F80=0),"",E80/F80)</f>
        <v>0.536539494895218</v>
      </c>
      <c r="I80" s="32" t="s">
        <v>162</v>
      </c>
      <c r="J80" s="36" t="n">
        <v>1.57736464441501</v>
      </c>
      <c r="K80" s="36" t="n">
        <f aca="false">$K$8</f>
        <v>1.27505696797933</v>
      </c>
      <c r="L80" s="36" t="n">
        <f aca="false">SQRT(J80^2+K80^2)</f>
        <v>2.02826267851162</v>
      </c>
      <c r="M80" s="40" t="n">
        <f aca="false">IF(G80="","",MAX(0,G80-1.96*L80/100))</f>
        <v>0.423706556605955</v>
      </c>
      <c r="N80" s="40" t="n">
        <f aca="false">IF(G80="","",MIN(1,G80+1.96*L80/100))</f>
        <v>0.50321445360361</v>
      </c>
      <c r="O80" s="59" t="n">
        <f aca="false">ROUND(S80*W80,0)</f>
        <v>205</v>
      </c>
      <c r="P80" s="59" t="n">
        <f aca="false">IF(F80="","",ROUND(SQRT((F80*L80/100)^2+(G80*O80)^2),0))</f>
        <v>121</v>
      </c>
      <c r="R80" s="60" t="n">
        <v>3.81590703213388</v>
      </c>
      <c r="S80" s="61" t="n">
        <f aca="false">U80*V80*$F$5</f>
        <v>3721.57991120977</v>
      </c>
      <c r="T80" s="62" t="n">
        <f aca="false">MAX(0,MIN(1,R80/100+$D$5))</f>
        <v>0.463388689323365</v>
      </c>
      <c r="U80" s="62" t="n">
        <v>0.684239733629301</v>
      </c>
      <c r="V80" s="61" t="n">
        <v>5439</v>
      </c>
      <c r="W80" s="62" t="n">
        <v>0.0551273752894184</v>
      </c>
      <c r="X80" s="63" t="s">
        <v>184</v>
      </c>
      <c r="Y80" s="63" t="s">
        <v>164</v>
      </c>
    </row>
    <row r="81" customFormat="false" ht="15" hidden="false" customHeight="false" outlineLevel="0" collapsed="false">
      <c r="A81" s="32" t="s">
        <v>220</v>
      </c>
      <c r="B81" s="32" t="s">
        <v>237</v>
      </c>
      <c r="C81" s="32" t="s">
        <v>161</v>
      </c>
      <c r="D81" s="59" t="n">
        <f aca="false">ROUND(S81*T81,0)</f>
        <v>2901</v>
      </c>
      <c r="E81" s="59" t="n">
        <f aca="false">ROUND(S81,0)-D81</f>
        <v>3023</v>
      </c>
      <c r="F81" s="59" t="n">
        <f aca="false">IF(COUNTA(D81:E81)=0,"",SUM(D81:E81))</f>
        <v>5924</v>
      </c>
      <c r="G81" s="40" t="n">
        <f aca="false">IF(OR(F81="",F81=0),"",D81/F81)</f>
        <v>0.489702903443619</v>
      </c>
      <c r="H81" s="40" t="n">
        <f aca="false">IF(OR(F81="",F81=0),"",E81/F81)</f>
        <v>0.510297096556381</v>
      </c>
      <c r="I81" s="32" t="s">
        <v>162</v>
      </c>
      <c r="J81" s="36" t="n">
        <v>1.57736464441501</v>
      </c>
      <c r="K81" s="36" t="n">
        <f aca="false">$K$8</f>
        <v>1.27505696797933</v>
      </c>
      <c r="L81" s="36" t="n">
        <f aca="false">SQRT(J81^2+K81^2)</f>
        <v>2.02826267851162</v>
      </c>
      <c r="M81" s="40" t="n">
        <f aca="false">IF(G81="","",MAX(0,G81-1.96*L81/100))</f>
        <v>0.449948954944792</v>
      </c>
      <c r="N81" s="40" t="n">
        <f aca="false">IF(G81="","",MIN(1,G81+1.96*L81/100))</f>
        <v>0.529456851942447</v>
      </c>
      <c r="O81" s="59" t="n">
        <f aca="false">ROUND(S81*W81,0)</f>
        <v>327</v>
      </c>
      <c r="P81" s="59" t="n">
        <f aca="false">IF(F81="","",ROUND(SQRT((F81*L81/100)^2+(G81*O81)^2),0))</f>
        <v>200</v>
      </c>
      <c r="R81" s="60" t="n">
        <v>6.44538763492864</v>
      </c>
      <c r="S81" s="61" t="n">
        <f aca="false">U81*V81*$F$5</f>
        <v>5924.29823361823</v>
      </c>
      <c r="T81" s="62" t="n">
        <f aca="false">MAX(0,MIN(1,R81/100+$D$5))</f>
        <v>0.489683495351313</v>
      </c>
      <c r="U81" s="62" t="n">
        <v>0.675441595441595</v>
      </c>
      <c r="V81" s="61" t="n">
        <v>8771</v>
      </c>
      <c r="W81" s="62" t="n">
        <v>0.0551273752894184</v>
      </c>
      <c r="X81" s="63" t="s">
        <v>184</v>
      </c>
      <c r="Y81" s="63" t="s">
        <v>164</v>
      </c>
    </row>
    <row r="82" customFormat="false" ht="15" hidden="false" customHeight="false" outlineLevel="0" collapsed="false">
      <c r="A82" s="32" t="s">
        <v>220</v>
      </c>
      <c r="B82" s="32" t="s">
        <v>238</v>
      </c>
      <c r="C82" s="32" t="s">
        <v>161</v>
      </c>
      <c r="D82" s="59" t="n">
        <f aca="false">ROUND(S82*T82,0)</f>
        <v>1641</v>
      </c>
      <c r="E82" s="59" t="n">
        <f aca="false">ROUND(S82,0)-D82</f>
        <v>3207</v>
      </c>
      <c r="F82" s="59" t="n">
        <f aca="false">IF(COUNTA(D82:E82)=0,"",SUM(D82:E82))</f>
        <v>4848</v>
      </c>
      <c r="G82" s="40" t="n">
        <f aca="false">IF(OR(F82="",F82=0),"",D82/F82)</f>
        <v>0.338490099009901</v>
      </c>
      <c r="H82" s="40" t="n">
        <f aca="false">IF(OR(F82="",F82=0),"",E82/F82)</f>
        <v>0.661509900990099</v>
      </c>
      <c r="I82" s="32" t="s">
        <v>162</v>
      </c>
      <c r="J82" s="36" t="n">
        <v>1.57736464441501</v>
      </c>
      <c r="K82" s="36" t="n">
        <f aca="false">$K$8</f>
        <v>1.27505696797933</v>
      </c>
      <c r="L82" s="36" t="n">
        <f aca="false">SQRT(J82^2+K82^2)</f>
        <v>2.02826267851162</v>
      </c>
      <c r="M82" s="40" t="n">
        <f aca="false">IF(G82="","",MAX(0,G82-1.96*L82/100))</f>
        <v>0.298736150511073</v>
      </c>
      <c r="N82" s="40" t="n">
        <f aca="false">IF(G82="","",MIN(1,G82+1.96*L82/100))</f>
        <v>0.378244047508729</v>
      </c>
      <c r="O82" s="59" t="n">
        <f aca="false">ROUND(S82*W82,0)</f>
        <v>267</v>
      </c>
      <c r="P82" s="59" t="n">
        <f aca="false">IF(F82="","",ROUND(SQRT((F82*L82/100)^2+(G82*O82)^2),0))</f>
        <v>134</v>
      </c>
      <c r="R82" s="60" t="n">
        <v>-8.67868882445952</v>
      </c>
      <c r="S82" s="61" t="n">
        <f aca="false">U82*V82*$F$5</f>
        <v>4848.29721362229</v>
      </c>
      <c r="T82" s="62" t="n">
        <f aca="false">MAX(0,MIN(1,R82/100+$D$5))</f>
        <v>0.338442730757431</v>
      </c>
      <c r="U82" s="62" t="n">
        <v>0.668730650154799</v>
      </c>
      <c r="V82" s="61" t="n">
        <v>7250</v>
      </c>
      <c r="W82" s="62" t="n">
        <v>0.0551273752894184</v>
      </c>
      <c r="X82" s="63" t="s">
        <v>184</v>
      </c>
      <c r="Y82" s="63" t="s">
        <v>164</v>
      </c>
    </row>
    <row r="83" customFormat="false" ht="15" hidden="false" customHeight="false" outlineLevel="0" collapsed="false">
      <c r="A83" s="32" t="s">
        <v>220</v>
      </c>
      <c r="B83" s="32" t="s">
        <v>239</v>
      </c>
      <c r="C83" s="32" t="s">
        <v>161</v>
      </c>
      <c r="D83" s="59" t="n">
        <f aca="false">ROUND(S83*T83,0)</f>
        <v>1245</v>
      </c>
      <c r="E83" s="59" t="n">
        <f aca="false">ROUND(S83,0)-D83</f>
        <v>1270</v>
      </c>
      <c r="F83" s="59" t="n">
        <f aca="false">IF(COUNTA(D83:E83)=0,"",SUM(D83:E83))</f>
        <v>2515</v>
      </c>
      <c r="G83" s="40" t="n">
        <f aca="false">IF(OR(F83="",F83=0),"",D83/F83)</f>
        <v>0.495029821073559</v>
      </c>
      <c r="H83" s="40" t="n">
        <f aca="false">IF(OR(F83="",F83=0),"",E83/F83)</f>
        <v>0.504970178926441</v>
      </c>
      <c r="I83" s="32" t="s">
        <v>162</v>
      </c>
      <c r="J83" s="36" t="n">
        <v>1.47282364643495</v>
      </c>
      <c r="K83" s="36" t="n">
        <f aca="false">$K$8</f>
        <v>1.27505696797933</v>
      </c>
      <c r="L83" s="36" t="n">
        <f aca="false">SQRT(J83^2+K83^2)</f>
        <v>1.94807078030819</v>
      </c>
      <c r="M83" s="40" t="n">
        <f aca="false">IF(G83="","",MAX(0,G83-1.96*L83/100))</f>
        <v>0.456847633779518</v>
      </c>
      <c r="N83" s="40" t="n">
        <f aca="false">IF(G83="","",MIN(1,G83+1.96*L83/100))</f>
        <v>0.533212008367599</v>
      </c>
      <c r="O83" s="59" t="n">
        <f aca="false">ROUND(S83*W83,0)</f>
        <v>152</v>
      </c>
      <c r="P83" s="59" t="n">
        <f aca="false">IF(F83="","",ROUND(SQRT((F83*L83/100)^2+(G83*O83)^2),0))</f>
        <v>90</v>
      </c>
      <c r="R83" s="60" t="n">
        <v>6.99049659389318</v>
      </c>
      <c r="S83" s="61" t="n">
        <f aca="false">U83*V83*$F$5</f>
        <v>2514.75925477861</v>
      </c>
      <c r="T83" s="62" t="n">
        <f aca="false">MAX(0,MIN(1,R83/100+$D$5))</f>
        <v>0.495134584940958</v>
      </c>
      <c r="U83" s="62" t="n">
        <v>0.595209291071861</v>
      </c>
      <c r="V83" s="61" t="n">
        <v>4225</v>
      </c>
      <c r="W83" s="62" t="n">
        <v>0.0606122259008943</v>
      </c>
      <c r="X83" s="63" t="s">
        <v>168</v>
      </c>
      <c r="Y83" s="63" t="s">
        <v>164</v>
      </c>
    </row>
    <row r="84" customFormat="false" ht="15" hidden="false" customHeight="false" outlineLevel="0" collapsed="false">
      <c r="A84" s="32" t="s">
        <v>220</v>
      </c>
      <c r="B84" s="32" t="s">
        <v>240</v>
      </c>
      <c r="C84" s="32" t="s">
        <v>161</v>
      </c>
      <c r="D84" s="59" t="n">
        <f aca="false">ROUND(S84*T84,0)</f>
        <v>713</v>
      </c>
      <c r="E84" s="59" t="n">
        <f aca="false">ROUND(S84,0)-D84</f>
        <v>715</v>
      </c>
      <c r="F84" s="59" t="n">
        <f aca="false">IF(COUNTA(D84:E84)=0,"",SUM(D84:E84))</f>
        <v>1428</v>
      </c>
      <c r="G84" s="40" t="n">
        <f aca="false">IF(OR(F84="",F84=0),"",D84/F84)</f>
        <v>0.499299719887955</v>
      </c>
      <c r="H84" s="40" t="n">
        <f aca="false">IF(OR(F84="",F84=0),"",E84/F84)</f>
        <v>0.500700280112045</v>
      </c>
      <c r="I84" s="32" t="s">
        <v>162</v>
      </c>
      <c r="J84" s="36" t="n">
        <v>1.47282364643495</v>
      </c>
      <c r="K84" s="36" t="n">
        <f aca="false">$K$8</f>
        <v>1.27505696797933</v>
      </c>
      <c r="L84" s="36" t="n">
        <f aca="false">SQRT(J84^2+K84^2)</f>
        <v>1.94807078030819</v>
      </c>
      <c r="M84" s="40" t="n">
        <f aca="false">IF(G84="","",MAX(0,G84-1.96*L84/100))</f>
        <v>0.461117532593915</v>
      </c>
      <c r="N84" s="40" t="n">
        <f aca="false">IF(G84="","",MIN(1,G84+1.96*L84/100))</f>
        <v>0.537481907181996</v>
      </c>
      <c r="O84" s="59" t="n">
        <f aca="false">ROUND(S84*W84,0)</f>
        <v>87</v>
      </c>
      <c r="P84" s="59" t="n">
        <f aca="false">IF(F84="","",ROUND(SQRT((F84*L84/100)^2+(G84*O84)^2),0))</f>
        <v>52</v>
      </c>
      <c r="R84" s="60" t="n">
        <v>7.39907611871043</v>
      </c>
      <c r="S84" s="61" t="n">
        <f aca="false">U84*V84*$F$5</f>
        <v>1427.54656265236</v>
      </c>
      <c r="T84" s="62" t="n">
        <f aca="false">MAX(0,MIN(1,R84/100+$D$5))</f>
        <v>0.499220380189131</v>
      </c>
      <c r="U84" s="62" t="n">
        <v>0.623110677718186</v>
      </c>
      <c r="V84" s="61" t="n">
        <v>2291</v>
      </c>
      <c r="W84" s="62" t="n">
        <v>0.0606122259008943</v>
      </c>
      <c r="X84" s="63" t="s">
        <v>168</v>
      </c>
      <c r="Y84" s="63" t="s">
        <v>164</v>
      </c>
    </row>
    <row r="85" customFormat="false" ht="15" hidden="false" customHeight="false" outlineLevel="0" collapsed="false">
      <c r="A85" s="32" t="s">
        <v>220</v>
      </c>
      <c r="B85" s="32" t="s">
        <v>241</v>
      </c>
      <c r="C85" s="32" t="s">
        <v>161</v>
      </c>
      <c r="D85" s="59" t="n">
        <f aca="false">ROUND(S85*T85,0)</f>
        <v>1984</v>
      </c>
      <c r="E85" s="59" t="n">
        <f aca="false">ROUND(S85,0)-D85</f>
        <v>2180</v>
      </c>
      <c r="F85" s="59" t="n">
        <f aca="false">IF(COUNTA(D85:E85)=0,"",SUM(D85:E85))</f>
        <v>4164</v>
      </c>
      <c r="G85" s="40" t="n">
        <f aca="false">IF(OR(F85="",F85=0),"",D85/F85)</f>
        <v>0.476464937560038</v>
      </c>
      <c r="H85" s="40" t="n">
        <f aca="false">IF(OR(F85="",F85=0),"",E85/F85)</f>
        <v>0.523535062439962</v>
      </c>
      <c r="I85" s="32" t="s">
        <v>162</v>
      </c>
      <c r="J85" s="36" t="n">
        <v>1.57736464441501</v>
      </c>
      <c r="K85" s="36" t="n">
        <f aca="false">$K$8</f>
        <v>1.27505696797933</v>
      </c>
      <c r="L85" s="36" t="n">
        <f aca="false">SQRT(J85^2+K85^2)</f>
        <v>2.02826267851162</v>
      </c>
      <c r="M85" s="40" t="n">
        <f aca="false">IF(G85="","",MAX(0,G85-1.96*L85/100))</f>
        <v>0.436710989061211</v>
      </c>
      <c r="N85" s="40" t="n">
        <f aca="false">IF(G85="","",MIN(1,G85+1.96*L85/100))</f>
        <v>0.516218886058866</v>
      </c>
      <c r="O85" s="59" t="n">
        <f aca="false">ROUND(S85*W85,0)</f>
        <v>230</v>
      </c>
      <c r="P85" s="59" t="n">
        <f aca="false">IF(F85="","",ROUND(SQRT((F85*L85/100)^2+(G85*O85)^2),0))</f>
        <v>138</v>
      </c>
      <c r="R85" s="60" t="n">
        <v>5.11667900301373</v>
      </c>
      <c r="S85" s="61" t="n">
        <f aca="false">U85*V85*$F$5</f>
        <v>4163.88109359178</v>
      </c>
      <c r="T85" s="62" t="n">
        <f aca="false">MAX(0,MIN(1,R85/100+$D$5))</f>
        <v>0.476396409032164</v>
      </c>
      <c r="U85" s="62" t="n">
        <v>0.568060176479097</v>
      </c>
      <c r="V85" s="61" t="n">
        <v>7330</v>
      </c>
      <c r="W85" s="62" t="n">
        <v>0.0551273752894184</v>
      </c>
      <c r="X85" s="63" t="s">
        <v>184</v>
      </c>
      <c r="Y85" s="63" t="s">
        <v>164</v>
      </c>
    </row>
    <row r="86" customFormat="false" ht="15" hidden="false" customHeight="false" outlineLevel="0" collapsed="false">
      <c r="A86" s="32" t="s">
        <v>220</v>
      </c>
      <c r="B86" s="32" t="s">
        <v>242</v>
      </c>
      <c r="C86" s="32" t="s">
        <v>161</v>
      </c>
      <c r="D86" s="59" t="n">
        <f aca="false">ROUND(S86*T86,0)</f>
        <v>5500</v>
      </c>
      <c r="E86" s="59" t="n">
        <f aca="false">ROUND(S86,0)-D86</f>
        <v>5157</v>
      </c>
      <c r="F86" s="59" t="n">
        <f aca="false">IF(COUNTA(D86:E86)=0,"",SUM(D86:E86))</f>
        <v>10657</v>
      </c>
      <c r="G86" s="40" t="n">
        <f aca="false">IF(OR(F86="",F86=0),"",D86/F86)</f>
        <v>0.516092709017547</v>
      </c>
      <c r="H86" s="40" t="n">
        <f aca="false">IF(OR(F86="",F86=0),"",E86/F86)</f>
        <v>0.483907290982453</v>
      </c>
      <c r="I86" s="32" t="s">
        <v>162</v>
      </c>
      <c r="J86" s="36" t="n">
        <v>1.57736464441501</v>
      </c>
      <c r="K86" s="36" t="n">
        <f aca="false">$K$8</f>
        <v>1.27505696797933</v>
      </c>
      <c r="L86" s="36" t="n">
        <f aca="false">SQRT(J86^2+K86^2)</f>
        <v>2.02826267851162</v>
      </c>
      <c r="M86" s="40" t="n">
        <f aca="false">IF(G86="","",MAX(0,G86-1.96*L86/100))</f>
        <v>0.476338760518719</v>
      </c>
      <c r="N86" s="40" t="n">
        <f aca="false">IF(G86="","",MIN(1,G86+1.96*L86/100))</f>
        <v>0.555846657516375</v>
      </c>
      <c r="O86" s="59" t="n">
        <f aca="false">ROUND(S86*W86,0)</f>
        <v>587</v>
      </c>
      <c r="P86" s="59" t="n">
        <f aca="false">IF(F86="","",ROUND(SQRT((F86*L86/100)^2+(G86*O86)^2),0))</f>
        <v>372</v>
      </c>
      <c r="R86" s="60" t="n">
        <v>9.09193512515651</v>
      </c>
      <c r="S86" s="61" t="n">
        <f aca="false">U86*V86*$F$5</f>
        <v>10656.5050635134</v>
      </c>
      <c r="T86" s="62" t="n">
        <f aca="false">MAX(0,MIN(1,R86/100+$D$5))</f>
        <v>0.516148970253592</v>
      </c>
      <c r="U86" s="62" t="n">
        <v>0.603699584382134</v>
      </c>
      <c r="V86" s="61" t="n">
        <v>17652</v>
      </c>
      <c r="W86" s="62" t="n">
        <v>0.0551273752894184</v>
      </c>
      <c r="X86" s="63" t="s">
        <v>184</v>
      </c>
      <c r="Y86" s="63" t="s">
        <v>164</v>
      </c>
    </row>
    <row r="87" customFormat="false" ht="15" hidden="false" customHeight="false" outlineLevel="0" collapsed="false">
      <c r="A87" s="32" t="s">
        <v>220</v>
      </c>
      <c r="B87" s="32" t="s">
        <v>243</v>
      </c>
      <c r="C87" s="32" t="s">
        <v>161</v>
      </c>
      <c r="D87" s="59" t="n">
        <f aca="false">ROUND(S87*T87,0)</f>
        <v>510</v>
      </c>
      <c r="E87" s="59" t="n">
        <f aca="false">ROUND(S87,0)-D87</f>
        <v>852</v>
      </c>
      <c r="F87" s="59" t="n">
        <f aca="false">IF(COUNTA(D87:E87)=0,"",SUM(D87:E87))</f>
        <v>1362</v>
      </c>
      <c r="G87" s="40" t="n">
        <f aca="false">IF(OR(F87="",F87=0),"",D87/F87)</f>
        <v>0.374449339207049</v>
      </c>
      <c r="H87" s="40" t="n">
        <f aca="false">IF(OR(F87="",F87=0),"",E87/F87)</f>
        <v>0.625550660792952</v>
      </c>
      <c r="I87" s="32" t="s">
        <v>162</v>
      </c>
      <c r="J87" s="36" t="n">
        <v>1.47282364643495</v>
      </c>
      <c r="K87" s="36" t="n">
        <f aca="false">$K$8</f>
        <v>1.27505696797933</v>
      </c>
      <c r="L87" s="36" t="n">
        <f aca="false">SQRT(J87^2+K87^2)</f>
        <v>1.94807078030819</v>
      </c>
      <c r="M87" s="40" t="n">
        <f aca="false">IF(G87="","",MAX(0,G87-1.96*L87/100))</f>
        <v>0.336267151913008</v>
      </c>
      <c r="N87" s="40" t="n">
        <f aca="false">IF(G87="","",MIN(1,G87+1.96*L87/100))</f>
        <v>0.412631526501089</v>
      </c>
      <c r="O87" s="59" t="n">
        <f aca="false">ROUND(S87*W87,0)</f>
        <v>83</v>
      </c>
      <c r="P87" s="59" t="n">
        <f aca="false">IF(F87="","",ROUND(SQRT((F87*L87/100)^2+(G87*O87)^2),0))</f>
        <v>41</v>
      </c>
      <c r="R87" s="60" t="n">
        <v>-5.08399089821149</v>
      </c>
      <c r="S87" s="61" t="n">
        <f aca="false">U87*V87*$F$5</f>
        <v>1362.06750324535</v>
      </c>
      <c r="T87" s="62" t="n">
        <f aca="false">MAX(0,MIN(1,R87/100+$D$5))</f>
        <v>0.374389710019912</v>
      </c>
      <c r="U87" s="62" t="n">
        <v>0.55776720034617</v>
      </c>
      <c r="V87" s="61" t="n">
        <v>2442</v>
      </c>
      <c r="W87" s="62" t="n">
        <v>0.0606122259008943</v>
      </c>
      <c r="X87" s="63" t="s">
        <v>168</v>
      </c>
      <c r="Y87" s="63" t="s">
        <v>164</v>
      </c>
    </row>
    <row r="88" customFormat="false" ht="15" hidden="false" customHeight="false" outlineLevel="0" collapsed="false">
      <c r="A88" s="32" t="s">
        <v>220</v>
      </c>
      <c r="B88" s="32" t="s">
        <v>244</v>
      </c>
      <c r="C88" s="32" t="s">
        <v>161</v>
      </c>
      <c r="D88" s="59" t="n">
        <f aca="false">ROUND(S88*T88,0)</f>
        <v>1073</v>
      </c>
      <c r="E88" s="59" t="n">
        <f aca="false">ROUND(S88,0)-D88</f>
        <v>2048</v>
      </c>
      <c r="F88" s="59" t="n">
        <f aca="false">IF(COUNTA(D88:E88)=0,"",SUM(D88:E88))</f>
        <v>3121</v>
      </c>
      <c r="G88" s="40" t="n">
        <f aca="false">IF(OR(F88="",F88=0),"",D88/F88)</f>
        <v>0.343800064082025</v>
      </c>
      <c r="H88" s="40" t="n">
        <f aca="false">IF(OR(F88="",F88=0),"",E88/F88)</f>
        <v>0.656199935917975</v>
      </c>
      <c r="I88" s="32" t="s">
        <v>162</v>
      </c>
      <c r="J88" s="36" t="n">
        <v>1.57736464441501</v>
      </c>
      <c r="K88" s="36" t="n">
        <f aca="false">$K$8</f>
        <v>1.27505696797933</v>
      </c>
      <c r="L88" s="36" t="n">
        <f aca="false">SQRT(J88^2+K88^2)</f>
        <v>2.02826267851162</v>
      </c>
      <c r="M88" s="40" t="n">
        <f aca="false">IF(G88="","",MAX(0,G88-1.96*L88/100))</f>
        <v>0.304046115583197</v>
      </c>
      <c r="N88" s="40" t="n">
        <f aca="false">IF(G88="","",MIN(1,G88+1.96*L88/100))</f>
        <v>0.383554012580853</v>
      </c>
      <c r="O88" s="59" t="n">
        <f aca="false">ROUND(S88*W88,0)</f>
        <v>172</v>
      </c>
      <c r="P88" s="59" t="n">
        <f aca="false">IF(F88="","",ROUND(SQRT((F88*L88/100)^2+(G88*O88)^2),0))</f>
        <v>87</v>
      </c>
      <c r="R88" s="60" t="n">
        <v>-8.14214519666027</v>
      </c>
      <c r="S88" s="61" t="n">
        <f aca="false">U88*V88*$F$5</f>
        <v>3121.34219409283</v>
      </c>
      <c r="T88" s="62" t="n">
        <f aca="false">MAX(0,MIN(1,R88/100+$D$5))</f>
        <v>0.343808167035424</v>
      </c>
      <c r="U88" s="62" t="n">
        <v>0.648523206751055</v>
      </c>
      <c r="V88" s="61" t="n">
        <v>4813</v>
      </c>
      <c r="W88" s="62" t="n">
        <v>0.0551273752894184</v>
      </c>
      <c r="X88" s="63" t="s">
        <v>184</v>
      </c>
      <c r="Y88" s="63" t="s">
        <v>164</v>
      </c>
    </row>
    <row r="89" customFormat="false" ht="15" hidden="false" customHeight="false" outlineLevel="0" collapsed="false">
      <c r="A89" s="32" t="s">
        <v>220</v>
      </c>
      <c r="B89" s="32" t="s">
        <v>245</v>
      </c>
      <c r="C89" s="32" t="s">
        <v>161</v>
      </c>
      <c r="D89" s="59" t="n">
        <f aca="false">ROUND(S89*T89,0)</f>
        <v>70</v>
      </c>
      <c r="E89" s="59" t="n">
        <f aca="false">ROUND(S89,0)-D89</f>
        <v>126</v>
      </c>
      <c r="F89" s="59" t="n">
        <f aca="false">IF(COUNTA(D89:E89)=0,"",SUM(D89:E89))</f>
        <v>196</v>
      </c>
      <c r="G89" s="40" t="n">
        <f aca="false">IF(OR(F89="",F89=0),"",D89/F89)</f>
        <v>0.357142857142857</v>
      </c>
      <c r="H89" s="40" t="n">
        <f aca="false">IF(OR(F89="",F89=0),"",E89/F89)</f>
        <v>0.642857142857143</v>
      </c>
      <c r="I89" s="32" t="s">
        <v>162</v>
      </c>
      <c r="J89" s="36" t="n">
        <v>2.82758216119982</v>
      </c>
      <c r="K89" s="36" t="n">
        <f aca="false">$K$8</f>
        <v>1.27505696797933</v>
      </c>
      <c r="L89" s="36" t="n">
        <f aca="false">SQRT(J89^2+K89^2)</f>
        <v>3.10177225952004</v>
      </c>
      <c r="M89" s="40" t="n">
        <f aca="false">IF(G89="","",MAX(0,G89-1.96*L89/100))</f>
        <v>0.296348120856264</v>
      </c>
      <c r="N89" s="40" t="n">
        <f aca="false">IF(G89="","",MIN(1,G89+1.96*L89/100))</f>
        <v>0.41793759342945</v>
      </c>
      <c r="O89" s="59" t="n">
        <f aca="false">ROUND(S89*W89,0)</f>
        <v>15</v>
      </c>
      <c r="P89" s="59" t="n">
        <f aca="false">IF(F89="","",ROUND(SQRT((F89*L89/100)^2+(G89*O89)^2),0))</f>
        <v>8</v>
      </c>
      <c r="R89" s="60" t="n">
        <v>-6.99626595216425</v>
      </c>
      <c r="S89" s="61" t="n">
        <f aca="false">U89*V89*$F$5</f>
        <v>196.10298102981</v>
      </c>
      <c r="T89" s="62" t="n">
        <f aca="false">MAX(0,MIN(1,R89/100+$D$5))</f>
        <v>0.355266959480384</v>
      </c>
      <c r="U89" s="62" t="n">
        <v>0.525745257452575</v>
      </c>
      <c r="V89" s="61" t="n">
        <v>373</v>
      </c>
      <c r="W89" s="62" t="n">
        <v>0.0777040344688333</v>
      </c>
      <c r="X89" s="63" t="s">
        <v>163</v>
      </c>
      <c r="Y89" s="63" t="s">
        <v>164</v>
      </c>
    </row>
    <row r="90" customFormat="false" ht="15" hidden="false" customHeight="false" outlineLevel="0" collapsed="false">
      <c r="A90" s="32" t="s">
        <v>220</v>
      </c>
      <c r="B90" s="32" t="s">
        <v>246</v>
      </c>
      <c r="C90" s="32" t="s">
        <v>161</v>
      </c>
      <c r="D90" s="59" t="n">
        <f aca="false">ROUND(S90*T90,0)</f>
        <v>258</v>
      </c>
      <c r="E90" s="59" t="n">
        <f aca="false">ROUND(S90,0)-D90</f>
        <v>426</v>
      </c>
      <c r="F90" s="59" t="n">
        <f aca="false">IF(COUNTA(D90:E90)=0,"",SUM(D90:E90))</f>
        <v>684</v>
      </c>
      <c r="G90" s="40" t="n">
        <f aca="false">IF(OR(F90="",F90=0),"",D90/F90)</f>
        <v>0.37719298245614</v>
      </c>
      <c r="H90" s="40" t="n">
        <f aca="false">IF(OR(F90="",F90=0),"",E90/F90)</f>
        <v>0.62280701754386</v>
      </c>
      <c r="I90" s="32" t="s">
        <v>162</v>
      </c>
      <c r="J90" s="36" t="n">
        <v>2.82758216119982</v>
      </c>
      <c r="K90" s="36" t="n">
        <f aca="false">$K$8</f>
        <v>1.27505696797933</v>
      </c>
      <c r="L90" s="36" t="n">
        <f aca="false">SQRT(J90^2+K90^2)</f>
        <v>3.10177225952004</v>
      </c>
      <c r="M90" s="40" t="n">
        <f aca="false">IF(G90="","",MAX(0,G90-1.96*L90/100))</f>
        <v>0.316398246169548</v>
      </c>
      <c r="N90" s="40" t="n">
        <f aca="false">IF(G90="","",MIN(1,G90+1.96*L90/100))</f>
        <v>0.437987718742733</v>
      </c>
      <c r="O90" s="59" t="n">
        <f aca="false">ROUND(S90*W90,0)</f>
        <v>53</v>
      </c>
      <c r="P90" s="59" t="n">
        <f aca="false">IF(F90="","",ROUND(SQRT((F90*L90/100)^2+(G90*O90)^2),0))</f>
        <v>29</v>
      </c>
      <c r="R90" s="60" t="n">
        <v>-4.86924958037986</v>
      </c>
      <c r="S90" s="61" t="n">
        <f aca="false">U90*V90*$F$5</f>
        <v>683.952941176471</v>
      </c>
      <c r="T90" s="62" t="n">
        <f aca="false">MAX(0,MIN(1,R90/100+$D$5))</f>
        <v>0.376537123198228</v>
      </c>
      <c r="U90" s="62" t="n">
        <v>0.568067226890756</v>
      </c>
      <c r="V90" s="61" t="n">
        <v>1204</v>
      </c>
      <c r="W90" s="62" t="n">
        <v>0.0777040344688333</v>
      </c>
      <c r="X90" s="63" t="s">
        <v>163</v>
      </c>
      <c r="Y90" s="63" t="s">
        <v>164</v>
      </c>
    </row>
    <row r="91" customFormat="false" ht="15" hidden="false" customHeight="false" outlineLevel="0" collapsed="false">
      <c r="A91" s="32" t="s">
        <v>220</v>
      </c>
      <c r="B91" s="32" t="s">
        <v>247</v>
      </c>
      <c r="C91" s="32" t="s">
        <v>161</v>
      </c>
      <c r="D91" s="59" t="n">
        <f aca="false">ROUND(S91*T91,0)</f>
        <v>162</v>
      </c>
      <c r="E91" s="59" t="n">
        <f aca="false">ROUND(S91,0)-D91</f>
        <v>227</v>
      </c>
      <c r="F91" s="59" t="n">
        <f aca="false">IF(COUNTA(D91:E91)=0,"",SUM(D91:E91))</f>
        <v>389</v>
      </c>
      <c r="G91" s="40" t="n">
        <f aca="false">IF(OR(F91="",F91=0),"",D91/F91)</f>
        <v>0.416452442159383</v>
      </c>
      <c r="H91" s="40" t="n">
        <f aca="false">IF(OR(F91="",F91=0),"",E91/F91)</f>
        <v>0.583547557840617</v>
      </c>
      <c r="I91" s="32" t="s">
        <v>162</v>
      </c>
      <c r="J91" s="36" t="n">
        <v>2.82758216119982</v>
      </c>
      <c r="K91" s="36" t="n">
        <f aca="false">$K$8</f>
        <v>1.27505696797933</v>
      </c>
      <c r="L91" s="36" t="n">
        <f aca="false">SQRT(J91^2+K91^2)</f>
        <v>3.10177225952004</v>
      </c>
      <c r="M91" s="40" t="n">
        <f aca="false">IF(G91="","",MAX(0,G91-1.96*L91/100))</f>
        <v>0.35565770587279</v>
      </c>
      <c r="N91" s="40" t="n">
        <f aca="false">IF(G91="","",MIN(1,G91+1.96*L91/100))</f>
        <v>0.477247178445976</v>
      </c>
      <c r="O91" s="59" t="n">
        <f aca="false">ROUND(S91*W91,0)</f>
        <v>30</v>
      </c>
      <c r="P91" s="59" t="n">
        <f aca="false">IF(F91="","",ROUND(SQRT((F91*L91/100)^2+(G91*O91)^2),0))</f>
        <v>17</v>
      </c>
      <c r="R91" s="60" t="n">
        <v>-0.927590273673216</v>
      </c>
      <c r="S91" s="61" t="n">
        <f aca="false">U91*V91*$F$5</f>
        <v>388.819749216301</v>
      </c>
      <c r="T91" s="62" t="n">
        <f aca="false">MAX(0,MIN(1,R91/100+$D$5))</f>
        <v>0.415953716265294</v>
      </c>
      <c r="U91" s="62" t="n">
        <v>0.606583072100314</v>
      </c>
      <c r="V91" s="61" t="n">
        <v>641</v>
      </c>
      <c r="W91" s="62" t="n">
        <v>0.0777040344688333</v>
      </c>
      <c r="X91" s="63" t="s">
        <v>163</v>
      </c>
      <c r="Y91" s="63" t="s">
        <v>164</v>
      </c>
    </row>
    <row r="92" customFormat="false" ht="15" hidden="false" customHeight="false" outlineLevel="0" collapsed="false">
      <c r="A92" s="32" t="s">
        <v>220</v>
      </c>
      <c r="B92" s="32" t="s">
        <v>248</v>
      </c>
      <c r="C92" s="32" t="s">
        <v>161</v>
      </c>
      <c r="D92" s="59" t="n">
        <f aca="false">ROUND(S92*T92,0)</f>
        <v>257</v>
      </c>
      <c r="E92" s="59" t="n">
        <f aca="false">ROUND(S92,0)-D92</f>
        <v>345</v>
      </c>
      <c r="F92" s="59" t="n">
        <f aca="false">IF(COUNTA(D92:E92)=0,"",SUM(D92:E92))</f>
        <v>602</v>
      </c>
      <c r="G92" s="40" t="n">
        <f aca="false">IF(OR(F92="",F92=0),"",D92/F92)</f>
        <v>0.426910299003322</v>
      </c>
      <c r="H92" s="40" t="n">
        <f aca="false">IF(OR(F92="",F92=0),"",E92/F92)</f>
        <v>0.573089700996678</v>
      </c>
      <c r="I92" s="32" t="s">
        <v>162</v>
      </c>
      <c r="J92" s="36" t="n">
        <v>2.82758216119982</v>
      </c>
      <c r="K92" s="36" t="n">
        <f aca="false">$K$8</f>
        <v>1.27505696797933</v>
      </c>
      <c r="L92" s="36" t="n">
        <f aca="false">SQRT(J92^2+K92^2)</f>
        <v>3.10177225952004</v>
      </c>
      <c r="M92" s="40" t="n">
        <f aca="false">IF(G92="","",MAX(0,G92-1.96*L92/100))</f>
        <v>0.36611556271673</v>
      </c>
      <c r="N92" s="40" t="n">
        <f aca="false">IF(G92="","",MIN(1,G92+1.96*L92/100))</f>
        <v>0.487705035289915</v>
      </c>
      <c r="O92" s="59" t="n">
        <f aca="false">ROUND(S92*W92,0)</f>
        <v>47</v>
      </c>
      <c r="P92" s="59" t="n">
        <f aca="false">IF(F92="","",ROUND(SQRT((F92*L92/100)^2+(G92*O92)^2),0))</f>
        <v>27</v>
      </c>
      <c r="R92" s="60" t="n">
        <v>0.151090668617008</v>
      </c>
      <c r="S92" s="61" t="n">
        <f aca="false">U92*V92*$F$5</f>
        <v>602.07868852459</v>
      </c>
      <c r="T92" s="62" t="n">
        <f aca="false">MAX(0,MIN(1,R92/100+$D$5))</f>
        <v>0.426740525688197</v>
      </c>
      <c r="U92" s="62" t="n">
        <v>0.613114754098361</v>
      </c>
      <c r="V92" s="61" t="n">
        <v>982</v>
      </c>
      <c r="W92" s="62" t="n">
        <v>0.0777040344688333</v>
      </c>
      <c r="X92" s="63" t="s">
        <v>163</v>
      </c>
      <c r="Y92" s="63" t="s">
        <v>164</v>
      </c>
    </row>
    <row r="93" customFormat="false" ht="15" hidden="false" customHeight="false" outlineLevel="0" collapsed="false">
      <c r="A93" s="32" t="s">
        <v>220</v>
      </c>
      <c r="B93" s="32" t="s">
        <v>249</v>
      </c>
      <c r="C93" s="32" t="s">
        <v>161</v>
      </c>
      <c r="D93" s="59" t="n">
        <f aca="false">ROUND(S93*T93,0)</f>
        <v>1012</v>
      </c>
      <c r="E93" s="59" t="n">
        <f aca="false">ROUND(S93,0)-D93</f>
        <v>2134</v>
      </c>
      <c r="F93" s="59" t="n">
        <f aca="false">IF(COUNTA(D93:E93)=0,"",SUM(D93:E93))</f>
        <v>3146</v>
      </c>
      <c r="G93" s="40" t="n">
        <f aca="false">IF(OR(F93="",F93=0),"",D93/F93)</f>
        <v>0.321678321678322</v>
      </c>
      <c r="H93" s="40" t="n">
        <f aca="false">IF(OR(F93="",F93=0),"",E93/F93)</f>
        <v>0.678321678321678</v>
      </c>
      <c r="I93" s="32" t="s">
        <v>162</v>
      </c>
      <c r="J93" s="36" t="n">
        <v>1.57736464441501</v>
      </c>
      <c r="K93" s="36" t="n">
        <f aca="false">$K$8</f>
        <v>1.27505696797933</v>
      </c>
      <c r="L93" s="36" t="n">
        <f aca="false">SQRT(J93^2+K93^2)</f>
        <v>2.02826267851162</v>
      </c>
      <c r="M93" s="40" t="n">
        <f aca="false">IF(G93="","",MAX(0,G93-1.96*L93/100))</f>
        <v>0.281924373179494</v>
      </c>
      <c r="N93" s="40" t="n">
        <f aca="false">IF(G93="","",MIN(1,G93+1.96*L93/100))</f>
        <v>0.361432270177149</v>
      </c>
      <c r="O93" s="59" t="n">
        <f aca="false">ROUND(S93*W93,0)</f>
        <v>173</v>
      </c>
      <c r="P93" s="59" t="n">
        <f aca="false">IF(F93="","",ROUND(SQRT((F93*L93/100)^2+(G93*O93)^2),0))</f>
        <v>85</v>
      </c>
      <c r="R93" s="60" t="n">
        <v>-10.3665999578023</v>
      </c>
      <c r="S93" s="61" t="n">
        <f aca="false">U93*V93*$F$5</f>
        <v>3146.26275765459</v>
      </c>
      <c r="T93" s="62" t="n">
        <f aca="false">MAX(0,MIN(1,R93/100+$D$5))</f>
        <v>0.321563619424004</v>
      </c>
      <c r="U93" s="62" t="n">
        <v>0.625375225135081</v>
      </c>
      <c r="V93" s="61" t="n">
        <v>5031</v>
      </c>
      <c r="W93" s="62" t="n">
        <v>0.0551273752894184</v>
      </c>
      <c r="X93" s="63" t="s">
        <v>184</v>
      </c>
      <c r="Y93" s="63" t="s">
        <v>164</v>
      </c>
    </row>
    <row r="94" customFormat="false" ht="15" hidden="false" customHeight="false" outlineLevel="0" collapsed="false">
      <c r="A94" s="32" t="s">
        <v>220</v>
      </c>
      <c r="B94" s="32" t="s">
        <v>250</v>
      </c>
      <c r="C94" s="32" t="s">
        <v>161</v>
      </c>
      <c r="D94" s="59" t="n">
        <f aca="false">ROUND(S94*T94,0)</f>
        <v>1595</v>
      </c>
      <c r="E94" s="59" t="n">
        <f aca="false">ROUND(S94,0)-D94</f>
        <v>1682</v>
      </c>
      <c r="F94" s="59" t="n">
        <f aca="false">IF(COUNTA(D94:E94)=0,"",SUM(D94:E94))</f>
        <v>3277</v>
      </c>
      <c r="G94" s="40" t="n">
        <f aca="false">IF(OR(F94="",F94=0),"",D94/F94)</f>
        <v>0.486725663716814</v>
      </c>
      <c r="H94" s="40" t="n">
        <f aca="false">IF(OR(F94="",F94=0),"",E94/F94)</f>
        <v>0.513274336283186</v>
      </c>
      <c r="I94" s="32" t="s">
        <v>162</v>
      </c>
      <c r="J94" s="36" t="n">
        <v>1.57736464441501</v>
      </c>
      <c r="K94" s="36" t="n">
        <f aca="false">$K$8</f>
        <v>1.27505696797933</v>
      </c>
      <c r="L94" s="36" t="n">
        <f aca="false">SQRT(J94^2+K94^2)</f>
        <v>2.02826267851162</v>
      </c>
      <c r="M94" s="40" t="n">
        <f aca="false">IF(G94="","",MAX(0,G94-1.96*L94/100))</f>
        <v>0.446971715217986</v>
      </c>
      <c r="N94" s="40" t="n">
        <f aca="false">IF(G94="","",MIN(1,G94+1.96*L94/100))</f>
        <v>0.526479612215642</v>
      </c>
      <c r="O94" s="59" t="n">
        <f aca="false">ROUND(S94*W94,0)</f>
        <v>181</v>
      </c>
      <c r="P94" s="59" t="n">
        <f aca="false">IF(F94="","",ROUND(SQRT((F94*L94/100)^2+(G94*O94)^2),0))</f>
        <v>110</v>
      </c>
      <c r="R94" s="60" t="n">
        <v>6.14150871623785</v>
      </c>
      <c r="S94" s="61" t="n">
        <f aca="false">U94*V94*$F$5</f>
        <v>3277.36336396324</v>
      </c>
      <c r="T94" s="62" t="n">
        <f aca="false">MAX(0,MIN(1,R94/100+$D$5))</f>
        <v>0.486644706164405</v>
      </c>
      <c r="U94" s="62" t="n">
        <v>0.631841789852177</v>
      </c>
      <c r="V94" s="61" t="n">
        <v>5187</v>
      </c>
      <c r="W94" s="62" t="n">
        <v>0.0551273752894184</v>
      </c>
      <c r="X94" s="63" t="s">
        <v>184</v>
      </c>
      <c r="Y94" s="63" t="s">
        <v>164</v>
      </c>
    </row>
    <row r="95" customFormat="false" ht="15" hidden="false" customHeight="false" outlineLevel="0" collapsed="false">
      <c r="A95" s="32" t="s">
        <v>220</v>
      </c>
      <c r="B95" s="32" t="s">
        <v>251</v>
      </c>
      <c r="C95" s="32" t="s">
        <v>161</v>
      </c>
      <c r="D95" s="59" t="n">
        <f aca="false">ROUND(S95*T95,0)</f>
        <v>300</v>
      </c>
      <c r="E95" s="59" t="n">
        <f aca="false">ROUND(S95,0)-D95</f>
        <v>461</v>
      </c>
      <c r="F95" s="59" t="n">
        <f aca="false">IF(COUNTA(D95:E95)=0,"",SUM(D95:E95))</f>
        <v>761</v>
      </c>
      <c r="G95" s="40" t="n">
        <f aca="false">IF(OR(F95="",F95=0),"",D95/F95)</f>
        <v>0.394218134034166</v>
      </c>
      <c r="H95" s="40" t="n">
        <f aca="false">IF(OR(F95="",F95=0),"",E95/F95)</f>
        <v>0.605781865965834</v>
      </c>
      <c r="I95" s="32" t="s">
        <v>162</v>
      </c>
      <c r="J95" s="36" t="n">
        <v>2.82758216119982</v>
      </c>
      <c r="K95" s="36" t="n">
        <f aca="false">$K$8</f>
        <v>1.27505696797933</v>
      </c>
      <c r="L95" s="36" t="n">
        <f aca="false">SQRT(J95^2+K95^2)</f>
        <v>3.10177225952004</v>
      </c>
      <c r="M95" s="40" t="n">
        <f aca="false">IF(G95="","",MAX(0,G95-1.96*L95/100))</f>
        <v>0.333423397747573</v>
      </c>
      <c r="N95" s="40" t="n">
        <f aca="false">IF(G95="","",MIN(1,G95+1.96*L95/100))</f>
        <v>0.455012870320758</v>
      </c>
      <c r="O95" s="59" t="n">
        <f aca="false">ROUND(S95*W95,0)</f>
        <v>59</v>
      </c>
      <c r="P95" s="59" t="n">
        <f aca="false">IF(F95="","",ROUND(SQRT((F95*L95/100)^2+(G95*O95)^2),0))</f>
        <v>33</v>
      </c>
      <c r="R95" s="60" t="n">
        <v>-3.09039129432598</v>
      </c>
      <c r="S95" s="61" t="n">
        <f aca="false">U95*V95*$F$5</f>
        <v>761.429837518464</v>
      </c>
      <c r="T95" s="62" t="n">
        <f aca="false">MAX(0,MIN(1,R95/100+$D$5))</f>
        <v>0.394325706058767</v>
      </c>
      <c r="U95" s="62" t="n">
        <v>0.534711964549483</v>
      </c>
      <c r="V95" s="61" t="n">
        <v>1424</v>
      </c>
      <c r="W95" s="62" t="n">
        <v>0.0777040344688333</v>
      </c>
      <c r="X95" s="63" t="s">
        <v>163</v>
      </c>
      <c r="Y95" s="63" t="s">
        <v>164</v>
      </c>
    </row>
    <row r="96" customFormat="false" ht="15" hidden="false" customHeight="false" outlineLevel="0" collapsed="false">
      <c r="A96" s="32" t="s">
        <v>220</v>
      </c>
      <c r="B96" s="32" t="s">
        <v>212</v>
      </c>
      <c r="C96" s="32" t="s">
        <v>161</v>
      </c>
      <c r="D96" s="59" t="n">
        <f aca="false">ROUND(S96*T96,0)</f>
        <v>808</v>
      </c>
      <c r="E96" s="59" t="n">
        <f aca="false">ROUND(S96,0)-D96</f>
        <v>1579</v>
      </c>
      <c r="F96" s="59" t="n">
        <f aca="false">IF(COUNTA(D96:E96)=0,"",SUM(D96:E96))</f>
        <v>2387</v>
      </c>
      <c r="G96" s="40" t="n">
        <f aca="false">IF(OR(F96="",F96=0),"",D96/F96)</f>
        <v>0.338500209467951</v>
      </c>
      <c r="H96" s="40" t="n">
        <f aca="false">IF(OR(F96="",F96=0),"",E96/F96)</f>
        <v>0.661499790532049</v>
      </c>
      <c r="I96" s="32" t="s">
        <v>162</v>
      </c>
      <c r="J96" s="36" t="n">
        <v>1.47282364643495</v>
      </c>
      <c r="K96" s="36" t="n">
        <f aca="false">$K$8</f>
        <v>1.27505696797933</v>
      </c>
      <c r="L96" s="36" t="n">
        <f aca="false">SQRT(J96^2+K96^2)</f>
        <v>1.94807078030819</v>
      </c>
      <c r="M96" s="40" t="n">
        <f aca="false">IF(G96="","",MAX(0,G96-1.96*L96/100))</f>
        <v>0.300318022173911</v>
      </c>
      <c r="N96" s="40" t="n">
        <f aca="false">IF(G96="","",MIN(1,G96+1.96*L96/100))</f>
        <v>0.376682396761992</v>
      </c>
      <c r="O96" s="59" t="n">
        <f aca="false">ROUND(S96*W96,0)</f>
        <v>145</v>
      </c>
      <c r="P96" s="59" t="n">
        <f aca="false">IF(F96="","",ROUND(SQRT((F96*L96/100)^2+(G96*O96)^2),0))</f>
        <v>68</v>
      </c>
      <c r="R96" s="60" t="n">
        <v>-8.67689162115566</v>
      </c>
      <c r="S96" s="61" t="n">
        <f aca="false">U96*V96*$F$5</f>
        <v>2386.68081761006</v>
      </c>
      <c r="T96" s="62" t="n">
        <f aca="false">MAX(0,MIN(1,R96/100+$D$5))</f>
        <v>0.33846070279047</v>
      </c>
      <c r="U96" s="62" t="n">
        <v>0.62185534591195</v>
      </c>
      <c r="V96" s="61" t="n">
        <v>3838</v>
      </c>
      <c r="W96" s="62" t="n">
        <v>0.0606122259008943</v>
      </c>
      <c r="X96" s="63" t="s">
        <v>168</v>
      </c>
      <c r="Y96" s="63" t="s">
        <v>164</v>
      </c>
    </row>
    <row r="97" customFormat="false" ht="15" hidden="false" customHeight="false" outlineLevel="0" collapsed="false">
      <c r="A97" s="32" t="s">
        <v>220</v>
      </c>
      <c r="B97" s="32" t="s">
        <v>252</v>
      </c>
      <c r="C97" s="32" t="s">
        <v>161</v>
      </c>
      <c r="D97" s="59" t="n">
        <f aca="false">ROUND(S97*T97,0)</f>
        <v>214</v>
      </c>
      <c r="E97" s="59" t="n">
        <f aca="false">ROUND(S97,0)-D97</f>
        <v>224</v>
      </c>
      <c r="F97" s="59" t="n">
        <f aca="false">IF(COUNTA(D97:E97)=0,"",SUM(D97:E97))</f>
        <v>438</v>
      </c>
      <c r="G97" s="40" t="n">
        <f aca="false">IF(OR(F97="",F97=0),"",D97/F97)</f>
        <v>0.488584474885845</v>
      </c>
      <c r="H97" s="40" t="n">
        <f aca="false">IF(OR(F97="",F97=0),"",E97/F97)</f>
        <v>0.511415525114155</v>
      </c>
      <c r="I97" s="32" t="s">
        <v>162</v>
      </c>
      <c r="J97" s="36" t="n">
        <v>2.82758216119982</v>
      </c>
      <c r="K97" s="36" t="n">
        <f aca="false">$K$8</f>
        <v>1.27505696797933</v>
      </c>
      <c r="L97" s="36" t="n">
        <f aca="false">SQRT(J97^2+K97^2)</f>
        <v>3.10177225952004</v>
      </c>
      <c r="M97" s="40" t="n">
        <f aca="false">IF(G97="","",MAX(0,G97-1.96*L97/100))</f>
        <v>0.427789738599252</v>
      </c>
      <c r="N97" s="40" t="n">
        <f aca="false">IF(G97="","",MIN(1,G97+1.96*L97/100))</f>
        <v>0.549379211172438</v>
      </c>
      <c r="O97" s="59" t="n">
        <f aca="false">ROUND(S97*W97,0)</f>
        <v>34</v>
      </c>
      <c r="P97" s="59" t="n">
        <f aca="false">IF(F97="","",ROUND(SQRT((F97*L97/100)^2+(G97*O97)^2),0))</f>
        <v>21</v>
      </c>
      <c r="R97" s="60" t="n">
        <v>6.2928256698027</v>
      </c>
      <c r="S97" s="61" t="n">
        <f aca="false">U97*V97*$F$5</f>
        <v>438.292134831461</v>
      </c>
      <c r="T97" s="62" t="n">
        <f aca="false">MAX(0,MIN(1,R97/100+$D$5))</f>
        <v>0.488157875700054</v>
      </c>
      <c r="U97" s="62" t="n">
        <v>0.51685393258427</v>
      </c>
      <c r="V97" s="61" t="n">
        <v>848</v>
      </c>
      <c r="W97" s="62" t="n">
        <v>0.0777040344688333</v>
      </c>
      <c r="X97" s="63" t="s">
        <v>163</v>
      </c>
      <c r="Y97" s="63" t="s">
        <v>164</v>
      </c>
    </row>
    <row r="98" customFormat="false" ht="15" hidden="false" customHeight="false" outlineLevel="0" collapsed="false">
      <c r="A98" s="32" t="s">
        <v>220</v>
      </c>
      <c r="B98" s="32" t="s">
        <v>253</v>
      </c>
      <c r="C98" s="32" t="s">
        <v>161</v>
      </c>
      <c r="D98" s="59" t="n">
        <f aca="false">ROUND(S98*T98,0)</f>
        <v>1471</v>
      </c>
      <c r="E98" s="59" t="n">
        <f aca="false">ROUND(S98,0)-D98</f>
        <v>1895</v>
      </c>
      <c r="F98" s="59" t="n">
        <f aca="false">IF(COUNTA(D98:E98)=0,"",SUM(D98:E98))</f>
        <v>3366</v>
      </c>
      <c r="G98" s="40" t="n">
        <f aca="false">IF(OR(F98="",F98=0),"",D98/F98)</f>
        <v>0.437017231134878</v>
      </c>
      <c r="H98" s="40" t="n">
        <f aca="false">IF(OR(F98="",F98=0),"",E98/F98)</f>
        <v>0.562982768865122</v>
      </c>
      <c r="I98" s="32" t="s">
        <v>162</v>
      </c>
      <c r="J98" s="36" t="n">
        <v>1.57736464441501</v>
      </c>
      <c r="K98" s="36" t="n">
        <f aca="false">$K$8</f>
        <v>1.27505696797933</v>
      </c>
      <c r="L98" s="36" t="n">
        <f aca="false">SQRT(J98^2+K98^2)</f>
        <v>2.02826267851162</v>
      </c>
      <c r="M98" s="40" t="n">
        <f aca="false">IF(G98="","",MAX(0,G98-1.96*L98/100))</f>
        <v>0.397263282636051</v>
      </c>
      <c r="N98" s="40" t="n">
        <f aca="false">IF(G98="","",MIN(1,G98+1.96*L98/100))</f>
        <v>0.476771179633706</v>
      </c>
      <c r="O98" s="59" t="n">
        <f aca="false">ROUND(S98*W98,0)</f>
        <v>186</v>
      </c>
      <c r="P98" s="59" t="n">
        <f aca="false">IF(F98="","",ROUND(SQRT((F98*L98/100)^2+(G98*O98)^2),0))</f>
        <v>106</v>
      </c>
      <c r="R98" s="60" t="n">
        <v>1.1824997104381</v>
      </c>
      <c r="S98" s="61" t="n">
        <f aca="false">U98*V98*$F$5</f>
        <v>3365.72741078208</v>
      </c>
      <c r="T98" s="62" t="n">
        <f aca="false">MAX(0,MIN(1,R98/100+$D$5))</f>
        <v>0.437054616106408</v>
      </c>
      <c r="U98" s="62" t="n">
        <v>0.629460895975702</v>
      </c>
      <c r="V98" s="61" t="n">
        <v>5347</v>
      </c>
      <c r="W98" s="62" t="n">
        <v>0.0551273752894184</v>
      </c>
      <c r="X98" s="63" t="s">
        <v>184</v>
      </c>
      <c r="Y98" s="63" t="s">
        <v>164</v>
      </c>
    </row>
    <row r="99" customFormat="false" ht="15" hidden="false" customHeight="false" outlineLevel="0" collapsed="false">
      <c r="A99" s="32" t="s">
        <v>220</v>
      </c>
      <c r="B99" s="32" t="s">
        <v>254</v>
      </c>
      <c r="C99" s="32" t="s">
        <v>161</v>
      </c>
      <c r="D99" s="59" t="n">
        <f aca="false">ROUND(S99*T99,0)</f>
        <v>1322</v>
      </c>
      <c r="E99" s="59" t="n">
        <f aca="false">ROUND(S99,0)-D99</f>
        <v>1028</v>
      </c>
      <c r="F99" s="59" t="n">
        <f aca="false">IF(COUNTA(D99:E99)=0,"",SUM(D99:E99))</f>
        <v>2350</v>
      </c>
      <c r="G99" s="40" t="n">
        <f aca="false">IF(OR(F99="",F99=0),"",D99/F99)</f>
        <v>0.562553191489362</v>
      </c>
      <c r="H99" s="40" t="n">
        <f aca="false">IF(OR(F99="",F99=0),"",E99/F99)</f>
        <v>0.437446808510638</v>
      </c>
      <c r="I99" s="32" t="s">
        <v>162</v>
      </c>
      <c r="J99" s="36" t="n">
        <v>1.47282364643495</v>
      </c>
      <c r="K99" s="36" t="n">
        <f aca="false">$K$8</f>
        <v>1.27505696797933</v>
      </c>
      <c r="L99" s="36" t="n">
        <f aca="false">SQRT(J99^2+K99^2)</f>
        <v>1.94807078030819</v>
      </c>
      <c r="M99" s="40" t="n">
        <f aca="false">IF(G99="","",MAX(0,G99-1.96*L99/100))</f>
        <v>0.524371004195321</v>
      </c>
      <c r="N99" s="40" t="n">
        <f aca="false">IF(G99="","",MIN(1,G99+1.96*L99/100))</f>
        <v>0.600735378783402</v>
      </c>
      <c r="O99" s="59" t="n">
        <f aca="false">ROUND(S99*W99,0)</f>
        <v>142</v>
      </c>
      <c r="P99" s="59" t="n">
        <f aca="false">IF(F99="","",ROUND(SQRT((F99*L99/100)^2+(G99*O99)^2),0))</f>
        <v>92</v>
      </c>
      <c r="R99" s="60" t="n">
        <v>13.712112882764</v>
      </c>
      <c r="S99" s="61" t="n">
        <f aca="false">U99*V99*$F$5</f>
        <v>2350.25573902537</v>
      </c>
      <c r="T99" s="62" t="n">
        <f aca="false">MAX(0,MIN(1,R99/100+$D$5))</f>
        <v>0.562350747829666</v>
      </c>
      <c r="U99" s="62" t="n">
        <v>0.461739830849779</v>
      </c>
      <c r="V99" s="61" t="n">
        <v>5090</v>
      </c>
      <c r="W99" s="62" t="n">
        <v>0.0606122259008943</v>
      </c>
      <c r="X99" s="63" t="s">
        <v>168</v>
      </c>
      <c r="Y99" s="63" t="s">
        <v>164</v>
      </c>
    </row>
    <row r="100" customFormat="false" ht="15" hidden="false" customHeight="false" outlineLevel="0" collapsed="false">
      <c r="A100" s="32" t="s">
        <v>220</v>
      </c>
      <c r="B100" s="32" t="s">
        <v>255</v>
      </c>
      <c r="C100" s="32" t="s">
        <v>161</v>
      </c>
      <c r="D100" s="59" t="n">
        <f aca="false">ROUND(S100*T100,0)</f>
        <v>497</v>
      </c>
      <c r="E100" s="59" t="n">
        <f aca="false">ROUND(S100,0)-D100</f>
        <v>648</v>
      </c>
      <c r="F100" s="59" t="n">
        <f aca="false">IF(COUNTA(D100:E100)=0,"",SUM(D100:E100))</f>
        <v>1145</v>
      </c>
      <c r="G100" s="40" t="n">
        <f aca="false">IF(OR(F100="",F100=0),"",D100/F100)</f>
        <v>0.434061135371179</v>
      </c>
      <c r="H100" s="40" t="n">
        <f aca="false">IF(OR(F100="",F100=0),"",E100/F100)</f>
        <v>0.565938864628821</v>
      </c>
      <c r="I100" s="32" t="s">
        <v>162</v>
      </c>
      <c r="J100" s="36" t="n">
        <v>2.82758216119982</v>
      </c>
      <c r="K100" s="36" t="n">
        <f aca="false">$K$8</f>
        <v>1.27505696797933</v>
      </c>
      <c r="L100" s="36" t="n">
        <f aca="false">SQRT(J100^2+K100^2)</f>
        <v>3.10177225952004</v>
      </c>
      <c r="M100" s="40" t="n">
        <f aca="false">IF(G100="","",MAX(0,G100-1.96*L100/100))</f>
        <v>0.373266399084586</v>
      </c>
      <c r="N100" s="40" t="n">
        <f aca="false">IF(G100="","",MIN(1,G100+1.96*L100/100))</f>
        <v>0.494855871657772</v>
      </c>
      <c r="O100" s="59" t="n">
        <f aca="false">ROUND(S100*W100,0)</f>
        <v>89</v>
      </c>
      <c r="P100" s="59" t="n">
        <f aca="false">IF(F100="","",ROUND(SQRT((F100*L100/100)^2+(G100*O100)^2),0))</f>
        <v>52</v>
      </c>
      <c r="R100" s="60" t="n">
        <v>0.904447701983187</v>
      </c>
      <c r="S100" s="61" t="n">
        <f aca="false">U100*V100*$F$5</f>
        <v>1145.48062775871</v>
      </c>
      <c r="T100" s="62" t="n">
        <f aca="false">MAX(0,MIN(1,R100/100+$D$5))</f>
        <v>0.434274096021858</v>
      </c>
      <c r="U100" s="62" t="n">
        <v>0.537027954879843</v>
      </c>
      <c r="V100" s="61" t="n">
        <v>2133</v>
      </c>
      <c r="W100" s="62" t="n">
        <v>0.0777040344688333</v>
      </c>
      <c r="X100" s="63" t="s">
        <v>163</v>
      </c>
      <c r="Y100" s="63" t="s">
        <v>164</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256</v>
      </c>
    </row>
    <row r="2" customFormat="false" ht="15" hidden="false" customHeight="false" outlineLevel="0" collapsed="false">
      <c r="A2" s="2" t="s">
        <v>119</v>
      </c>
    </row>
    <row r="3" customFormat="false" ht="15" hidden="false" customHeight="false" outlineLevel="0" collapsed="false">
      <c r="A3" s="13" t="s">
        <v>120</v>
      </c>
      <c r="B3" s="13"/>
      <c r="C3" s="13"/>
      <c r="D3" s="13"/>
      <c r="E3" s="13"/>
      <c r="F3" s="13"/>
      <c r="G3" s="13"/>
      <c r="H3" s="13"/>
      <c r="I3" s="13"/>
    </row>
    <row r="4" customFormat="false" ht="15" hidden="false" customHeight="false" outlineLevel="0" collapsed="false">
      <c r="A4" s="0" t="s">
        <v>121</v>
      </c>
      <c r="B4" s="0" t="s">
        <v>257</v>
      </c>
      <c r="C4" s="0" t="s">
        <v>123</v>
      </c>
      <c r="D4" s="48" t="n">
        <v>46300</v>
      </c>
      <c r="E4" s="49" t="s">
        <v>124</v>
      </c>
      <c r="F4" s="49" t="s">
        <v>125</v>
      </c>
      <c r="G4" s="49" t="s">
        <v>126</v>
      </c>
      <c r="H4" s="49" t="s">
        <v>127</v>
      </c>
    </row>
    <row r="5" customFormat="false" ht="15" hidden="false" customHeight="false" outlineLevel="0" collapsed="false">
      <c r="A5" s="0" t="s">
        <v>128</v>
      </c>
      <c r="B5" s="50" t="n">
        <f aca="false">'Scenario &amp; Comparison'!$C$6</f>
        <v>0.498309819554836</v>
      </c>
      <c r="C5" s="49" t="s">
        <v>129</v>
      </c>
      <c r="D5" s="51" t="n">
        <f aca="false">B5-SUMPRODUCT(R12:R100,S12:S100)/SUM(S12:S100)/100</f>
        <v>0.426432311554209</v>
      </c>
      <c r="E5" s="49" t="s">
        <v>130</v>
      </c>
      <c r="F5" s="52" t="n">
        <f aca="false">'Scenario &amp; Comparison'!$C$7</f>
        <v>1</v>
      </c>
    </row>
    <row r="6" customFormat="false" ht="15" hidden="false" customHeight="false" outlineLevel="0" collapsed="false">
      <c r="A6" s="4" t="s">
        <v>131</v>
      </c>
      <c r="B6" s="4"/>
      <c r="C6" s="4"/>
      <c r="D6" s="4"/>
      <c r="E6" s="4"/>
      <c r="F6" s="4"/>
      <c r="G6" s="4"/>
      <c r="H6" s="4"/>
      <c r="I6" s="4"/>
      <c r="J6" s="4"/>
      <c r="K6" s="4"/>
      <c r="L6" s="4"/>
      <c r="M6" s="4"/>
      <c r="N6" s="4"/>
      <c r="O6" s="4"/>
      <c r="P6" s="4"/>
    </row>
    <row r="7" customFormat="false" ht="45" hidden="false" customHeight="true" outlineLevel="0" collapsed="false">
      <c r="A7" s="8" t="s">
        <v>132</v>
      </c>
      <c r="B7" s="8" t="s">
        <v>133</v>
      </c>
      <c r="C7" s="8" t="s">
        <v>134</v>
      </c>
      <c r="D7" s="8" t="s">
        <v>36</v>
      </c>
      <c r="E7" s="8" t="s">
        <v>37</v>
      </c>
      <c r="F7" s="8" t="s">
        <v>38</v>
      </c>
      <c r="G7" s="8" t="s">
        <v>39</v>
      </c>
      <c r="H7" s="8" t="s">
        <v>135</v>
      </c>
      <c r="I7" s="8" t="s">
        <v>136</v>
      </c>
      <c r="J7" s="8" t="s">
        <v>137</v>
      </c>
      <c r="K7" s="8" t="s">
        <v>138</v>
      </c>
      <c r="L7" s="8" t="s">
        <v>139</v>
      </c>
      <c r="M7" s="8" t="s">
        <v>140</v>
      </c>
      <c r="N7" s="8" t="s">
        <v>141</v>
      </c>
      <c r="O7" s="8" t="s">
        <v>142</v>
      </c>
      <c r="P7" s="8" t="s">
        <v>143</v>
      </c>
    </row>
    <row r="8" customFormat="false" ht="15" hidden="false" customHeight="false" outlineLevel="0" collapsed="false">
      <c r="A8" s="20" t="s">
        <v>144</v>
      </c>
      <c r="B8" s="20" t="s">
        <v>145</v>
      </c>
      <c r="C8" s="20"/>
      <c r="D8" s="53" t="n">
        <f aca="false">SUM(D12:D100)</f>
        <v>152550</v>
      </c>
      <c r="E8" s="53" t="n">
        <f aca="false">SUM(E12:E100)</f>
        <v>153579</v>
      </c>
      <c r="F8" s="53" t="n">
        <f aca="false">D8+E8</f>
        <v>306129</v>
      </c>
      <c r="G8" s="54" t="n">
        <f aca="false">IF(F8=0,"",D8/F8)</f>
        <v>0.49831933596621</v>
      </c>
      <c r="H8" s="54" t="n">
        <f aca="false">IF(F8=0,"",E8/F8)</f>
        <v>0.50168066403379</v>
      </c>
      <c r="I8" s="20" t="s">
        <v>146</v>
      </c>
      <c r="J8" s="55" t="n">
        <v>0</v>
      </c>
      <c r="K8" s="55" t="n">
        <v>1.27451386687379</v>
      </c>
      <c r="L8" s="55" t="n">
        <f aca="false">SQRT(J8^2+K8^2)</f>
        <v>1.27451386687379</v>
      </c>
      <c r="M8" s="54" t="n">
        <f aca="false">G8-1.96*L8/100</f>
        <v>0.473338864175484</v>
      </c>
      <c r="N8" s="54" t="n">
        <f aca="false">G8+1.96*L8/100</f>
        <v>0.523299807756937</v>
      </c>
      <c r="O8" s="53" t="n">
        <f aca="false">ROUND(F8*0.04363,0)</f>
        <v>13356</v>
      </c>
      <c r="P8" s="53" t="n">
        <f aca="false">ROUND(SQRT((F8*L8/100)^2+(G8*O8)^2),0)</f>
        <v>7715</v>
      </c>
    </row>
    <row r="9" customFormat="false" ht="15" hidden="false" customHeight="false" outlineLevel="0" collapsed="false">
      <c r="A9" s="13" t="s">
        <v>147</v>
      </c>
      <c r="B9" s="13"/>
      <c r="C9" s="13"/>
      <c r="D9" s="13"/>
      <c r="E9" s="13"/>
      <c r="F9" s="13"/>
      <c r="G9" s="13"/>
      <c r="H9" s="13"/>
      <c r="I9" s="13"/>
      <c r="J9" s="13"/>
      <c r="K9" s="13"/>
      <c r="L9" s="13"/>
      <c r="M9" s="13"/>
      <c r="N9" s="13"/>
      <c r="O9" s="13"/>
      <c r="P9" s="13"/>
    </row>
    <row r="10" customFormat="false" ht="15" hidden="false" customHeight="false" outlineLevel="0" collapsed="false">
      <c r="A10" s="4" t="s">
        <v>148</v>
      </c>
      <c r="B10" s="4"/>
      <c r="C10" s="4"/>
      <c r="D10" s="4"/>
      <c r="E10" s="4"/>
      <c r="F10" s="4"/>
      <c r="G10" s="4"/>
      <c r="H10" s="4"/>
      <c r="I10" s="4"/>
      <c r="J10" s="4"/>
      <c r="K10" s="4"/>
      <c r="L10" s="4"/>
      <c r="M10" s="4"/>
      <c r="N10" s="4"/>
      <c r="O10" s="4"/>
      <c r="P10" s="4"/>
      <c r="R10" s="56" t="s">
        <v>149</v>
      </c>
      <c r="S10" s="57"/>
      <c r="T10" s="57"/>
      <c r="U10" s="57"/>
      <c r="V10" s="57"/>
      <c r="W10" s="57"/>
      <c r="X10" s="57"/>
      <c r="Y10" s="57"/>
    </row>
    <row r="11" customFormat="false" ht="31.5" hidden="false" customHeight="true" outlineLevel="0" collapsed="false">
      <c r="A11" s="8" t="s">
        <v>110</v>
      </c>
      <c r="B11" s="8" t="s">
        <v>111</v>
      </c>
      <c r="C11" s="8" t="s">
        <v>112</v>
      </c>
      <c r="D11" s="8" t="s">
        <v>36</v>
      </c>
      <c r="E11" s="8" t="s">
        <v>37</v>
      </c>
      <c r="F11" s="8" t="s">
        <v>38</v>
      </c>
      <c r="G11" s="8" t="s">
        <v>39</v>
      </c>
      <c r="H11" s="8" t="s">
        <v>135</v>
      </c>
      <c r="I11" s="8" t="s">
        <v>150</v>
      </c>
      <c r="J11" s="8" t="s">
        <v>137</v>
      </c>
      <c r="K11" s="8" t="s">
        <v>138</v>
      </c>
      <c r="L11" s="8" t="s">
        <v>139</v>
      </c>
      <c r="M11" s="8" t="s">
        <v>140</v>
      </c>
      <c r="N11" s="8" t="s">
        <v>141</v>
      </c>
      <c r="O11" s="8" t="s">
        <v>142</v>
      </c>
      <c r="P11" s="8" t="s">
        <v>143</v>
      </c>
      <c r="R11" s="58" t="s">
        <v>151</v>
      </c>
      <c r="S11" s="58" t="s">
        <v>152</v>
      </c>
      <c r="T11" s="58" t="s">
        <v>153</v>
      </c>
      <c r="U11" s="58" t="s">
        <v>154</v>
      </c>
      <c r="V11" s="58" t="s">
        <v>155</v>
      </c>
      <c r="W11" s="58" t="s">
        <v>156</v>
      </c>
      <c r="X11" s="58" t="s">
        <v>157</v>
      </c>
      <c r="Y11" s="58" t="s">
        <v>158</v>
      </c>
    </row>
    <row r="12" customFormat="false" ht="15" hidden="false" customHeight="false" outlineLevel="0" collapsed="false">
      <c r="A12" s="32" t="s">
        <v>159</v>
      </c>
      <c r="B12" s="32" t="s">
        <v>160</v>
      </c>
      <c r="C12" s="32" t="s">
        <v>161</v>
      </c>
      <c r="D12" s="59" t="n">
        <f aca="false">ROUND(S12*T12,0)</f>
        <v>141</v>
      </c>
      <c r="E12" s="59" t="n">
        <f aca="false">ROUND(S12,0)-D12</f>
        <v>223</v>
      </c>
      <c r="F12" s="59" t="n">
        <f aca="false">IF(COUNTA(D12:E12)=0,"",SUM(D12:E12))</f>
        <v>364</v>
      </c>
      <c r="G12" s="40" t="n">
        <f aca="false">IF(OR(F12="",F12=0),"",D12/F12)</f>
        <v>0.387362637362637</v>
      </c>
      <c r="H12" s="40" t="n">
        <f aca="false">IF(OR(F12="",F12=0),"",E12/F12)</f>
        <v>0.612637362637363</v>
      </c>
      <c r="I12" s="32" t="s">
        <v>162</v>
      </c>
      <c r="J12" s="36" t="n">
        <v>2.73663407218982</v>
      </c>
      <c r="K12" s="36" t="n">
        <f aca="false">$K$8</f>
        <v>1.27451386687379</v>
      </c>
      <c r="L12" s="36" t="n">
        <f aca="false">SQRT(J12^2+K12^2)</f>
        <v>3.01886595295714</v>
      </c>
      <c r="M12" s="40" t="n">
        <f aca="false">IF(G12="","",MAX(0,G12-1.96*L12/100))</f>
        <v>0.328192864684677</v>
      </c>
      <c r="N12" s="40" t="n">
        <f aca="false">IF(G12="","",MIN(1,G12+1.96*L12/100))</f>
        <v>0.446532410040597</v>
      </c>
      <c r="O12" s="59" t="n">
        <f aca="false">ROUND(S12*W12,0)</f>
        <v>28</v>
      </c>
      <c r="P12" s="59" t="n">
        <f aca="false">IF(F12="","",ROUND(SQRT((F12*L12/100)^2+(G12*O12)^2),0))</f>
        <v>15</v>
      </c>
      <c r="R12" s="60" t="n">
        <v>-3.94383665754881</v>
      </c>
      <c r="S12" s="61" t="n">
        <f aca="false">U12*V12*$F$5</f>
        <v>364.490963855422</v>
      </c>
      <c r="T12" s="62" t="n">
        <f aca="false">MAX(0,MIN(1,R12/100+$D$5))</f>
        <v>0.386993944978721</v>
      </c>
      <c r="U12" s="62" t="n">
        <v>0.581325301204819</v>
      </c>
      <c r="V12" s="61" t="n">
        <v>627</v>
      </c>
      <c r="W12" s="62" t="n">
        <v>0.0777040344688333</v>
      </c>
      <c r="X12" s="63" t="s">
        <v>163</v>
      </c>
      <c r="Y12" s="63" t="s">
        <v>164</v>
      </c>
    </row>
    <row r="13" customFormat="false" ht="15" hidden="false" customHeight="false" outlineLevel="0" collapsed="false">
      <c r="A13" s="32" t="s">
        <v>159</v>
      </c>
      <c r="B13" s="32" t="s">
        <v>165</v>
      </c>
      <c r="C13" s="32" t="s">
        <v>161</v>
      </c>
      <c r="D13" s="59" t="n">
        <f aca="false">ROUND(S13*T13,0)</f>
        <v>97</v>
      </c>
      <c r="E13" s="59" t="n">
        <f aca="false">ROUND(S13,0)-D13</f>
        <v>233</v>
      </c>
      <c r="F13" s="59" t="n">
        <f aca="false">IF(COUNTA(D13:E13)=0,"",SUM(D13:E13))</f>
        <v>330</v>
      </c>
      <c r="G13" s="40" t="n">
        <f aca="false">IF(OR(F13="",F13=0),"",D13/F13)</f>
        <v>0.293939393939394</v>
      </c>
      <c r="H13" s="40" t="n">
        <f aca="false">IF(OR(F13="",F13=0),"",E13/F13)</f>
        <v>0.706060606060606</v>
      </c>
      <c r="I13" s="32" t="s">
        <v>162</v>
      </c>
      <c r="J13" s="36" t="n">
        <v>2.73663407218982</v>
      </c>
      <c r="K13" s="36" t="n">
        <f aca="false">$K$8</f>
        <v>1.27451386687379</v>
      </c>
      <c r="L13" s="36" t="n">
        <f aca="false">SQRT(J13^2+K13^2)</f>
        <v>3.01886595295714</v>
      </c>
      <c r="M13" s="40" t="n">
        <f aca="false">IF(G13="","",MAX(0,G13-1.96*L13/100))</f>
        <v>0.234769621261434</v>
      </c>
      <c r="N13" s="40" t="n">
        <f aca="false">IF(G13="","",MIN(1,G13+1.96*L13/100))</f>
        <v>0.353109166617354</v>
      </c>
      <c r="O13" s="59" t="n">
        <f aca="false">ROUND(S13*W13,0)</f>
        <v>26</v>
      </c>
      <c r="P13" s="59" t="n">
        <f aca="false">IF(F13="","",ROUND(SQRT((F13*L13/100)^2+(G13*O13)^2),0))</f>
        <v>13</v>
      </c>
      <c r="R13" s="60" t="n">
        <v>-13.3201422648671</v>
      </c>
      <c r="S13" s="61" t="n">
        <f aca="false">U13*V13*$F$5</f>
        <v>330.130136986301</v>
      </c>
      <c r="T13" s="62" t="n">
        <f aca="false">MAX(0,MIN(1,R13/100+$D$5))</f>
        <v>0.293230888905538</v>
      </c>
      <c r="U13" s="62" t="n">
        <v>0.537671232876712</v>
      </c>
      <c r="V13" s="61" t="n">
        <v>614</v>
      </c>
      <c r="W13" s="62" t="n">
        <v>0.0777040344688333</v>
      </c>
      <c r="X13" s="63" t="s">
        <v>163</v>
      </c>
      <c r="Y13" s="63" t="s">
        <v>164</v>
      </c>
    </row>
    <row r="14" customFormat="false" ht="15" hidden="false" customHeight="false" outlineLevel="0" collapsed="false">
      <c r="A14" s="32" t="s">
        <v>159</v>
      </c>
      <c r="B14" s="32" t="s">
        <v>166</v>
      </c>
      <c r="C14" s="32" t="s">
        <v>161</v>
      </c>
      <c r="D14" s="59" t="n">
        <f aca="false">ROUND(S14*T14,0)</f>
        <v>121</v>
      </c>
      <c r="E14" s="59" t="n">
        <f aca="false">ROUND(S14,0)-D14</f>
        <v>235</v>
      </c>
      <c r="F14" s="59" t="n">
        <f aca="false">IF(COUNTA(D14:E14)=0,"",SUM(D14:E14))</f>
        <v>356</v>
      </c>
      <c r="G14" s="40" t="n">
        <f aca="false">IF(OR(F14="",F14=0),"",D14/F14)</f>
        <v>0.339887640449438</v>
      </c>
      <c r="H14" s="40" t="n">
        <f aca="false">IF(OR(F14="",F14=0),"",E14/F14)</f>
        <v>0.660112359550562</v>
      </c>
      <c r="I14" s="32" t="s">
        <v>162</v>
      </c>
      <c r="J14" s="36" t="n">
        <v>2.73663407218982</v>
      </c>
      <c r="K14" s="36" t="n">
        <f aca="false">$K$8</f>
        <v>1.27451386687379</v>
      </c>
      <c r="L14" s="36" t="n">
        <f aca="false">SQRT(J14^2+K14^2)</f>
        <v>3.01886595295714</v>
      </c>
      <c r="M14" s="40" t="n">
        <f aca="false">IF(G14="","",MAX(0,G14-1.96*L14/100))</f>
        <v>0.280717867771478</v>
      </c>
      <c r="N14" s="40" t="n">
        <f aca="false">IF(G14="","",MIN(1,G14+1.96*L14/100))</f>
        <v>0.399057413127398</v>
      </c>
      <c r="O14" s="59" t="n">
        <f aca="false">ROUND(S14*W14,0)</f>
        <v>28</v>
      </c>
      <c r="P14" s="59" t="n">
        <f aca="false">IF(F14="","",ROUND(SQRT((F14*L14/100)^2+(G14*O14)^2),0))</f>
        <v>14</v>
      </c>
      <c r="R14" s="60" t="n">
        <v>-8.63370624296132</v>
      </c>
      <c r="S14" s="61" t="n">
        <f aca="false">U14*V14*$F$5</f>
        <v>355.63436928702</v>
      </c>
      <c r="T14" s="62" t="n">
        <f aca="false">MAX(0,MIN(1,R14/100+$D$5))</f>
        <v>0.340095249124595</v>
      </c>
      <c r="U14" s="62" t="n">
        <v>0.636197440585009</v>
      </c>
      <c r="V14" s="61" t="n">
        <v>559</v>
      </c>
      <c r="W14" s="62" t="n">
        <v>0.0777040344688333</v>
      </c>
      <c r="X14" s="63" t="s">
        <v>163</v>
      </c>
      <c r="Y14" s="63" t="s">
        <v>164</v>
      </c>
    </row>
    <row r="15" customFormat="false" ht="15" hidden="false" customHeight="false" outlineLevel="0" collapsed="false">
      <c r="A15" s="32" t="s">
        <v>159</v>
      </c>
      <c r="B15" s="32" t="s">
        <v>167</v>
      </c>
      <c r="C15" s="32" t="s">
        <v>161</v>
      </c>
      <c r="D15" s="59" t="n">
        <f aca="false">ROUND(S15*T15,0)</f>
        <v>372</v>
      </c>
      <c r="E15" s="59" t="n">
        <f aca="false">ROUND(S15,0)-D15</f>
        <v>963</v>
      </c>
      <c r="F15" s="59" t="n">
        <f aca="false">IF(COUNTA(D15:E15)=0,"",SUM(D15:E15))</f>
        <v>1335</v>
      </c>
      <c r="G15" s="40" t="n">
        <f aca="false">IF(OR(F15="",F15=0),"",D15/F15)</f>
        <v>0.278651685393258</v>
      </c>
      <c r="H15" s="40" t="n">
        <f aca="false">IF(OR(F15="",F15=0),"",E15/F15)</f>
        <v>0.721348314606742</v>
      </c>
      <c r="I15" s="32" t="s">
        <v>162</v>
      </c>
      <c r="J15" s="36" t="n">
        <v>1.55923598199766</v>
      </c>
      <c r="K15" s="36" t="n">
        <f aca="false">$K$8</f>
        <v>1.27451386687379</v>
      </c>
      <c r="L15" s="36" t="n">
        <f aca="false">SQRT(J15^2+K15^2)</f>
        <v>2.01385263721301</v>
      </c>
      <c r="M15" s="40" t="n">
        <f aca="false">IF(G15="","",MAX(0,G15-1.96*L15/100))</f>
        <v>0.239180173703884</v>
      </c>
      <c r="N15" s="40" t="n">
        <f aca="false">IF(G15="","",MIN(1,G15+1.96*L15/100))</f>
        <v>0.318123197082633</v>
      </c>
      <c r="O15" s="59" t="n">
        <f aca="false">ROUND(S15*W15,0)</f>
        <v>81</v>
      </c>
      <c r="P15" s="59" t="n">
        <f aca="false">IF(F15="","",ROUND(SQRT((F15*L15/100)^2+(G15*O15)^2),0))</f>
        <v>35</v>
      </c>
      <c r="R15" s="60" t="n">
        <v>-14.7466012330731</v>
      </c>
      <c r="S15" s="61" t="n">
        <f aca="false">U15*V15*$F$5</f>
        <v>1334.82101558572</v>
      </c>
      <c r="T15" s="62" t="n">
        <f aca="false">MAX(0,MIN(1,R15/100+$D$5))</f>
        <v>0.278966299223477</v>
      </c>
      <c r="U15" s="62" t="n">
        <v>0.652086475615887</v>
      </c>
      <c r="V15" s="61" t="n">
        <v>2047</v>
      </c>
      <c r="W15" s="62" t="n">
        <v>0.0606122259008943</v>
      </c>
      <c r="X15" s="63" t="s">
        <v>168</v>
      </c>
      <c r="Y15" s="63" t="s">
        <v>164</v>
      </c>
    </row>
    <row r="16" customFormat="false" ht="15" hidden="false" customHeight="false" outlineLevel="0" collapsed="false">
      <c r="A16" s="32" t="s">
        <v>159</v>
      </c>
      <c r="B16" s="32" t="s">
        <v>169</v>
      </c>
      <c r="C16" s="32" t="s">
        <v>161</v>
      </c>
      <c r="D16" s="59" t="n">
        <f aca="false">ROUND(S16*T16,0)</f>
        <v>33</v>
      </c>
      <c r="E16" s="59" t="n">
        <f aca="false">ROUND(S16,0)-D16</f>
        <v>60</v>
      </c>
      <c r="F16" s="59" t="n">
        <f aca="false">IF(COUNTA(D16:E16)=0,"",SUM(D16:E16))</f>
        <v>93</v>
      </c>
      <c r="G16" s="40" t="n">
        <f aca="false">IF(OR(F16="",F16=0),"",D16/F16)</f>
        <v>0.354838709677419</v>
      </c>
      <c r="H16" s="40" t="n">
        <f aca="false">IF(OR(F16="",F16=0),"",E16/F16)</f>
        <v>0.645161290322581</v>
      </c>
      <c r="I16" s="32" t="s">
        <v>162</v>
      </c>
      <c r="J16" s="36" t="n">
        <v>2.73663407218982</v>
      </c>
      <c r="K16" s="36" t="n">
        <f aca="false">$K$8</f>
        <v>1.27451386687379</v>
      </c>
      <c r="L16" s="36" t="n">
        <f aca="false">SQRT(J16^2+K16^2)</f>
        <v>3.01886595295714</v>
      </c>
      <c r="M16" s="40" t="n">
        <f aca="false">IF(G16="","",MAX(0,G16-1.96*L16/100))</f>
        <v>0.295668936999459</v>
      </c>
      <c r="N16" s="40" t="n">
        <f aca="false">IF(G16="","",MIN(1,G16+1.96*L16/100))</f>
        <v>0.414008482355379</v>
      </c>
      <c r="O16" s="59" t="n">
        <f aca="false">ROUND(S16*W16,0)</f>
        <v>7</v>
      </c>
      <c r="P16" s="59" t="n">
        <f aca="false">IF(F16="","",ROUND(SQRT((F16*L16/100)^2+(G16*O16)^2),0))</f>
        <v>4</v>
      </c>
      <c r="R16" s="60" t="n">
        <v>-7.38586401745132</v>
      </c>
      <c r="S16" s="61" t="n">
        <f aca="false">U16*V16*$F$5</f>
        <v>93.4268292682927</v>
      </c>
      <c r="T16" s="62" t="n">
        <f aca="false">MAX(0,MIN(1,R16/100+$D$5))</f>
        <v>0.352573671379695</v>
      </c>
      <c r="U16" s="62" t="n">
        <v>0.573170731707317</v>
      </c>
      <c r="V16" s="61" t="n">
        <v>163</v>
      </c>
      <c r="W16" s="62" t="n">
        <v>0.0777040344688333</v>
      </c>
      <c r="X16" s="63" t="s">
        <v>163</v>
      </c>
      <c r="Y16" s="63" t="s">
        <v>164</v>
      </c>
    </row>
    <row r="17" customFormat="false" ht="15" hidden="false" customHeight="false" outlineLevel="0" collapsed="false">
      <c r="A17" s="32" t="s">
        <v>159</v>
      </c>
      <c r="B17" s="32" t="s">
        <v>170</v>
      </c>
      <c r="C17" s="32" t="s">
        <v>161</v>
      </c>
      <c r="D17" s="59" t="n">
        <f aca="false">ROUND(S17*T17,0)</f>
        <v>575</v>
      </c>
      <c r="E17" s="59" t="n">
        <f aca="false">ROUND(S17,0)-D17</f>
        <v>1407</v>
      </c>
      <c r="F17" s="59" t="n">
        <f aca="false">IF(COUNTA(D17:E17)=0,"",SUM(D17:E17))</f>
        <v>1982</v>
      </c>
      <c r="G17" s="40" t="n">
        <f aca="false">IF(OR(F17="",F17=0),"",D17/F17)</f>
        <v>0.290110998990918</v>
      </c>
      <c r="H17" s="40" t="n">
        <f aca="false">IF(OR(F17="",F17=0),"",E17/F17)</f>
        <v>0.709889001009082</v>
      </c>
      <c r="I17" s="32" t="s">
        <v>162</v>
      </c>
      <c r="J17" s="36" t="n">
        <v>1.55923598199766</v>
      </c>
      <c r="K17" s="36" t="n">
        <f aca="false">$K$8</f>
        <v>1.27451386687379</v>
      </c>
      <c r="L17" s="36" t="n">
        <f aca="false">SQRT(J17^2+K17^2)</f>
        <v>2.01385263721301</v>
      </c>
      <c r="M17" s="40" t="n">
        <f aca="false">IF(G17="","",MAX(0,G17-1.96*L17/100))</f>
        <v>0.250639487301543</v>
      </c>
      <c r="N17" s="40" t="n">
        <f aca="false">IF(G17="","",MIN(1,G17+1.96*L17/100))</f>
        <v>0.329582510680293</v>
      </c>
      <c r="O17" s="59" t="n">
        <f aca="false">ROUND(S17*W17,0)</f>
        <v>120</v>
      </c>
      <c r="P17" s="59" t="n">
        <f aca="false">IF(F17="","",ROUND(SQRT((F17*L17/100)^2+(G17*O17)^2),0))</f>
        <v>53</v>
      </c>
      <c r="R17" s="60" t="n">
        <v>-13.6174782641152</v>
      </c>
      <c r="S17" s="61" t="n">
        <f aca="false">U17*V17*$F$5</f>
        <v>1982.00903517264</v>
      </c>
      <c r="T17" s="62" t="n">
        <f aca="false">MAX(0,MIN(1,R17/100+$D$5))</f>
        <v>0.290257528913056</v>
      </c>
      <c r="U17" s="62" t="n">
        <v>0.631816715069377</v>
      </c>
      <c r="V17" s="61" t="n">
        <v>3137</v>
      </c>
      <c r="W17" s="62" t="n">
        <v>0.0606122259008943</v>
      </c>
      <c r="X17" s="63" t="s">
        <v>168</v>
      </c>
      <c r="Y17" s="63" t="s">
        <v>164</v>
      </c>
    </row>
    <row r="18" customFormat="false" ht="15" hidden="false" customHeight="false" outlineLevel="0" collapsed="false">
      <c r="A18" s="32" t="s">
        <v>159</v>
      </c>
      <c r="B18" s="32" t="s">
        <v>171</v>
      </c>
      <c r="C18" s="32" t="s">
        <v>161</v>
      </c>
      <c r="D18" s="59" t="n">
        <f aca="false">ROUND(S18*T18,0)</f>
        <v>921</v>
      </c>
      <c r="E18" s="59" t="n">
        <f aca="false">ROUND(S18,0)-D18</f>
        <v>1187</v>
      </c>
      <c r="F18" s="59" t="n">
        <f aca="false">IF(COUNTA(D18:E18)=0,"",SUM(D18:E18))</f>
        <v>2108</v>
      </c>
      <c r="G18" s="40" t="n">
        <f aca="false">IF(OR(F18="",F18=0),"",D18/F18)</f>
        <v>0.436907020872865</v>
      </c>
      <c r="H18" s="40" t="n">
        <f aca="false">IF(OR(F18="",F18=0),"",E18/F18)</f>
        <v>0.563092979127135</v>
      </c>
      <c r="I18" s="32" t="s">
        <v>162</v>
      </c>
      <c r="J18" s="36" t="n">
        <v>1.55923598199766</v>
      </c>
      <c r="K18" s="36" t="n">
        <f aca="false">$K$8</f>
        <v>1.27451386687379</v>
      </c>
      <c r="L18" s="36" t="n">
        <f aca="false">SQRT(J18^2+K18^2)</f>
        <v>2.01385263721301</v>
      </c>
      <c r="M18" s="40" t="n">
        <f aca="false">IF(G18="","",MAX(0,G18-1.96*L18/100))</f>
        <v>0.39743550918349</v>
      </c>
      <c r="N18" s="40" t="n">
        <f aca="false">IF(G18="","",MIN(1,G18+1.96*L18/100))</f>
        <v>0.47637853256224</v>
      </c>
      <c r="O18" s="59" t="n">
        <f aca="false">ROUND(S18*W18,0)</f>
        <v>128</v>
      </c>
      <c r="P18" s="59" t="n">
        <f aca="false">IF(F18="","",ROUND(SQRT((F18*L18/100)^2+(G18*O18)^2),0))</f>
        <v>70</v>
      </c>
      <c r="R18" s="60" t="n">
        <v>1.05869715368835</v>
      </c>
      <c r="S18" s="61" t="n">
        <f aca="false">U18*V18*$F$5</f>
        <v>2107.72563176895</v>
      </c>
      <c r="T18" s="62" t="n">
        <f aca="false">MAX(0,MIN(1,R18/100+$D$5))</f>
        <v>0.437019283091092</v>
      </c>
      <c r="U18" s="62" t="n">
        <v>0.642599277978339</v>
      </c>
      <c r="V18" s="61" t="n">
        <v>3280</v>
      </c>
      <c r="W18" s="62" t="n">
        <v>0.0606122259008943</v>
      </c>
      <c r="X18" s="63" t="s">
        <v>168</v>
      </c>
      <c r="Y18" s="63" t="s">
        <v>164</v>
      </c>
    </row>
    <row r="19" customFormat="false" ht="15" hidden="false" customHeight="false" outlineLevel="0" collapsed="false">
      <c r="A19" s="32" t="s">
        <v>159</v>
      </c>
      <c r="B19" s="32" t="s">
        <v>172</v>
      </c>
      <c r="C19" s="32" t="s">
        <v>161</v>
      </c>
      <c r="D19" s="59" t="n">
        <f aca="false">ROUND(S19*T19,0)</f>
        <v>281</v>
      </c>
      <c r="E19" s="59" t="n">
        <f aca="false">ROUND(S19,0)-D19</f>
        <v>524</v>
      </c>
      <c r="F19" s="59" t="n">
        <f aca="false">IF(COUNTA(D19:E19)=0,"",SUM(D19:E19))</f>
        <v>805</v>
      </c>
      <c r="G19" s="40" t="n">
        <f aca="false">IF(OR(F19="",F19=0),"",D19/F19)</f>
        <v>0.349068322981367</v>
      </c>
      <c r="H19" s="40" t="n">
        <f aca="false">IF(OR(F19="",F19=0),"",E19/F19)</f>
        <v>0.650931677018634</v>
      </c>
      <c r="I19" s="32" t="s">
        <v>162</v>
      </c>
      <c r="J19" s="36" t="n">
        <v>2.73663407218982</v>
      </c>
      <c r="K19" s="36" t="n">
        <f aca="false">$K$8</f>
        <v>1.27451386687379</v>
      </c>
      <c r="L19" s="36" t="n">
        <f aca="false">SQRT(J19^2+K19^2)</f>
        <v>3.01886595295714</v>
      </c>
      <c r="M19" s="40" t="n">
        <f aca="false">IF(G19="","",MAX(0,G19-1.96*L19/100))</f>
        <v>0.289898550303407</v>
      </c>
      <c r="N19" s="40" t="n">
        <f aca="false">IF(G19="","",MIN(1,G19+1.96*L19/100))</f>
        <v>0.408238095659326</v>
      </c>
      <c r="O19" s="59" t="n">
        <f aca="false">ROUND(S19*W19,0)</f>
        <v>63</v>
      </c>
      <c r="P19" s="59" t="n">
        <f aca="false">IF(F19="","",ROUND(SQRT((F19*L19/100)^2+(G19*O19)^2),0))</f>
        <v>33</v>
      </c>
      <c r="R19" s="60" t="n">
        <v>-7.68882627529632</v>
      </c>
      <c r="S19" s="61" t="n">
        <f aca="false">U19*V19*$F$5</f>
        <v>804.850331125828</v>
      </c>
      <c r="T19" s="62" t="n">
        <f aca="false">MAX(0,MIN(1,R19/100+$D$5))</f>
        <v>0.349544048801245</v>
      </c>
      <c r="U19" s="62" t="n">
        <v>0.554304635761589</v>
      </c>
      <c r="V19" s="61" t="n">
        <v>1452</v>
      </c>
      <c r="W19" s="62" t="n">
        <v>0.0777040344688333</v>
      </c>
      <c r="X19" s="63" t="s">
        <v>163</v>
      </c>
      <c r="Y19" s="63" t="s">
        <v>164</v>
      </c>
    </row>
    <row r="20" customFormat="false" ht="15" hidden="false" customHeight="false" outlineLevel="0" collapsed="false">
      <c r="A20" s="32" t="s">
        <v>159</v>
      </c>
      <c r="B20" s="32" t="s">
        <v>173</v>
      </c>
      <c r="C20" s="32" t="s">
        <v>161</v>
      </c>
      <c r="D20" s="59" t="n">
        <f aca="false">ROUND(S20*T20,0)</f>
        <v>450</v>
      </c>
      <c r="E20" s="59" t="n">
        <f aca="false">ROUND(S20,0)-D20</f>
        <v>633</v>
      </c>
      <c r="F20" s="59" t="n">
        <f aca="false">IF(COUNTA(D20:E20)=0,"",SUM(D20:E20))</f>
        <v>1083</v>
      </c>
      <c r="G20" s="40" t="n">
        <f aca="false">IF(OR(F20="",F20=0),"",D20/F20)</f>
        <v>0.415512465373961</v>
      </c>
      <c r="H20" s="40" t="n">
        <f aca="false">IF(OR(F20="",F20=0),"",E20/F20)</f>
        <v>0.584487534626039</v>
      </c>
      <c r="I20" s="32" t="s">
        <v>162</v>
      </c>
      <c r="J20" s="36" t="n">
        <v>2.73663407218982</v>
      </c>
      <c r="K20" s="36" t="n">
        <f aca="false">$K$8</f>
        <v>1.27451386687379</v>
      </c>
      <c r="L20" s="36" t="n">
        <f aca="false">SQRT(J20^2+K20^2)</f>
        <v>3.01886595295714</v>
      </c>
      <c r="M20" s="40" t="n">
        <f aca="false">IF(G20="","",MAX(0,G20-1.96*L20/100))</f>
        <v>0.356342692696001</v>
      </c>
      <c r="N20" s="40" t="n">
        <f aca="false">IF(G20="","",MIN(1,G20+1.96*L20/100))</f>
        <v>0.474682238051921</v>
      </c>
      <c r="O20" s="59" t="n">
        <f aca="false">ROUND(S20*W20,0)</f>
        <v>84</v>
      </c>
      <c r="P20" s="59" t="n">
        <f aca="false">IF(F20="","",ROUND(SQRT((F20*L20/100)^2+(G20*O20)^2),0))</f>
        <v>48</v>
      </c>
      <c r="R20" s="60" t="n">
        <v>-1.08227109292694</v>
      </c>
      <c r="S20" s="61" t="n">
        <f aca="false">U20*V20*$F$5</f>
        <v>1083.4829443447</v>
      </c>
      <c r="T20" s="62" t="n">
        <f aca="false">MAX(0,MIN(1,R20/100+$D$5))</f>
        <v>0.415609600624939</v>
      </c>
      <c r="U20" s="62" t="n">
        <v>0.448833034111311</v>
      </c>
      <c r="V20" s="61" t="n">
        <v>2414</v>
      </c>
      <c r="W20" s="62" t="n">
        <v>0.0777040344688333</v>
      </c>
      <c r="X20" s="63" t="s">
        <v>163</v>
      </c>
      <c r="Y20" s="63" t="s">
        <v>164</v>
      </c>
    </row>
    <row r="21" customFormat="false" ht="15" hidden="false" customHeight="false" outlineLevel="0" collapsed="false">
      <c r="A21" s="32" t="s">
        <v>159</v>
      </c>
      <c r="B21" s="32" t="s">
        <v>174</v>
      </c>
      <c r="C21" s="32" t="s">
        <v>161</v>
      </c>
      <c r="D21" s="59" t="n">
        <f aca="false">ROUND(S21*T21,0)</f>
        <v>33</v>
      </c>
      <c r="E21" s="59" t="n">
        <f aca="false">ROUND(S21,0)-D21</f>
        <v>85</v>
      </c>
      <c r="F21" s="59" t="n">
        <f aca="false">IF(COUNTA(D21:E21)=0,"",SUM(D21:E21))</f>
        <v>118</v>
      </c>
      <c r="G21" s="40" t="n">
        <f aca="false">IF(OR(F21="",F21=0),"",D21/F21)</f>
        <v>0.279661016949153</v>
      </c>
      <c r="H21" s="40" t="n">
        <f aca="false">IF(OR(F21="",F21=0),"",E21/F21)</f>
        <v>0.720338983050847</v>
      </c>
      <c r="I21" s="32" t="s">
        <v>162</v>
      </c>
      <c r="J21" s="36" t="n">
        <v>2.73663407218982</v>
      </c>
      <c r="K21" s="36" t="n">
        <f aca="false">$K$8</f>
        <v>1.27451386687379</v>
      </c>
      <c r="L21" s="36" t="n">
        <f aca="false">SQRT(J21^2+K21^2)</f>
        <v>3.01886595295714</v>
      </c>
      <c r="M21" s="40" t="n">
        <f aca="false">IF(G21="","",MAX(0,G21-1.96*L21/100))</f>
        <v>0.220491244271193</v>
      </c>
      <c r="N21" s="40" t="n">
        <f aca="false">IF(G21="","",MIN(1,G21+1.96*L21/100))</f>
        <v>0.338830789627113</v>
      </c>
      <c r="O21" s="59" t="n">
        <f aca="false">ROUND(S21*W21,0)</f>
        <v>9</v>
      </c>
      <c r="P21" s="59" t="n">
        <f aca="false">IF(F21="","",ROUND(SQRT((F21*L21/100)^2+(G21*O21)^2),0))</f>
        <v>4</v>
      </c>
      <c r="R21" s="60" t="n">
        <v>-14.6464849865653</v>
      </c>
      <c r="S21" s="61" t="n">
        <f aca="false">U21*V21*$F$5</f>
        <v>118.285714285714</v>
      </c>
      <c r="T21" s="62" t="n">
        <f aca="false">MAX(0,MIN(1,R21/100+$D$5))</f>
        <v>0.279967461688556</v>
      </c>
      <c r="U21" s="62" t="n">
        <v>0.657142857142857</v>
      </c>
      <c r="V21" s="61" t="n">
        <v>180</v>
      </c>
      <c r="W21" s="62" t="n">
        <v>0.0777040344688333</v>
      </c>
      <c r="X21" s="63" t="s">
        <v>163</v>
      </c>
      <c r="Y21" s="63" t="s">
        <v>164</v>
      </c>
    </row>
    <row r="22" customFormat="false" ht="15" hidden="false" customHeight="false" outlineLevel="0" collapsed="false">
      <c r="A22" s="32" t="s">
        <v>159</v>
      </c>
      <c r="B22" s="32" t="s">
        <v>175</v>
      </c>
      <c r="C22" s="32" t="s">
        <v>161</v>
      </c>
      <c r="D22" s="59" t="n">
        <f aca="false">ROUND(S22*T22,0)</f>
        <v>52</v>
      </c>
      <c r="E22" s="59" t="n">
        <f aca="false">ROUND(S22,0)-D22</f>
        <v>185</v>
      </c>
      <c r="F22" s="59" t="n">
        <f aca="false">IF(COUNTA(D22:E22)=0,"",SUM(D22:E22))</f>
        <v>237</v>
      </c>
      <c r="G22" s="40" t="n">
        <f aca="false">IF(OR(F22="",F22=0),"",D22/F22)</f>
        <v>0.219409282700422</v>
      </c>
      <c r="H22" s="40" t="n">
        <f aca="false">IF(OR(F22="",F22=0),"",E22/F22)</f>
        <v>0.780590717299578</v>
      </c>
      <c r="I22" s="32" t="s">
        <v>162</v>
      </c>
      <c r="J22" s="36" t="n">
        <v>2.73663407218982</v>
      </c>
      <c r="K22" s="36" t="n">
        <f aca="false">$K$8</f>
        <v>1.27451386687379</v>
      </c>
      <c r="L22" s="36" t="n">
        <f aca="false">SQRT(J22^2+K22^2)</f>
        <v>3.01886595295714</v>
      </c>
      <c r="M22" s="40" t="n">
        <f aca="false">IF(G22="","",MAX(0,G22-1.96*L22/100))</f>
        <v>0.160239510022462</v>
      </c>
      <c r="N22" s="40" t="n">
        <f aca="false">IF(G22="","",MIN(1,G22+1.96*L22/100))</f>
        <v>0.278579055378382</v>
      </c>
      <c r="O22" s="59" t="n">
        <f aca="false">ROUND(S22*W22,0)</f>
        <v>18</v>
      </c>
      <c r="P22" s="59" t="n">
        <f aca="false">IF(F22="","",ROUND(SQRT((F22*L22/100)^2+(G22*O22)^2),0))</f>
        <v>8</v>
      </c>
      <c r="R22" s="60" t="n">
        <v>-20.8560660566439</v>
      </c>
      <c r="S22" s="61" t="n">
        <f aca="false">U22*V22*$F$5</f>
        <v>236.844827586207</v>
      </c>
      <c r="T22" s="62" t="n">
        <f aca="false">MAX(0,MIN(1,R22/100+$D$5))</f>
        <v>0.21787165098777</v>
      </c>
      <c r="U22" s="62" t="n">
        <v>0.692528735632184</v>
      </c>
      <c r="V22" s="61" t="n">
        <v>342</v>
      </c>
      <c r="W22" s="62" t="n">
        <v>0.0777040344688333</v>
      </c>
      <c r="X22" s="63" t="s">
        <v>163</v>
      </c>
      <c r="Y22" s="63" t="s">
        <v>164</v>
      </c>
    </row>
    <row r="23" customFormat="false" ht="15" hidden="false" customHeight="false" outlineLevel="0" collapsed="false">
      <c r="A23" s="32" t="s">
        <v>159</v>
      </c>
      <c r="B23" s="32" t="s">
        <v>176</v>
      </c>
      <c r="C23" s="32" t="s">
        <v>161</v>
      </c>
      <c r="D23" s="59" t="n">
        <f aca="false">ROUND(S23*T23,0)</f>
        <v>710</v>
      </c>
      <c r="E23" s="59" t="n">
        <f aca="false">ROUND(S23,0)-D23</f>
        <v>1044</v>
      </c>
      <c r="F23" s="59" t="n">
        <f aca="false">IF(COUNTA(D23:E23)=0,"",SUM(D23:E23))</f>
        <v>1754</v>
      </c>
      <c r="G23" s="40" t="n">
        <f aca="false">IF(OR(F23="",F23=0),"",D23/F23)</f>
        <v>0.40478905359179</v>
      </c>
      <c r="H23" s="40" t="n">
        <f aca="false">IF(OR(F23="",F23=0),"",E23/F23)</f>
        <v>0.59521094640821</v>
      </c>
      <c r="I23" s="32" t="s">
        <v>162</v>
      </c>
      <c r="J23" s="36" t="n">
        <v>1.55923598199766</v>
      </c>
      <c r="K23" s="36" t="n">
        <f aca="false">$K$8</f>
        <v>1.27451386687379</v>
      </c>
      <c r="L23" s="36" t="n">
        <f aca="false">SQRT(J23^2+K23^2)</f>
        <v>2.01385263721301</v>
      </c>
      <c r="M23" s="40" t="n">
        <f aca="false">IF(G23="","",MAX(0,G23-1.96*L23/100))</f>
        <v>0.365317541902415</v>
      </c>
      <c r="N23" s="40" t="n">
        <f aca="false">IF(G23="","",MIN(1,G23+1.96*L23/100))</f>
        <v>0.444260565281165</v>
      </c>
      <c r="O23" s="59" t="n">
        <f aca="false">ROUND(S23*W23,0)</f>
        <v>106</v>
      </c>
      <c r="P23" s="59" t="n">
        <f aca="false">IF(F23="","",ROUND(SQRT((F23*L23/100)^2+(G23*O23)^2),0))</f>
        <v>56</v>
      </c>
      <c r="R23" s="60" t="n">
        <v>-2.1542873909429</v>
      </c>
      <c r="S23" s="61" t="n">
        <f aca="false">U23*V23*$F$5</f>
        <v>1753.74077578051</v>
      </c>
      <c r="T23" s="62" t="n">
        <f aca="false">MAX(0,MIN(1,R23/100+$D$5))</f>
        <v>0.40488943764478</v>
      </c>
      <c r="U23" s="62" t="n">
        <v>0.525701671397036</v>
      </c>
      <c r="V23" s="61" t="n">
        <v>3336</v>
      </c>
      <c r="W23" s="62" t="n">
        <v>0.0606122259008943</v>
      </c>
      <c r="X23" s="63" t="s">
        <v>168</v>
      </c>
      <c r="Y23" s="63" t="s">
        <v>164</v>
      </c>
    </row>
    <row r="24" customFormat="false" ht="15" hidden="false" customHeight="false" outlineLevel="0" collapsed="false">
      <c r="A24" s="32" t="s">
        <v>159</v>
      </c>
      <c r="B24" s="32" t="s">
        <v>177</v>
      </c>
      <c r="C24" s="32" t="s">
        <v>161</v>
      </c>
      <c r="D24" s="59" t="n">
        <f aca="false">ROUND(S24*T24,0)</f>
        <v>413</v>
      </c>
      <c r="E24" s="59" t="n">
        <f aca="false">ROUND(S24,0)-D24</f>
        <v>988</v>
      </c>
      <c r="F24" s="59" t="n">
        <f aca="false">IF(COUNTA(D24:E24)=0,"",SUM(D24:E24))</f>
        <v>1401</v>
      </c>
      <c r="G24" s="40" t="n">
        <f aca="false">IF(OR(F24="",F24=0),"",D24/F24)</f>
        <v>0.294789436117059</v>
      </c>
      <c r="H24" s="40" t="n">
        <f aca="false">IF(OR(F24="",F24=0),"",E24/F24)</f>
        <v>0.705210563882941</v>
      </c>
      <c r="I24" s="32" t="s">
        <v>162</v>
      </c>
      <c r="J24" s="36" t="n">
        <v>1.55923598199766</v>
      </c>
      <c r="K24" s="36" t="n">
        <f aca="false">$K$8</f>
        <v>1.27451386687379</v>
      </c>
      <c r="L24" s="36" t="n">
        <f aca="false">SQRT(J24^2+K24^2)</f>
        <v>2.01385263721301</v>
      </c>
      <c r="M24" s="40" t="n">
        <f aca="false">IF(G24="","",MAX(0,G24-1.96*L24/100))</f>
        <v>0.255317924427684</v>
      </c>
      <c r="N24" s="40" t="n">
        <f aca="false">IF(G24="","",MIN(1,G24+1.96*L24/100))</f>
        <v>0.334260947806434</v>
      </c>
      <c r="O24" s="59" t="n">
        <f aca="false">ROUND(S24*W24,0)</f>
        <v>85</v>
      </c>
      <c r="P24" s="59" t="n">
        <f aca="false">IF(F24="","",ROUND(SQRT((F24*L24/100)^2+(G24*O24)^2),0))</f>
        <v>38</v>
      </c>
      <c r="R24" s="60" t="n">
        <v>-13.1882257790541</v>
      </c>
      <c r="S24" s="61" t="n">
        <f aca="false">U24*V24*$F$5</f>
        <v>1401.11772917636</v>
      </c>
      <c r="T24" s="62" t="n">
        <f aca="false">MAX(0,MIN(1,R24/100+$D$5))</f>
        <v>0.294550053763668</v>
      </c>
      <c r="U24" s="62" t="n">
        <v>0.626337831549558</v>
      </c>
      <c r="V24" s="61" t="n">
        <v>2237</v>
      </c>
      <c r="W24" s="62" t="n">
        <v>0.0606122259008943</v>
      </c>
      <c r="X24" s="63" t="s">
        <v>168</v>
      </c>
      <c r="Y24" s="63" t="s">
        <v>164</v>
      </c>
    </row>
    <row r="25" customFormat="false" ht="15" hidden="false" customHeight="false" outlineLevel="0" collapsed="false">
      <c r="A25" s="32" t="s">
        <v>159</v>
      </c>
      <c r="B25" s="32" t="s">
        <v>178</v>
      </c>
      <c r="C25" s="32" t="s">
        <v>161</v>
      </c>
      <c r="D25" s="59" t="n">
        <f aca="false">ROUND(S25*T25,0)</f>
        <v>565</v>
      </c>
      <c r="E25" s="59" t="n">
        <f aca="false">ROUND(S25,0)-D25</f>
        <v>1313</v>
      </c>
      <c r="F25" s="59" t="n">
        <f aca="false">IF(COUNTA(D25:E25)=0,"",SUM(D25:E25))</f>
        <v>1878</v>
      </c>
      <c r="G25" s="40" t="n">
        <f aca="false">IF(OR(F25="",F25=0),"",D25/F25)</f>
        <v>0.300851970181044</v>
      </c>
      <c r="H25" s="40" t="n">
        <f aca="false">IF(OR(F25="",F25=0),"",E25/F25)</f>
        <v>0.699148029818956</v>
      </c>
      <c r="I25" s="32" t="s">
        <v>162</v>
      </c>
      <c r="J25" s="36" t="n">
        <v>1.55923598199766</v>
      </c>
      <c r="K25" s="36" t="n">
        <f aca="false">$K$8</f>
        <v>1.27451386687379</v>
      </c>
      <c r="L25" s="36" t="n">
        <f aca="false">SQRT(J25^2+K25^2)</f>
        <v>2.01385263721301</v>
      </c>
      <c r="M25" s="40" t="n">
        <f aca="false">IF(G25="","",MAX(0,G25-1.96*L25/100))</f>
        <v>0.261380458491669</v>
      </c>
      <c r="N25" s="40" t="n">
        <f aca="false">IF(G25="","",MIN(1,G25+1.96*L25/100))</f>
        <v>0.340323481870419</v>
      </c>
      <c r="O25" s="59" t="n">
        <f aca="false">ROUND(S25*W25,0)</f>
        <v>114</v>
      </c>
      <c r="P25" s="59" t="n">
        <f aca="false">IF(F25="","",ROUND(SQRT((F25*L25/100)^2+(G25*O25)^2),0))</f>
        <v>51</v>
      </c>
      <c r="R25" s="60" t="n">
        <v>-12.5618961627895</v>
      </c>
      <c r="S25" s="61" t="n">
        <f aca="false">U25*V25*$F$5</f>
        <v>1878.41828929068</v>
      </c>
      <c r="T25" s="62" t="n">
        <f aca="false">MAX(0,MIN(1,R25/100+$D$5))</f>
        <v>0.300813349926314</v>
      </c>
      <c r="U25" s="62" t="n">
        <v>0.616481223922114</v>
      </c>
      <c r="V25" s="61" t="n">
        <v>3047</v>
      </c>
      <c r="W25" s="62" t="n">
        <v>0.0606122259008943</v>
      </c>
      <c r="X25" s="63" t="s">
        <v>168</v>
      </c>
      <c r="Y25" s="63" t="s">
        <v>164</v>
      </c>
    </row>
    <row r="26" customFormat="false" ht="15" hidden="false" customHeight="false" outlineLevel="0" collapsed="false">
      <c r="A26" s="32" t="s">
        <v>159</v>
      </c>
      <c r="B26" s="32" t="s">
        <v>179</v>
      </c>
      <c r="C26" s="32" t="s">
        <v>161</v>
      </c>
      <c r="D26" s="59" t="n">
        <f aca="false">ROUND(S26*T26,0)</f>
        <v>490</v>
      </c>
      <c r="E26" s="59" t="n">
        <f aca="false">ROUND(S26,0)-D26</f>
        <v>724</v>
      </c>
      <c r="F26" s="59" t="n">
        <f aca="false">IF(COUNTA(D26:E26)=0,"",SUM(D26:E26))</f>
        <v>1214</v>
      </c>
      <c r="G26" s="40" t="n">
        <f aca="false">IF(OR(F26="",F26=0),"",D26/F26)</f>
        <v>0.403624382207578</v>
      </c>
      <c r="H26" s="40" t="n">
        <f aca="false">IF(OR(F26="",F26=0),"",E26/F26)</f>
        <v>0.596375617792422</v>
      </c>
      <c r="I26" s="32" t="s">
        <v>162</v>
      </c>
      <c r="J26" s="36" t="n">
        <v>2.73663407218982</v>
      </c>
      <c r="K26" s="36" t="n">
        <f aca="false">$K$8</f>
        <v>1.27451386687379</v>
      </c>
      <c r="L26" s="36" t="n">
        <f aca="false">SQRT(J26^2+K26^2)</f>
        <v>3.01886595295714</v>
      </c>
      <c r="M26" s="40" t="n">
        <f aca="false">IF(G26="","",MAX(0,G26-1.96*L26/100))</f>
        <v>0.344454609529618</v>
      </c>
      <c r="N26" s="40" t="n">
        <f aca="false">IF(G26="","",MIN(1,G26+1.96*L26/100))</f>
        <v>0.462794154885538</v>
      </c>
      <c r="O26" s="59" t="n">
        <f aca="false">ROUND(S26*W26,0)</f>
        <v>94</v>
      </c>
      <c r="P26" s="59" t="n">
        <f aca="false">IF(F26="","",ROUND(SQRT((F26*L26/100)^2+(G26*O26)^2),0))</f>
        <v>53</v>
      </c>
      <c r="R26" s="60" t="n">
        <v>-2.30765627087437</v>
      </c>
      <c r="S26" s="61" t="n">
        <f aca="false">U26*V26*$F$5</f>
        <v>1214.17865765331</v>
      </c>
      <c r="T26" s="62" t="n">
        <f aca="false">MAX(0,MIN(1,R26/100+$D$5))</f>
        <v>0.403355748845465</v>
      </c>
      <c r="U26" s="62" t="n">
        <v>0.576533075808788</v>
      </c>
      <c r="V26" s="61" t="n">
        <v>2106</v>
      </c>
      <c r="W26" s="62" t="n">
        <v>0.0777040344688333</v>
      </c>
      <c r="X26" s="63" t="s">
        <v>163</v>
      </c>
      <c r="Y26" s="63" t="s">
        <v>164</v>
      </c>
    </row>
    <row r="27" customFormat="false" ht="15" hidden="false" customHeight="false" outlineLevel="0" collapsed="false">
      <c r="A27" s="32" t="s">
        <v>159</v>
      </c>
      <c r="B27" s="32" t="s">
        <v>180</v>
      </c>
      <c r="C27" s="32" t="s">
        <v>161</v>
      </c>
      <c r="D27" s="59" t="n">
        <f aca="false">ROUND(S27*T27,0)</f>
        <v>110</v>
      </c>
      <c r="E27" s="59" t="n">
        <f aca="false">ROUND(S27,0)-D27</f>
        <v>420</v>
      </c>
      <c r="F27" s="59" t="n">
        <f aca="false">IF(COUNTA(D27:E27)=0,"",SUM(D27:E27))</f>
        <v>530</v>
      </c>
      <c r="G27" s="40" t="n">
        <f aca="false">IF(OR(F27="",F27=0),"",D27/F27)</f>
        <v>0.207547169811321</v>
      </c>
      <c r="H27" s="40" t="n">
        <f aca="false">IF(OR(F27="",F27=0),"",E27/F27)</f>
        <v>0.792452830188679</v>
      </c>
      <c r="I27" s="32" t="s">
        <v>162</v>
      </c>
      <c r="J27" s="36" t="n">
        <v>2.73663407218982</v>
      </c>
      <c r="K27" s="36" t="n">
        <f aca="false">$K$8</f>
        <v>1.27451386687379</v>
      </c>
      <c r="L27" s="36" t="n">
        <f aca="false">SQRT(J27^2+K27^2)</f>
        <v>3.01886595295714</v>
      </c>
      <c r="M27" s="40" t="n">
        <f aca="false">IF(G27="","",MAX(0,G27-1.96*L27/100))</f>
        <v>0.148377397133361</v>
      </c>
      <c r="N27" s="40" t="n">
        <f aca="false">IF(G27="","",MIN(1,G27+1.96*L27/100))</f>
        <v>0.266716942489281</v>
      </c>
      <c r="O27" s="59" t="n">
        <f aca="false">ROUND(S27*W27,0)</f>
        <v>41</v>
      </c>
      <c r="P27" s="59" t="n">
        <f aca="false">IF(F27="","",ROUND(SQRT((F27*L27/100)^2+(G27*O27)^2),0))</f>
        <v>18</v>
      </c>
      <c r="R27" s="60" t="n">
        <v>-21.8459186360863</v>
      </c>
      <c r="S27" s="61" t="n">
        <f aca="false">U27*V27*$F$5</f>
        <v>530.117647058824</v>
      </c>
      <c r="T27" s="62" t="n">
        <f aca="false">MAX(0,MIN(1,R27/100+$D$5))</f>
        <v>0.207973125193346</v>
      </c>
      <c r="U27" s="62" t="n">
        <v>0.705882352941177</v>
      </c>
      <c r="V27" s="61" t="n">
        <v>751</v>
      </c>
      <c r="W27" s="62" t="n">
        <v>0.0777040344688333</v>
      </c>
      <c r="X27" s="63" t="s">
        <v>163</v>
      </c>
      <c r="Y27" s="63" t="s">
        <v>164</v>
      </c>
    </row>
    <row r="28" customFormat="false" ht="15" hidden="false" customHeight="false" outlineLevel="0" collapsed="false">
      <c r="A28" s="32" t="s">
        <v>159</v>
      </c>
      <c r="B28" s="32" t="s">
        <v>181</v>
      </c>
      <c r="C28" s="32" t="s">
        <v>161</v>
      </c>
      <c r="D28" s="59" t="n">
        <f aca="false">ROUND(S28*T28,0)</f>
        <v>735</v>
      </c>
      <c r="E28" s="59" t="n">
        <f aca="false">ROUND(S28,0)-D28</f>
        <v>1256</v>
      </c>
      <c r="F28" s="59" t="n">
        <f aca="false">IF(COUNTA(D28:E28)=0,"",SUM(D28:E28))</f>
        <v>1991</v>
      </c>
      <c r="G28" s="40" t="n">
        <f aca="false">IF(OR(F28="",F28=0),"",D28/F28)</f>
        <v>0.369161225514817</v>
      </c>
      <c r="H28" s="40" t="n">
        <f aca="false">IF(OR(F28="",F28=0),"",E28/F28)</f>
        <v>0.630838774485183</v>
      </c>
      <c r="I28" s="32" t="s">
        <v>162</v>
      </c>
      <c r="J28" s="36" t="n">
        <v>1.55923598199766</v>
      </c>
      <c r="K28" s="36" t="n">
        <f aca="false">$K$8</f>
        <v>1.27451386687379</v>
      </c>
      <c r="L28" s="36" t="n">
        <f aca="false">SQRT(J28^2+K28^2)</f>
        <v>2.01385263721301</v>
      </c>
      <c r="M28" s="40" t="n">
        <f aca="false">IF(G28="","",MAX(0,G28-1.96*L28/100))</f>
        <v>0.329689713825442</v>
      </c>
      <c r="N28" s="40" t="n">
        <f aca="false">IF(G28="","",MIN(1,G28+1.96*L28/100))</f>
        <v>0.408632737204192</v>
      </c>
      <c r="O28" s="59" t="n">
        <f aca="false">ROUND(S28*W28,0)</f>
        <v>121</v>
      </c>
      <c r="P28" s="59" t="n">
        <f aca="false">IF(F28="","",ROUND(SQRT((F28*L28/100)^2+(G28*O28)^2),0))</f>
        <v>60</v>
      </c>
      <c r="R28" s="60" t="n">
        <v>-5.74291433818541</v>
      </c>
      <c r="S28" s="61" t="n">
        <f aca="false">U28*V28*$F$5</f>
        <v>1991.47057118005</v>
      </c>
      <c r="T28" s="62" t="n">
        <f aca="false">MAX(0,MIN(1,R28/100+$D$5))</f>
        <v>0.369003168172355</v>
      </c>
      <c r="U28" s="62" t="n">
        <v>0.553493766309075</v>
      </c>
      <c r="V28" s="61" t="n">
        <v>3598</v>
      </c>
      <c r="W28" s="62" t="n">
        <v>0.0606122259008943</v>
      </c>
      <c r="X28" s="63" t="s">
        <v>168</v>
      </c>
      <c r="Y28" s="63" t="s">
        <v>164</v>
      </c>
    </row>
    <row r="29" customFormat="false" ht="15" hidden="false" customHeight="false" outlineLevel="0" collapsed="false">
      <c r="A29" s="32" t="s">
        <v>159</v>
      </c>
      <c r="B29" s="32" t="s">
        <v>182</v>
      </c>
      <c r="C29" s="32" t="s">
        <v>161</v>
      </c>
      <c r="D29" s="59" t="n">
        <f aca="false">ROUND(S29*T29,0)</f>
        <v>60</v>
      </c>
      <c r="E29" s="59" t="n">
        <f aca="false">ROUND(S29,0)-D29</f>
        <v>125</v>
      </c>
      <c r="F29" s="59" t="n">
        <f aca="false">IF(COUNTA(D29:E29)=0,"",SUM(D29:E29))</f>
        <v>185</v>
      </c>
      <c r="G29" s="40" t="n">
        <f aca="false">IF(OR(F29="",F29=0),"",D29/F29)</f>
        <v>0.324324324324324</v>
      </c>
      <c r="H29" s="40" t="n">
        <f aca="false">IF(OR(F29="",F29=0),"",E29/F29)</f>
        <v>0.675675675675676</v>
      </c>
      <c r="I29" s="32" t="s">
        <v>162</v>
      </c>
      <c r="J29" s="36" t="n">
        <v>2.73663407218982</v>
      </c>
      <c r="K29" s="36" t="n">
        <f aca="false">$K$8</f>
        <v>1.27451386687379</v>
      </c>
      <c r="L29" s="36" t="n">
        <f aca="false">SQRT(J29^2+K29^2)</f>
        <v>3.01886595295714</v>
      </c>
      <c r="M29" s="40" t="n">
        <f aca="false">IF(G29="","",MAX(0,G29-1.96*L29/100))</f>
        <v>0.265154551646364</v>
      </c>
      <c r="N29" s="40" t="n">
        <f aca="false">IF(G29="","",MIN(1,G29+1.96*L29/100))</f>
        <v>0.383494097002284</v>
      </c>
      <c r="O29" s="59" t="n">
        <f aca="false">ROUND(S29*W29,0)</f>
        <v>14</v>
      </c>
      <c r="P29" s="59" t="n">
        <f aca="false">IF(F29="","",ROUND(SQRT((F29*L29/100)^2+(G29*O29)^2),0))</f>
        <v>7</v>
      </c>
      <c r="R29" s="60" t="n">
        <v>-10.3815865215263</v>
      </c>
      <c r="S29" s="61" t="n">
        <f aca="false">U29*V29*$F$5</f>
        <v>184.547540983607</v>
      </c>
      <c r="T29" s="62" t="n">
        <f aca="false">MAX(0,MIN(1,R29/100+$D$5))</f>
        <v>0.322616446338946</v>
      </c>
      <c r="U29" s="62" t="n">
        <v>0.613114754098361</v>
      </c>
      <c r="V29" s="61" t="n">
        <v>301</v>
      </c>
      <c r="W29" s="62" t="n">
        <v>0.0777040344688333</v>
      </c>
      <c r="X29" s="63" t="s">
        <v>163</v>
      </c>
      <c r="Y29" s="63" t="s">
        <v>164</v>
      </c>
    </row>
    <row r="30" customFormat="false" ht="15" hidden="false" customHeight="false" outlineLevel="0" collapsed="false">
      <c r="A30" s="32" t="s">
        <v>159</v>
      </c>
      <c r="B30" s="32" t="s">
        <v>183</v>
      </c>
      <c r="C30" s="32" t="s">
        <v>161</v>
      </c>
      <c r="D30" s="59" t="n">
        <f aca="false">ROUND(S30*T30,0)</f>
        <v>1652</v>
      </c>
      <c r="E30" s="59" t="n">
        <f aca="false">ROUND(S30,0)-D30</f>
        <v>2820</v>
      </c>
      <c r="F30" s="59" t="n">
        <f aca="false">IF(COUNTA(D30:E30)=0,"",SUM(D30:E30))</f>
        <v>4472</v>
      </c>
      <c r="G30" s="40" t="n">
        <f aca="false">IF(OR(F30="",F30=0),"",D30/F30)</f>
        <v>0.369409660107335</v>
      </c>
      <c r="H30" s="40" t="n">
        <f aca="false">IF(OR(F30="",F30=0),"",E30/F30)</f>
        <v>0.630590339892665</v>
      </c>
      <c r="I30" s="32" t="s">
        <v>162</v>
      </c>
      <c r="J30" s="36" t="n">
        <v>1.35112788665076</v>
      </c>
      <c r="K30" s="36" t="n">
        <f aca="false">$K$8</f>
        <v>1.27451386687379</v>
      </c>
      <c r="L30" s="36" t="n">
        <f aca="false">SQRT(J30^2+K30^2)</f>
        <v>1.85739930088792</v>
      </c>
      <c r="M30" s="40" t="n">
        <f aca="false">IF(G30="","",MAX(0,G30-1.96*L30/100))</f>
        <v>0.333004633809931</v>
      </c>
      <c r="N30" s="40" t="n">
        <f aca="false">IF(G30="","",MIN(1,G30+1.96*L30/100))</f>
        <v>0.405814686404738</v>
      </c>
      <c r="O30" s="59" t="n">
        <f aca="false">ROUND(S30*W30,0)</f>
        <v>247</v>
      </c>
      <c r="P30" s="59" t="n">
        <f aca="false">IF(F30="","",ROUND(SQRT((F30*L30/100)^2+(G30*O30)^2),0))</f>
        <v>123</v>
      </c>
      <c r="R30" s="60" t="n">
        <v>-5.715399825318</v>
      </c>
      <c r="S30" s="61" t="n">
        <f aca="false">U30*V30*$F$5</f>
        <v>4472.46592381446</v>
      </c>
      <c r="T30" s="62" t="n">
        <f aca="false">MAX(0,MIN(1,R30/100+$D$5))</f>
        <v>0.369278313301029</v>
      </c>
      <c r="U30" s="62" t="n">
        <v>0.560248769111169</v>
      </c>
      <c r="V30" s="61" t="n">
        <v>7983</v>
      </c>
      <c r="W30" s="62" t="n">
        <v>0.0551273752894184</v>
      </c>
      <c r="X30" s="63" t="s">
        <v>184</v>
      </c>
      <c r="Y30" s="63" t="s">
        <v>164</v>
      </c>
    </row>
    <row r="31" customFormat="false" ht="15" hidden="false" customHeight="false" outlineLevel="0" collapsed="false">
      <c r="A31" s="32" t="s">
        <v>159</v>
      </c>
      <c r="B31" s="32" t="s">
        <v>185</v>
      </c>
      <c r="C31" s="32" t="s">
        <v>161</v>
      </c>
      <c r="D31" s="59" t="n">
        <f aca="false">ROUND(S31*T31,0)</f>
        <v>557</v>
      </c>
      <c r="E31" s="59" t="n">
        <f aca="false">ROUND(S31,0)-D31</f>
        <v>736</v>
      </c>
      <c r="F31" s="59" t="n">
        <f aca="false">IF(COUNTA(D31:E31)=0,"",SUM(D31:E31))</f>
        <v>1293</v>
      </c>
      <c r="G31" s="40" t="n">
        <f aca="false">IF(OR(F31="",F31=0),"",D31/F31)</f>
        <v>0.430781129156999</v>
      </c>
      <c r="H31" s="40" t="n">
        <f aca="false">IF(OR(F31="",F31=0),"",E31/F31)</f>
        <v>0.569218870843001</v>
      </c>
      <c r="I31" s="32" t="s">
        <v>162</v>
      </c>
      <c r="J31" s="36" t="n">
        <v>1.55923598199766</v>
      </c>
      <c r="K31" s="36" t="n">
        <f aca="false">$K$8</f>
        <v>1.27451386687379</v>
      </c>
      <c r="L31" s="36" t="n">
        <f aca="false">SQRT(J31^2+K31^2)</f>
        <v>2.01385263721301</v>
      </c>
      <c r="M31" s="40" t="n">
        <f aca="false">IF(G31="","",MAX(0,G31-1.96*L31/100))</f>
        <v>0.391309617467624</v>
      </c>
      <c r="N31" s="40" t="n">
        <f aca="false">IF(G31="","",MIN(1,G31+1.96*L31/100))</f>
        <v>0.470252640846374</v>
      </c>
      <c r="O31" s="59" t="n">
        <f aca="false">ROUND(S31*W31,0)</f>
        <v>78</v>
      </c>
      <c r="P31" s="59" t="n">
        <f aca="false">IF(F31="","",ROUND(SQRT((F31*L31/100)^2+(G31*O31)^2),0))</f>
        <v>43</v>
      </c>
      <c r="R31" s="60" t="n">
        <v>0.42898154540192</v>
      </c>
      <c r="S31" s="61" t="n">
        <f aca="false">U31*V31*$F$5</f>
        <v>1293.28908554572</v>
      </c>
      <c r="T31" s="62" t="n">
        <f aca="false">MAX(0,MIN(1,R31/100+$D$5))</f>
        <v>0.430722127008228</v>
      </c>
      <c r="U31" s="62" t="n">
        <v>0.607177974434612</v>
      </c>
      <c r="V31" s="61" t="n">
        <v>2130</v>
      </c>
      <c r="W31" s="62" t="n">
        <v>0.0606122259008943</v>
      </c>
      <c r="X31" s="63" t="s">
        <v>168</v>
      </c>
      <c r="Y31" s="63" t="s">
        <v>164</v>
      </c>
    </row>
    <row r="32" customFormat="false" ht="15" hidden="false" customHeight="false" outlineLevel="0" collapsed="false">
      <c r="A32" s="32" t="s">
        <v>159</v>
      </c>
      <c r="B32" s="32" t="s">
        <v>186</v>
      </c>
      <c r="C32" s="32" t="s">
        <v>161</v>
      </c>
      <c r="D32" s="59" t="n">
        <f aca="false">ROUND(S32*T32,0)</f>
        <v>660</v>
      </c>
      <c r="E32" s="59" t="n">
        <f aca="false">ROUND(S32,0)-D32</f>
        <v>1598</v>
      </c>
      <c r="F32" s="59" t="n">
        <f aca="false">IF(COUNTA(D32:E32)=0,"",SUM(D32:E32))</f>
        <v>2258</v>
      </c>
      <c r="G32" s="40" t="n">
        <f aca="false">IF(OR(F32="",F32=0),"",D32/F32)</f>
        <v>0.29229406554473</v>
      </c>
      <c r="H32" s="40" t="n">
        <f aca="false">IF(OR(F32="",F32=0),"",E32/F32)</f>
        <v>0.70770593445527</v>
      </c>
      <c r="I32" s="32" t="s">
        <v>162</v>
      </c>
      <c r="J32" s="36" t="n">
        <v>1.55923598199766</v>
      </c>
      <c r="K32" s="36" t="n">
        <f aca="false">$K$8</f>
        <v>1.27451386687379</v>
      </c>
      <c r="L32" s="36" t="n">
        <f aca="false">SQRT(J32^2+K32^2)</f>
        <v>2.01385263721301</v>
      </c>
      <c r="M32" s="40" t="n">
        <f aca="false">IF(G32="","",MAX(0,G32-1.96*L32/100))</f>
        <v>0.252822553855355</v>
      </c>
      <c r="N32" s="40" t="n">
        <f aca="false">IF(G32="","",MIN(1,G32+1.96*L32/100))</f>
        <v>0.331765577234105</v>
      </c>
      <c r="O32" s="59" t="n">
        <f aca="false">ROUND(S32*W32,0)</f>
        <v>137</v>
      </c>
      <c r="P32" s="59" t="n">
        <f aca="false">IF(F32="","",ROUND(SQRT((F32*L32/100)^2+(G32*O32)^2),0))</f>
        <v>61</v>
      </c>
      <c r="R32" s="60" t="n">
        <v>-13.4154278209299</v>
      </c>
      <c r="S32" s="61" t="n">
        <f aca="false">U32*V32*$F$5</f>
        <v>2258.11685530743</v>
      </c>
      <c r="T32" s="62" t="n">
        <f aca="false">MAX(0,MIN(1,R32/100+$D$5))</f>
        <v>0.29227803334491</v>
      </c>
      <c r="U32" s="62" t="n">
        <v>0.65188130926889</v>
      </c>
      <c r="V32" s="61" t="n">
        <v>3464</v>
      </c>
      <c r="W32" s="62" t="n">
        <v>0.0606122259008943</v>
      </c>
      <c r="X32" s="63" t="s">
        <v>168</v>
      </c>
      <c r="Y32" s="63" t="s">
        <v>164</v>
      </c>
    </row>
    <row r="33" customFormat="false" ht="15" hidden="false" customHeight="false" outlineLevel="0" collapsed="false">
      <c r="A33" s="32" t="s">
        <v>159</v>
      </c>
      <c r="B33" s="32" t="s">
        <v>187</v>
      </c>
      <c r="C33" s="32" t="s">
        <v>161</v>
      </c>
      <c r="D33" s="59" t="n">
        <f aca="false">ROUND(S33*T33,0)</f>
        <v>275</v>
      </c>
      <c r="E33" s="59" t="n">
        <f aca="false">ROUND(S33,0)-D33</f>
        <v>639</v>
      </c>
      <c r="F33" s="59" t="n">
        <f aca="false">IF(COUNTA(D33:E33)=0,"",SUM(D33:E33))</f>
        <v>914</v>
      </c>
      <c r="G33" s="40" t="n">
        <f aca="false">IF(OR(F33="",F33=0),"",D33/F33)</f>
        <v>0.300875273522976</v>
      </c>
      <c r="H33" s="40" t="n">
        <f aca="false">IF(OR(F33="",F33=0),"",E33/F33)</f>
        <v>0.699124726477024</v>
      </c>
      <c r="I33" s="32" t="s">
        <v>162</v>
      </c>
      <c r="J33" s="36" t="n">
        <v>2.73663407218982</v>
      </c>
      <c r="K33" s="36" t="n">
        <f aca="false">$K$8</f>
        <v>1.27451386687379</v>
      </c>
      <c r="L33" s="36" t="n">
        <f aca="false">SQRT(J33^2+K33^2)</f>
        <v>3.01886595295714</v>
      </c>
      <c r="M33" s="40" t="n">
        <f aca="false">IF(G33="","",MAX(0,G33-1.96*L33/100))</f>
        <v>0.241705500845016</v>
      </c>
      <c r="N33" s="40" t="n">
        <f aca="false">IF(G33="","",MIN(1,G33+1.96*L33/100))</f>
        <v>0.360045046200936</v>
      </c>
      <c r="O33" s="59" t="n">
        <f aca="false">ROUND(S33*W33,0)</f>
        <v>71</v>
      </c>
      <c r="P33" s="59" t="n">
        <f aca="false">IF(F33="","",ROUND(SQRT((F33*L33/100)^2+(G33*O33)^2),0))</f>
        <v>35</v>
      </c>
      <c r="R33" s="60" t="n">
        <v>-12.5498013582473</v>
      </c>
      <c r="S33" s="61" t="n">
        <f aca="false">U33*V33*$F$5</f>
        <v>913.771907216495</v>
      </c>
      <c r="T33" s="62" t="n">
        <f aca="false">MAX(0,MIN(1,R33/100+$D$5))</f>
        <v>0.300934297971736</v>
      </c>
      <c r="U33" s="62" t="n">
        <v>0.580541237113402</v>
      </c>
      <c r="V33" s="61" t="n">
        <v>1574</v>
      </c>
      <c r="W33" s="62" t="n">
        <v>0.0777040344688333</v>
      </c>
      <c r="X33" s="63" t="s">
        <v>163</v>
      </c>
      <c r="Y33" s="63" t="s">
        <v>164</v>
      </c>
    </row>
    <row r="34" customFormat="false" ht="15" hidden="false" customHeight="false" outlineLevel="0" collapsed="false">
      <c r="A34" s="32" t="s">
        <v>159</v>
      </c>
      <c r="B34" s="32" t="s">
        <v>188</v>
      </c>
      <c r="C34" s="32" t="s">
        <v>161</v>
      </c>
      <c r="D34" s="59" t="n">
        <f aca="false">ROUND(S34*T34,0)</f>
        <v>38</v>
      </c>
      <c r="E34" s="59" t="n">
        <f aca="false">ROUND(S34,0)-D34</f>
        <v>69</v>
      </c>
      <c r="F34" s="59" t="n">
        <f aca="false">IF(COUNTA(D34:E34)=0,"",SUM(D34:E34))</f>
        <v>107</v>
      </c>
      <c r="G34" s="40" t="n">
        <f aca="false">IF(OR(F34="",F34=0),"",D34/F34)</f>
        <v>0.355140186915888</v>
      </c>
      <c r="H34" s="40" t="n">
        <f aca="false">IF(OR(F34="",F34=0),"",E34/F34)</f>
        <v>0.644859813084112</v>
      </c>
      <c r="I34" s="32" t="s">
        <v>162</v>
      </c>
      <c r="J34" s="36" t="n">
        <v>2.73663407218982</v>
      </c>
      <c r="K34" s="36" t="n">
        <f aca="false">$K$8</f>
        <v>1.27451386687379</v>
      </c>
      <c r="L34" s="36" t="n">
        <f aca="false">SQRT(J34^2+K34^2)</f>
        <v>3.01886595295714</v>
      </c>
      <c r="M34" s="40" t="n">
        <f aca="false">IF(G34="","",MAX(0,G34-1.96*L34/100))</f>
        <v>0.295970414237928</v>
      </c>
      <c r="N34" s="40" t="n">
        <f aca="false">IF(G34="","",MIN(1,G34+1.96*L34/100))</f>
        <v>0.414309959593848</v>
      </c>
      <c r="O34" s="59" t="n">
        <f aca="false">ROUND(S34*W34,0)</f>
        <v>8</v>
      </c>
      <c r="P34" s="59" t="n">
        <f aca="false">IF(F34="","",ROUND(SQRT((F34*L34/100)^2+(G34*O34)^2),0))</f>
        <v>4</v>
      </c>
      <c r="R34" s="60" t="n">
        <v>-7.4564427693526</v>
      </c>
      <c r="S34" s="61" t="n">
        <f aca="false">U34*V34*$F$5</f>
        <v>106.666666666667</v>
      </c>
      <c r="T34" s="62" t="n">
        <f aca="false">MAX(0,MIN(1,R34/100+$D$5))</f>
        <v>0.351867883860683</v>
      </c>
      <c r="U34" s="62" t="n">
        <v>0.444444444444444</v>
      </c>
      <c r="V34" s="61" t="n">
        <v>240</v>
      </c>
      <c r="W34" s="62" t="n">
        <v>0.0777040344688333</v>
      </c>
      <c r="X34" s="63" t="s">
        <v>163</v>
      </c>
      <c r="Y34" s="63" t="s">
        <v>164</v>
      </c>
    </row>
    <row r="35" customFormat="false" ht="15" hidden="false" customHeight="false" outlineLevel="0" collapsed="false">
      <c r="A35" s="32" t="s">
        <v>189</v>
      </c>
      <c r="B35" s="32" t="s">
        <v>190</v>
      </c>
      <c r="C35" s="32" t="s">
        <v>161</v>
      </c>
      <c r="D35" s="59" t="n">
        <f aca="false">ROUND(S35*T35,0)</f>
        <v>498</v>
      </c>
      <c r="E35" s="59" t="n">
        <f aca="false">ROUND(S35,0)-D35</f>
        <v>563</v>
      </c>
      <c r="F35" s="59" t="n">
        <f aca="false">IF(COUNTA(D35:E35)=0,"",SUM(D35:E35))</f>
        <v>1061</v>
      </c>
      <c r="G35" s="40" t="n">
        <f aca="false">IF(OR(F35="",F35=0),"",D35/F35)</f>
        <v>0.469368520263902</v>
      </c>
      <c r="H35" s="40" t="n">
        <f aca="false">IF(OR(F35="",F35=0),"",E35/F35)</f>
        <v>0.530631479736098</v>
      </c>
      <c r="I35" s="32" t="s">
        <v>162</v>
      </c>
      <c r="J35" s="36" t="n">
        <v>2.73663407218982</v>
      </c>
      <c r="K35" s="36" t="n">
        <f aca="false">$K$8</f>
        <v>1.27451386687379</v>
      </c>
      <c r="L35" s="36" t="n">
        <f aca="false">SQRT(J35^2+K35^2)</f>
        <v>3.01886595295714</v>
      </c>
      <c r="M35" s="40" t="n">
        <f aca="false">IF(G35="","",MAX(0,G35-1.96*L35/100))</f>
        <v>0.410198747585942</v>
      </c>
      <c r="N35" s="40" t="n">
        <f aca="false">IF(G35="","",MIN(1,G35+1.96*L35/100))</f>
        <v>0.528538292941862</v>
      </c>
      <c r="O35" s="59" t="n">
        <f aca="false">ROUND(S35*W35,0)</f>
        <v>82</v>
      </c>
      <c r="P35" s="59" t="n">
        <f aca="false">IF(F35="","",ROUND(SQRT((F35*L35/100)^2+(G35*O35)^2),0))</f>
        <v>50</v>
      </c>
      <c r="R35" s="60" t="n">
        <v>4.28462772873911</v>
      </c>
      <c r="S35" s="61" t="n">
        <f aca="false">U35*V35*$F$5</f>
        <v>1060.80585424134</v>
      </c>
      <c r="T35" s="62" t="n">
        <f aca="false">MAX(0,MIN(1,R35/100+$D$5))</f>
        <v>0.4692785888416</v>
      </c>
      <c r="U35" s="62" t="n">
        <v>0.605137395459976</v>
      </c>
      <c r="V35" s="61" t="n">
        <v>1753</v>
      </c>
      <c r="W35" s="62" t="n">
        <v>0.0777040344688333</v>
      </c>
      <c r="X35" s="63" t="s">
        <v>163</v>
      </c>
      <c r="Y35" s="63" t="s">
        <v>164</v>
      </c>
    </row>
    <row r="36" customFormat="false" ht="15" hidden="false" customHeight="false" outlineLevel="0" collapsed="false">
      <c r="A36" s="32" t="s">
        <v>189</v>
      </c>
      <c r="B36" s="32" t="s">
        <v>191</v>
      </c>
      <c r="C36" s="32" t="s">
        <v>161</v>
      </c>
      <c r="D36" s="59" t="n">
        <f aca="false">ROUND(S36*T36,0)</f>
        <v>16572</v>
      </c>
      <c r="E36" s="59" t="n">
        <f aca="false">ROUND(S36,0)-D36</f>
        <v>8801</v>
      </c>
      <c r="F36" s="59" t="n">
        <f aca="false">IF(COUNTA(D36:E36)=0,"",SUM(D36:E36))</f>
        <v>25373</v>
      </c>
      <c r="G36" s="40" t="n">
        <f aca="false">IF(OR(F36="",F36=0),"",D36/F36)</f>
        <v>0.65313522248059</v>
      </c>
      <c r="H36" s="40" t="n">
        <f aca="false">IF(OR(F36="",F36=0),"",E36/F36)</f>
        <v>0.34686477751941</v>
      </c>
      <c r="I36" s="32" t="s">
        <v>162</v>
      </c>
      <c r="J36" s="36" t="n">
        <v>1.35112788665076</v>
      </c>
      <c r="K36" s="36" t="n">
        <f aca="false">$K$8</f>
        <v>1.27451386687379</v>
      </c>
      <c r="L36" s="36" t="n">
        <f aca="false">SQRT(J36^2+K36^2)</f>
        <v>1.85739930088792</v>
      </c>
      <c r="M36" s="40" t="n">
        <f aca="false">IF(G36="","",MAX(0,G36-1.96*L36/100))</f>
        <v>0.616730196183187</v>
      </c>
      <c r="N36" s="40" t="n">
        <f aca="false">IF(G36="","",MIN(1,G36+1.96*L36/100))</f>
        <v>0.689540248777993</v>
      </c>
      <c r="O36" s="59" t="n">
        <f aca="false">ROUND(S36*W36,0)</f>
        <v>1399</v>
      </c>
      <c r="P36" s="59" t="n">
        <f aca="false">IF(F36="","",ROUND(SQRT((F36*L36/100)^2+(G36*O36)^2),0))</f>
        <v>1028</v>
      </c>
      <c r="R36" s="60" t="n">
        <v>22.6675963641471</v>
      </c>
      <c r="S36" s="61" t="n">
        <f aca="false">U36*V36*$F$5</f>
        <v>25373.374760008</v>
      </c>
      <c r="T36" s="62" t="n">
        <f aca="false">MAX(0,MIN(1,R36/100+$D$5))</f>
        <v>0.65310827519568</v>
      </c>
      <c r="U36" s="62" t="n">
        <v>0.356778519643522</v>
      </c>
      <c r="V36" s="61" t="n">
        <v>71118</v>
      </c>
      <c r="W36" s="62" t="n">
        <v>0.0551273752894184</v>
      </c>
      <c r="X36" s="63" t="s">
        <v>184</v>
      </c>
      <c r="Y36" s="63" t="s">
        <v>164</v>
      </c>
    </row>
    <row r="37" customFormat="false" ht="15" hidden="false" customHeight="false" outlineLevel="0" collapsed="false">
      <c r="A37" s="32" t="s">
        <v>189</v>
      </c>
      <c r="B37" s="32" t="s">
        <v>192</v>
      </c>
      <c r="C37" s="32" t="s">
        <v>161</v>
      </c>
      <c r="D37" s="59" t="n">
        <f aca="false">ROUND(S37*T37,0)</f>
        <v>5097</v>
      </c>
      <c r="E37" s="59" t="n">
        <f aca="false">ROUND(S37,0)-D37</f>
        <v>2880</v>
      </c>
      <c r="F37" s="59" t="n">
        <f aca="false">IF(COUNTA(D37:E37)=0,"",SUM(D37:E37))</f>
        <v>7977</v>
      </c>
      <c r="G37" s="40" t="n">
        <f aca="false">IF(OR(F37="",F37=0),"",D37/F37)</f>
        <v>0.638962015795412</v>
      </c>
      <c r="H37" s="40" t="n">
        <f aca="false">IF(OR(F37="",F37=0),"",E37/F37)</f>
        <v>0.361037984204588</v>
      </c>
      <c r="I37" s="32" t="s">
        <v>162</v>
      </c>
      <c r="J37" s="36" t="n">
        <v>1.35112788665076</v>
      </c>
      <c r="K37" s="36" t="n">
        <f aca="false">$K$8</f>
        <v>1.27451386687379</v>
      </c>
      <c r="L37" s="36" t="n">
        <f aca="false">SQRT(J37^2+K37^2)</f>
        <v>1.85739930088792</v>
      </c>
      <c r="M37" s="40" t="n">
        <f aca="false">IF(G37="","",MAX(0,G37-1.96*L37/100))</f>
        <v>0.602556989498009</v>
      </c>
      <c r="N37" s="40" t="n">
        <f aca="false">IF(G37="","",MIN(1,G37+1.96*L37/100))</f>
        <v>0.675367042092815</v>
      </c>
      <c r="O37" s="59" t="n">
        <f aca="false">ROUND(S37*W37,0)</f>
        <v>440</v>
      </c>
      <c r="P37" s="59" t="n">
        <f aca="false">IF(F37="","",ROUND(SQRT((F37*L37/100)^2+(G37*O37)^2),0))</f>
        <v>318</v>
      </c>
      <c r="R37" s="60" t="n">
        <v>21.2589919363441</v>
      </c>
      <c r="S37" s="61" t="n">
        <f aca="false">U37*V37*$F$5</f>
        <v>7976.55329986175</v>
      </c>
      <c r="T37" s="62" t="n">
        <f aca="false">MAX(0,MIN(1,R37/100+$D$5))</f>
        <v>0.639022230917649</v>
      </c>
      <c r="U37" s="62" t="n">
        <v>0.574183220548643</v>
      </c>
      <c r="V37" s="61" t="n">
        <v>13892</v>
      </c>
      <c r="W37" s="62" t="n">
        <v>0.0551273752894184</v>
      </c>
      <c r="X37" s="63" t="s">
        <v>184</v>
      </c>
      <c r="Y37" s="63" t="s">
        <v>164</v>
      </c>
    </row>
    <row r="38" customFormat="false" ht="15" hidden="false" customHeight="false" outlineLevel="0" collapsed="false">
      <c r="A38" s="32" t="s">
        <v>189</v>
      </c>
      <c r="B38" s="32" t="s">
        <v>193</v>
      </c>
      <c r="C38" s="32" t="s">
        <v>161</v>
      </c>
      <c r="D38" s="59" t="n">
        <f aca="false">ROUND(S38*T38,0)</f>
        <v>1135</v>
      </c>
      <c r="E38" s="59" t="n">
        <f aca="false">ROUND(S38,0)-D38</f>
        <v>1043</v>
      </c>
      <c r="F38" s="59" t="n">
        <f aca="false">IF(COUNTA(D38:E38)=0,"",SUM(D38:E38))</f>
        <v>2178</v>
      </c>
      <c r="G38" s="40" t="n">
        <f aca="false">IF(OR(F38="",F38=0),"",D38/F38)</f>
        <v>0.521120293847567</v>
      </c>
      <c r="H38" s="40" t="n">
        <f aca="false">IF(OR(F38="",F38=0),"",E38/F38)</f>
        <v>0.478879706152433</v>
      </c>
      <c r="I38" s="32" t="s">
        <v>162</v>
      </c>
      <c r="J38" s="36" t="n">
        <v>1.55923598199766</v>
      </c>
      <c r="K38" s="36" t="n">
        <f aca="false">$K$8</f>
        <v>1.27451386687379</v>
      </c>
      <c r="L38" s="36" t="n">
        <f aca="false">SQRT(J38^2+K38^2)</f>
        <v>2.01385263721301</v>
      </c>
      <c r="M38" s="40" t="n">
        <f aca="false">IF(G38="","",MAX(0,G38-1.96*L38/100))</f>
        <v>0.481648782158192</v>
      </c>
      <c r="N38" s="40" t="n">
        <f aca="false">IF(G38="","",MIN(1,G38+1.96*L38/100))</f>
        <v>0.560591805536941</v>
      </c>
      <c r="O38" s="59" t="n">
        <f aca="false">ROUND(S38*W38,0)</f>
        <v>132</v>
      </c>
      <c r="P38" s="59" t="n">
        <f aca="false">IF(F38="","",ROUND(SQRT((F38*L38/100)^2+(G38*O38)^2),0))</f>
        <v>82</v>
      </c>
      <c r="R38" s="60" t="n">
        <v>9.46853479225733</v>
      </c>
      <c r="S38" s="61" t="n">
        <f aca="false">U38*V38*$F$5</f>
        <v>2177.82706204834</v>
      </c>
      <c r="T38" s="62" t="n">
        <f aca="false">MAX(0,MIN(1,R38/100+$D$5))</f>
        <v>0.521117659476782</v>
      </c>
      <c r="U38" s="62" t="n">
        <v>0.525791178669325</v>
      </c>
      <c r="V38" s="61" t="n">
        <v>4142</v>
      </c>
      <c r="W38" s="62" t="n">
        <v>0.0606122259008943</v>
      </c>
      <c r="X38" s="63" t="s">
        <v>168</v>
      </c>
      <c r="Y38" s="63" t="s">
        <v>164</v>
      </c>
    </row>
    <row r="39" customFormat="false" ht="15" hidden="false" customHeight="false" outlineLevel="0" collapsed="false">
      <c r="A39" s="32" t="s">
        <v>189</v>
      </c>
      <c r="B39" s="32" t="s">
        <v>194</v>
      </c>
      <c r="C39" s="32" t="s">
        <v>161</v>
      </c>
      <c r="D39" s="59" t="n">
        <f aca="false">ROUND(S39*T39,0)</f>
        <v>626</v>
      </c>
      <c r="E39" s="59" t="n">
        <f aca="false">ROUND(S39,0)-D39</f>
        <v>644</v>
      </c>
      <c r="F39" s="59" t="n">
        <f aca="false">IF(COUNTA(D39:E39)=0,"",SUM(D39:E39))</f>
        <v>1270</v>
      </c>
      <c r="G39" s="40" t="n">
        <f aca="false">IF(OR(F39="",F39=0),"",D39/F39)</f>
        <v>0.492913385826772</v>
      </c>
      <c r="H39" s="40" t="n">
        <f aca="false">IF(OR(F39="",F39=0),"",E39/F39)</f>
        <v>0.507086614173228</v>
      </c>
      <c r="I39" s="32" t="s">
        <v>162</v>
      </c>
      <c r="J39" s="36" t="n">
        <v>1.55923598199766</v>
      </c>
      <c r="K39" s="36" t="n">
        <f aca="false">$K$8</f>
        <v>1.27451386687379</v>
      </c>
      <c r="L39" s="36" t="n">
        <f aca="false">SQRT(J39^2+K39^2)</f>
        <v>2.01385263721301</v>
      </c>
      <c r="M39" s="40" t="n">
        <f aca="false">IF(G39="","",MAX(0,G39-1.96*L39/100))</f>
        <v>0.453441874137397</v>
      </c>
      <c r="N39" s="40" t="n">
        <f aca="false">IF(G39="","",MIN(1,G39+1.96*L39/100))</f>
        <v>0.532384897516147</v>
      </c>
      <c r="O39" s="59" t="n">
        <f aca="false">ROUND(S39*W39,0)</f>
        <v>77</v>
      </c>
      <c r="P39" s="59" t="n">
        <f aca="false">IF(F39="","",ROUND(SQRT((F39*L39/100)^2+(G39*O39)^2),0))</f>
        <v>46</v>
      </c>
      <c r="R39" s="60" t="n">
        <v>6.65776511600387</v>
      </c>
      <c r="S39" s="61" t="n">
        <f aca="false">U39*V39*$F$5</f>
        <v>1270.44031093837</v>
      </c>
      <c r="T39" s="62" t="n">
        <f aca="false">MAX(0,MIN(1,R39/100+$D$5))</f>
        <v>0.493009962714247</v>
      </c>
      <c r="U39" s="62" t="n">
        <v>0.676846196557468</v>
      </c>
      <c r="V39" s="61" t="n">
        <v>1877</v>
      </c>
      <c r="W39" s="62" t="n">
        <v>0.0606122259008943</v>
      </c>
      <c r="X39" s="63" t="s">
        <v>168</v>
      </c>
      <c r="Y39" s="63" t="s">
        <v>164</v>
      </c>
    </row>
    <row r="40" customFormat="false" ht="15" hidden="false" customHeight="false" outlineLevel="0" collapsed="false">
      <c r="A40" s="32" t="s">
        <v>189</v>
      </c>
      <c r="B40" s="32" t="s">
        <v>195</v>
      </c>
      <c r="C40" s="32" t="s">
        <v>161</v>
      </c>
      <c r="D40" s="59" t="n">
        <f aca="false">ROUND(S40*T40,0)</f>
        <v>717</v>
      </c>
      <c r="E40" s="59" t="n">
        <f aca="false">ROUND(S40,0)-D40</f>
        <v>647</v>
      </c>
      <c r="F40" s="59" t="n">
        <f aca="false">IF(COUNTA(D40:E40)=0,"",SUM(D40:E40))</f>
        <v>1364</v>
      </c>
      <c r="G40" s="40" t="n">
        <f aca="false">IF(OR(F40="",F40=0),"",D40/F40)</f>
        <v>0.525659824046921</v>
      </c>
      <c r="H40" s="40" t="n">
        <f aca="false">IF(OR(F40="",F40=0),"",E40/F40)</f>
        <v>0.474340175953079</v>
      </c>
      <c r="I40" s="32" t="s">
        <v>162</v>
      </c>
      <c r="J40" s="36" t="n">
        <v>1.55923598199766</v>
      </c>
      <c r="K40" s="36" t="n">
        <f aca="false">$K$8</f>
        <v>1.27451386687379</v>
      </c>
      <c r="L40" s="36" t="n">
        <f aca="false">SQRT(J40^2+K40^2)</f>
        <v>2.01385263721301</v>
      </c>
      <c r="M40" s="40" t="n">
        <f aca="false">IF(G40="","",MAX(0,G40-1.96*L40/100))</f>
        <v>0.486188312357546</v>
      </c>
      <c r="N40" s="40" t="n">
        <f aca="false">IF(G40="","",MIN(1,G40+1.96*L40/100))</f>
        <v>0.565131335736296</v>
      </c>
      <c r="O40" s="59" t="n">
        <f aca="false">ROUND(S40*W40,0)</f>
        <v>83</v>
      </c>
      <c r="P40" s="59" t="n">
        <f aca="false">IF(F40="","",ROUND(SQRT((F40*L40/100)^2+(G40*O40)^2),0))</f>
        <v>52</v>
      </c>
      <c r="R40" s="60" t="n">
        <v>9.96020903250682</v>
      </c>
      <c r="S40" s="61" t="n">
        <f aca="false">U40*V40*$F$5</f>
        <v>1363.93435943866</v>
      </c>
      <c r="T40" s="62" t="n">
        <f aca="false">MAX(0,MIN(1,R40/100+$D$5))</f>
        <v>0.526034401879277</v>
      </c>
      <c r="U40" s="62" t="n">
        <v>0.587143503847895</v>
      </c>
      <c r="V40" s="61" t="n">
        <v>2323</v>
      </c>
      <c r="W40" s="62" t="n">
        <v>0.0606122259008943</v>
      </c>
      <c r="X40" s="63" t="s">
        <v>168</v>
      </c>
      <c r="Y40" s="63" t="s">
        <v>164</v>
      </c>
    </row>
    <row r="41" customFormat="false" ht="15" hidden="false" customHeight="false" outlineLevel="0" collapsed="false">
      <c r="A41" s="32" t="s">
        <v>189</v>
      </c>
      <c r="B41" s="32" t="s">
        <v>196</v>
      </c>
      <c r="C41" s="32" t="s">
        <v>161</v>
      </c>
      <c r="D41" s="59" t="n">
        <f aca="false">ROUND(S41*T41,0)</f>
        <v>2947</v>
      </c>
      <c r="E41" s="59" t="n">
        <f aca="false">ROUND(S41,0)-D41</f>
        <v>2441</v>
      </c>
      <c r="F41" s="59" t="n">
        <f aca="false">IF(COUNTA(D41:E41)=0,"",SUM(D41:E41))</f>
        <v>5388</v>
      </c>
      <c r="G41" s="40" t="n">
        <f aca="false">IF(OR(F41="",F41=0),"",D41/F41)</f>
        <v>0.546956198960653</v>
      </c>
      <c r="H41" s="40" t="n">
        <f aca="false">IF(OR(F41="",F41=0),"",E41/F41)</f>
        <v>0.453043801039347</v>
      </c>
      <c r="I41" s="32" t="s">
        <v>162</v>
      </c>
      <c r="J41" s="36" t="n">
        <v>1.35112788665076</v>
      </c>
      <c r="K41" s="36" t="n">
        <f aca="false">$K$8</f>
        <v>1.27451386687379</v>
      </c>
      <c r="L41" s="36" t="n">
        <f aca="false">SQRT(J41^2+K41^2)</f>
        <v>1.85739930088792</v>
      </c>
      <c r="M41" s="40" t="n">
        <f aca="false">IF(G41="","",MAX(0,G41-1.96*L41/100))</f>
        <v>0.51055117266325</v>
      </c>
      <c r="N41" s="40" t="n">
        <f aca="false">IF(G41="","",MIN(1,G41+1.96*L41/100))</f>
        <v>0.583361225258056</v>
      </c>
      <c r="O41" s="59" t="n">
        <f aca="false">ROUND(S41*W41,0)</f>
        <v>297</v>
      </c>
      <c r="P41" s="59" t="n">
        <f aca="false">IF(F41="","",ROUND(SQRT((F41*L41/100)^2+(G41*O41)^2),0))</f>
        <v>191</v>
      </c>
      <c r="R41" s="60" t="n">
        <v>12.050352874437</v>
      </c>
      <c r="S41" s="61" t="n">
        <f aca="false">U41*V41*$F$5</f>
        <v>5388.18679314119</v>
      </c>
      <c r="T41" s="62" t="n">
        <f aca="false">MAX(0,MIN(1,R41/100+$D$5))</f>
        <v>0.546935840298579</v>
      </c>
      <c r="U41" s="62" t="n">
        <v>0.618265839717865</v>
      </c>
      <c r="V41" s="61" t="n">
        <v>8715</v>
      </c>
      <c r="W41" s="62" t="n">
        <v>0.0551273752894184</v>
      </c>
      <c r="X41" s="63" t="s">
        <v>184</v>
      </c>
      <c r="Y41" s="63" t="s">
        <v>164</v>
      </c>
    </row>
    <row r="42" customFormat="false" ht="15" hidden="false" customHeight="false" outlineLevel="0" collapsed="false">
      <c r="A42" s="32" t="s">
        <v>189</v>
      </c>
      <c r="B42" s="32" t="s">
        <v>197</v>
      </c>
      <c r="C42" s="32" t="s">
        <v>161</v>
      </c>
      <c r="D42" s="59" t="n">
        <f aca="false">ROUND(S42*T42,0)</f>
        <v>1059</v>
      </c>
      <c r="E42" s="59" t="n">
        <f aca="false">ROUND(S42,0)-D42</f>
        <v>546</v>
      </c>
      <c r="F42" s="59" t="n">
        <f aca="false">IF(COUNTA(D42:E42)=0,"",SUM(D42:E42))</f>
        <v>1605</v>
      </c>
      <c r="G42" s="40" t="n">
        <f aca="false">IF(OR(F42="",F42=0),"",D42/F42)</f>
        <v>0.65981308411215</v>
      </c>
      <c r="H42" s="40" t="n">
        <f aca="false">IF(OR(F42="",F42=0),"",E42/F42)</f>
        <v>0.340186915887851</v>
      </c>
      <c r="I42" s="32" t="s">
        <v>162</v>
      </c>
      <c r="J42" s="36" t="n">
        <v>1.55923598199766</v>
      </c>
      <c r="K42" s="36" t="n">
        <f aca="false">$K$8</f>
        <v>1.27451386687379</v>
      </c>
      <c r="L42" s="36" t="n">
        <f aca="false">SQRT(J42^2+K42^2)</f>
        <v>2.01385263721301</v>
      </c>
      <c r="M42" s="40" t="n">
        <f aca="false">IF(G42="","",MAX(0,G42-1.96*L42/100))</f>
        <v>0.620341572422775</v>
      </c>
      <c r="N42" s="40" t="n">
        <f aca="false">IF(G42="","",MIN(1,G42+1.96*L42/100))</f>
        <v>0.699284595801525</v>
      </c>
      <c r="O42" s="59" t="n">
        <f aca="false">ROUND(S42*W42,0)</f>
        <v>97</v>
      </c>
      <c r="P42" s="59" t="n">
        <f aca="false">IF(F42="","",ROUND(SQRT((F42*L42/100)^2+(G42*O42)^2),0))</f>
        <v>72</v>
      </c>
      <c r="R42" s="60" t="n">
        <v>23.3448708916037</v>
      </c>
      <c r="S42" s="61" t="n">
        <f aca="false">U42*V42*$F$5</f>
        <v>1605.4392182842</v>
      </c>
      <c r="T42" s="62" t="n">
        <f aca="false">MAX(0,MIN(1,R42/100+$D$5))</f>
        <v>0.659881020470245</v>
      </c>
      <c r="U42" s="62" t="n">
        <v>0.513083802583637</v>
      </c>
      <c r="V42" s="61" t="n">
        <v>3129</v>
      </c>
      <c r="W42" s="62" t="n">
        <v>0.0606122259008943</v>
      </c>
      <c r="X42" s="63" t="s">
        <v>168</v>
      </c>
      <c r="Y42" s="63" t="s">
        <v>164</v>
      </c>
    </row>
    <row r="43" customFormat="false" ht="15" hidden="false" customHeight="false" outlineLevel="0" collapsed="false">
      <c r="A43" s="32" t="s">
        <v>189</v>
      </c>
      <c r="B43" s="32" t="s">
        <v>198</v>
      </c>
      <c r="C43" s="32" t="s">
        <v>161</v>
      </c>
      <c r="D43" s="59" t="n">
        <f aca="false">ROUND(S43*T43,0)</f>
        <v>264</v>
      </c>
      <c r="E43" s="59" t="n">
        <f aca="false">ROUND(S43,0)-D43</f>
        <v>220</v>
      </c>
      <c r="F43" s="59" t="n">
        <f aca="false">IF(COUNTA(D43:E43)=0,"",SUM(D43:E43))</f>
        <v>484</v>
      </c>
      <c r="G43" s="40" t="n">
        <f aca="false">IF(OR(F43="",F43=0),"",D43/F43)</f>
        <v>0.545454545454545</v>
      </c>
      <c r="H43" s="40" t="n">
        <f aca="false">IF(OR(F43="",F43=0),"",E43/F43)</f>
        <v>0.454545454545455</v>
      </c>
      <c r="I43" s="32" t="s">
        <v>162</v>
      </c>
      <c r="J43" s="36" t="n">
        <v>2.73663407218982</v>
      </c>
      <c r="K43" s="36" t="n">
        <f aca="false">$K$8</f>
        <v>1.27451386687379</v>
      </c>
      <c r="L43" s="36" t="n">
        <f aca="false">SQRT(J43^2+K43^2)</f>
        <v>3.01886595295714</v>
      </c>
      <c r="M43" s="40" t="n">
        <f aca="false">IF(G43="","",MAX(0,G43-1.96*L43/100))</f>
        <v>0.486284772776585</v>
      </c>
      <c r="N43" s="40" t="n">
        <f aca="false">IF(G43="","",MIN(1,G43+1.96*L43/100))</f>
        <v>0.604624318132505</v>
      </c>
      <c r="O43" s="59" t="n">
        <f aca="false">ROUND(S43*W43,0)</f>
        <v>38</v>
      </c>
      <c r="P43" s="59" t="n">
        <f aca="false">IF(F43="","",ROUND(SQRT((F43*L43/100)^2+(G43*O43)^2),0))</f>
        <v>25</v>
      </c>
      <c r="R43" s="60" t="n">
        <v>11.8355007643117</v>
      </c>
      <c r="S43" s="61" t="n">
        <f aca="false">U43*V43*$F$5</f>
        <v>483.913480885312</v>
      </c>
      <c r="T43" s="62" t="n">
        <f aca="false">MAX(0,MIN(1,R43/100+$D$5))</f>
        <v>0.544787319197325</v>
      </c>
      <c r="U43" s="62" t="n">
        <v>0.469818913480885</v>
      </c>
      <c r="V43" s="61" t="n">
        <v>1030</v>
      </c>
      <c r="W43" s="62" t="n">
        <v>0.0777040344688333</v>
      </c>
      <c r="X43" s="63" t="s">
        <v>163</v>
      </c>
      <c r="Y43" s="63" t="s">
        <v>164</v>
      </c>
    </row>
    <row r="44" customFormat="false" ht="15" hidden="false" customHeight="false" outlineLevel="0" collapsed="false">
      <c r="A44" s="32" t="s">
        <v>189</v>
      </c>
      <c r="B44" s="32" t="s">
        <v>199</v>
      </c>
      <c r="C44" s="32" t="s">
        <v>161</v>
      </c>
      <c r="D44" s="59" t="n">
        <f aca="false">ROUND(S44*T44,0)</f>
        <v>540</v>
      </c>
      <c r="E44" s="59" t="n">
        <f aca="false">ROUND(S44,0)-D44</f>
        <v>1117</v>
      </c>
      <c r="F44" s="59" t="n">
        <f aca="false">IF(COUNTA(D44:E44)=0,"",SUM(D44:E44))</f>
        <v>1657</v>
      </c>
      <c r="G44" s="40" t="n">
        <f aca="false">IF(OR(F44="",F44=0),"",D44/F44)</f>
        <v>0.325890162945082</v>
      </c>
      <c r="H44" s="40" t="n">
        <f aca="false">IF(OR(F44="",F44=0),"",E44/F44)</f>
        <v>0.674109837054919</v>
      </c>
      <c r="I44" s="32" t="s">
        <v>162</v>
      </c>
      <c r="J44" s="36" t="n">
        <v>1.55923598199766</v>
      </c>
      <c r="K44" s="36" t="n">
        <f aca="false">$K$8</f>
        <v>1.27451386687379</v>
      </c>
      <c r="L44" s="36" t="n">
        <f aca="false">SQRT(J44^2+K44^2)</f>
        <v>2.01385263721301</v>
      </c>
      <c r="M44" s="40" t="n">
        <f aca="false">IF(G44="","",MAX(0,G44-1.96*L44/100))</f>
        <v>0.286418651255707</v>
      </c>
      <c r="N44" s="40" t="n">
        <f aca="false">IF(G44="","",MIN(1,G44+1.96*L44/100))</f>
        <v>0.365361674634456</v>
      </c>
      <c r="O44" s="59" t="n">
        <f aca="false">ROUND(S44*W44,0)</f>
        <v>100</v>
      </c>
      <c r="P44" s="59" t="n">
        <f aca="false">IF(F44="","",ROUND(SQRT((F44*L44/100)^2+(G44*O44)^2),0))</f>
        <v>47</v>
      </c>
      <c r="R44" s="60" t="n">
        <v>-10.0209803899825</v>
      </c>
      <c r="S44" s="61" t="n">
        <f aca="false">U44*V44*$F$5</f>
        <v>1656.73758865248</v>
      </c>
      <c r="T44" s="62" t="n">
        <f aca="false">MAX(0,MIN(1,R44/100+$D$5))</f>
        <v>0.326222507654384</v>
      </c>
      <c r="U44" s="62" t="n">
        <v>0.66750104297038</v>
      </c>
      <c r="V44" s="61" t="n">
        <v>2482</v>
      </c>
      <c r="W44" s="62" t="n">
        <v>0.0606122259008943</v>
      </c>
      <c r="X44" s="63" t="s">
        <v>168</v>
      </c>
      <c r="Y44" s="63" t="s">
        <v>164</v>
      </c>
    </row>
    <row r="45" customFormat="false" ht="15" hidden="false" customHeight="false" outlineLevel="0" collapsed="false">
      <c r="A45" s="32" t="s">
        <v>189</v>
      </c>
      <c r="B45" s="32" t="s">
        <v>200</v>
      </c>
      <c r="C45" s="32" t="s">
        <v>161</v>
      </c>
      <c r="D45" s="59" t="n">
        <f aca="false">ROUND(S45*T45,0)</f>
        <v>8329</v>
      </c>
      <c r="E45" s="59" t="n">
        <f aca="false">ROUND(S45,0)-D45</f>
        <v>8006</v>
      </c>
      <c r="F45" s="59" t="n">
        <f aca="false">IF(COUNTA(D45:E45)=0,"",SUM(D45:E45))</f>
        <v>16335</v>
      </c>
      <c r="G45" s="40" t="n">
        <f aca="false">IF(OR(F45="",F45=0),"",D45/F45)</f>
        <v>0.509886746250383</v>
      </c>
      <c r="H45" s="40" t="n">
        <f aca="false">IF(OR(F45="",F45=0),"",E45/F45)</f>
        <v>0.490113253749617</v>
      </c>
      <c r="I45" s="32" t="s">
        <v>162</v>
      </c>
      <c r="J45" s="36" t="n">
        <v>1.35112788665076</v>
      </c>
      <c r="K45" s="36" t="n">
        <f aca="false">$K$8</f>
        <v>1.27451386687379</v>
      </c>
      <c r="L45" s="36" t="n">
        <f aca="false">SQRT(J45^2+K45^2)</f>
        <v>1.85739930088792</v>
      </c>
      <c r="M45" s="40" t="n">
        <f aca="false">IF(G45="","",MAX(0,G45-1.96*L45/100))</f>
        <v>0.47348171995298</v>
      </c>
      <c r="N45" s="40" t="n">
        <f aca="false">IF(G45="","",MIN(1,G45+1.96*L45/100))</f>
        <v>0.546291772547786</v>
      </c>
      <c r="O45" s="59" t="n">
        <f aca="false">ROUND(S45*W45,0)</f>
        <v>900</v>
      </c>
      <c r="P45" s="59" t="n">
        <f aca="false">IF(F45="","",ROUND(SQRT((F45*L45/100)^2+(G45*O45)^2),0))</f>
        <v>550</v>
      </c>
      <c r="R45" s="60" t="n">
        <v>8.34592338644533</v>
      </c>
      <c r="S45" s="61" t="n">
        <f aca="false">U45*V45*$F$5</f>
        <v>16334.7109624891</v>
      </c>
      <c r="T45" s="62" t="n">
        <f aca="false">MAX(0,MIN(1,R45/100+$D$5))</f>
        <v>0.509891545418662</v>
      </c>
      <c r="U45" s="62" t="n">
        <v>0.662692643210236</v>
      </c>
      <c r="V45" s="61" t="n">
        <v>24649</v>
      </c>
      <c r="W45" s="62" t="n">
        <v>0.0551273752894184</v>
      </c>
      <c r="X45" s="63" t="s">
        <v>184</v>
      </c>
      <c r="Y45" s="63" t="s">
        <v>164</v>
      </c>
    </row>
    <row r="46" customFormat="false" ht="15" hidden="false" customHeight="false" outlineLevel="0" collapsed="false">
      <c r="A46" s="32" t="s">
        <v>189</v>
      </c>
      <c r="B46" s="32" t="s">
        <v>201</v>
      </c>
      <c r="C46" s="32" t="s">
        <v>161</v>
      </c>
      <c r="D46" s="59" t="n">
        <f aca="false">ROUND(S46*T46,0)</f>
        <v>846</v>
      </c>
      <c r="E46" s="59" t="n">
        <f aca="false">ROUND(S46,0)-D46</f>
        <v>1358</v>
      </c>
      <c r="F46" s="59" t="n">
        <f aca="false">IF(COUNTA(D46:E46)=0,"",SUM(D46:E46))</f>
        <v>2204</v>
      </c>
      <c r="G46" s="40" t="n">
        <f aca="false">IF(OR(F46="",F46=0),"",D46/F46)</f>
        <v>0.383847549909256</v>
      </c>
      <c r="H46" s="40" t="n">
        <f aca="false">IF(OR(F46="",F46=0),"",E46/F46)</f>
        <v>0.616152450090744</v>
      </c>
      <c r="I46" s="32" t="s">
        <v>162</v>
      </c>
      <c r="J46" s="36" t="n">
        <v>1.55923598199766</v>
      </c>
      <c r="K46" s="36" t="n">
        <f aca="false">$K$8</f>
        <v>1.27451386687379</v>
      </c>
      <c r="L46" s="36" t="n">
        <f aca="false">SQRT(J46^2+K46^2)</f>
        <v>2.01385263721301</v>
      </c>
      <c r="M46" s="40" t="n">
        <f aca="false">IF(G46="","",MAX(0,G46-1.96*L46/100))</f>
        <v>0.344376038219881</v>
      </c>
      <c r="N46" s="40" t="n">
        <f aca="false">IF(G46="","",MIN(1,G46+1.96*L46/100))</f>
        <v>0.423319061598631</v>
      </c>
      <c r="O46" s="59" t="n">
        <f aca="false">ROUND(S46*W46,0)</f>
        <v>134</v>
      </c>
      <c r="P46" s="59" t="n">
        <f aca="false">IF(F46="","",ROUND(SQRT((F46*L46/100)^2+(G46*O46)^2),0))</f>
        <v>68</v>
      </c>
      <c r="R46" s="60" t="n">
        <v>-4.25260052076764</v>
      </c>
      <c r="S46" s="61" t="n">
        <f aca="false">U46*V46*$F$5</f>
        <v>2204.10505319149</v>
      </c>
      <c r="T46" s="62" t="n">
        <f aca="false">MAX(0,MIN(1,R46/100+$D$5))</f>
        <v>0.383906306346532</v>
      </c>
      <c r="U46" s="62" t="n">
        <v>0.718417553191489</v>
      </c>
      <c r="V46" s="61" t="n">
        <v>3068</v>
      </c>
      <c r="W46" s="62" t="n">
        <v>0.0606122259008943</v>
      </c>
      <c r="X46" s="63" t="s">
        <v>168</v>
      </c>
      <c r="Y46" s="63" t="s">
        <v>164</v>
      </c>
    </row>
    <row r="47" customFormat="false" ht="15" hidden="false" customHeight="false" outlineLevel="0" collapsed="false">
      <c r="A47" s="32" t="s">
        <v>189</v>
      </c>
      <c r="B47" s="32" t="s">
        <v>202</v>
      </c>
      <c r="C47" s="32" t="s">
        <v>161</v>
      </c>
      <c r="D47" s="59" t="n">
        <f aca="false">ROUND(S47*T47,0)</f>
        <v>457</v>
      </c>
      <c r="E47" s="59" t="n">
        <f aca="false">ROUND(S47,0)-D47</f>
        <v>780</v>
      </c>
      <c r="F47" s="59" t="n">
        <f aca="false">IF(COUNTA(D47:E47)=0,"",SUM(D47:E47))</f>
        <v>1237</v>
      </c>
      <c r="G47" s="40" t="n">
        <f aca="false">IF(OR(F47="",F47=0),"",D47/F47)</f>
        <v>0.36944219886823</v>
      </c>
      <c r="H47" s="40" t="n">
        <f aca="false">IF(OR(F47="",F47=0),"",E47/F47)</f>
        <v>0.63055780113177</v>
      </c>
      <c r="I47" s="32" t="s">
        <v>162</v>
      </c>
      <c r="J47" s="36" t="n">
        <v>2.73663407218982</v>
      </c>
      <c r="K47" s="36" t="n">
        <f aca="false">$K$8</f>
        <v>1.27451386687379</v>
      </c>
      <c r="L47" s="36" t="n">
        <f aca="false">SQRT(J47^2+K47^2)</f>
        <v>3.01886595295714</v>
      </c>
      <c r="M47" s="40" t="n">
        <f aca="false">IF(G47="","",MAX(0,G47-1.96*L47/100))</f>
        <v>0.31027242619027</v>
      </c>
      <c r="N47" s="40" t="n">
        <f aca="false">IF(G47="","",MIN(1,G47+1.96*L47/100))</f>
        <v>0.42861197154619</v>
      </c>
      <c r="O47" s="59" t="n">
        <f aca="false">ROUND(S47*W47,0)</f>
        <v>96</v>
      </c>
      <c r="P47" s="59" t="n">
        <f aca="false">IF(F47="","",ROUND(SQRT((F47*L47/100)^2+(G47*O47)^2),0))</f>
        <v>52</v>
      </c>
      <c r="R47" s="60" t="n">
        <v>-5.69025613347383</v>
      </c>
      <c r="S47" s="61" t="n">
        <f aca="false">U47*V47*$F$5</f>
        <v>1236.97340124505</v>
      </c>
      <c r="T47" s="62" t="n">
        <f aca="false">MAX(0,MIN(1,R47/100+$D$5))</f>
        <v>0.36952975021947</v>
      </c>
      <c r="U47" s="62" t="n">
        <v>0.688737973967176</v>
      </c>
      <c r="V47" s="61" t="n">
        <v>1796</v>
      </c>
      <c r="W47" s="62" t="n">
        <v>0.0777040344688333</v>
      </c>
      <c r="X47" s="63" t="s">
        <v>163</v>
      </c>
      <c r="Y47" s="63" t="s">
        <v>164</v>
      </c>
    </row>
    <row r="48" customFormat="false" ht="15" hidden="false" customHeight="false" outlineLevel="0" collapsed="false">
      <c r="A48" s="32" t="s">
        <v>189</v>
      </c>
      <c r="B48" s="32" t="s">
        <v>203</v>
      </c>
      <c r="C48" s="32" t="s">
        <v>161</v>
      </c>
      <c r="D48" s="59" t="n">
        <f aca="false">ROUND(S48*T48,0)</f>
        <v>699</v>
      </c>
      <c r="E48" s="59" t="n">
        <f aca="false">ROUND(S48,0)-D48</f>
        <v>1493</v>
      </c>
      <c r="F48" s="59" t="n">
        <f aca="false">IF(COUNTA(D48:E48)=0,"",SUM(D48:E48))</f>
        <v>2192</v>
      </c>
      <c r="G48" s="40" t="n">
        <f aca="false">IF(OR(F48="",F48=0),"",D48/F48)</f>
        <v>0.318886861313869</v>
      </c>
      <c r="H48" s="40" t="n">
        <f aca="false">IF(OR(F48="",F48=0),"",E48/F48)</f>
        <v>0.681113138686131</v>
      </c>
      <c r="I48" s="32" t="s">
        <v>162</v>
      </c>
      <c r="J48" s="36" t="n">
        <v>1.55923598199766</v>
      </c>
      <c r="K48" s="36" t="n">
        <f aca="false">$K$8</f>
        <v>1.27451386687379</v>
      </c>
      <c r="L48" s="36" t="n">
        <f aca="false">SQRT(J48^2+K48^2)</f>
        <v>2.01385263721301</v>
      </c>
      <c r="M48" s="40" t="n">
        <f aca="false">IF(G48="","",MAX(0,G48-1.96*L48/100))</f>
        <v>0.279415349624494</v>
      </c>
      <c r="N48" s="40" t="n">
        <f aca="false">IF(G48="","",MIN(1,G48+1.96*L48/100))</f>
        <v>0.358358373003244</v>
      </c>
      <c r="O48" s="59" t="n">
        <f aca="false">ROUND(S48*W48,0)</f>
        <v>133</v>
      </c>
      <c r="P48" s="59" t="n">
        <f aca="false">IF(F48="","",ROUND(SQRT((F48*L48/100)^2+(G48*O48)^2),0))</f>
        <v>61</v>
      </c>
      <c r="R48" s="60" t="n">
        <v>-10.7447203373668</v>
      </c>
      <c r="S48" s="61" t="n">
        <f aca="false">U48*V48*$F$5</f>
        <v>2191.88036117382</v>
      </c>
      <c r="T48" s="62" t="n">
        <f aca="false">MAX(0,MIN(1,R48/100+$D$5))</f>
        <v>0.318985108180541</v>
      </c>
      <c r="U48" s="62" t="n">
        <v>0.694292163818123</v>
      </c>
      <c r="V48" s="61" t="n">
        <v>3157</v>
      </c>
      <c r="W48" s="62" t="n">
        <v>0.0606122259008943</v>
      </c>
      <c r="X48" s="63" t="s">
        <v>168</v>
      </c>
      <c r="Y48" s="63" t="s">
        <v>164</v>
      </c>
    </row>
    <row r="49" customFormat="false" ht="15" hidden="false" customHeight="false" outlineLevel="0" collapsed="false">
      <c r="A49" s="32" t="s">
        <v>189</v>
      </c>
      <c r="B49" s="32" t="s">
        <v>204</v>
      </c>
      <c r="C49" s="32" t="s">
        <v>161</v>
      </c>
      <c r="D49" s="59" t="n">
        <f aca="false">ROUND(S49*T49,0)</f>
        <v>815</v>
      </c>
      <c r="E49" s="59" t="n">
        <f aca="false">ROUND(S49,0)-D49</f>
        <v>698</v>
      </c>
      <c r="F49" s="59" t="n">
        <f aca="false">IF(COUNTA(D49:E49)=0,"",SUM(D49:E49))</f>
        <v>1513</v>
      </c>
      <c r="G49" s="40" t="n">
        <f aca="false">IF(OR(F49="",F49=0),"",D49/F49)</f>
        <v>0.538664904163913</v>
      </c>
      <c r="H49" s="40" t="n">
        <f aca="false">IF(OR(F49="",F49=0),"",E49/F49)</f>
        <v>0.461335095836087</v>
      </c>
      <c r="I49" s="32" t="s">
        <v>162</v>
      </c>
      <c r="J49" s="36" t="n">
        <v>1.55923598199766</v>
      </c>
      <c r="K49" s="36" t="n">
        <f aca="false">$K$8</f>
        <v>1.27451386687379</v>
      </c>
      <c r="L49" s="36" t="n">
        <f aca="false">SQRT(J49^2+K49^2)</f>
        <v>2.01385263721301</v>
      </c>
      <c r="M49" s="40" t="n">
        <f aca="false">IF(G49="","",MAX(0,G49-1.96*L49/100))</f>
        <v>0.499193392474538</v>
      </c>
      <c r="N49" s="40" t="n">
        <f aca="false">IF(G49="","",MIN(1,G49+1.96*L49/100))</f>
        <v>0.578136415853288</v>
      </c>
      <c r="O49" s="59" t="n">
        <f aca="false">ROUND(S49*W49,0)</f>
        <v>92</v>
      </c>
      <c r="P49" s="59" t="n">
        <f aca="false">IF(F49="","",ROUND(SQRT((F49*L49/100)^2+(G49*O49)^2),0))</f>
        <v>58</v>
      </c>
      <c r="R49" s="60" t="n">
        <v>11.203890843338</v>
      </c>
      <c r="S49" s="61" t="n">
        <f aca="false">U49*V49*$F$5</f>
        <v>1512.74151436031</v>
      </c>
      <c r="T49" s="62" t="n">
        <f aca="false">MAX(0,MIN(1,R49/100+$D$5))</f>
        <v>0.538471219987588</v>
      </c>
      <c r="U49" s="62" t="n">
        <v>0.616187989556136</v>
      </c>
      <c r="V49" s="61" t="n">
        <v>2455</v>
      </c>
      <c r="W49" s="62" t="n">
        <v>0.0606122259008943</v>
      </c>
      <c r="X49" s="63" t="s">
        <v>168</v>
      </c>
      <c r="Y49" s="63" t="s">
        <v>164</v>
      </c>
    </row>
    <row r="50" customFormat="false" ht="15" hidden="false" customHeight="false" outlineLevel="0" collapsed="false">
      <c r="A50" s="32" t="s">
        <v>189</v>
      </c>
      <c r="B50" s="32" t="s">
        <v>205</v>
      </c>
      <c r="C50" s="32" t="s">
        <v>161</v>
      </c>
      <c r="D50" s="59" t="n">
        <f aca="false">ROUND(S50*T50,0)</f>
        <v>3273</v>
      </c>
      <c r="E50" s="59" t="n">
        <f aca="false">ROUND(S50,0)-D50</f>
        <v>4624</v>
      </c>
      <c r="F50" s="59" t="n">
        <f aca="false">IF(COUNTA(D50:E50)=0,"",SUM(D50:E50))</f>
        <v>7897</v>
      </c>
      <c r="G50" s="40" t="n">
        <f aca="false">IF(OR(F50="",F50=0),"",D50/F50)</f>
        <v>0.414461187792833</v>
      </c>
      <c r="H50" s="40" t="n">
        <f aca="false">IF(OR(F50="",F50=0),"",E50/F50)</f>
        <v>0.585538812207167</v>
      </c>
      <c r="I50" s="32" t="s">
        <v>162</v>
      </c>
      <c r="J50" s="36" t="n">
        <v>1.35112788665076</v>
      </c>
      <c r="K50" s="36" t="n">
        <f aca="false">$K$8</f>
        <v>1.27451386687379</v>
      </c>
      <c r="L50" s="36" t="n">
        <f aca="false">SQRT(J50^2+K50^2)</f>
        <v>1.85739930088792</v>
      </c>
      <c r="M50" s="40" t="n">
        <f aca="false">IF(G50="","",MAX(0,G50-1.96*L50/100))</f>
        <v>0.37805616149543</v>
      </c>
      <c r="N50" s="40" t="n">
        <f aca="false">IF(G50="","",MIN(1,G50+1.96*L50/100))</f>
        <v>0.450866214090236</v>
      </c>
      <c r="O50" s="59" t="n">
        <f aca="false">ROUND(S50*W50,0)</f>
        <v>435</v>
      </c>
      <c r="P50" s="59" t="n">
        <f aca="false">IF(F50="","",ROUND(SQRT((F50*L50/100)^2+(G50*O50)^2),0))</f>
        <v>232</v>
      </c>
      <c r="R50" s="60" t="n">
        <v>-1.20026644695398</v>
      </c>
      <c r="S50" s="61" t="n">
        <f aca="false">U50*V50*$F$5</f>
        <v>7896.5113304721</v>
      </c>
      <c r="T50" s="62" t="n">
        <f aca="false">MAX(0,MIN(1,R50/100+$D$5))</f>
        <v>0.414429647084669</v>
      </c>
      <c r="U50" s="62" t="n">
        <v>0.662403433476395</v>
      </c>
      <c r="V50" s="61" t="n">
        <v>11921</v>
      </c>
      <c r="W50" s="62" t="n">
        <v>0.0551273752894184</v>
      </c>
      <c r="X50" s="63" t="s">
        <v>184</v>
      </c>
      <c r="Y50" s="63" t="s">
        <v>164</v>
      </c>
    </row>
    <row r="51" customFormat="false" ht="15" hidden="false" customHeight="false" outlineLevel="0" collapsed="false">
      <c r="A51" s="32" t="s">
        <v>189</v>
      </c>
      <c r="B51" s="32" t="s">
        <v>206</v>
      </c>
      <c r="C51" s="32" t="s">
        <v>161</v>
      </c>
      <c r="D51" s="59" t="n">
        <f aca="false">ROUND(S51*T51,0)</f>
        <v>3257</v>
      </c>
      <c r="E51" s="59" t="n">
        <f aca="false">ROUND(S51,0)-D51</f>
        <v>3173</v>
      </c>
      <c r="F51" s="59" t="n">
        <f aca="false">IF(COUNTA(D51:E51)=0,"",SUM(D51:E51))</f>
        <v>6430</v>
      </c>
      <c r="G51" s="40" t="n">
        <f aca="false">IF(OR(F51="",F51=0),"",D51/F51)</f>
        <v>0.506531881804044</v>
      </c>
      <c r="H51" s="40" t="n">
        <f aca="false">IF(OR(F51="",F51=0),"",E51/F51)</f>
        <v>0.493468118195956</v>
      </c>
      <c r="I51" s="32" t="s">
        <v>162</v>
      </c>
      <c r="J51" s="36" t="n">
        <v>1.35112788665076</v>
      </c>
      <c r="K51" s="36" t="n">
        <f aca="false">$K$8</f>
        <v>1.27451386687379</v>
      </c>
      <c r="L51" s="36" t="n">
        <f aca="false">SQRT(J51^2+K51^2)</f>
        <v>1.85739930088792</v>
      </c>
      <c r="M51" s="40" t="n">
        <f aca="false">IF(G51="","",MAX(0,G51-1.96*L51/100))</f>
        <v>0.47012685550664</v>
      </c>
      <c r="N51" s="40" t="n">
        <f aca="false">IF(G51="","",MIN(1,G51+1.96*L51/100))</f>
        <v>0.542936908101447</v>
      </c>
      <c r="O51" s="59" t="n">
        <f aca="false">ROUND(S51*W51,0)</f>
        <v>354</v>
      </c>
      <c r="P51" s="59" t="n">
        <f aca="false">IF(F51="","",ROUND(SQRT((F51*L51/100)^2+(G51*O51)^2),0))</f>
        <v>215</v>
      </c>
      <c r="R51" s="60" t="n">
        <v>8.00816323157906</v>
      </c>
      <c r="S51" s="61" t="n">
        <f aca="false">U51*V51*$F$5</f>
        <v>6429.9709076009</v>
      </c>
      <c r="T51" s="62" t="n">
        <f aca="false">MAX(0,MIN(1,R51/100+$D$5))</f>
        <v>0.506513943869999</v>
      </c>
      <c r="U51" s="62" t="n">
        <v>0.652325343167384</v>
      </c>
      <c r="V51" s="61" t="n">
        <v>9857</v>
      </c>
      <c r="W51" s="62" t="n">
        <v>0.0551273752894184</v>
      </c>
      <c r="X51" s="63" t="s">
        <v>184</v>
      </c>
      <c r="Y51" s="63" t="s">
        <v>164</v>
      </c>
    </row>
    <row r="52" customFormat="false" ht="15" hidden="false" customHeight="false" outlineLevel="0" collapsed="false">
      <c r="A52" s="32" t="s">
        <v>189</v>
      </c>
      <c r="B52" s="32" t="s">
        <v>207</v>
      </c>
      <c r="C52" s="32" t="s">
        <v>161</v>
      </c>
      <c r="D52" s="59" t="n">
        <f aca="false">ROUND(S52*T52,0)</f>
        <v>602</v>
      </c>
      <c r="E52" s="59" t="n">
        <f aca="false">ROUND(S52,0)-D52</f>
        <v>788</v>
      </c>
      <c r="F52" s="59" t="n">
        <f aca="false">IF(COUNTA(D52:E52)=0,"",SUM(D52:E52))</f>
        <v>1390</v>
      </c>
      <c r="G52" s="40" t="n">
        <f aca="false">IF(OR(F52="",F52=0),"",D52/F52)</f>
        <v>0.433093525179856</v>
      </c>
      <c r="H52" s="40" t="n">
        <f aca="false">IF(OR(F52="",F52=0),"",E52/F52)</f>
        <v>0.566906474820144</v>
      </c>
      <c r="I52" s="32" t="s">
        <v>162</v>
      </c>
      <c r="J52" s="36" t="n">
        <v>1.55923598199766</v>
      </c>
      <c r="K52" s="36" t="n">
        <f aca="false">$K$8</f>
        <v>1.27451386687379</v>
      </c>
      <c r="L52" s="36" t="n">
        <f aca="false">SQRT(J52^2+K52^2)</f>
        <v>2.01385263721301</v>
      </c>
      <c r="M52" s="40" t="n">
        <f aca="false">IF(G52="","",MAX(0,G52-1.96*L52/100))</f>
        <v>0.393622013490481</v>
      </c>
      <c r="N52" s="40" t="n">
        <f aca="false">IF(G52="","",MIN(1,G52+1.96*L52/100))</f>
        <v>0.472565036869231</v>
      </c>
      <c r="O52" s="59" t="n">
        <f aca="false">ROUND(S52*W52,0)</f>
        <v>84</v>
      </c>
      <c r="P52" s="59" t="n">
        <f aca="false">IF(F52="","",ROUND(SQRT((F52*L52/100)^2+(G52*O52)^2),0))</f>
        <v>46</v>
      </c>
      <c r="R52" s="60" t="n">
        <v>0.687058189187033</v>
      </c>
      <c r="S52" s="61" t="n">
        <f aca="false">U52*V52*$F$5</f>
        <v>1390.15942028986</v>
      </c>
      <c r="T52" s="62" t="n">
        <f aca="false">MAX(0,MIN(1,R52/100+$D$5))</f>
        <v>0.433302893446079</v>
      </c>
      <c r="U52" s="62" t="n">
        <v>0.529181355268312</v>
      </c>
      <c r="V52" s="61" t="n">
        <v>2627</v>
      </c>
      <c r="W52" s="62" t="n">
        <v>0.0606122259008943</v>
      </c>
      <c r="X52" s="63" t="s">
        <v>168</v>
      </c>
      <c r="Y52" s="63" t="s">
        <v>164</v>
      </c>
    </row>
    <row r="53" customFormat="false" ht="15" hidden="false" customHeight="false" outlineLevel="0" collapsed="false">
      <c r="A53" s="32" t="s">
        <v>189</v>
      </c>
      <c r="B53" s="32" t="s">
        <v>208</v>
      </c>
      <c r="C53" s="32" t="s">
        <v>161</v>
      </c>
      <c r="D53" s="59" t="n">
        <f aca="false">ROUND(S53*T53,0)</f>
        <v>5725</v>
      </c>
      <c r="E53" s="59" t="n">
        <f aca="false">ROUND(S53,0)-D53</f>
        <v>4761</v>
      </c>
      <c r="F53" s="59" t="n">
        <f aca="false">IF(COUNTA(D53:E53)=0,"",SUM(D53:E53))</f>
        <v>10486</v>
      </c>
      <c r="G53" s="40" t="n">
        <f aca="false">IF(OR(F53="",F53=0),"",D53/F53)</f>
        <v>0.54596604997139</v>
      </c>
      <c r="H53" s="40" t="n">
        <f aca="false">IF(OR(F53="",F53=0),"",E53/F53)</f>
        <v>0.45403395002861</v>
      </c>
      <c r="I53" s="32" t="s">
        <v>162</v>
      </c>
      <c r="J53" s="36" t="n">
        <v>1.35112788665076</v>
      </c>
      <c r="K53" s="36" t="n">
        <f aca="false">$K$8</f>
        <v>1.27451386687379</v>
      </c>
      <c r="L53" s="36" t="n">
        <f aca="false">SQRT(J53^2+K53^2)</f>
        <v>1.85739930088792</v>
      </c>
      <c r="M53" s="40" t="n">
        <f aca="false">IF(G53="","",MAX(0,G53-1.96*L53/100))</f>
        <v>0.509561023673987</v>
      </c>
      <c r="N53" s="40" t="n">
        <f aca="false">IF(G53="","",MIN(1,G53+1.96*L53/100))</f>
        <v>0.582371076268794</v>
      </c>
      <c r="O53" s="59" t="n">
        <f aca="false">ROUND(S53*W53,0)</f>
        <v>578</v>
      </c>
      <c r="P53" s="59" t="n">
        <f aca="false">IF(F53="","",ROUND(SQRT((F53*L53/100)^2+(G53*O53)^2),0))</f>
        <v>371</v>
      </c>
      <c r="R53" s="60" t="n">
        <v>11.9488468423911</v>
      </c>
      <c r="S53" s="61" t="n">
        <f aca="false">U53*V53*$F$5</f>
        <v>10486.1559171025</v>
      </c>
      <c r="T53" s="62" t="n">
        <f aca="false">MAX(0,MIN(1,R53/100+$D$5))</f>
        <v>0.54592077997812</v>
      </c>
      <c r="U53" s="62" t="n">
        <v>0.653302343598683</v>
      </c>
      <c r="V53" s="61" t="n">
        <v>16051</v>
      </c>
      <c r="W53" s="62" t="n">
        <v>0.0551273752894184</v>
      </c>
      <c r="X53" s="63" t="s">
        <v>184</v>
      </c>
      <c r="Y53" s="63" t="s">
        <v>164</v>
      </c>
    </row>
    <row r="54" customFormat="false" ht="15" hidden="false" customHeight="false" outlineLevel="0" collapsed="false">
      <c r="A54" s="32" t="s">
        <v>189</v>
      </c>
      <c r="B54" s="32" t="s">
        <v>209</v>
      </c>
      <c r="C54" s="32" t="s">
        <v>161</v>
      </c>
      <c r="D54" s="59" t="n">
        <f aca="false">ROUND(S54*T54,0)</f>
        <v>6298</v>
      </c>
      <c r="E54" s="59" t="n">
        <f aca="false">ROUND(S54,0)-D54</f>
        <v>5732</v>
      </c>
      <c r="F54" s="59" t="n">
        <f aca="false">IF(COUNTA(D54:E54)=0,"",SUM(D54:E54))</f>
        <v>12030</v>
      </c>
      <c r="G54" s="40" t="n">
        <f aca="false">IF(OR(F54="",F54=0),"",D54/F54)</f>
        <v>0.523524522028263</v>
      </c>
      <c r="H54" s="40" t="n">
        <f aca="false">IF(OR(F54="",F54=0),"",E54/F54)</f>
        <v>0.476475477971737</v>
      </c>
      <c r="I54" s="32" t="s">
        <v>162</v>
      </c>
      <c r="J54" s="36" t="n">
        <v>1.35112788665076</v>
      </c>
      <c r="K54" s="36" t="n">
        <f aca="false">$K$8</f>
        <v>1.27451386687379</v>
      </c>
      <c r="L54" s="36" t="n">
        <f aca="false">SQRT(J54^2+K54^2)</f>
        <v>1.85739930088792</v>
      </c>
      <c r="M54" s="40" t="n">
        <f aca="false">IF(G54="","",MAX(0,G54-1.96*L54/100))</f>
        <v>0.48711949573086</v>
      </c>
      <c r="N54" s="40" t="n">
        <f aca="false">IF(G54="","",MIN(1,G54+1.96*L54/100))</f>
        <v>0.559929548325666</v>
      </c>
      <c r="O54" s="59" t="n">
        <f aca="false">ROUND(S54*W54,0)</f>
        <v>663</v>
      </c>
      <c r="P54" s="59" t="n">
        <f aca="false">IF(F54="","",ROUND(SQRT((F54*L54/100)^2+(G54*O54)^2),0))</f>
        <v>413</v>
      </c>
      <c r="R54" s="60" t="n">
        <v>9.70828759175584</v>
      </c>
      <c r="S54" s="61" t="n">
        <f aca="false">U54*V54*$F$5</f>
        <v>12030.3346699902</v>
      </c>
      <c r="T54" s="62" t="n">
        <f aca="false">MAX(0,MIN(1,R54/100+$D$5))</f>
        <v>0.523515187471767</v>
      </c>
      <c r="U54" s="62" t="n">
        <v>0.610490950471443</v>
      </c>
      <c r="V54" s="61" t="n">
        <v>19706</v>
      </c>
      <c r="W54" s="62" t="n">
        <v>0.0551273752894184</v>
      </c>
      <c r="X54" s="63" t="s">
        <v>184</v>
      </c>
      <c r="Y54" s="63" t="s">
        <v>164</v>
      </c>
    </row>
    <row r="55" customFormat="false" ht="15" hidden="false" customHeight="false" outlineLevel="0" collapsed="false">
      <c r="A55" s="32" t="s">
        <v>189</v>
      </c>
      <c r="B55" s="32" t="s">
        <v>210</v>
      </c>
      <c r="C55" s="32" t="s">
        <v>161</v>
      </c>
      <c r="D55" s="59" t="n">
        <f aca="false">ROUND(S55*T55,0)</f>
        <v>2009</v>
      </c>
      <c r="E55" s="59" t="n">
        <f aca="false">ROUND(S55,0)-D55</f>
        <v>2605</v>
      </c>
      <c r="F55" s="59" t="n">
        <f aca="false">IF(COUNTA(D55:E55)=0,"",SUM(D55:E55))</f>
        <v>4614</v>
      </c>
      <c r="G55" s="40" t="n">
        <f aca="false">IF(OR(F55="",F55=0),"",D55/F55)</f>
        <v>0.43541395752059</v>
      </c>
      <c r="H55" s="40" t="n">
        <f aca="false">IF(OR(F55="",F55=0),"",E55/F55)</f>
        <v>0.564586042479411</v>
      </c>
      <c r="I55" s="32" t="s">
        <v>162</v>
      </c>
      <c r="J55" s="36" t="n">
        <v>1.35112788665076</v>
      </c>
      <c r="K55" s="36" t="n">
        <f aca="false">$K$8</f>
        <v>1.27451386687379</v>
      </c>
      <c r="L55" s="36" t="n">
        <f aca="false">SQRT(J55^2+K55^2)</f>
        <v>1.85739930088792</v>
      </c>
      <c r="M55" s="40" t="n">
        <f aca="false">IF(G55="","",MAX(0,G55-1.96*L55/100))</f>
        <v>0.399008931223186</v>
      </c>
      <c r="N55" s="40" t="n">
        <f aca="false">IF(G55="","",MIN(1,G55+1.96*L55/100))</f>
        <v>0.471818983817993</v>
      </c>
      <c r="O55" s="59" t="n">
        <f aca="false">ROUND(S55*W55,0)</f>
        <v>254</v>
      </c>
      <c r="P55" s="59" t="n">
        <f aca="false">IF(F55="","",ROUND(SQRT((F55*L55/100)^2+(G55*O55)^2),0))</f>
        <v>140</v>
      </c>
      <c r="R55" s="60" t="n">
        <v>0.892596645086185</v>
      </c>
      <c r="S55" s="61" t="n">
        <f aca="false">U55*V55*$F$5</f>
        <v>4613.50991276765</v>
      </c>
      <c r="T55" s="62" t="n">
        <f aca="false">MAX(0,MIN(1,R55/100+$D$5))</f>
        <v>0.43535827800507</v>
      </c>
      <c r="U55" s="62" t="n">
        <v>0.71086439333862</v>
      </c>
      <c r="V55" s="61" t="n">
        <v>6490</v>
      </c>
      <c r="W55" s="62" t="n">
        <v>0.0551273752894184</v>
      </c>
      <c r="X55" s="63" t="s">
        <v>184</v>
      </c>
      <c r="Y55" s="63" t="s">
        <v>164</v>
      </c>
    </row>
    <row r="56" customFormat="false" ht="15" hidden="false" customHeight="false" outlineLevel="0" collapsed="false">
      <c r="A56" s="32" t="s">
        <v>189</v>
      </c>
      <c r="B56" s="32" t="s">
        <v>211</v>
      </c>
      <c r="C56" s="32" t="s">
        <v>161</v>
      </c>
      <c r="D56" s="59" t="n">
        <f aca="false">ROUND(S56*T56,0)</f>
        <v>4605</v>
      </c>
      <c r="E56" s="59" t="n">
        <f aca="false">ROUND(S56,0)-D56</f>
        <v>4739</v>
      </c>
      <c r="F56" s="59" t="n">
        <f aca="false">IF(COUNTA(D56:E56)=0,"",SUM(D56:E56))</f>
        <v>9344</v>
      </c>
      <c r="G56" s="40" t="n">
        <f aca="false">IF(OR(F56="",F56=0),"",D56/F56)</f>
        <v>0.492829623287671</v>
      </c>
      <c r="H56" s="40" t="n">
        <f aca="false">IF(OR(F56="",F56=0),"",E56/F56)</f>
        <v>0.507170376712329</v>
      </c>
      <c r="I56" s="32" t="s">
        <v>162</v>
      </c>
      <c r="J56" s="36" t="n">
        <v>1.35112788665076</v>
      </c>
      <c r="K56" s="36" t="n">
        <f aca="false">$K$8</f>
        <v>1.27451386687379</v>
      </c>
      <c r="L56" s="36" t="n">
        <f aca="false">SQRT(J56^2+K56^2)</f>
        <v>1.85739930088792</v>
      </c>
      <c r="M56" s="40" t="n">
        <f aca="false">IF(G56="","",MAX(0,G56-1.96*L56/100))</f>
        <v>0.456424596990268</v>
      </c>
      <c r="N56" s="40" t="n">
        <f aca="false">IF(G56="","",MIN(1,G56+1.96*L56/100))</f>
        <v>0.529234649585074</v>
      </c>
      <c r="O56" s="59" t="n">
        <f aca="false">ROUND(S56*W56,0)</f>
        <v>515</v>
      </c>
      <c r="P56" s="59" t="n">
        <f aca="false">IF(F56="","",ROUND(SQRT((F56*L56/100)^2+(G56*O56)^2),0))</f>
        <v>307</v>
      </c>
      <c r="R56" s="60" t="n">
        <v>6.64299219255706</v>
      </c>
      <c r="S56" s="61" t="n">
        <f aca="false">U56*V56*$F$5</f>
        <v>9343.93860561915</v>
      </c>
      <c r="T56" s="62" t="n">
        <f aca="false">MAX(0,MIN(1,R56/100+$D$5))</f>
        <v>0.492862233479779</v>
      </c>
      <c r="U56" s="62" t="n">
        <v>0.702393340270552</v>
      </c>
      <c r="V56" s="61" t="n">
        <v>13303</v>
      </c>
      <c r="W56" s="62" t="n">
        <v>0.0551273752894184</v>
      </c>
      <c r="X56" s="63" t="s">
        <v>184</v>
      </c>
      <c r="Y56" s="63" t="s">
        <v>164</v>
      </c>
    </row>
    <row r="57" customFormat="false" ht="15" hidden="false" customHeight="false" outlineLevel="0" collapsed="false">
      <c r="A57" s="32" t="s">
        <v>189</v>
      </c>
      <c r="B57" s="32" t="s">
        <v>212</v>
      </c>
      <c r="C57" s="32" t="s">
        <v>161</v>
      </c>
      <c r="D57" s="59" t="n">
        <f aca="false">ROUND(S57*T57,0)</f>
        <v>1060</v>
      </c>
      <c r="E57" s="59" t="n">
        <f aca="false">ROUND(S57,0)-D57</f>
        <v>2043</v>
      </c>
      <c r="F57" s="59" t="n">
        <f aca="false">IF(COUNTA(D57:E57)=0,"",SUM(D57:E57))</f>
        <v>3103</v>
      </c>
      <c r="G57" s="40" t="n">
        <f aca="false">IF(OR(F57="",F57=0),"",D57/F57)</f>
        <v>0.341604898485337</v>
      </c>
      <c r="H57" s="40" t="n">
        <f aca="false">IF(OR(F57="",F57=0),"",E57/F57)</f>
        <v>0.658395101514663</v>
      </c>
      <c r="I57" s="32" t="s">
        <v>162</v>
      </c>
      <c r="J57" s="36" t="n">
        <v>1.35112788665076</v>
      </c>
      <c r="K57" s="36" t="n">
        <f aca="false">$K$8</f>
        <v>1.27451386687379</v>
      </c>
      <c r="L57" s="36" t="n">
        <f aca="false">SQRT(J57^2+K57^2)</f>
        <v>1.85739930088792</v>
      </c>
      <c r="M57" s="40" t="n">
        <f aca="false">IF(G57="","",MAX(0,G57-1.96*L57/100))</f>
        <v>0.305199872187934</v>
      </c>
      <c r="N57" s="40" t="n">
        <f aca="false">IF(G57="","",MIN(1,G57+1.96*L57/100))</f>
        <v>0.37800992478274</v>
      </c>
      <c r="O57" s="59" t="n">
        <f aca="false">ROUND(S57*W57,0)</f>
        <v>171</v>
      </c>
      <c r="P57" s="59" t="n">
        <f aca="false">IF(F57="","",ROUND(SQRT((F57*L57/100)^2+(G57*O57)^2),0))</f>
        <v>82</v>
      </c>
      <c r="R57" s="60" t="n">
        <v>-8.46810771479865</v>
      </c>
      <c r="S57" s="61" t="n">
        <f aca="false">U57*V57*$F$5</f>
        <v>3102.86358754028</v>
      </c>
      <c r="T57" s="62" t="n">
        <f aca="false">MAX(0,MIN(1,R57/100+$D$5))</f>
        <v>0.341751234406222</v>
      </c>
      <c r="U57" s="62" t="n">
        <v>0.645757250268529</v>
      </c>
      <c r="V57" s="61" t="n">
        <v>4805</v>
      </c>
      <c r="W57" s="62" t="n">
        <v>0.0551273752894184</v>
      </c>
      <c r="X57" s="63" t="s">
        <v>184</v>
      </c>
      <c r="Y57" s="63" t="s">
        <v>164</v>
      </c>
    </row>
    <row r="58" customFormat="false" ht="15" hidden="false" customHeight="false" outlineLevel="0" collapsed="false">
      <c r="A58" s="32" t="s">
        <v>189</v>
      </c>
      <c r="B58" s="32" t="s">
        <v>213</v>
      </c>
      <c r="C58" s="32" t="s">
        <v>161</v>
      </c>
      <c r="D58" s="59" t="n">
        <f aca="false">ROUND(S58*T58,0)</f>
        <v>995</v>
      </c>
      <c r="E58" s="59" t="n">
        <f aca="false">ROUND(S58,0)-D58</f>
        <v>1745</v>
      </c>
      <c r="F58" s="59" t="n">
        <f aca="false">IF(COUNTA(D58:E58)=0,"",SUM(D58:E58))</f>
        <v>2740</v>
      </c>
      <c r="G58" s="40" t="n">
        <f aca="false">IF(OR(F58="",F58=0),"",D58/F58)</f>
        <v>0.363138686131387</v>
      </c>
      <c r="H58" s="40" t="n">
        <f aca="false">IF(OR(F58="",F58=0),"",E58/F58)</f>
        <v>0.636861313868613</v>
      </c>
      <c r="I58" s="32" t="s">
        <v>162</v>
      </c>
      <c r="J58" s="36" t="n">
        <v>1.55923598199766</v>
      </c>
      <c r="K58" s="36" t="n">
        <f aca="false">$K$8</f>
        <v>1.27451386687379</v>
      </c>
      <c r="L58" s="36" t="n">
        <f aca="false">SQRT(J58^2+K58^2)</f>
        <v>2.01385263721301</v>
      </c>
      <c r="M58" s="40" t="n">
        <f aca="false">IF(G58="","",MAX(0,G58-1.96*L58/100))</f>
        <v>0.323667174442012</v>
      </c>
      <c r="N58" s="40" t="n">
        <f aca="false">IF(G58="","",MIN(1,G58+1.96*L58/100))</f>
        <v>0.402610197820762</v>
      </c>
      <c r="O58" s="59" t="n">
        <f aca="false">ROUND(S58*W58,0)</f>
        <v>166</v>
      </c>
      <c r="P58" s="59" t="n">
        <f aca="false">IF(F58="","",ROUND(SQRT((F58*L58/100)^2+(G58*O58)^2),0))</f>
        <v>82</v>
      </c>
      <c r="R58" s="60" t="n">
        <v>-6.32762366091597</v>
      </c>
      <c r="S58" s="61" t="n">
        <f aca="false">U58*V58*$F$5</f>
        <v>2739.5017118778</v>
      </c>
      <c r="T58" s="62" t="n">
        <f aca="false">MAX(0,MIN(1,R58/100+$D$5))</f>
        <v>0.363156074945049</v>
      </c>
      <c r="U58" s="62" t="n">
        <v>0.708980774295496</v>
      </c>
      <c r="V58" s="61" t="n">
        <v>3864</v>
      </c>
      <c r="W58" s="62" t="n">
        <v>0.0606122259008943</v>
      </c>
      <c r="X58" s="63" t="s">
        <v>168</v>
      </c>
      <c r="Y58" s="63" t="s">
        <v>164</v>
      </c>
    </row>
    <row r="59" customFormat="false" ht="15" hidden="false" customHeight="false" outlineLevel="0" collapsed="false">
      <c r="A59" s="32" t="s">
        <v>189</v>
      </c>
      <c r="B59" s="32" t="s">
        <v>214</v>
      </c>
      <c r="C59" s="32" t="s">
        <v>161</v>
      </c>
      <c r="D59" s="59" t="n">
        <f aca="false">ROUND(S59*T59,0)</f>
        <v>5475</v>
      </c>
      <c r="E59" s="59" t="n">
        <f aca="false">ROUND(S59,0)-D59</f>
        <v>5029</v>
      </c>
      <c r="F59" s="59" t="n">
        <f aca="false">IF(COUNTA(D59:E59)=0,"",SUM(D59:E59))</f>
        <v>10504</v>
      </c>
      <c r="G59" s="40" t="n">
        <f aca="false">IF(OR(F59="",F59=0),"",D59/F59)</f>
        <v>0.521230007616146</v>
      </c>
      <c r="H59" s="40" t="n">
        <f aca="false">IF(OR(F59="",F59=0),"",E59/F59)</f>
        <v>0.478769992383854</v>
      </c>
      <c r="I59" s="32" t="s">
        <v>162</v>
      </c>
      <c r="J59" s="36" t="n">
        <v>1.35112788665076</v>
      </c>
      <c r="K59" s="36" t="n">
        <f aca="false">$K$8</f>
        <v>1.27451386687379</v>
      </c>
      <c r="L59" s="36" t="n">
        <f aca="false">SQRT(J59^2+K59^2)</f>
        <v>1.85739930088792</v>
      </c>
      <c r="M59" s="40" t="n">
        <f aca="false">IF(G59="","",MAX(0,G59-1.96*L59/100))</f>
        <v>0.484824981318743</v>
      </c>
      <c r="N59" s="40" t="n">
        <f aca="false">IF(G59="","",MIN(1,G59+1.96*L59/100))</f>
        <v>0.557635033913549</v>
      </c>
      <c r="O59" s="59" t="n">
        <f aca="false">ROUND(S59*W59,0)</f>
        <v>579</v>
      </c>
      <c r="P59" s="59" t="n">
        <f aca="false">IF(F59="","",ROUND(SQRT((F59*L59/100)^2+(G59*O59)^2),0))</f>
        <v>359</v>
      </c>
      <c r="R59" s="60" t="n">
        <v>9.48185306033623</v>
      </c>
      <c r="S59" s="61" t="n">
        <f aca="false">U59*V59*$F$5</f>
        <v>10504.2978562557</v>
      </c>
      <c r="T59" s="62" t="n">
        <f aca="false">MAX(0,MIN(1,R59/100+$D$5))</f>
        <v>0.521250842157571</v>
      </c>
      <c r="U59" s="62" t="n">
        <v>0.555753550407689</v>
      </c>
      <c r="V59" s="61" t="n">
        <v>18901</v>
      </c>
      <c r="W59" s="62" t="n">
        <v>0.0551273752894184</v>
      </c>
      <c r="X59" s="63" t="s">
        <v>184</v>
      </c>
      <c r="Y59" s="63" t="s">
        <v>164</v>
      </c>
    </row>
    <row r="60" customFormat="false" ht="15" hidden="false" customHeight="false" outlineLevel="0" collapsed="false">
      <c r="A60" s="32" t="s">
        <v>215</v>
      </c>
      <c r="B60" s="32" t="s">
        <v>216</v>
      </c>
      <c r="C60" s="32" t="s">
        <v>161</v>
      </c>
      <c r="D60" s="59" t="n">
        <f aca="false">ROUND(S60*T60,0)</f>
        <v>374</v>
      </c>
      <c r="E60" s="59" t="n">
        <f aca="false">ROUND(S60,0)-D60</f>
        <v>860</v>
      </c>
      <c r="F60" s="59" t="n">
        <f aca="false">IF(COUNTA(D60:E60)=0,"",SUM(D60:E60))</f>
        <v>1234</v>
      </c>
      <c r="G60" s="40" t="n">
        <f aca="false">IF(OR(F60="",F60=0),"",D60/F60)</f>
        <v>0.303079416531605</v>
      </c>
      <c r="H60" s="40" t="n">
        <f aca="false">IF(OR(F60="",F60=0),"",E60/F60)</f>
        <v>0.696920583468396</v>
      </c>
      <c r="I60" s="32" t="s">
        <v>162</v>
      </c>
      <c r="J60" s="36" t="n">
        <v>2.73663407218982</v>
      </c>
      <c r="K60" s="36" t="n">
        <f aca="false">$K$8</f>
        <v>1.27451386687379</v>
      </c>
      <c r="L60" s="36" t="n">
        <f aca="false">SQRT(J60^2+K60^2)</f>
        <v>3.01886595295714</v>
      </c>
      <c r="M60" s="40" t="n">
        <f aca="false">IF(G60="","",MAX(0,G60-1.96*L60/100))</f>
        <v>0.243909643853645</v>
      </c>
      <c r="N60" s="40" t="n">
        <f aca="false">IF(G60="","",MIN(1,G60+1.96*L60/100))</f>
        <v>0.362249189209565</v>
      </c>
      <c r="O60" s="59" t="n">
        <f aca="false">ROUND(S60*W60,0)</f>
        <v>96</v>
      </c>
      <c r="P60" s="59" t="n">
        <f aca="false">IF(F60="","",ROUND(SQRT((F60*L60/100)^2+(G60*O60)^2),0))</f>
        <v>47</v>
      </c>
      <c r="R60" s="60" t="n">
        <v>-12.3118894891216</v>
      </c>
      <c r="S60" s="61" t="n">
        <f aca="false">U60*V60*$F$5</f>
        <v>1234.45226917058</v>
      </c>
      <c r="T60" s="62" t="n">
        <f aca="false">MAX(0,MIN(1,R60/100+$D$5))</f>
        <v>0.303313416662993</v>
      </c>
      <c r="U60" s="62" t="n">
        <v>0.618153364632238</v>
      </c>
      <c r="V60" s="61" t="n">
        <v>1997</v>
      </c>
      <c r="W60" s="62" t="n">
        <v>0.0777040344688333</v>
      </c>
      <c r="X60" s="63" t="s">
        <v>163</v>
      </c>
      <c r="Y60" s="63" t="s">
        <v>217</v>
      </c>
    </row>
    <row r="61" customFormat="false" ht="15" hidden="false" customHeight="false" outlineLevel="0" collapsed="false">
      <c r="A61" s="32" t="s">
        <v>215</v>
      </c>
      <c r="B61" s="32" t="s">
        <v>218</v>
      </c>
      <c r="C61" s="32" t="s">
        <v>161</v>
      </c>
      <c r="D61" s="59" t="n">
        <f aca="false">ROUND(S61*T61,0)</f>
        <v>1084</v>
      </c>
      <c r="E61" s="59" t="n">
        <f aca="false">ROUND(S61,0)-D61</f>
        <v>2066</v>
      </c>
      <c r="F61" s="59" t="n">
        <f aca="false">IF(COUNTA(D61:E61)=0,"",SUM(D61:E61))</f>
        <v>3150</v>
      </c>
      <c r="G61" s="40" t="n">
        <f aca="false">IF(OR(F61="",F61=0),"",D61/F61)</f>
        <v>0.344126984126984</v>
      </c>
      <c r="H61" s="40" t="n">
        <f aca="false">IF(OR(F61="",F61=0),"",E61/F61)</f>
        <v>0.655873015873016</v>
      </c>
      <c r="I61" s="32" t="s">
        <v>162</v>
      </c>
      <c r="J61" s="36" t="n">
        <v>1.35112788665076</v>
      </c>
      <c r="K61" s="36" t="n">
        <f aca="false">$K$8</f>
        <v>1.27451386687379</v>
      </c>
      <c r="L61" s="36" t="n">
        <f aca="false">SQRT(J61^2+K61^2)</f>
        <v>1.85739930088792</v>
      </c>
      <c r="M61" s="40" t="n">
        <f aca="false">IF(G61="","",MAX(0,G61-1.96*L61/100))</f>
        <v>0.307721957829581</v>
      </c>
      <c r="N61" s="40" t="n">
        <f aca="false">IF(G61="","",MIN(1,G61+1.96*L61/100))</f>
        <v>0.380532010424387</v>
      </c>
      <c r="O61" s="59" t="n">
        <f aca="false">ROUND(S61*W61,0)</f>
        <v>174</v>
      </c>
      <c r="P61" s="59" t="n">
        <f aca="false">IF(F61="","",ROUND(SQRT((F61*L61/100)^2+(G61*O61)^2),0))</f>
        <v>84</v>
      </c>
      <c r="R61" s="60" t="n">
        <v>-8.24180657813866</v>
      </c>
      <c r="S61" s="61" t="n">
        <f aca="false">U61*V61*$F$5</f>
        <v>3150.44851429639</v>
      </c>
      <c r="T61" s="62" t="n">
        <f aca="false">MAX(0,MIN(1,R61/100+$D$5))</f>
        <v>0.344014245772822</v>
      </c>
      <c r="U61" s="62" t="n">
        <v>0.56157727527565</v>
      </c>
      <c r="V61" s="61" t="n">
        <v>5610</v>
      </c>
      <c r="W61" s="62" t="n">
        <v>0.0551273752894184</v>
      </c>
      <c r="X61" s="63" t="s">
        <v>184</v>
      </c>
      <c r="Y61" s="63" t="s">
        <v>217</v>
      </c>
    </row>
    <row r="62" customFormat="false" ht="15" hidden="false" customHeight="false" outlineLevel="0" collapsed="false">
      <c r="A62" s="32" t="s">
        <v>215</v>
      </c>
      <c r="B62" s="32" t="s">
        <v>219</v>
      </c>
      <c r="C62" s="32" t="s">
        <v>161</v>
      </c>
      <c r="D62" s="59" t="n">
        <f aca="false">ROUND(S62*T62,0)</f>
        <v>396</v>
      </c>
      <c r="E62" s="59" t="n">
        <f aca="false">ROUND(S62,0)-D62</f>
        <v>775</v>
      </c>
      <c r="F62" s="59" t="n">
        <f aca="false">IF(COUNTA(D62:E62)=0,"",SUM(D62:E62))</f>
        <v>1171</v>
      </c>
      <c r="G62" s="40" t="n">
        <f aca="false">IF(OR(F62="",F62=0),"",D62/F62)</f>
        <v>0.338172502134927</v>
      </c>
      <c r="H62" s="40" t="n">
        <f aca="false">IF(OR(F62="",F62=0),"",E62/F62)</f>
        <v>0.661827497865073</v>
      </c>
      <c r="I62" s="32" t="s">
        <v>162</v>
      </c>
      <c r="J62" s="36" t="n">
        <v>2.73663407218982</v>
      </c>
      <c r="K62" s="36" t="n">
        <f aca="false">$K$8</f>
        <v>1.27451386687379</v>
      </c>
      <c r="L62" s="36" t="n">
        <f aca="false">SQRT(J62^2+K62^2)</f>
        <v>3.01886595295714</v>
      </c>
      <c r="M62" s="40" t="n">
        <f aca="false">IF(G62="","",MAX(0,G62-1.96*L62/100))</f>
        <v>0.279002729456967</v>
      </c>
      <c r="N62" s="40" t="n">
        <f aca="false">IF(G62="","",MIN(1,G62+1.96*L62/100))</f>
        <v>0.397342274812887</v>
      </c>
      <c r="O62" s="59" t="n">
        <f aca="false">ROUND(S62*W62,0)</f>
        <v>91</v>
      </c>
      <c r="P62" s="59" t="n">
        <f aca="false">IF(F62="","",ROUND(SQRT((F62*L62/100)^2+(G62*O62)^2),0))</f>
        <v>47</v>
      </c>
      <c r="R62" s="60" t="n">
        <v>-8.86010821945891</v>
      </c>
      <c r="S62" s="61" t="n">
        <f aca="false">U62*V62*$F$5</f>
        <v>1170.82273494654</v>
      </c>
      <c r="T62" s="62" t="n">
        <f aca="false">MAX(0,MIN(1,R62/100+$D$5))</f>
        <v>0.337831229359619</v>
      </c>
      <c r="U62" s="62" t="n">
        <v>0.625773776027012</v>
      </c>
      <c r="V62" s="61" t="n">
        <v>1871</v>
      </c>
      <c r="W62" s="62" t="n">
        <v>0.0777040344688333</v>
      </c>
      <c r="X62" s="63" t="s">
        <v>163</v>
      </c>
      <c r="Y62" s="63" t="s">
        <v>217</v>
      </c>
    </row>
    <row r="63" customFormat="false" ht="15" hidden="false" customHeight="false" outlineLevel="0" collapsed="false">
      <c r="A63" s="32" t="s">
        <v>220</v>
      </c>
      <c r="B63" s="32" t="s">
        <v>221</v>
      </c>
      <c r="C63" s="32" t="s">
        <v>161</v>
      </c>
      <c r="D63" s="59" t="n">
        <f aca="false">ROUND(S63*T63,0)</f>
        <v>1182</v>
      </c>
      <c r="E63" s="59" t="n">
        <f aca="false">ROUND(S63,0)-D63</f>
        <v>1525</v>
      </c>
      <c r="F63" s="59" t="n">
        <f aca="false">IF(COUNTA(D63:E63)=0,"",SUM(D63:E63))</f>
        <v>2707</v>
      </c>
      <c r="G63" s="40" t="n">
        <f aca="false">IF(OR(F63="",F63=0),"",D63/F63)</f>
        <v>0.436645733284078</v>
      </c>
      <c r="H63" s="40" t="n">
        <f aca="false">IF(OR(F63="",F63=0),"",E63/F63)</f>
        <v>0.563354266715922</v>
      </c>
      <c r="I63" s="32" t="s">
        <v>162</v>
      </c>
      <c r="J63" s="36" t="n">
        <v>1.55923598199766</v>
      </c>
      <c r="K63" s="36" t="n">
        <f aca="false">$K$8</f>
        <v>1.27451386687379</v>
      </c>
      <c r="L63" s="36" t="n">
        <f aca="false">SQRT(J63^2+K63^2)</f>
        <v>2.01385263721301</v>
      </c>
      <c r="M63" s="40" t="n">
        <f aca="false">IF(G63="","",MAX(0,G63-1.96*L63/100))</f>
        <v>0.397174221594703</v>
      </c>
      <c r="N63" s="40" t="n">
        <f aca="false">IF(G63="","",MIN(1,G63+1.96*L63/100))</f>
        <v>0.476117244973453</v>
      </c>
      <c r="O63" s="59" t="n">
        <f aca="false">ROUND(S63*W63,0)</f>
        <v>164</v>
      </c>
      <c r="P63" s="59" t="n">
        <f aca="false">IF(F63="","",ROUND(SQRT((F63*L63/100)^2+(G63*O63)^2),0))</f>
        <v>90</v>
      </c>
      <c r="R63" s="60" t="n">
        <v>1.02811740797874</v>
      </c>
      <c r="S63" s="61" t="n">
        <f aca="false">U63*V63*$F$5</f>
        <v>2707.41725054361</v>
      </c>
      <c r="T63" s="62" t="n">
        <f aca="false">MAX(0,MIN(1,R63/100+$D$5))</f>
        <v>0.436713485633996</v>
      </c>
      <c r="U63" s="62" t="n">
        <v>0.628171055810582</v>
      </c>
      <c r="V63" s="61" t="n">
        <v>4310</v>
      </c>
      <c r="W63" s="62" t="n">
        <v>0.0606122259008943</v>
      </c>
      <c r="X63" s="63" t="s">
        <v>168</v>
      </c>
      <c r="Y63" s="63" t="s">
        <v>164</v>
      </c>
    </row>
    <row r="64" customFormat="false" ht="15" hidden="false" customHeight="false" outlineLevel="0" collapsed="false">
      <c r="A64" s="32" t="s">
        <v>220</v>
      </c>
      <c r="B64" s="32" t="s">
        <v>222</v>
      </c>
      <c r="C64" s="32" t="s">
        <v>161</v>
      </c>
      <c r="D64" s="59" t="n">
        <f aca="false">ROUND(S64*T64,0)</f>
        <v>713</v>
      </c>
      <c r="E64" s="59" t="n">
        <f aca="false">ROUND(S64,0)-D64</f>
        <v>975</v>
      </c>
      <c r="F64" s="59" t="n">
        <f aca="false">IF(COUNTA(D64:E64)=0,"",SUM(D64:E64))</f>
        <v>1688</v>
      </c>
      <c r="G64" s="40" t="n">
        <f aca="false">IF(OR(F64="",F64=0),"",D64/F64)</f>
        <v>0.42239336492891</v>
      </c>
      <c r="H64" s="40" t="n">
        <f aca="false">IF(OR(F64="",F64=0),"",E64/F64)</f>
        <v>0.57760663507109</v>
      </c>
      <c r="I64" s="32" t="s">
        <v>162</v>
      </c>
      <c r="J64" s="36" t="n">
        <v>1.55923598199766</v>
      </c>
      <c r="K64" s="36" t="n">
        <f aca="false">$K$8</f>
        <v>1.27451386687379</v>
      </c>
      <c r="L64" s="36" t="n">
        <f aca="false">SQRT(J64^2+K64^2)</f>
        <v>2.01385263721301</v>
      </c>
      <c r="M64" s="40" t="n">
        <f aca="false">IF(G64="","",MAX(0,G64-1.96*L64/100))</f>
        <v>0.382921853239535</v>
      </c>
      <c r="N64" s="40" t="n">
        <f aca="false">IF(G64="","",MIN(1,G64+1.96*L64/100))</f>
        <v>0.461864876618285</v>
      </c>
      <c r="O64" s="59" t="n">
        <f aca="false">ROUND(S64*W64,0)</f>
        <v>102</v>
      </c>
      <c r="P64" s="59" t="n">
        <f aca="false">IF(F64="","",ROUND(SQRT((F64*L64/100)^2+(G64*O64)^2),0))</f>
        <v>55</v>
      </c>
      <c r="R64" s="60" t="n">
        <v>-0.406824338599486</v>
      </c>
      <c r="S64" s="61" t="n">
        <f aca="false">U64*V64*$F$5</f>
        <v>1687.9765578635</v>
      </c>
      <c r="T64" s="62" t="n">
        <f aca="false">MAX(0,MIN(1,R64/100+$D$5))</f>
        <v>0.422364068168214</v>
      </c>
      <c r="U64" s="62" t="n">
        <v>0.491691394658754</v>
      </c>
      <c r="V64" s="61" t="n">
        <v>3433</v>
      </c>
      <c r="W64" s="62" t="n">
        <v>0.0606122259008943</v>
      </c>
      <c r="X64" s="63" t="s">
        <v>168</v>
      </c>
      <c r="Y64" s="63" t="s">
        <v>164</v>
      </c>
    </row>
    <row r="65" customFormat="false" ht="15" hidden="false" customHeight="false" outlineLevel="0" collapsed="false">
      <c r="A65" s="32" t="s">
        <v>220</v>
      </c>
      <c r="B65" s="32" t="s">
        <v>223</v>
      </c>
      <c r="C65" s="32" t="s">
        <v>161</v>
      </c>
      <c r="D65" s="59" t="n">
        <f aca="false">ROUND(S65*T65,0)</f>
        <v>483</v>
      </c>
      <c r="E65" s="59" t="n">
        <f aca="false">ROUND(S65,0)-D65</f>
        <v>533</v>
      </c>
      <c r="F65" s="59" t="n">
        <f aca="false">IF(COUNTA(D65:E65)=0,"",SUM(D65:E65))</f>
        <v>1016</v>
      </c>
      <c r="G65" s="40" t="n">
        <f aca="false">IF(OR(F65="",F65=0),"",D65/F65)</f>
        <v>0.475393700787402</v>
      </c>
      <c r="H65" s="40" t="n">
        <f aca="false">IF(OR(F65="",F65=0),"",E65/F65)</f>
        <v>0.524606299212598</v>
      </c>
      <c r="I65" s="32" t="s">
        <v>162</v>
      </c>
      <c r="J65" s="36" t="n">
        <v>2.73663407218982</v>
      </c>
      <c r="K65" s="36" t="n">
        <f aca="false">$K$8</f>
        <v>1.27451386687379</v>
      </c>
      <c r="L65" s="36" t="n">
        <f aca="false">SQRT(J65^2+K65^2)</f>
        <v>3.01886595295714</v>
      </c>
      <c r="M65" s="40" t="n">
        <f aca="false">IF(G65="","",MAX(0,G65-1.96*L65/100))</f>
        <v>0.416223928109442</v>
      </c>
      <c r="N65" s="40" t="n">
        <f aca="false">IF(G65="","",MIN(1,G65+1.96*L65/100))</f>
        <v>0.534563473465362</v>
      </c>
      <c r="O65" s="59" t="n">
        <f aca="false">ROUND(S65*W65,0)</f>
        <v>79</v>
      </c>
      <c r="P65" s="59" t="n">
        <f aca="false">IF(F65="","",ROUND(SQRT((F65*L65/100)^2+(G65*O65)^2),0))</f>
        <v>48</v>
      </c>
      <c r="R65" s="60" t="n">
        <v>4.87591455032524</v>
      </c>
      <c r="S65" s="61" t="n">
        <f aca="false">U65*V65*$F$5</f>
        <v>1015.97556912826</v>
      </c>
      <c r="T65" s="62" t="n">
        <f aca="false">MAX(0,MIN(1,R65/100+$D$5))</f>
        <v>0.475191457057461</v>
      </c>
      <c r="U65" s="62" t="n">
        <v>0.529705719044975</v>
      </c>
      <c r="V65" s="61" t="n">
        <v>1918</v>
      </c>
      <c r="W65" s="62" t="n">
        <v>0.0777040344688333</v>
      </c>
      <c r="X65" s="63" t="s">
        <v>163</v>
      </c>
      <c r="Y65" s="63" t="s">
        <v>164</v>
      </c>
    </row>
    <row r="66" customFormat="false" ht="15" hidden="false" customHeight="false" outlineLevel="0" collapsed="false">
      <c r="A66" s="32" t="s">
        <v>220</v>
      </c>
      <c r="B66" s="32" t="s">
        <v>192</v>
      </c>
      <c r="C66" s="32" t="s">
        <v>161</v>
      </c>
      <c r="D66" s="59" t="n">
        <f aca="false">ROUND(S66*T66,0)</f>
        <v>12762</v>
      </c>
      <c r="E66" s="59" t="n">
        <f aca="false">ROUND(S66,0)-D66</f>
        <v>6210</v>
      </c>
      <c r="F66" s="59" t="n">
        <f aca="false">IF(COUNTA(D66:E66)=0,"",SUM(D66:E66))</f>
        <v>18972</v>
      </c>
      <c r="G66" s="40" t="n">
        <f aca="false">IF(OR(F66="",F66=0),"",D66/F66)</f>
        <v>0.672675521821632</v>
      </c>
      <c r="H66" s="40" t="n">
        <f aca="false">IF(OR(F66="",F66=0),"",E66/F66)</f>
        <v>0.327324478178368</v>
      </c>
      <c r="I66" s="32" t="s">
        <v>162</v>
      </c>
      <c r="J66" s="36" t="n">
        <v>1.35112788665076</v>
      </c>
      <c r="K66" s="36" t="n">
        <f aca="false">$K$8</f>
        <v>1.27451386687379</v>
      </c>
      <c r="L66" s="36" t="n">
        <f aca="false">SQRT(J66^2+K66^2)</f>
        <v>1.85739930088792</v>
      </c>
      <c r="M66" s="40" t="n">
        <f aca="false">IF(G66="","",MAX(0,G66-1.96*L66/100))</f>
        <v>0.636270495524229</v>
      </c>
      <c r="N66" s="40" t="n">
        <f aca="false">IF(G66="","",MIN(1,G66+1.96*L66/100))</f>
        <v>0.709080548119035</v>
      </c>
      <c r="O66" s="59" t="n">
        <f aca="false">ROUND(S66*W66,0)</f>
        <v>1046</v>
      </c>
      <c r="P66" s="59" t="n">
        <f aca="false">IF(F66="","",ROUND(SQRT((F66*L66/100)^2+(G66*O66)^2),0))</f>
        <v>787</v>
      </c>
      <c r="R66" s="60" t="n">
        <v>24.6239345387304</v>
      </c>
      <c r="S66" s="61" t="n">
        <f aca="false">U66*V66*$F$5</f>
        <v>18972.4050126369</v>
      </c>
      <c r="T66" s="62" t="n">
        <f aca="false">MAX(0,MIN(1,R66/100+$D$5))</f>
        <v>0.672671656941513</v>
      </c>
      <c r="U66" s="62" t="n">
        <v>0.476358466722831</v>
      </c>
      <c r="V66" s="61" t="n">
        <v>39828</v>
      </c>
      <c r="W66" s="62" t="n">
        <v>0.0551273752894184</v>
      </c>
      <c r="X66" s="63" t="s">
        <v>184</v>
      </c>
      <c r="Y66" s="63" t="s">
        <v>217</v>
      </c>
    </row>
    <row r="67" customFormat="false" ht="15" hidden="false" customHeight="false" outlineLevel="0" collapsed="false">
      <c r="A67" s="32" t="s">
        <v>220</v>
      </c>
      <c r="B67" s="32" t="s">
        <v>224</v>
      </c>
      <c r="C67" s="32" t="s">
        <v>161</v>
      </c>
      <c r="D67" s="59" t="n">
        <f aca="false">ROUND(S67*T67,0)</f>
        <v>6891</v>
      </c>
      <c r="E67" s="59" t="n">
        <f aca="false">ROUND(S67,0)-D67</f>
        <v>5858</v>
      </c>
      <c r="F67" s="59" t="n">
        <f aca="false">IF(COUNTA(D67:E67)=0,"",SUM(D67:E67))</f>
        <v>12749</v>
      </c>
      <c r="G67" s="40" t="n">
        <f aca="false">IF(OR(F67="",F67=0),"",D67/F67)</f>
        <v>0.540512981410307</v>
      </c>
      <c r="H67" s="40" t="n">
        <f aca="false">IF(OR(F67="",F67=0),"",E67/F67)</f>
        <v>0.459487018589693</v>
      </c>
      <c r="I67" s="32" t="s">
        <v>162</v>
      </c>
      <c r="J67" s="36" t="n">
        <v>1.35112788665076</v>
      </c>
      <c r="K67" s="36" t="n">
        <f aca="false">$K$8</f>
        <v>1.27451386687379</v>
      </c>
      <c r="L67" s="36" t="n">
        <f aca="false">SQRT(J67^2+K67^2)</f>
        <v>1.85739930088792</v>
      </c>
      <c r="M67" s="40" t="n">
        <f aca="false">IF(G67="","",MAX(0,G67-1.96*L67/100))</f>
        <v>0.504107955112904</v>
      </c>
      <c r="N67" s="40" t="n">
        <f aca="false">IF(G67="","",MIN(1,G67+1.96*L67/100))</f>
        <v>0.57691800770771</v>
      </c>
      <c r="O67" s="59" t="n">
        <f aca="false">ROUND(S67*W67,0)</f>
        <v>703</v>
      </c>
      <c r="P67" s="59" t="n">
        <f aca="false">IF(F67="","",ROUND(SQRT((F67*L67/100)^2+(G67*O67)^2),0))</f>
        <v>448</v>
      </c>
      <c r="R67" s="60" t="n">
        <v>11.4104824149209</v>
      </c>
      <c r="S67" s="61" t="n">
        <f aca="false">U67*V67*$F$5</f>
        <v>12748.560475162</v>
      </c>
      <c r="T67" s="62" t="n">
        <f aca="false">MAX(0,MIN(1,R67/100+$D$5))</f>
        <v>0.540537135703417</v>
      </c>
      <c r="U67" s="62" t="n">
        <v>0.629589632829374</v>
      </c>
      <c r="V67" s="61" t="n">
        <v>20249</v>
      </c>
      <c r="W67" s="62" t="n">
        <v>0.0551273752894184</v>
      </c>
      <c r="X67" s="63" t="s">
        <v>184</v>
      </c>
      <c r="Y67" s="63" t="s">
        <v>217</v>
      </c>
    </row>
    <row r="68" customFormat="false" ht="15" hidden="false" customHeight="false" outlineLevel="0" collapsed="false">
      <c r="A68" s="32" t="s">
        <v>220</v>
      </c>
      <c r="B68" s="32" t="s">
        <v>225</v>
      </c>
      <c r="C68" s="32" t="s">
        <v>161</v>
      </c>
      <c r="D68" s="59" t="n">
        <f aca="false">ROUND(S68*T68,0)</f>
        <v>1711</v>
      </c>
      <c r="E68" s="59" t="n">
        <f aca="false">ROUND(S68,0)-D68</f>
        <v>2712</v>
      </c>
      <c r="F68" s="59" t="n">
        <f aca="false">IF(COUNTA(D68:E68)=0,"",SUM(D68:E68))</f>
        <v>4423</v>
      </c>
      <c r="G68" s="40" t="n">
        <f aca="false">IF(OR(F68="",F68=0),"",D68/F68)</f>
        <v>0.386841510287135</v>
      </c>
      <c r="H68" s="40" t="n">
        <f aca="false">IF(OR(F68="",F68=0),"",E68/F68)</f>
        <v>0.613158489712865</v>
      </c>
      <c r="I68" s="32" t="s">
        <v>162</v>
      </c>
      <c r="J68" s="36" t="n">
        <v>1.35112788665076</v>
      </c>
      <c r="K68" s="36" t="n">
        <f aca="false">$K$8</f>
        <v>1.27451386687379</v>
      </c>
      <c r="L68" s="36" t="n">
        <f aca="false">SQRT(J68^2+K68^2)</f>
        <v>1.85739930088792</v>
      </c>
      <c r="M68" s="40" t="n">
        <f aca="false">IF(G68="","",MAX(0,G68-1.96*L68/100))</f>
        <v>0.350436483989732</v>
      </c>
      <c r="N68" s="40" t="n">
        <f aca="false">IF(G68="","",MIN(1,G68+1.96*L68/100))</f>
        <v>0.423246536584539</v>
      </c>
      <c r="O68" s="59" t="n">
        <f aca="false">ROUND(S68*W68,0)</f>
        <v>244</v>
      </c>
      <c r="P68" s="59" t="n">
        <f aca="false">IF(F68="","",ROUND(SQRT((F68*L68/100)^2+(G68*O68)^2),0))</f>
        <v>125</v>
      </c>
      <c r="R68" s="60" t="n">
        <v>-3.96171816660776</v>
      </c>
      <c r="S68" s="61" t="n">
        <f aca="false">U68*V68*$F$5</f>
        <v>4422.68236877524</v>
      </c>
      <c r="T68" s="62" t="n">
        <f aca="false">MAX(0,MIN(1,R68/100+$D$5))</f>
        <v>0.386815129888131</v>
      </c>
      <c r="U68" s="62" t="n">
        <v>0.657843577089876</v>
      </c>
      <c r="V68" s="61" t="n">
        <v>6723</v>
      </c>
      <c r="W68" s="62" t="n">
        <v>0.0551273752894184</v>
      </c>
      <c r="X68" s="63" t="s">
        <v>184</v>
      </c>
      <c r="Y68" s="63" t="s">
        <v>164</v>
      </c>
    </row>
    <row r="69" customFormat="false" ht="15" hidden="false" customHeight="false" outlineLevel="0" collapsed="false">
      <c r="A69" s="32" t="s">
        <v>220</v>
      </c>
      <c r="B69" s="32" t="s">
        <v>226</v>
      </c>
      <c r="C69" s="32" t="s">
        <v>161</v>
      </c>
      <c r="D69" s="59" t="n">
        <f aca="false">ROUND(S69*T69,0)</f>
        <v>35</v>
      </c>
      <c r="E69" s="59" t="n">
        <f aca="false">ROUND(S69,0)-D69</f>
        <v>62</v>
      </c>
      <c r="F69" s="59" t="n">
        <f aca="false">IF(COUNTA(D69:E69)=0,"",SUM(D69:E69))</f>
        <v>97</v>
      </c>
      <c r="G69" s="40" t="n">
        <f aca="false">IF(OR(F69="",F69=0),"",D69/F69)</f>
        <v>0.360824742268041</v>
      </c>
      <c r="H69" s="40" t="n">
        <f aca="false">IF(OR(F69="",F69=0),"",E69/F69)</f>
        <v>0.639175257731959</v>
      </c>
      <c r="I69" s="32" t="s">
        <v>162</v>
      </c>
      <c r="J69" s="36" t="n">
        <v>2.73663407218982</v>
      </c>
      <c r="K69" s="36" t="n">
        <f aca="false">$K$8</f>
        <v>1.27451386687379</v>
      </c>
      <c r="L69" s="36" t="n">
        <f aca="false">SQRT(J69^2+K69^2)</f>
        <v>3.01886595295714</v>
      </c>
      <c r="M69" s="40" t="n">
        <f aca="false">IF(G69="","",MAX(0,G69-1.96*L69/100))</f>
        <v>0.301654969590081</v>
      </c>
      <c r="N69" s="40" t="n">
        <f aca="false">IF(G69="","",MIN(1,G69+1.96*L69/100))</f>
        <v>0.419994514946001</v>
      </c>
      <c r="O69" s="59" t="n">
        <f aca="false">ROUND(S69*W69,0)</f>
        <v>8</v>
      </c>
      <c r="P69" s="59" t="n">
        <f aca="false">IF(F69="","",ROUND(SQRT((F69*L69/100)^2+(G69*O69)^2),0))</f>
        <v>4</v>
      </c>
      <c r="R69" s="60" t="n">
        <v>-6.51939904464291</v>
      </c>
      <c r="S69" s="61" t="n">
        <f aca="false">U69*V69*$F$5</f>
        <v>97.2992700729927</v>
      </c>
      <c r="T69" s="62" t="n">
        <f aca="false">MAX(0,MIN(1,R69/100+$D$5))</f>
        <v>0.361238321107779</v>
      </c>
      <c r="U69" s="62" t="n">
        <v>0.627737226277372</v>
      </c>
      <c r="V69" s="61" t="n">
        <v>155</v>
      </c>
      <c r="W69" s="62" t="n">
        <v>0.0777040344688333</v>
      </c>
      <c r="X69" s="63" t="s">
        <v>163</v>
      </c>
      <c r="Y69" s="63" t="s">
        <v>164</v>
      </c>
    </row>
    <row r="70" customFormat="false" ht="15" hidden="false" customHeight="false" outlineLevel="0" collapsed="false">
      <c r="A70" s="32" t="s">
        <v>220</v>
      </c>
      <c r="B70" s="32" t="s">
        <v>227</v>
      </c>
      <c r="C70" s="32" t="s">
        <v>161</v>
      </c>
      <c r="D70" s="59" t="n">
        <f aca="false">ROUND(S70*T70,0)</f>
        <v>1138</v>
      </c>
      <c r="E70" s="59" t="n">
        <f aca="false">ROUND(S70,0)-D70</f>
        <v>1503</v>
      </c>
      <c r="F70" s="59" t="n">
        <f aca="false">IF(COUNTA(D70:E70)=0,"",SUM(D70:E70))</f>
        <v>2641</v>
      </c>
      <c r="G70" s="40" t="n">
        <f aca="false">IF(OR(F70="",F70=0),"",D70/F70)</f>
        <v>0.430897387353275</v>
      </c>
      <c r="H70" s="40" t="n">
        <f aca="false">IF(OR(F70="",F70=0),"",E70/F70)</f>
        <v>0.569102612646725</v>
      </c>
      <c r="I70" s="32" t="s">
        <v>162</v>
      </c>
      <c r="J70" s="36" t="n">
        <v>1.55923598199766</v>
      </c>
      <c r="K70" s="36" t="n">
        <f aca="false">$K$8</f>
        <v>1.27451386687379</v>
      </c>
      <c r="L70" s="36" t="n">
        <f aca="false">SQRT(J70^2+K70^2)</f>
        <v>2.01385263721301</v>
      </c>
      <c r="M70" s="40" t="n">
        <f aca="false">IF(G70="","",MAX(0,G70-1.96*L70/100))</f>
        <v>0.3914258756639</v>
      </c>
      <c r="N70" s="40" t="n">
        <f aca="false">IF(G70="","",MIN(1,G70+1.96*L70/100))</f>
        <v>0.47036889904265</v>
      </c>
      <c r="O70" s="59" t="n">
        <f aca="false">ROUND(S70*W70,0)</f>
        <v>160</v>
      </c>
      <c r="P70" s="59" t="n">
        <f aca="false">IF(F70="","",ROUND(SQRT((F70*L70/100)^2+(G70*O70)^2),0))</f>
        <v>87</v>
      </c>
      <c r="R70" s="60" t="n">
        <v>0.462859494795477</v>
      </c>
      <c r="S70" s="61" t="n">
        <f aca="false">U70*V70*$F$5</f>
        <v>2640.91189093663</v>
      </c>
      <c r="T70" s="62" t="n">
        <f aca="false">MAX(0,MIN(1,R70/100+$D$5))</f>
        <v>0.431060906502163</v>
      </c>
      <c r="U70" s="62" t="n">
        <v>0.635445594546832</v>
      </c>
      <c r="V70" s="61" t="n">
        <v>4156</v>
      </c>
      <c r="W70" s="62" t="n">
        <v>0.0606122259008943</v>
      </c>
      <c r="X70" s="63" t="s">
        <v>168</v>
      </c>
      <c r="Y70" s="63" t="s">
        <v>164</v>
      </c>
    </row>
    <row r="71" customFormat="false" ht="15" hidden="false" customHeight="false" outlineLevel="0" collapsed="false">
      <c r="A71" s="32" t="s">
        <v>220</v>
      </c>
      <c r="B71" s="32" t="s">
        <v>228</v>
      </c>
      <c r="C71" s="32" t="s">
        <v>161</v>
      </c>
      <c r="D71" s="59" t="n">
        <f aca="false">ROUND(S71*T71,0)</f>
        <v>148</v>
      </c>
      <c r="E71" s="59" t="n">
        <f aca="false">ROUND(S71,0)-D71</f>
        <v>212</v>
      </c>
      <c r="F71" s="59" t="n">
        <f aca="false">IF(COUNTA(D71:E71)=0,"",SUM(D71:E71))</f>
        <v>360</v>
      </c>
      <c r="G71" s="40" t="n">
        <f aca="false">IF(OR(F71="",F71=0),"",D71/F71)</f>
        <v>0.411111111111111</v>
      </c>
      <c r="H71" s="40" t="n">
        <f aca="false">IF(OR(F71="",F71=0),"",E71/F71)</f>
        <v>0.588888888888889</v>
      </c>
      <c r="I71" s="32" t="s">
        <v>162</v>
      </c>
      <c r="J71" s="36" t="n">
        <v>2.73663407218982</v>
      </c>
      <c r="K71" s="36" t="n">
        <f aca="false">$K$8</f>
        <v>1.27451386687379</v>
      </c>
      <c r="L71" s="36" t="n">
        <f aca="false">SQRT(J71^2+K71^2)</f>
        <v>3.01886595295714</v>
      </c>
      <c r="M71" s="40" t="n">
        <f aca="false">IF(G71="","",MAX(0,G71-1.96*L71/100))</f>
        <v>0.351941338433151</v>
      </c>
      <c r="N71" s="40" t="n">
        <f aca="false">IF(G71="","",MIN(1,G71+1.96*L71/100))</f>
        <v>0.470280883789071</v>
      </c>
      <c r="O71" s="59" t="n">
        <f aca="false">ROUND(S71*W71,0)</f>
        <v>28</v>
      </c>
      <c r="P71" s="59" t="n">
        <f aca="false">IF(F71="","",ROUND(SQRT((F71*L71/100)^2+(G71*O71)^2),0))</f>
        <v>16</v>
      </c>
      <c r="R71" s="60" t="n">
        <v>-1.47287032153698</v>
      </c>
      <c r="S71" s="61" t="n">
        <f aca="false">U71*V71*$F$5</f>
        <v>360.236842105263</v>
      </c>
      <c r="T71" s="62" t="n">
        <f aca="false">MAX(0,MIN(1,R71/100+$D$5))</f>
        <v>0.411703608338839</v>
      </c>
      <c r="U71" s="62" t="n">
        <v>0.513157894736842</v>
      </c>
      <c r="V71" s="61" t="n">
        <v>702</v>
      </c>
      <c r="W71" s="62" t="n">
        <v>0.0777040344688333</v>
      </c>
      <c r="X71" s="63" t="s">
        <v>163</v>
      </c>
      <c r="Y71" s="63" t="s">
        <v>164</v>
      </c>
    </row>
    <row r="72" customFormat="false" ht="15" hidden="false" customHeight="false" outlineLevel="0" collapsed="false">
      <c r="A72" s="32" t="s">
        <v>220</v>
      </c>
      <c r="B72" s="32" t="s">
        <v>229</v>
      </c>
      <c r="C72" s="32" t="s">
        <v>161</v>
      </c>
      <c r="D72" s="59" t="n">
        <f aca="false">ROUND(S72*T72,0)</f>
        <v>5100</v>
      </c>
      <c r="E72" s="59" t="n">
        <f aca="false">ROUND(S72,0)-D72</f>
        <v>2197</v>
      </c>
      <c r="F72" s="59" t="n">
        <f aca="false">IF(COUNTA(D72:E72)=0,"",SUM(D72:E72))</f>
        <v>7297</v>
      </c>
      <c r="G72" s="40" t="n">
        <f aca="false">IF(OR(F72="",F72=0),"",D72/F72)</f>
        <v>0.698917363299986</v>
      </c>
      <c r="H72" s="40" t="n">
        <f aca="false">IF(OR(F72="",F72=0),"",E72/F72)</f>
        <v>0.301082636700014</v>
      </c>
      <c r="I72" s="32" t="s">
        <v>162</v>
      </c>
      <c r="J72" s="36" t="n">
        <v>1.35112788665076</v>
      </c>
      <c r="K72" s="36" t="n">
        <f aca="false">$K$8</f>
        <v>1.27451386687379</v>
      </c>
      <c r="L72" s="36" t="n">
        <f aca="false">SQRT(J72^2+K72^2)</f>
        <v>1.85739930088792</v>
      </c>
      <c r="M72" s="40" t="n">
        <f aca="false">IF(G72="","",MAX(0,G72-1.96*L72/100))</f>
        <v>0.662512337002583</v>
      </c>
      <c r="N72" s="40" t="n">
        <f aca="false">IF(G72="","",MIN(1,G72+1.96*L72/100))</f>
        <v>0.73532238959739</v>
      </c>
      <c r="O72" s="59" t="n">
        <f aca="false">ROUND(S72*W72,0)</f>
        <v>402</v>
      </c>
      <c r="P72" s="59" t="n">
        <f aca="false">IF(F72="","",ROUND(SQRT((F72*L72/100)^2+(G72*O72)^2),0))</f>
        <v>312</v>
      </c>
      <c r="R72" s="60" t="n">
        <v>27.2523952041683</v>
      </c>
      <c r="S72" s="61" t="n">
        <f aca="false">U72*V72*$F$5</f>
        <v>7297.15979682392</v>
      </c>
      <c r="T72" s="62" t="n">
        <f aca="false">MAX(0,MIN(1,R72/100+$D$5))</f>
        <v>0.698956263595892</v>
      </c>
      <c r="U72" s="62" t="n">
        <v>0.414117234936945</v>
      </c>
      <c r="V72" s="61" t="n">
        <v>17621</v>
      </c>
      <c r="W72" s="62" t="n">
        <v>0.0551273752894184</v>
      </c>
      <c r="X72" s="63" t="s">
        <v>184</v>
      </c>
      <c r="Y72" s="63" t="s">
        <v>164</v>
      </c>
    </row>
    <row r="73" customFormat="false" ht="15" hidden="false" customHeight="false" outlineLevel="0" collapsed="false">
      <c r="A73" s="32" t="s">
        <v>220</v>
      </c>
      <c r="B73" s="32" t="s">
        <v>230</v>
      </c>
      <c r="C73" s="32" t="s">
        <v>161</v>
      </c>
      <c r="D73" s="59" t="n">
        <f aca="false">ROUND(S73*T73,0)</f>
        <v>4269</v>
      </c>
      <c r="E73" s="59" t="n">
        <f aca="false">ROUND(S73,0)-D73</f>
        <v>3906</v>
      </c>
      <c r="F73" s="59" t="n">
        <f aca="false">IF(COUNTA(D73:E73)=0,"",SUM(D73:E73))</f>
        <v>8175</v>
      </c>
      <c r="G73" s="40" t="n">
        <f aca="false">IF(OR(F73="",F73=0),"",D73/F73)</f>
        <v>0.522201834862385</v>
      </c>
      <c r="H73" s="40" t="n">
        <f aca="false">IF(OR(F73="",F73=0),"",E73/F73)</f>
        <v>0.477798165137615</v>
      </c>
      <c r="I73" s="32" t="s">
        <v>162</v>
      </c>
      <c r="J73" s="36" t="n">
        <v>1.35112788665076</v>
      </c>
      <c r="K73" s="36" t="n">
        <f aca="false">$K$8</f>
        <v>1.27451386687379</v>
      </c>
      <c r="L73" s="36" t="n">
        <f aca="false">SQRT(J73^2+K73^2)</f>
        <v>1.85739930088792</v>
      </c>
      <c r="M73" s="40" t="n">
        <f aca="false">IF(G73="","",MAX(0,G73-1.96*L73/100))</f>
        <v>0.485796808564982</v>
      </c>
      <c r="N73" s="40" t="n">
        <f aca="false">IF(G73="","",MIN(1,G73+1.96*L73/100))</f>
        <v>0.558606861159789</v>
      </c>
      <c r="O73" s="59" t="n">
        <f aca="false">ROUND(S73*W73,0)</f>
        <v>451</v>
      </c>
      <c r="P73" s="59" t="n">
        <f aca="false">IF(F73="","",ROUND(SQRT((F73*L73/100)^2+(G73*O73)^2),0))</f>
        <v>280</v>
      </c>
      <c r="R73" s="60" t="n">
        <v>9.57293176810215</v>
      </c>
      <c r="S73" s="61" t="n">
        <f aca="false">U73*V73*$F$5</f>
        <v>8175.00272606901</v>
      </c>
      <c r="T73" s="62" t="n">
        <f aca="false">MAX(0,MIN(1,R73/100+$D$5))</f>
        <v>0.52216162923523</v>
      </c>
      <c r="U73" s="62" t="n">
        <v>0.618428226497391</v>
      </c>
      <c r="V73" s="61" t="n">
        <v>13219</v>
      </c>
      <c r="W73" s="62" t="n">
        <v>0.0551273752894184</v>
      </c>
      <c r="X73" s="63" t="s">
        <v>184</v>
      </c>
      <c r="Y73" s="63" t="s">
        <v>164</v>
      </c>
    </row>
    <row r="74" customFormat="false" ht="15" hidden="false" customHeight="false" outlineLevel="0" collapsed="false">
      <c r="A74" s="32" t="s">
        <v>220</v>
      </c>
      <c r="B74" s="32" t="s">
        <v>231</v>
      </c>
      <c r="C74" s="32" t="s">
        <v>161</v>
      </c>
      <c r="D74" s="59" t="n">
        <f aca="false">ROUND(S74*T74,0)</f>
        <v>482</v>
      </c>
      <c r="E74" s="59" t="n">
        <f aca="false">ROUND(S74,0)-D74</f>
        <v>329</v>
      </c>
      <c r="F74" s="59" t="n">
        <f aca="false">IF(COUNTA(D74:E74)=0,"",SUM(D74:E74))</f>
        <v>811</v>
      </c>
      <c r="G74" s="40" t="n">
        <f aca="false">IF(OR(F74="",F74=0),"",D74/F74)</f>
        <v>0.594327990135635</v>
      </c>
      <c r="H74" s="40" t="n">
        <f aca="false">IF(OR(F74="",F74=0),"",E74/F74)</f>
        <v>0.405672009864365</v>
      </c>
      <c r="I74" s="32" t="s">
        <v>162</v>
      </c>
      <c r="J74" s="36" t="n">
        <v>2.73663407218982</v>
      </c>
      <c r="K74" s="36" t="n">
        <f aca="false">$K$8</f>
        <v>1.27451386687379</v>
      </c>
      <c r="L74" s="36" t="n">
        <f aca="false">SQRT(J74^2+K74^2)</f>
        <v>3.01886595295714</v>
      </c>
      <c r="M74" s="40" t="n">
        <f aca="false">IF(G74="","",MAX(0,G74-1.96*L74/100))</f>
        <v>0.535158217457675</v>
      </c>
      <c r="N74" s="40" t="n">
        <f aca="false">IF(G74="","",MIN(1,G74+1.96*L74/100))</f>
        <v>0.653497762813595</v>
      </c>
      <c r="O74" s="59" t="n">
        <f aca="false">ROUND(S74*W74,0)</f>
        <v>63</v>
      </c>
      <c r="P74" s="59" t="n">
        <f aca="false">IF(F74="","",ROUND(SQRT((F74*L74/100)^2+(G74*O74)^2),0))</f>
        <v>45</v>
      </c>
      <c r="R74" s="60" t="n">
        <v>16.7143003849712</v>
      </c>
      <c r="S74" s="61" t="n">
        <f aca="false">U74*V74*$F$5</f>
        <v>811.272251308901</v>
      </c>
      <c r="T74" s="62" t="n">
        <f aca="false">MAX(0,MIN(1,R74/100+$D$5))</f>
        <v>0.593575315403921</v>
      </c>
      <c r="U74" s="62" t="n">
        <v>0.424083769633508</v>
      </c>
      <c r="V74" s="61" t="n">
        <v>1913</v>
      </c>
      <c r="W74" s="62" t="n">
        <v>0.0777040344688333</v>
      </c>
      <c r="X74" s="63" t="s">
        <v>163</v>
      </c>
      <c r="Y74" s="63" t="s">
        <v>164</v>
      </c>
    </row>
    <row r="75" customFormat="false" ht="15" hidden="false" customHeight="false" outlineLevel="0" collapsed="false">
      <c r="A75" s="32" t="s">
        <v>220</v>
      </c>
      <c r="B75" s="32" t="s">
        <v>232</v>
      </c>
      <c r="C75" s="32" t="s">
        <v>161</v>
      </c>
      <c r="D75" s="59" t="n">
        <f aca="false">ROUND(S75*T75,0)</f>
        <v>75</v>
      </c>
      <c r="E75" s="59" t="n">
        <f aca="false">ROUND(S75,0)-D75</f>
        <v>69</v>
      </c>
      <c r="F75" s="59" t="n">
        <f aca="false">IF(COUNTA(D75:E75)=0,"",SUM(D75:E75))</f>
        <v>144</v>
      </c>
      <c r="G75" s="40" t="n">
        <f aca="false">IF(OR(F75="",F75=0),"",D75/F75)</f>
        <v>0.520833333333333</v>
      </c>
      <c r="H75" s="40" t="n">
        <f aca="false">IF(OR(F75="",F75=0),"",E75/F75)</f>
        <v>0.479166666666667</v>
      </c>
      <c r="I75" s="32" t="s">
        <v>162</v>
      </c>
      <c r="J75" s="36" t="n">
        <v>2.73663407218982</v>
      </c>
      <c r="K75" s="36" t="n">
        <f aca="false">$K$8</f>
        <v>1.27451386687379</v>
      </c>
      <c r="L75" s="36" t="n">
        <f aca="false">SQRT(J75^2+K75^2)</f>
        <v>3.01886595295714</v>
      </c>
      <c r="M75" s="40" t="n">
        <f aca="false">IF(G75="","",MAX(0,G75-1.96*L75/100))</f>
        <v>0.461663560655373</v>
      </c>
      <c r="N75" s="40" t="n">
        <f aca="false">IF(G75="","",MIN(1,G75+1.96*L75/100))</f>
        <v>0.580003106011293</v>
      </c>
      <c r="O75" s="59" t="n">
        <f aca="false">ROUND(S75*W75,0)</f>
        <v>11</v>
      </c>
      <c r="P75" s="59" t="n">
        <f aca="false">IF(F75="","",ROUND(SQRT((F75*L75/100)^2+(G75*O75)^2),0))</f>
        <v>7</v>
      </c>
      <c r="R75" s="60" t="n">
        <v>9.73417737277424</v>
      </c>
      <c r="S75" s="61" t="n">
        <f aca="false">U75*V75*$F$5</f>
        <v>143.630597014925</v>
      </c>
      <c r="T75" s="62" t="n">
        <f aca="false">MAX(0,MIN(1,R75/100+$D$5))</f>
        <v>0.523774085281951</v>
      </c>
      <c r="U75" s="62" t="n">
        <v>0.526119402985075</v>
      </c>
      <c r="V75" s="61" t="n">
        <v>273</v>
      </c>
      <c r="W75" s="62" t="n">
        <v>0.0777040344688333</v>
      </c>
      <c r="X75" s="63" t="s">
        <v>163</v>
      </c>
      <c r="Y75" s="63" t="s">
        <v>164</v>
      </c>
    </row>
    <row r="76" customFormat="false" ht="15" hidden="false" customHeight="false" outlineLevel="0" collapsed="false">
      <c r="A76" s="32" t="s">
        <v>220</v>
      </c>
      <c r="B76" s="32" t="s">
        <v>198</v>
      </c>
      <c r="C76" s="32" t="s">
        <v>161</v>
      </c>
      <c r="D76" s="59" t="n">
        <f aca="false">ROUND(S76*T76,0)</f>
        <v>3485</v>
      </c>
      <c r="E76" s="59" t="n">
        <f aca="false">ROUND(S76,0)-D76</f>
        <v>2938</v>
      </c>
      <c r="F76" s="59" t="n">
        <f aca="false">IF(COUNTA(D76:E76)=0,"",SUM(D76:E76))</f>
        <v>6423</v>
      </c>
      <c r="G76" s="40" t="n">
        <f aca="false">IF(OR(F76="",F76=0),"",D76/F76)</f>
        <v>0.54258134827962</v>
      </c>
      <c r="H76" s="40" t="n">
        <f aca="false">IF(OR(F76="",F76=0),"",E76/F76)</f>
        <v>0.45741865172038</v>
      </c>
      <c r="I76" s="32" t="s">
        <v>162</v>
      </c>
      <c r="J76" s="36" t="n">
        <v>1.35112788665076</v>
      </c>
      <c r="K76" s="36" t="n">
        <f aca="false">$K$8</f>
        <v>1.27451386687379</v>
      </c>
      <c r="L76" s="36" t="n">
        <f aca="false">SQRT(J76^2+K76^2)</f>
        <v>1.85739930088792</v>
      </c>
      <c r="M76" s="40" t="n">
        <f aca="false">IF(G76="","",MAX(0,G76-1.96*L76/100))</f>
        <v>0.506176321982217</v>
      </c>
      <c r="N76" s="40" t="n">
        <f aca="false">IF(G76="","",MIN(1,G76+1.96*L76/100))</f>
        <v>0.578986374577023</v>
      </c>
      <c r="O76" s="59" t="n">
        <f aca="false">ROUND(S76*W76,0)</f>
        <v>354</v>
      </c>
      <c r="P76" s="59" t="n">
        <f aca="false">IF(F76="","",ROUND(SQRT((F76*L76/100)^2+(G76*O76)^2),0))</f>
        <v>226</v>
      </c>
      <c r="R76" s="60" t="n">
        <v>11.6170077641953</v>
      </c>
      <c r="S76" s="61" t="n">
        <f aca="false">U76*V76*$F$5</f>
        <v>6422.70106427379</v>
      </c>
      <c r="T76" s="62" t="n">
        <f aca="false">MAX(0,MIN(1,R76/100+$D$5))</f>
        <v>0.542602389196162</v>
      </c>
      <c r="U76" s="62" t="n">
        <v>0.673309682804674</v>
      </c>
      <c r="V76" s="61" t="n">
        <v>9539</v>
      </c>
      <c r="W76" s="62" t="n">
        <v>0.0551273752894184</v>
      </c>
      <c r="X76" s="63" t="s">
        <v>184</v>
      </c>
      <c r="Y76" s="63" t="s">
        <v>164</v>
      </c>
    </row>
    <row r="77" customFormat="false" ht="15" hidden="false" customHeight="false" outlineLevel="0" collapsed="false">
      <c r="A77" s="32" t="s">
        <v>220</v>
      </c>
      <c r="B77" s="32" t="s">
        <v>233</v>
      </c>
      <c r="C77" s="32" t="s">
        <v>161</v>
      </c>
      <c r="D77" s="59" t="n">
        <f aca="false">ROUND(S77*T77,0)</f>
        <v>1365</v>
      </c>
      <c r="E77" s="59" t="n">
        <f aca="false">ROUND(S77,0)-D77</f>
        <v>1263</v>
      </c>
      <c r="F77" s="59" t="n">
        <f aca="false">IF(COUNTA(D77:E77)=0,"",SUM(D77:E77))</f>
        <v>2628</v>
      </c>
      <c r="G77" s="40" t="n">
        <f aca="false">IF(OR(F77="",F77=0),"",D77/F77)</f>
        <v>0.519406392694064</v>
      </c>
      <c r="H77" s="40" t="n">
        <f aca="false">IF(OR(F77="",F77=0),"",E77/F77)</f>
        <v>0.480593607305936</v>
      </c>
      <c r="I77" s="32" t="s">
        <v>162</v>
      </c>
      <c r="J77" s="36" t="n">
        <v>1.55923598199766</v>
      </c>
      <c r="K77" s="36" t="n">
        <f aca="false">$K$8</f>
        <v>1.27451386687379</v>
      </c>
      <c r="L77" s="36" t="n">
        <f aca="false">SQRT(J77^2+K77^2)</f>
        <v>2.01385263721301</v>
      </c>
      <c r="M77" s="40" t="n">
        <f aca="false">IF(G77="","",MAX(0,G77-1.96*L77/100))</f>
        <v>0.479934881004689</v>
      </c>
      <c r="N77" s="40" t="n">
        <f aca="false">IF(G77="","",MIN(1,G77+1.96*L77/100))</f>
        <v>0.558877904383439</v>
      </c>
      <c r="O77" s="59" t="n">
        <f aca="false">ROUND(S77*W77,0)</f>
        <v>159</v>
      </c>
      <c r="P77" s="59" t="n">
        <f aca="false">IF(F77="","",ROUND(SQRT((F77*L77/100)^2+(G77*O77)^2),0))</f>
        <v>98</v>
      </c>
      <c r="R77" s="60" t="n">
        <v>9.28680372014107</v>
      </c>
      <c r="S77" s="61" t="n">
        <f aca="false">U77*V77*$F$5</f>
        <v>2628.02463970246</v>
      </c>
      <c r="T77" s="62" t="n">
        <f aca="false">MAX(0,MIN(1,R77/100+$D$5))</f>
        <v>0.519300348755619</v>
      </c>
      <c r="U77" s="62" t="n">
        <v>0.598093909809391</v>
      </c>
      <c r="V77" s="61" t="n">
        <v>4394</v>
      </c>
      <c r="W77" s="62" t="n">
        <v>0.0606122259008943</v>
      </c>
      <c r="X77" s="63" t="s">
        <v>168</v>
      </c>
      <c r="Y77" s="63" t="s">
        <v>164</v>
      </c>
    </row>
    <row r="78" customFormat="false" ht="15" hidden="false" customHeight="false" outlineLevel="0" collapsed="false">
      <c r="A78" s="32" t="s">
        <v>220</v>
      </c>
      <c r="B78" s="32" t="s">
        <v>234</v>
      </c>
      <c r="C78" s="32" t="s">
        <v>161</v>
      </c>
      <c r="D78" s="59" t="n">
        <f aca="false">ROUND(S78*T78,0)</f>
        <v>1845</v>
      </c>
      <c r="E78" s="59" t="n">
        <f aca="false">ROUND(S78,0)-D78</f>
        <v>3494</v>
      </c>
      <c r="F78" s="59" t="n">
        <f aca="false">IF(COUNTA(D78:E78)=0,"",SUM(D78:E78))</f>
        <v>5339</v>
      </c>
      <c r="G78" s="40" t="n">
        <f aca="false">IF(OR(F78="",F78=0),"",D78/F78)</f>
        <v>0.345570331522757</v>
      </c>
      <c r="H78" s="40" t="n">
        <f aca="false">IF(OR(F78="",F78=0),"",E78/F78)</f>
        <v>0.654429668477243</v>
      </c>
      <c r="I78" s="32" t="s">
        <v>162</v>
      </c>
      <c r="J78" s="36" t="n">
        <v>1.35112788665076</v>
      </c>
      <c r="K78" s="36" t="n">
        <f aca="false">$K$8</f>
        <v>1.27451386687379</v>
      </c>
      <c r="L78" s="36" t="n">
        <f aca="false">SQRT(J78^2+K78^2)</f>
        <v>1.85739930088792</v>
      </c>
      <c r="M78" s="40" t="n">
        <f aca="false">IF(G78="","",MAX(0,G78-1.96*L78/100))</f>
        <v>0.309165305225354</v>
      </c>
      <c r="N78" s="40" t="n">
        <f aca="false">IF(G78="","",MIN(1,G78+1.96*L78/100))</f>
        <v>0.38197535782016</v>
      </c>
      <c r="O78" s="59" t="n">
        <f aca="false">ROUND(S78*W78,0)</f>
        <v>294</v>
      </c>
      <c r="P78" s="59" t="n">
        <f aca="false">IF(F78="","",ROUND(SQRT((F78*L78/100)^2+(G78*O78)^2),0))</f>
        <v>142</v>
      </c>
      <c r="R78" s="60" t="n">
        <v>-8.09206393166585</v>
      </c>
      <c r="S78" s="61" t="n">
        <f aca="false">U78*V78*$F$5</f>
        <v>5339.13569131833</v>
      </c>
      <c r="T78" s="62" t="n">
        <f aca="false">MAX(0,MIN(1,R78/100+$D$5))</f>
        <v>0.34551167223755</v>
      </c>
      <c r="U78" s="62" t="n">
        <v>0.656720257234727</v>
      </c>
      <c r="V78" s="61" t="n">
        <v>8130</v>
      </c>
      <c r="W78" s="62" t="n">
        <v>0.0551273752894184</v>
      </c>
      <c r="X78" s="63" t="s">
        <v>184</v>
      </c>
      <c r="Y78" s="63" t="s">
        <v>164</v>
      </c>
    </row>
    <row r="79" customFormat="false" ht="15" hidden="false" customHeight="false" outlineLevel="0" collapsed="false">
      <c r="A79" s="32" t="s">
        <v>220</v>
      </c>
      <c r="B79" s="32" t="s">
        <v>235</v>
      </c>
      <c r="C79" s="32" t="s">
        <v>161</v>
      </c>
      <c r="D79" s="59" t="n">
        <f aca="false">ROUND(S79*T79,0)</f>
        <v>497</v>
      </c>
      <c r="E79" s="59" t="n">
        <f aca="false">ROUND(S79,0)-D79</f>
        <v>941</v>
      </c>
      <c r="F79" s="59" t="n">
        <f aca="false">IF(COUNTA(D79:E79)=0,"",SUM(D79:E79))</f>
        <v>1438</v>
      </c>
      <c r="G79" s="40" t="n">
        <f aca="false">IF(OR(F79="",F79=0),"",D79/F79)</f>
        <v>0.345618915159944</v>
      </c>
      <c r="H79" s="40" t="n">
        <f aca="false">IF(OR(F79="",F79=0),"",E79/F79)</f>
        <v>0.654381084840056</v>
      </c>
      <c r="I79" s="32" t="s">
        <v>162</v>
      </c>
      <c r="J79" s="36" t="n">
        <v>1.55923598199766</v>
      </c>
      <c r="K79" s="36" t="n">
        <f aca="false">$K$8</f>
        <v>1.27451386687379</v>
      </c>
      <c r="L79" s="36" t="n">
        <f aca="false">SQRT(J79^2+K79^2)</f>
        <v>2.01385263721301</v>
      </c>
      <c r="M79" s="40" t="n">
        <f aca="false">IF(G79="","",MAX(0,G79-1.96*L79/100))</f>
        <v>0.306147403470569</v>
      </c>
      <c r="N79" s="40" t="n">
        <f aca="false">IF(G79="","",MIN(1,G79+1.96*L79/100))</f>
        <v>0.385090426849319</v>
      </c>
      <c r="O79" s="59" t="n">
        <f aca="false">ROUND(S79*W79,0)</f>
        <v>87</v>
      </c>
      <c r="P79" s="59" t="n">
        <f aca="false">IF(F79="","",ROUND(SQRT((F79*L79/100)^2+(G79*O79)^2),0))</f>
        <v>42</v>
      </c>
      <c r="R79" s="60" t="n">
        <v>-8.07776924055845</v>
      </c>
      <c r="S79" s="61" t="n">
        <f aca="false">U79*V79*$F$5</f>
        <v>1437.5</v>
      </c>
      <c r="T79" s="62" t="n">
        <f aca="false">MAX(0,MIN(1,R79/100+$D$5))</f>
        <v>0.345654619148624</v>
      </c>
      <c r="U79" s="62" t="n">
        <v>0.625</v>
      </c>
      <c r="V79" s="61" t="n">
        <v>2300</v>
      </c>
      <c r="W79" s="62" t="n">
        <v>0.0606122259008943</v>
      </c>
      <c r="X79" s="63" t="s">
        <v>168</v>
      </c>
      <c r="Y79" s="63" t="s">
        <v>164</v>
      </c>
    </row>
    <row r="80" customFormat="false" ht="15" hidden="false" customHeight="false" outlineLevel="0" collapsed="false">
      <c r="A80" s="32" t="s">
        <v>220</v>
      </c>
      <c r="B80" s="32" t="s">
        <v>236</v>
      </c>
      <c r="C80" s="32" t="s">
        <v>161</v>
      </c>
      <c r="D80" s="59" t="n">
        <f aca="false">ROUND(S80*T80,0)</f>
        <v>1701</v>
      </c>
      <c r="E80" s="59" t="n">
        <f aca="false">ROUND(S80,0)-D80</f>
        <v>2021</v>
      </c>
      <c r="F80" s="59" t="n">
        <f aca="false">IF(COUNTA(D80:E80)=0,"",SUM(D80:E80))</f>
        <v>3722</v>
      </c>
      <c r="G80" s="40" t="n">
        <f aca="false">IF(OR(F80="",F80=0),"",D80/F80)</f>
        <v>0.457012358946803</v>
      </c>
      <c r="H80" s="40" t="n">
        <f aca="false">IF(OR(F80="",F80=0),"",E80/F80)</f>
        <v>0.542987641053197</v>
      </c>
      <c r="I80" s="32" t="s">
        <v>162</v>
      </c>
      <c r="J80" s="36" t="n">
        <v>1.35112788665076</v>
      </c>
      <c r="K80" s="36" t="n">
        <f aca="false">$K$8</f>
        <v>1.27451386687379</v>
      </c>
      <c r="L80" s="36" t="n">
        <f aca="false">SQRT(J80^2+K80^2)</f>
        <v>1.85739930088792</v>
      </c>
      <c r="M80" s="40" t="n">
        <f aca="false">IF(G80="","",MAX(0,G80-1.96*L80/100))</f>
        <v>0.4206073326494</v>
      </c>
      <c r="N80" s="40" t="n">
        <f aca="false">IF(G80="","",MIN(1,G80+1.96*L80/100))</f>
        <v>0.493417385244206</v>
      </c>
      <c r="O80" s="59" t="n">
        <f aca="false">ROUND(S80*W80,0)</f>
        <v>205</v>
      </c>
      <c r="P80" s="59" t="n">
        <f aca="false">IF(F80="","",ROUND(SQRT((F80*L80/100)^2+(G80*O80)^2),0))</f>
        <v>116</v>
      </c>
      <c r="R80" s="60" t="n">
        <v>3.07390321446821</v>
      </c>
      <c r="S80" s="61" t="n">
        <f aca="false">U80*V80*$F$5</f>
        <v>3721.57991120977</v>
      </c>
      <c r="T80" s="62" t="n">
        <f aca="false">MAX(0,MIN(1,R80/100+$D$5))</f>
        <v>0.457171343698891</v>
      </c>
      <c r="U80" s="62" t="n">
        <v>0.684239733629301</v>
      </c>
      <c r="V80" s="61" t="n">
        <v>5439</v>
      </c>
      <c r="W80" s="62" t="n">
        <v>0.0551273752894184</v>
      </c>
      <c r="X80" s="63" t="s">
        <v>184</v>
      </c>
      <c r="Y80" s="63" t="s">
        <v>164</v>
      </c>
    </row>
    <row r="81" customFormat="false" ht="15" hidden="false" customHeight="false" outlineLevel="0" collapsed="false">
      <c r="A81" s="32" t="s">
        <v>220</v>
      </c>
      <c r="B81" s="32" t="s">
        <v>237</v>
      </c>
      <c r="C81" s="32" t="s">
        <v>161</v>
      </c>
      <c r="D81" s="59" t="n">
        <f aca="false">ROUND(S81*T81,0)</f>
        <v>2896</v>
      </c>
      <c r="E81" s="59" t="n">
        <f aca="false">ROUND(S81,0)-D81</f>
        <v>3028</v>
      </c>
      <c r="F81" s="59" t="n">
        <f aca="false">IF(COUNTA(D81:E81)=0,"",SUM(D81:E81))</f>
        <v>5924</v>
      </c>
      <c r="G81" s="40" t="n">
        <f aca="false">IF(OR(F81="",F81=0),"",D81/F81)</f>
        <v>0.488858879135719</v>
      </c>
      <c r="H81" s="40" t="n">
        <f aca="false">IF(OR(F81="",F81=0),"",E81/F81)</f>
        <v>0.511141120864281</v>
      </c>
      <c r="I81" s="32" t="s">
        <v>162</v>
      </c>
      <c r="J81" s="36" t="n">
        <v>1.35112788665076</v>
      </c>
      <c r="K81" s="36" t="n">
        <f aca="false">$K$8</f>
        <v>1.27451386687379</v>
      </c>
      <c r="L81" s="36" t="n">
        <f aca="false">SQRT(J81^2+K81^2)</f>
        <v>1.85739930088792</v>
      </c>
      <c r="M81" s="40" t="n">
        <f aca="false">IF(G81="","",MAX(0,G81-1.96*L81/100))</f>
        <v>0.452453852838316</v>
      </c>
      <c r="N81" s="40" t="n">
        <f aca="false">IF(G81="","",MIN(1,G81+1.96*L81/100))</f>
        <v>0.525263905433122</v>
      </c>
      <c r="O81" s="59" t="n">
        <f aca="false">ROUND(S81*W81,0)</f>
        <v>327</v>
      </c>
      <c r="P81" s="59" t="n">
        <f aca="false">IF(F81="","",ROUND(SQRT((F81*L81/100)^2+(G81*O81)^2),0))</f>
        <v>194</v>
      </c>
      <c r="R81" s="60" t="n">
        <v>6.2457479770037</v>
      </c>
      <c r="S81" s="61" t="n">
        <f aca="false">U81*V81*$F$5</f>
        <v>5924.29823361823</v>
      </c>
      <c r="T81" s="62" t="n">
        <f aca="false">MAX(0,MIN(1,R81/100+$D$5))</f>
        <v>0.488889791324246</v>
      </c>
      <c r="U81" s="62" t="n">
        <v>0.675441595441595</v>
      </c>
      <c r="V81" s="61" t="n">
        <v>8771</v>
      </c>
      <c r="W81" s="62" t="n">
        <v>0.0551273752894184</v>
      </c>
      <c r="X81" s="63" t="s">
        <v>184</v>
      </c>
      <c r="Y81" s="63" t="s">
        <v>164</v>
      </c>
    </row>
    <row r="82" customFormat="false" ht="15" hidden="false" customHeight="false" outlineLevel="0" collapsed="false">
      <c r="A82" s="32" t="s">
        <v>220</v>
      </c>
      <c r="B82" s="32" t="s">
        <v>238</v>
      </c>
      <c r="C82" s="32" t="s">
        <v>161</v>
      </c>
      <c r="D82" s="59" t="n">
        <f aca="false">ROUND(S82*T82,0)</f>
        <v>1647</v>
      </c>
      <c r="E82" s="59" t="n">
        <f aca="false">ROUND(S82,0)-D82</f>
        <v>3201</v>
      </c>
      <c r="F82" s="59" t="n">
        <f aca="false">IF(COUNTA(D82:E82)=0,"",SUM(D82:E82))</f>
        <v>4848</v>
      </c>
      <c r="G82" s="40" t="n">
        <f aca="false">IF(OR(F82="",F82=0),"",D82/F82)</f>
        <v>0.339727722772277</v>
      </c>
      <c r="H82" s="40" t="n">
        <f aca="false">IF(OR(F82="",F82=0),"",E82/F82)</f>
        <v>0.660272277227723</v>
      </c>
      <c r="I82" s="32" t="s">
        <v>162</v>
      </c>
      <c r="J82" s="36" t="n">
        <v>1.35112788665076</v>
      </c>
      <c r="K82" s="36" t="n">
        <f aca="false">$K$8</f>
        <v>1.27451386687379</v>
      </c>
      <c r="L82" s="36" t="n">
        <f aca="false">SQRT(J82^2+K82^2)</f>
        <v>1.85739930088792</v>
      </c>
      <c r="M82" s="40" t="n">
        <f aca="false">IF(G82="","",MAX(0,G82-1.96*L82/100))</f>
        <v>0.303322696474874</v>
      </c>
      <c r="N82" s="40" t="n">
        <f aca="false">IF(G82="","",MIN(1,G82+1.96*L82/100))</f>
        <v>0.37613274906968</v>
      </c>
      <c r="O82" s="59" t="n">
        <f aca="false">ROUND(S82*W82,0)</f>
        <v>267</v>
      </c>
      <c r="P82" s="59" t="n">
        <f aca="false">IF(F82="","",ROUND(SQRT((F82*L82/100)^2+(G82*O82)^2),0))</f>
        <v>128</v>
      </c>
      <c r="R82" s="60" t="n">
        <v>-8.68272566009847</v>
      </c>
      <c r="S82" s="61" t="n">
        <f aca="false">U82*V82*$F$5</f>
        <v>4848.29721362229</v>
      </c>
      <c r="T82" s="62" t="n">
        <f aca="false">MAX(0,MIN(1,R82/100+$D$5))</f>
        <v>0.339605054953224</v>
      </c>
      <c r="U82" s="62" t="n">
        <v>0.668730650154799</v>
      </c>
      <c r="V82" s="61" t="n">
        <v>7250</v>
      </c>
      <c r="W82" s="62" t="n">
        <v>0.0551273752894184</v>
      </c>
      <c r="X82" s="63" t="s">
        <v>184</v>
      </c>
      <c r="Y82" s="63" t="s">
        <v>164</v>
      </c>
    </row>
    <row r="83" customFormat="false" ht="15" hidden="false" customHeight="false" outlineLevel="0" collapsed="false">
      <c r="A83" s="32" t="s">
        <v>220</v>
      </c>
      <c r="B83" s="32" t="s">
        <v>239</v>
      </c>
      <c r="C83" s="32" t="s">
        <v>161</v>
      </c>
      <c r="D83" s="59" t="n">
        <f aca="false">ROUND(S83*T83,0)</f>
        <v>1254</v>
      </c>
      <c r="E83" s="59" t="n">
        <f aca="false">ROUND(S83,0)-D83</f>
        <v>1261</v>
      </c>
      <c r="F83" s="59" t="n">
        <f aca="false">IF(COUNTA(D83:E83)=0,"",SUM(D83:E83))</f>
        <v>2515</v>
      </c>
      <c r="G83" s="40" t="n">
        <f aca="false">IF(OR(F83="",F83=0),"",D83/F83)</f>
        <v>0.498608349900596</v>
      </c>
      <c r="H83" s="40" t="n">
        <f aca="false">IF(OR(F83="",F83=0),"",E83/F83)</f>
        <v>0.501391650099404</v>
      </c>
      <c r="I83" s="32" t="s">
        <v>162</v>
      </c>
      <c r="J83" s="36" t="n">
        <v>1.55923598199766</v>
      </c>
      <c r="K83" s="36" t="n">
        <f aca="false">$K$8</f>
        <v>1.27451386687379</v>
      </c>
      <c r="L83" s="36" t="n">
        <f aca="false">SQRT(J83^2+K83^2)</f>
        <v>2.01385263721301</v>
      </c>
      <c r="M83" s="40" t="n">
        <f aca="false">IF(G83="","",MAX(0,G83-1.96*L83/100))</f>
        <v>0.459136838211222</v>
      </c>
      <c r="N83" s="40" t="n">
        <f aca="false">IF(G83="","",MIN(1,G83+1.96*L83/100))</f>
        <v>0.538079861589971</v>
      </c>
      <c r="O83" s="59" t="n">
        <f aca="false">ROUND(S83*W83,0)</f>
        <v>152</v>
      </c>
      <c r="P83" s="59" t="n">
        <f aca="false">IF(F83="","",ROUND(SQRT((F83*L83/100)^2+(G83*O83)^2),0))</f>
        <v>91</v>
      </c>
      <c r="R83" s="60" t="n">
        <v>7.22904563107463</v>
      </c>
      <c r="S83" s="61" t="n">
        <f aca="false">U83*V83*$F$5</f>
        <v>2514.75925477861</v>
      </c>
      <c r="T83" s="62" t="n">
        <f aca="false">MAX(0,MIN(1,R83/100+$D$5))</f>
        <v>0.498722767864955</v>
      </c>
      <c r="U83" s="62" t="n">
        <v>0.595209291071861</v>
      </c>
      <c r="V83" s="61" t="n">
        <v>4225</v>
      </c>
      <c r="W83" s="62" t="n">
        <v>0.0606122259008943</v>
      </c>
      <c r="X83" s="63" t="s">
        <v>168</v>
      </c>
      <c r="Y83" s="63" t="s">
        <v>164</v>
      </c>
    </row>
    <row r="84" customFormat="false" ht="15" hidden="false" customHeight="false" outlineLevel="0" collapsed="false">
      <c r="A84" s="32" t="s">
        <v>220</v>
      </c>
      <c r="B84" s="32" t="s">
        <v>240</v>
      </c>
      <c r="C84" s="32" t="s">
        <v>161</v>
      </c>
      <c r="D84" s="59" t="n">
        <f aca="false">ROUND(S84*T84,0)</f>
        <v>718</v>
      </c>
      <c r="E84" s="59" t="n">
        <f aca="false">ROUND(S84,0)-D84</f>
        <v>710</v>
      </c>
      <c r="F84" s="59" t="n">
        <f aca="false">IF(COUNTA(D84:E84)=0,"",SUM(D84:E84))</f>
        <v>1428</v>
      </c>
      <c r="G84" s="40" t="n">
        <f aca="false">IF(OR(F84="",F84=0),"",D84/F84)</f>
        <v>0.502801120448179</v>
      </c>
      <c r="H84" s="40" t="n">
        <f aca="false">IF(OR(F84="",F84=0),"",E84/F84)</f>
        <v>0.497198879551821</v>
      </c>
      <c r="I84" s="32" t="s">
        <v>162</v>
      </c>
      <c r="J84" s="36" t="n">
        <v>1.55923598199766</v>
      </c>
      <c r="K84" s="36" t="n">
        <f aca="false">$K$8</f>
        <v>1.27451386687379</v>
      </c>
      <c r="L84" s="36" t="n">
        <f aca="false">SQRT(J84^2+K84^2)</f>
        <v>2.01385263721301</v>
      </c>
      <c r="M84" s="40" t="n">
        <f aca="false">IF(G84="","",MAX(0,G84-1.96*L84/100))</f>
        <v>0.463329608758804</v>
      </c>
      <c r="N84" s="40" t="n">
        <f aca="false">IF(G84="","",MIN(1,G84+1.96*L84/100))</f>
        <v>0.542272632137554</v>
      </c>
      <c r="O84" s="59" t="n">
        <f aca="false">ROUND(S84*W84,0)</f>
        <v>87</v>
      </c>
      <c r="P84" s="59" t="n">
        <f aca="false">IF(F84="","",ROUND(SQRT((F84*L84/100)^2+(G84*O84)^2),0))</f>
        <v>52</v>
      </c>
      <c r="R84" s="60" t="n">
        <v>7.63079093501523</v>
      </c>
      <c r="S84" s="61" t="n">
        <f aca="false">U84*V84*$F$5</f>
        <v>1427.54656265236</v>
      </c>
      <c r="T84" s="62" t="n">
        <f aca="false">MAX(0,MIN(1,R84/100+$D$5))</f>
        <v>0.502740220904361</v>
      </c>
      <c r="U84" s="62" t="n">
        <v>0.623110677718186</v>
      </c>
      <c r="V84" s="61" t="n">
        <v>2291</v>
      </c>
      <c r="W84" s="62" t="n">
        <v>0.0606122259008943</v>
      </c>
      <c r="X84" s="63" t="s">
        <v>168</v>
      </c>
      <c r="Y84" s="63" t="s">
        <v>164</v>
      </c>
    </row>
    <row r="85" customFormat="false" ht="15" hidden="false" customHeight="false" outlineLevel="0" collapsed="false">
      <c r="A85" s="32" t="s">
        <v>220</v>
      </c>
      <c r="B85" s="32" t="s">
        <v>241</v>
      </c>
      <c r="C85" s="32" t="s">
        <v>161</v>
      </c>
      <c r="D85" s="59" t="n">
        <f aca="false">ROUND(S85*T85,0)</f>
        <v>1970</v>
      </c>
      <c r="E85" s="59" t="n">
        <f aca="false">ROUND(S85,0)-D85</f>
        <v>2194</v>
      </c>
      <c r="F85" s="59" t="n">
        <f aca="false">IF(COUNTA(D85:E85)=0,"",SUM(D85:E85))</f>
        <v>4164</v>
      </c>
      <c r="G85" s="40" t="n">
        <f aca="false">IF(OR(F85="",F85=0),"",D85/F85)</f>
        <v>0.473102785782901</v>
      </c>
      <c r="H85" s="40" t="n">
        <f aca="false">IF(OR(F85="",F85=0),"",E85/F85)</f>
        <v>0.526897214217099</v>
      </c>
      <c r="I85" s="32" t="s">
        <v>162</v>
      </c>
      <c r="J85" s="36" t="n">
        <v>1.35112788665076</v>
      </c>
      <c r="K85" s="36" t="n">
        <f aca="false">$K$8</f>
        <v>1.27451386687379</v>
      </c>
      <c r="L85" s="36" t="n">
        <f aca="false">SQRT(J85^2+K85^2)</f>
        <v>1.85739930088792</v>
      </c>
      <c r="M85" s="40" t="n">
        <f aca="false">IF(G85="","",MAX(0,G85-1.96*L85/100))</f>
        <v>0.436697759485498</v>
      </c>
      <c r="N85" s="40" t="n">
        <f aca="false">IF(G85="","",MIN(1,G85+1.96*L85/100))</f>
        <v>0.509507812080304</v>
      </c>
      <c r="O85" s="59" t="n">
        <f aca="false">ROUND(S85*W85,0)</f>
        <v>230</v>
      </c>
      <c r="P85" s="59" t="n">
        <f aca="false">IF(F85="","",ROUND(SQRT((F85*L85/100)^2+(G85*O85)^2),0))</f>
        <v>133</v>
      </c>
      <c r="R85" s="60" t="n">
        <v>4.66604050466322</v>
      </c>
      <c r="S85" s="61" t="n">
        <f aca="false">U85*V85*$F$5</f>
        <v>4163.88109359178</v>
      </c>
      <c r="T85" s="62" t="n">
        <f aca="false">MAX(0,MIN(1,R85/100+$D$5))</f>
        <v>0.473092716600841</v>
      </c>
      <c r="U85" s="62" t="n">
        <v>0.568060176479097</v>
      </c>
      <c r="V85" s="61" t="n">
        <v>7330</v>
      </c>
      <c r="W85" s="62" t="n">
        <v>0.0551273752894184</v>
      </c>
      <c r="X85" s="63" t="s">
        <v>184</v>
      </c>
      <c r="Y85" s="63" t="s">
        <v>164</v>
      </c>
    </row>
    <row r="86" customFormat="false" ht="15" hidden="false" customHeight="false" outlineLevel="0" collapsed="false">
      <c r="A86" s="32" t="s">
        <v>220</v>
      </c>
      <c r="B86" s="32" t="s">
        <v>242</v>
      </c>
      <c r="C86" s="32" t="s">
        <v>161</v>
      </c>
      <c r="D86" s="59" t="n">
        <f aca="false">ROUND(S86*T86,0)</f>
        <v>5507</v>
      </c>
      <c r="E86" s="59" t="n">
        <f aca="false">ROUND(S86,0)-D86</f>
        <v>5150</v>
      </c>
      <c r="F86" s="59" t="n">
        <f aca="false">IF(COUNTA(D86:E86)=0,"",SUM(D86:E86))</f>
        <v>10657</v>
      </c>
      <c r="G86" s="40" t="n">
        <f aca="false">IF(OR(F86="",F86=0),"",D86/F86)</f>
        <v>0.51674955428357</v>
      </c>
      <c r="H86" s="40" t="n">
        <f aca="false">IF(OR(F86="",F86=0),"",E86/F86)</f>
        <v>0.483250445716431</v>
      </c>
      <c r="I86" s="32" t="s">
        <v>162</v>
      </c>
      <c r="J86" s="36" t="n">
        <v>1.35112788665076</v>
      </c>
      <c r="K86" s="36" t="n">
        <f aca="false">$K$8</f>
        <v>1.27451386687379</v>
      </c>
      <c r="L86" s="36" t="n">
        <f aca="false">SQRT(J86^2+K86^2)</f>
        <v>1.85739930088792</v>
      </c>
      <c r="M86" s="40" t="n">
        <f aca="false">IF(G86="","",MAX(0,G86-1.96*L86/100))</f>
        <v>0.480344527986166</v>
      </c>
      <c r="N86" s="40" t="n">
        <f aca="false">IF(G86="","",MIN(1,G86+1.96*L86/100))</f>
        <v>0.553154580580973</v>
      </c>
      <c r="O86" s="59" t="n">
        <f aca="false">ROUND(S86*W86,0)</f>
        <v>587</v>
      </c>
      <c r="P86" s="59" t="n">
        <f aca="false">IF(F86="","",ROUND(SQRT((F86*L86/100)^2+(G86*O86)^2),0))</f>
        <v>362</v>
      </c>
      <c r="R86" s="60" t="n">
        <v>9.03228074962688</v>
      </c>
      <c r="S86" s="61" t="n">
        <f aca="false">U86*V86*$F$5</f>
        <v>10656.5050635134</v>
      </c>
      <c r="T86" s="62" t="n">
        <f aca="false">MAX(0,MIN(1,R86/100+$D$5))</f>
        <v>0.516755119050477</v>
      </c>
      <c r="U86" s="62" t="n">
        <v>0.603699584382134</v>
      </c>
      <c r="V86" s="61" t="n">
        <v>17652</v>
      </c>
      <c r="W86" s="62" t="n">
        <v>0.0551273752894184</v>
      </c>
      <c r="X86" s="63" t="s">
        <v>184</v>
      </c>
      <c r="Y86" s="63" t="s">
        <v>164</v>
      </c>
    </row>
    <row r="87" customFormat="false" ht="15" hidden="false" customHeight="false" outlineLevel="0" collapsed="false">
      <c r="A87" s="32" t="s">
        <v>220</v>
      </c>
      <c r="B87" s="32" t="s">
        <v>243</v>
      </c>
      <c r="C87" s="32" t="s">
        <v>161</v>
      </c>
      <c r="D87" s="59" t="n">
        <f aca="false">ROUND(S87*T87,0)</f>
        <v>515</v>
      </c>
      <c r="E87" s="59" t="n">
        <f aca="false">ROUND(S87,0)-D87</f>
        <v>847</v>
      </c>
      <c r="F87" s="59" t="n">
        <f aca="false">IF(COUNTA(D87:E87)=0,"",SUM(D87:E87))</f>
        <v>1362</v>
      </c>
      <c r="G87" s="40" t="n">
        <f aca="false">IF(OR(F87="",F87=0),"",D87/F87)</f>
        <v>0.378120411160059</v>
      </c>
      <c r="H87" s="40" t="n">
        <f aca="false">IF(OR(F87="",F87=0),"",E87/F87)</f>
        <v>0.621879588839941</v>
      </c>
      <c r="I87" s="32" t="s">
        <v>162</v>
      </c>
      <c r="J87" s="36" t="n">
        <v>1.55923598199766</v>
      </c>
      <c r="K87" s="36" t="n">
        <f aca="false">$K$8</f>
        <v>1.27451386687379</v>
      </c>
      <c r="L87" s="36" t="n">
        <f aca="false">SQRT(J87^2+K87^2)</f>
        <v>2.01385263721301</v>
      </c>
      <c r="M87" s="40" t="n">
        <f aca="false">IF(G87="","",MAX(0,G87-1.96*L87/100))</f>
        <v>0.338648899470684</v>
      </c>
      <c r="N87" s="40" t="n">
        <f aca="false">IF(G87="","",MIN(1,G87+1.96*L87/100))</f>
        <v>0.417591922849434</v>
      </c>
      <c r="O87" s="59" t="n">
        <f aca="false">ROUND(S87*W87,0)</f>
        <v>83</v>
      </c>
      <c r="P87" s="59" t="n">
        <f aca="false">IF(F87="","",ROUND(SQRT((F87*L87/100)^2+(G87*O87)^2),0))</f>
        <v>42</v>
      </c>
      <c r="R87" s="60" t="n">
        <v>-4.84464590927045</v>
      </c>
      <c r="S87" s="61" t="n">
        <f aca="false">U87*V87*$F$5</f>
        <v>1362.06750324535</v>
      </c>
      <c r="T87" s="62" t="n">
        <f aca="false">MAX(0,MIN(1,R87/100+$D$5))</f>
        <v>0.377985852461504</v>
      </c>
      <c r="U87" s="62" t="n">
        <v>0.55776720034617</v>
      </c>
      <c r="V87" s="61" t="n">
        <v>2442</v>
      </c>
      <c r="W87" s="62" t="n">
        <v>0.0606122259008943</v>
      </c>
      <c r="X87" s="63" t="s">
        <v>168</v>
      </c>
      <c r="Y87" s="63" t="s">
        <v>164</v>
      </c>
    </row>
    <row r="88" customFormat="false" ht="15" hidden="false" customHeight="false" outlineLevel="0" collapsed="false">
      <c r="A88" s="32" t="s">
        <v>220</v>
      </c>
      <c r="B88" s="32" t="s">
        <v>244</v>
      </c>
      <c r="C88" s="32" t="s">
        <v>161</v>
      </c>
      <c r="D88" s="59" t="n">
        <f aca="false">ROUND(S88*T88,0)</f>
        <v>1080</v>
      </c>
      <c r="E88" s="59" t="n">
        <f aca="false">ROUND(S88,0)-D88</f>
        <v>2041</v>
      </c>
      <c r="F88" s="59" t="n">
        <f aca="false">IF(COUNTA(D88:E88)=0,"",SUM(D88:E88))</f>
        <v>3121</v>
      </c>
      <c r="G88" s="40" t="n">
        <f aca="false">IF(OR(F88="",F88=0),"",D88/F88)</f>
        <v>0.346042934956745</v>
      </c>
      <c r="H88" s="40" t="n">
        <f aca="false">IF(OR(F88="",F88=0),"",E88/F88)</f>
        <v>0.653957065043255</v>
      </c>
      <c r="I88" s="32" t="s">
        <v>162</v>
      </c>
      <c r="J88" s="36" t="n">
        <v>1.35112788665076</v>
      </c>
      <c r="K88" s="36" t="n">
        <f aca="false">$K$8</f>
        <v>1.27451386687379</v>
      </c>
      <c r="L88" s="36" t="n">
        <f aca="false">SQRT(J88^2+K88^2)</f>
        <v>1.85739930088792</v>
      </c>
      <c r="M88" s="40" t="n">
        <f aca="false">IF(G88="","",MAX(0,G88-1.96*L88/100))</f>
        <v>0.309637908659342</v>
      </c>
      <c r="N88" s="40" t="n">
        <f aca="false">IF(G88="","",MIN(1,G88+1.96*L88/100))</f>
        <v>0.382447961254148</v>
      </c>
      <c r="O88" s="59" t="n">
        <f aca="false">ROUND(S88*W88,0)</f>
        <v>172</v>
      </c>
      <c r="P88" s="59" t="n">
        <f aca="false">IF(F88="","",ROUND(SQRT((F88*L88/100)^2+(G88*O88)^2),0))</f>
        <v>83</v>
      </c>
      <c r="R88" s="60" t="n">
        <v>-8.0503452275002</v>
      </c>
      <c r="S88" s="61" t="n">
        <f aca="false">U88*V88*$F$5</f>
        <v>3121.34219409283</v>
      </c>
      <c r="T88" s="62" t="n">
        <f aca="false">MAX(0,MIN(1,R88/100+$D$5))</f>
        <v>0.345928859279207</v>
      </c>
      <c r="U88" s="62" t="n">
        <v>0.648523206751055</v>
      </c>
      <c r="V88" s="61" t="n">
        <v>4813</v>
      </c>
      <c r="W88" s="62" t="n">
        <v>0.0551273752894184</v>
      </c>
      <c r="X88" s="63" t="s">
        <v>184</v>
      </c>
      <c r="Y88" s="63" t="s">
        <v>164</v>
      </c>
    </row>
    <row r="89" customFormat="false" ht="15" hidden="false" customHeight="false" outlineLevel="0" collapsed="false">
      <c r="A89" s="32" t="s">
        <v>220</v>
      </c>
      <c r="B89" s="32" t="s">
        <v>245</v>
      </c>
      <c r="C89" s="32" t="s">
        <v>161</v>
      </c>
      <c r="D89" s="59" t="n">
        <f aca="false">ROUND(S89*T89,0)</f>
        <v>71</v>
      </c>
      <c r="E89" s="59" t="n">
        <f aca="false">ROUND(S89,0)-D89</f>
        <v>125</v>
      </c>
      <c r="F89" s="59" t="n">
        <f aca="false">IF(COUNTA(D89:E89)=0,"",SUM(D89:E89))</f>
        <v>196</v>
      </c>
      <c r="G89" s="40" t="n">
        <f aca="false">IF(OR(F89="",F89=0),"",D89/F89)</f>
        <v>0.362244897959184</v>
      </c>
      <c r="H89" s="40" t="n">
        <f aca="false">IF(OR(F89="",F89=0),"",E89/F89)</f>
        <v>0.637755102040816</v>
      </c>
      <c r="I89" s="32" t="s">
        <v>162</v>
      </c>
      <c r="J89" s="36" t="n">
        <v>2.73663407218982</v>
      </c>
      <c r="K89" s="36" t="n">
        <f aca="false">$K$8</f>
        <v>1.27451386687379</v>
      </c>
      <c r="L89" s="36" t="n">
        <f aca="false">SQRT(J89^2+K89^2)</f>
        <v>3.01886595295714</v>
      </c>
      <c r="M89" s="40" t="n">
        <f aca="false">IF(G89="","",MAX(0,G89-1.96*L89/100))</f>
        <v>0.303075125281224</v>
      </c>
      <c r="N89" s="40" t="n">
        <f aca="false">IF(G89="","",MIN(1,G89+1.96*L89/100))</f>
        <v>0.421414670637144</v>
      </c>
      <c r="O89" s="59" t="n">
        <f aca="false">ROUND(S89*W89,0)</f>
        <v>15</v>
      </c>
      <c r="P89" s="59" t="n">
        <f aca="false">IF(F89="","",ROUND(SQRT((F89*L89/100)^2+(G89*O89)^2),0))</f>
        <v>8</v>
      </c>
      <c r="R89" s="60" t="n">
        <v>-6.27631432411783</v>
      </c>
      <c r="S89" s="61" t="n">
        <f aca="false">U89*V89*$F$5</f>
        <v>196.10298102981</v>
      </c>
      <c r="T89" s="62" t="n">
        <f aca="false">MAX(0,MIN(1,R89/100+$D$5))</f>
        <v>0.36366916831303</v>
      </c>
      <c r="U89" s="62" t="n">
        <v>0.525745257452575</v>
      </c>
      <c r="V89" s="61" t="n">
        <v>373</v>
      </c>
      <c r="W89" s="62" t="n">
        <v>0.0777040344688333</v>
      </c>
      <c r="X89" s="63" t="s">
        <v>163</v>
      </c>
      <c r="Y89" s="63" t="s">
        <v>164</v>
      </c>
    </row>
    <row r="90" customFormat="false" ht="15" hidden="false" customHeight="false" outlineLevel="0" collapsed="false">
      <c r="A90" s="32" t="s">
        <v>220</v>
      </c>
      <c r="B90" s="32" t="s">
        <v>246</v>
      </c>
      <c r="C90" s="32" t="s">
        <v>161</v>
      </c>
      <c r="D90" s="59" t="n">
        <f aca="false">ROUND(S90*T90,0)</f>
        <v>256</v>
      </c>
      <c r="E90" s="59" t="n">
        <f aca="false">ROUND(S90,0)-D90</f>
        <v>428</v>
      </c>
      <c r="F90" s="59" t="n">
        <f aca="false">IF(COUNTA(D90:E90)=0,"",SUM(D90:E90))</f>
        <v>684</v>
      </c>
      <c r="G90" s="40" t="n">
        <f aca="false">IF(OR(F90="",F90=0),"",D90/F90)</f>
        <v>0.374269005847953</v>
      </c>
      <c r="H90" s="40" t="n">
        <f aca="false">IF(OR(F90="",F90=0),"",E90/F90)</f>
        <v>0.625730994152047</v>
      </c>
      <c r="I90" s="32" t="s">
        <v>162</v>
      </c>
      <c r="J90" s="36" t="n">
        <v>2.73663407218982</v>
      </c>
      <c r="K90" s="36" t="n">
        <f aca="false">$K$8</f>
        <v>1.27451386687379</v>
      </c>
      <c r="L90" s="36" t="n">
        <f aca="false">SQRT(J90^2+K90^2)</f>
        <v>3.01886595295714</v>
      </c>
      <c r="M90" s="40" t="n">
        <f aca="false">IF(G90="","",MAX(0,G90-1.96*L90/100))</f>
        <v>0.315099233169993</v>
      </c>
      <c r="N90" s="40" t="n">
        <f aca="false">IF(G90="","",MIN(1,G90+1.96*L90/100))</f>
        <v>0.433438778525913</v>
      </c>
      <c r="O90" s="59" t="n">
        <f aca="false">ROUND(S90*W90,0)</f>
        <v>53</v>
      </c>
      <c r="P90" s="59" t="n">
        <f aca="false">IF(F90="","",ROUND(SQRT((F90*L90/100)^2+(G90*O90)^2),0))</f>
        <v>29</v>
      </c>
      <c r="R90" s="60" t="n">
        <v>-5.14300617986459</v>
      </c>
      <c r="S90" s="61" t="n">
        <f aca="false">U90*V90*$F$5</f>
        <v>683.952941176471</v>
      </c>
      <c r="T90" s="62" t="n">
        <f aca="false">MAX(0,MIN(1,R90/100+$D$5))</f>
        <v>0.375002249755563</v>
      </c>
      <c r="U90" s="62" t="n">
        <v>0.568067226890756</v>
      </c>
      <c r="V90" s="61" t="n">
        <v>1204</v>
      </c>
      <c r="W90" s="62" t="n">
        <v>0.0777040344688333</v>
      </c>
      <c r="X90" s="63" t="s">
        <v>163</v>
      </c>
      <c r="Y90" s="63" t="s">
        <v>164</v>
      </c>
    </row>
    <row r="91" customFormat="false" ht="15" hidden="false" customHeight="false" outlineLevel="0" collapsed="false">
      <c r="A91" s="32" t="s">
        <v>220</v>
      </c>
      <c r="B91" s="32" t="s">
        <v>247</v>
      </c>
      <c r="C91" s="32" t="s">
        <v>161</v>
      </c>
      <c r="D91" s="59" t="n">
        <f aca="false">ROUND(S91*T91,0)</f>
        <v>162</v>
      </c>
      <c r="E91" s="59" t="n">
        <f aca="false">ROUND(S91,0)-D91</f>
        <v>227</v>
      </c>
      <c r="F91" s="59" t="n">
        <f aca="false">IF(COUNTA(D91:E91)=0,"",SUM(D91:E91))</f>
        <v>389</v>
      </c>
      <c r="G91" s="40" t="n">
        <f aca="false">IF(OR(F91="",F91=0),"",D91/F91)</f>
        <v>0.416452442159383</v>
      </c>
      <c r="H91" s="40" t="n">
        <f aca="false">IF(OR(F91="",F91=0),"",E91/F91)</f>
        <v>0.583547557840617</v>
      </c>
      <c r="I91" s="32" t="s">
        <v>162</v>
      </c>
      <c r="J91" s="36" t="n">
        <v>2.73663407218982</v>
      </c>
      <c r="K91" s="36" t="n">
        <f aca="false">$K$8</f>
        <v>1.27451386687379</v>
      </c>
      <c r="L91" s="36" t="n">
        <f aca="false">SQRT(J91^2+K91^2)</f>
        <v>3.01886595295714</v>
      </c>
      <c r="M91" s="40" t="n">
        <f aca="false">IF(G91="","",MAX(0,G91-1.96*L91/100))</f>
        <v>0.357282669481423</v>
      </c>
      <c r="N91" s="40" t="n">
        <f aca="false">IF(G91="","",MIN(1,G91+1.96*L91/100))</f>
        <v>0.475622214837343</v>
      </c>
      <c r="O91" s="59" t="n">
        <f aca="false">ROUND(S91*W91,0)</f>
        <v>30</v>
      </c>
      <c r="P91" s="59" t="n">
        <f aca="false">IF(F91="","",ROUND(SQRT((F91*L91/100)^2+(G91*O91)^2),0))</f>
        <v>17</v>
      </c>
      <c r="R91" s="60" t="n">
        <v>-1.06077040699545</v>
      </c>
      <c r="S91" s="61" t="n">
        <f aca="false">U91*V91*$F$5</f>
        <v>388.819749216301</v>
      </c>
      <c r="T91" s="62" t="n">
        <f aca="false">MAX(0,MIN(1,R91/100+$D$5))</f>
        <v>0.415824607484254</v>
      </c>
      <c r="U91" s="62" t="n">
        <v>0.606583072100314</v>
      </c>
      <c r="V91" s="61" t="n">
        <v>641</v>
      </c>
      <c r="W91" s="62" t="n">
        <v>0.0777040344688333</v>
      </c>
      <c r="X91" s="63" t="s">
        <v>163</v>
      </c>
      <c r="Y91" s="63" t="s">
        <v>164</v>
      </c>
    </row>
    <row r="92" customFormat="false" ht="15" hidden="false" customHeight="false" outlineLevel="0" collapsed="false">
      <c r="A92" s="32" t="s">
        <v>220</v>
      </c>
      <c r="B92" s="32" t="s">
        <v>248</v>
      </c>
      <c r="C92" s="32" t="s">
        <v>161</v>
      </c>
      <c r="D92" s="59" t="n">
        <f aca="false">ROUND(S92*T92,0)</f>
        <v>256</v>
      </c>
      <c r="E92" s="59" t="n">
        <f aca="false">ROUND(S92,0)-D92</f>
        <v>346</v>
      </c>
      <c r="F92" s="59" t="n">
        <f aca="false">IF(COUNTA(D92:E92)=0,"",SUM(D92:E92))</f>
        <v>602</v>
      </c>
      <c r="G92" s="40" t="n">
        <f aca="false">IF(OR(F92="",F92=0),"",D92/F92)</f>
        <v>0.425249169435216</v>
      </c>
      <c r="H92" s="40" t="n">
        <f aca="false">IF(OR(F92="",F92=0),"",E92/F92)</f>
        <v>0.574750830564784</v>
      </c>
      <c r="I92" s="32" t="s">
        <v>162</v>
      </c>
      <c r="J92" s="36" t="n">
        <v>2.73663407218982</v>
      </c>
      <c r="K92" s="36" t="n">
        <f aca="false">$K$8</f>
        <v>1.27451386687379</v>
      </c>
      <c r="L92" s="36" t="n">
        <f aca="false">SQRT(J92^2+K92^2)</f>
        <v>3.01886595295714</v>
      </c>
      <c r="M92" s="40" t="n">
        <f aca="false">IF(G92="","",MAX(0,G92-1.96*L92/100))</f>
        <v>0.366079396757256</v>
      </c>
      <c r="N92" s="40" t="n">
        <f aca="false">IF(G92="","",MIN(1,G92+1.96*L92/100))</f>
        <v>0.484418942113176</v>
      </c>
      <c r="O92" s="59" t="n">
        <f aca="false">ROUND(S92*W92,0)</f>
        <v>47</v>
      </c>
      <c r="P92" s="59" t="n">
        <f aca="false">IF(F92="","",ROUND(SQRT((F92*L92/100)^2+(G92*O92)^2),0))</f>
        <v>27</v>
      </c>
      <c r="R92" s="60" t="n">
        <v>-0.192281384695375</v>
      </c>
      <c r="S92" s="61" t="n">
        <f aca="false">U92*V92*$F$5</f>
        <v>602.07868852459</v>
      </c>
      <c r="T92" s="62" t="n">
        <f aca="false">MAX(0,MIN(1,R92/100+$D$5))</f>
        <v>0.424509497707255</v>
      </c>
      <c r="U92" s="62" t="n">
        <v>0.613114754098361</v>
      </c>
      <c r="V92" s="61" t="n">
        <v>982</v>
      </c>
      <c r="W92" s="62" t="n">
        <v>0.0777040344688333</v>
      </c>
      <c r="X92" s="63" t="s">
        <v>163</v>
      </c>
      <c r="Y92" s="63" t="s">
        <v>164</v>
      </c>
    </row>
    <row r="93" customFormat="false" ht="15" hidden="false" customHeight="false" outlineLevel="0" collapsed="false">
      <c r="A93" s="32" t="s">
        <v>220</v>
      </c>
      <c r="B93" s="32" t="s">
        <v>249</v>
      </c>
      <c r="C93" s="32" t="s">
        <v>161</v>
      </c>
      <c r="D93" s="59" t="n">
        <f aca="false">ROUND(S93*T93,0)</f>
        <v>1018</v>
      </c>
      <c r="E93" s="59" t="n">
        <f aca="false">ROUND(S93,0)-D93</f>
        <v>2128</v>
      </c>
      <c r="F93" s="59" t="n">
        <f aca="false">IF(COUNTA(D93:E93)=0,"",SUM(D93:E93))</f>
        <v>3146</v>
      </c>
      <c r="G93" s="40" t="n">
        <f aca="false">IF(OR(F93="",F93=0),"",D93/F93)</f>
        <v>0.323585505403687</v>
      </c>
      <c r="H93" s="40" t="n">
        <f aca="false">IF(OR(F93="",F93=0),"",E93/F93)</f>
        <v>0.676414494596313</v>
      </c>
      <c r="I93" s="32" t="s">
        <v>162</v>
      </c>
      <c r="J93" s="36" t="n">
        <v>1.35112788665076</v>
      </c>
      <c r="K93" s="36" t="n">
        <f aca="false">$K$8</f>
        <v>1.27451386687379</v>
      </c>
      <c r="L93" s="36" t="n">
        <f aca="false">SQRT(J93^2+K93^2)</f>
        <v>1.85739930088792</v>
      </c>
      <c r="M93" s="40" t="n">
        <f aca="false">IF(G93="","",MAX(0,G93-1.96*L93/100))</f>
        <v>0.287180479106284</v>
      </c>
      <c r="N93" s="40" t="n">
        <f aca="false">IF(G93="","",MIN(1,G93+1.96*L93/100))</f>
        <v>0.35999053170109</v>
      </c>
      <c r="O93" s="59" t="n">
        <f aca="false">ROUND(S93*W93,0)</f>
        <v>173</v>
      </c>
      <c r="P93" s="59" t="n">
        <f aca="false">IF(F93="","",ROUND(SQRT((F93*L93/100)^2+(G93*O93)^2),0))</f>
        <v>81</v>
      </c>
      <c r="R93" s="60" t="n">
        <v>-10.2950128088443</v>
      </c>
      <c r="S93" s="61" t="n">
        <f aca="false">U93*V93*$F$5</f>
        <v>3146.26275765459</v>
      </c>
      <c r="T93" s="62" t="n">
        <f aca="false">MAX(0,MIN(1,R93/100+$D$5))</f>
        <v>0.323482183465765</v>
      </c>
      <c r="U93" s="62" t="n">
        <v>0.625375225135081</v>
      </c>
      <c r="V93" s="61" t="n">
        <v>5031</v>
      </c>
      <c r="W93" s="62" t="n">
        <v>0.0551273752894184</v>
      </c>
      <c r="X93" s="63" t="s">
        <v>184</v>
      </c>
      <c r="Y93" s="63" t="s">
        <v>164</v>
      </c>
    </row>
    <row r="94" customFormat="false" ht="15" hidden="false" customHeight="false" outlineLevel="0" collapsed="false">
      <c r="A94" s="32" t="s">
        <v>220</v>
      </c>
      <c r="B94" s="32" t="s">
        <v>250</v>
      </c>
      <c r="C94" s="32" t="s">
        <v>161</v>
      </c>
      <c r="D94" s="59" t="n">
        <f aca="false">ROUND(S94*T94,0)</f>
        <v>1600</v>
      </c>
      <c r="E94" s="59" t="n">
        <f aca="false">ROUND(S94,0)-D94</f>
        <v>1677</v>
      </c>
      <c r="F94" s="59" t="n">
        <f aca="false">IF(COUNTA(D94:E94)=0,"",SUM(D94:E94))</f>
        <v>3277</v>
      </c>
      <c r="G94" s="40" t="n">
        <f aca="false">IF(OR(F94="",F94=0),"",D94/F94)</f>
        <v>0.488251449496491</v>
      </c>
      <c r="H94" s="40" t="n">
        <f aca="false">IF(OR(F94="",F94=0),"",E94/F94)</f>
        <v>0.511748550503509</v>
      </c>
      <c r="I94" s="32" t="s">
        <v>162</v>
      </c>
      <c r="J94" s="36" t="n">
        <v>1.35112788665076</v>
      </c>
      <c r="K94" s="36" t="n">
        <f aca="false">$K$8</f>
        <v>1.27451386687379</v>
      </c>
      <c r="L94" s="36" t="n">
        <f aca="false">SQRT(J94^2+K94^2)</f>
        <v>1.85739930088792</v>
      </c>
      <c r="M94" s="40" t="n">
        <f aca="false">IF(G94="","",MAX(0,G94-1.96*L94/100))</f>
        <v>0.451846423199088</v>
      </c>
      <c r="N94" s="40" t="n">
        <f aca="false">IF(G94="","",MIN(1,G94+1.96*L94/100))</f>
        <v>0.524656475793894</v>
      </c>
      <c r="O94" s="59" t="n">
        <f aca="false">ROUND(S94*W94,0)</f>
        <v>181</v>
      </c>
      <c r="P94" s="59" t="n">
        <f aca="false">IF(F94="","",ROUND(SQRT((F94*L94/100)^2+(G94*O94)^2),0))</f>
        <v>107</v>
      </c>
      <c r="R94" s="60" t="n">
        <v>6.16738421292099</v>
      </c>
      <c r="S94" s="61" t="n">
        <f aca="false">U94*V94*$F$5</f>
        <v>3277.36336396324</v>
      </c>
      <c r="T94" s="62" t="n">
        <f aca="false">MAX(0,MIN(1,R94/100+$D$5))</f>
        <v>0.488106153683419</v>
      </c>
      <c r="U94" s="62" t="n">
        <v>0.631841789852177</v>
      </c>
      <c r="V94" s="61" t="n">
        <v>5187</v>
      </c>
      <c r="W94" s="62" t="n">
        <v>0.0551273752894184</v>
      </c>
      <c r="X94" s="63" t="s">
        <v>184</v>
      </c>
      <c r="Y94" s="63" t="s">
        <v>164</v>
      </c>
    </row>
    <row r="95" customFormat="false" ht="15" hidden="false" customHeight="false" outlineLevel="0" collapsed="false">
      <c r="A95" s="32" t="s">
        <v>220</v>
      </c>
      <c r="B95" s="32" t="s">
        <v>251</v>
      </c>
      <c r="C95" s="32" t="s">
        <v>161</v>
      </c>
      <c r="D95" s="59" t="n">
        <f aca="false">ROUND(S95*T95,0)</f>
        <v>305</v>
      </c>
      <c r="E95" s="59" t="n">
        <f aca="false">ROUND(S95,0)-D95</f>
        <v>456</v>
      </c>
      <c r="F95" s="59" t="n">
        <f aca="false">IF(COUNTA(D95:E95)=0,"",SUM(D95:E95))</f>
        <v>761</v>
      </c>
      <c r="G95" s="40" t="n">
        <f aca="false">IF(OR(F95="",F95=0),"",D95/F95)</f>
        <v>0.400788436268068</v>
      </c>
      <c r="H95" s="40" t="n">
        <f aca="false">IF(OR(F95="",F95=0),"",E95/F95)</f>
        <v>0.599211563731932</v>
      </c>
      <c r="I95" s="32" t="s">
        <v>162</v>
      </c>
      <c r="J95" s="36" t="n">
        <v>2.73663407218982</v>
      </c>
      <c r="K95" s="36" t="n">
        <f aca="false">$K$8</f>
        <v>1.27451386687379</v>
      </c>
      <c r="L95" s="36" t="n">
        <f aca="false">SQRT(J95^2+K95^2)</f>
        <v>3.01886595295714</v>
      </c>
      <c r="M95" s="40" t="n">
        <f aca="false">IF(G95="","",MAX(0,G95-1.96*L95/100))</f>
        <v>0.341618663590108</v>
      </c>
      <c r="N95" s="40" t="n">
        <f aca="false">IF(G95="","",MIN(1,G95+1.96*L95/100))</f>
        <v>0.459958208946028</v>
      </c>
      <c r="O95" s="59" t="n">
        <f aca="false">ROUND(S95*W95,0)</f>
        <v>59</v>
      </c>
      <c r="P95" s="59" t="n">
        <f aca="false">IF(F95="","",ROUND(SQRT((F95*L95/100)^2+(G95*O95)^2),0))</f>
        <v>33</v>
      </c>
      <c r="R95" s="60" t="n">
        <v>-2.63171467530804</v>
      </c>
      <c r="S95" s="61" t="n">
        <f aca="false">U95*V95*$F$5</f>
        <v>761.429837518464</v>
      </c>
      <c r="T95" s="62" t="n">
        <f aca="false">MAX(0,MIN(1,R95/100+$D$5))</f>
        <v>0.400115164801128</v>
      </c>
      <c r="U95" s="62" t="n">
        <v>0.534711964549483</v>
      </c>
      <c r="V95" s="61" t="n">
        <v>1424</v>
      </c>
      <c r="W95" s="62" t="n">
        <v>0.0777040344688333</v>
      </c>
      <c r="X95" s="63" t="s">
        <v>163</v>
      </c>
      <c r="Y95" s="63" t="s">
        <v>164</v>
      </c>
    </row>
    <row r="96" customFormat="false" ht="15" hidden="false" customHeight="false" outlineLevel="0" collapsed="false">
      <c r="A96" s="32" t="s">
        <v>220</v>
      </c>
      <c r="B96" s="32" t="s">
        <v>212</v>
      </c>
      <c r="C96" s="32" t="s">
        <v>161</v>
      </c>
      <c r="D96" s="59" t="n">
        <f aca="false">ROUND(S96*T96,0)</f>
        <v>820</v>
      </c>
      <c r="E96" s="59" t="n">
        <f aca="false">ROUND(S96,0)-D96</f>
        <v>1567</v>
      </c>
      <c r="F96" s="59" t="n">
        <f aca="false">IF(COUNTA(D96:E96)=0,"",SUM(D96:E96))</f>
        <v>2387</v>
      </c>
      <c r="G96" s="40" t="n">
        <f aca="false">IF(OR(F96="",F96=0),"",D96/F96)</f>
        <v>0.343527440301634</v>
      </c>
      <c r="H96" s="40" t="n">
        <f aca="false">IF(OR(F96="",F96=0),"",E96/F96)</f>
        <v>0.656472559698366</v>
      </c>
      <c r="I96" s="32" t="s">
        <v>162</v>
      </c>
      <c r="J96" s="36" t="n">
        <v>1.55923598199766</v>
      </c>
      <c r="K96" s="36" t="n">
        <f aca="false">$K$8</f>
        <v>1.27451386687379</v>
      </c>
      <c r="L96" s="36" t="n">
        <f aca="false">SQRT(J96^2+K96^2)</f>
        <v>2.01385263721301</v>
      </c>
      <c r="M96" s="40" t="n">
        <f aca="false">IF(G96="","",MAX(0,G96-1.96*L96/100))</f>
        <v>0.304055928612259</v>
      </c>
      <c r="N96" s="40" t="n">
        <f aca="false">IF(G96="","",MIN(1,G96+1.96*L96/100))</f>
        <v>0.382998951991009</v>
      </c>
      <c r="O96" s="59" t="n">
        <f aca="false">ROUND(S96*W96,0)</f>
        <v>145</v>
      </c>
      <c r="P96" s="59" t="n">
        <f aca="false">IF(F96="","",ROUND(SQRT((F96*L96/100)^2+(G96*O96)^2),0))</f>
        <v>69</v>
      </c>
      <c r="R96" s="60" t="n">
        <v>-8.29071655410916</v>
      </c>
      <c r="S96" s="61" t="n">
        <f aca="false">U96*V96*$F$5</f>
        <v>2386.68081761006</v>
      </c>
      <c r="T96" s="62" t="n">
        <f aca="false">MAX(0,MIN(1,R96/100+$D$5))</f>
        <v>0.343525146013117</v>
      </c>
      <c r="U96" s="62" t="n">
        <v>0.62185534591195</v>
      </c>
      <c r="V96" s="61" t="n">
        <v>3838</v>
      </c>
      <c r="W96" s="62" t="n">
        <v>0.0606122259008943</v>
      </c>
      <c r="X96" s="63" t="s">
        <v>168</v>
      </c>
      <c r="Y96" s="63" t="s">
        <v>164</v>
      </c>
    </row>
    <row r="97" customFormat="false" ht="15" hidden="false" customHeight="false" outlineLevel="0" collapsed="false">
      <c r="A97" s="32" t="s">
        <v>220</v>
      </c>
      <c r="B97" s="32" t="s">
        <v>252</v>
      </c>
      <c r="C97" s="32" t="s">
        <v>161</v>
      </c>
      <c r="D97" s="59" t="n">
        <f aca="false">ROUND(S97*T97,0)</f>
        <v>213</v>
      </c>
      <c r="E97" s="59" t="n">
        <f aca="false">ROUND(S97,0)-D97</f>
        <v>225</v>
      </c>
      <c r="F97" s="59" t="n">
        <f aca="false">IF(COUNTA(D97:E97)=0,"",SUM(D97:E97))</f>
        <v>438</v>
      </c>
      <c r="G97" s="40" t="n">
        <f aca="false">IF(OR(F97="",F97=0),"",D97/F97)</f>
        <v>0.486301369863014</v>
      </c>
      <c r="H97" s="40" t="n">
        <f aca="false">IF(OR(F97="",F97=0),"",E97/F97)</f>
        <v>0.513698630136986</v>
      </c>
      <c r="I97" s="32" t="s">
        <v>162</v>
      </c>
      <c r="J97" s="36" t="n">
        <v>2.73663407218982</v>
      </c>
      <c r="K97" s="36" t="n">
        <f aca="false">$K$8</f>
        <v>1.27451386687379</v>
      </c>
      <c r="L97" s="36" t="n">
        <f aca="false">SQRT(J97^2+K97^2)</f>
        <v>3.01886595295714</v>
      </c>
      <c r="M97" s="40" t="n">
        <f aca="false">IF(G97="","",MAX(0,G97-1.96*L97/100))</f>
        <v>0.427131597185054</v>
      </c>
      <c r="N97" s="40" t="n">
        <f aca="false">IF(G97="","",MIN(1,G97+1.96*L97/100))</f>
        <v>0.545471142540974</v>
      </c>
      <c r="O97" s="59" t="n">
        <f aca="false">ROUND(S97*W97,0)</f>
        <v>34</v>
      </c>
      <c r="P97" s="59" t="n">
        <f aca="false">IF(F97="","",ROUND(SQRT((F97*L97/100)^2+(G97*O97)^2),0))</f>
        <v>21</v>
      </c>
      <c r="R97" s="60" t="n">
        <v>5.88728720709279</v>
      </c>
      <c r="S97" s="61" t="n">
        <f aca="false">U97*V97*$F$5</f>
        <v>438.292134831461</v>
      </c>
      <c r="T97" s="62" t="n">
        <f aca="false">MAX(0,MIN(1,R97/100+$D$5))</f>
        <v>0.485305183625137</v>
      </c>
      <c r="U97" s="62" t="n">
        <v>0.51685393258427</v>
      </c>
      <c r="V97" s="61" t="n">
        <v>848</v>
      </c>
      <c r="W97" s="62" t="n">
        <v>0.0777040344688333</v>
      </c>
      <c r="X97" s="63" t="s">
        <v>163</v>
      </c>
      <c r="Y97" s="63" t="s">
        <v>164</v>
      </c>
    </row>
    <row r="98" customFormat="false" ht="15" hidden="false" customHeight="false" outlineLevel="0" collapsed="false">
      <c r="A98" s="32" t="s">
        <v>220</v>
      </c>
      <c r="B98" s="32" t="s">
        <v>253</v>
      </c>
      <c r="C98" s="32" t="s">
        <v>161</v>
      </c>
      <c r="D98" s="59" t="n">
        <f aca="false">ROUND(S98*T98,0)</f>
        <v>1457</v>
      </c>
      <c r="E98" s="59" t="n">
        <f aca="false">ROUND(S98,0)-D98</f>
        <v>1909</v>
      </c>
      <c r="F98" s="59" t="n">
        <f aca="false">IF(COUNTA(D98:E98)=0,"",SUM(D98:E98))</f>
        <v>3366</v>
      </c>
      <c r="G98" s="40" t="n">
        <f aca="false">IF(OR(F98="",F98=0),"",D98/F98)</f>
        <v>0.432857991681521</v>
      </c>
      <c r="H98" s="40" t="n">
        <f aca="false">IF(OR(F98="",F98=0),"",E98/F98)</f>
        <v>0.567142008318479</v>
      </c>
      <c r="I98" s="32" t="s">
        <v>162</v>
      </c>
      <c r="J98" s="36" t="n">
        <v>1.35112788665076</v>
      </c>
      <c r="K98" s="36" t="n">
        <f aca="false">$K$8</f>
        <v>1.27451386687379</v>
      </c>
      <c r="L98" s="36" t="n">
        <f aca="false">SQRT(J98^2+K98^2)</f>
        <v>1.85739930088792</v>
      </c>
      <c r="M98" s="40" t="n">
        <f aca="false">IF(G98="","",MAX(0,G98-1.96*L98/100))</f>
        <v>0.396452965384118</v>
      </c>
      <c r="N98" s="40" t="n">
        <f aca="false">IF(G98="","",MIN(1,G98+1.96*L98/100))</f>
        <v>0.469263017978924</v>
      </c>
      <c r="O98" s="59" t="n">
        <f aca="false">ROUND(S98*W98,0)</f>
        <v>186</v>
      </c>
      <c r="P98" s="59" t="n">
        <f aca="false">IF(F98="","",ROUND(SQRT((F98*L98/100)^2+(G98*O98)^2),0))</f>
        <v>102</v>
      </c>
      <c r="R98" s="60" t="n">
        <v>0.64030627834243</v>
      </c>
      <c r="S98" s="61" t="n">
        <f aca="false">U98*V98*$F$5</f>
        <v>3365.72741078208</v>
      </c>
      <c r="T98" s="62" t="n">
        <f aca="false">MAX(0,MIN(1,R98/100+$D$5))</f>
        <v>0.432835374337633</v>
      </c>
      <c r="U98" s="62" t="n">
        <v>0.629460895975702</v>
      </c>
      <c r="V98" s="61" t="n">
        <v>5347</v>
      </c>
      <c r="W98" s="62" t="n">
        <v>0.0551273752894184</v>
      </c>
      <c r="X98" s="63" t="s">
        <v>184</v>
      </c>
      <c r="Y98" s="63" t="s">
        <v>164</v>
      </c>
    </row>
    <row r="99" customFormat="false" ht="15" hidden="false" customHeight="false" outlineLevel="0" collapsed="false">
      <c r="A99" s="32" t="s">
        <v>220</v>
      </c>
      <c r="B99" s="32" t="s">
        <v>254</v>
      </c>
      <c r="C99" s="32" t="s">
        <v>161</v>
      </c>
      <c r="D99" s="59" t="n">
        <f aca="false">ROUND(S99*T99,0)</f>
        <v>1328</v>
      </c>
      <c r="E99" s="59" t="n">
        <f aca="false">ROUND(S99,0)-D99</f>
        <v>1022</v>
      </c>
      <c r="F99" s="59" t="n">
        <f aca="false">IF(COUNTA(D99:E99)=0,"",SUM(D99:E99))</f>
        <v>2350</v>
      </c>
      <c r="G99" s="40" t="n">
        <f aca="false">IF(OR(F99="",F99=0),"",D99/F99)</f>
        <v>0.565106382978723</v>
      </c>
      <c r="H99" s="40" t="n">
        <f aca="false">IF(OR(F99="",F99=0),"",E99/F99)</f>
        <v>0.434893617021277</v>
      </c>
      <c r="I99" s="32" t="s">
        <v>162</v>
      </c>
      <c r="J99" s="36" t="n">
        <v>1.55923598199766</v>
      </c>
      <c r="K99" s="36" t="n">
        <f aca="false">$K$8</f>
        <v>1.27451386687379</v>
      </c>
      <c r="L99" s="36" t="n">
        <f aca="false">SQRT(J99^2+K99^2)</f>
        <v>2.01385263721301</v>
      </c>
      <c r="M99" s="40" t="n">
        <f aca="false">IF(G99="","",MAX(0,G99-1.96*L99/100))</f>
        <v>0.525634871289349</v>
      </c>
      <c r="N99" s="40" t="n">
        <f aca="false">IF(G99="","",MIN(1,G99+1.96*L99/100))</f>
        <v>0.604577894668098</v>
      </c>
      <c r="O99" s="59" t="n">
        <f aca="false">ROUND(S99*W99,0)</f>
        <v>142</v>
      </c>
      <c r="P99" s="59" t="n">
        <f aca="false">IF(F99="","",ROUND(SQRT((F99*L99/100)^2+(G99*O99)^2),0))</f>
        <v>93</v>
      </c>
      <c r="R99" s="60" t="n">
        <v>13.8775044888973</v>
      </c>
      <c r="S99" s="61" t="n">
        <f aca="false">U99*V99*$F$5</f>
        <v>2350.25573902537</v>
      </c>
      <c r="T99" s="62" t="n">
        <f aca="false">MAX(0,MIN(1,R99/100+$D$5))</f>
        <v>0.565207356443182</v>
      </c>
      <c r="U99" s="62" t="n">
        <v>0.461739830849779</v>
      </c>
      <c r="V99" s="61" t="n">
        <v>5090</v>
      </c>
      <c r="W99" s="62" t="n">
        <v>0.0606122259008943</v>
      </c>
      <c r="X99" s="63" t="s">
        <v>168</v>
      </c>
      <c r="Y99" s="63" t="s">
        <v>164</v>
      </c>
    </row>
    <row r="100" customFormat="false" ht="15" hidden="false" customHeight="false" outlineLevel="0" collapsed="false">
      <c r="A100" s="32" t="s">
        <v>220</v>
      </c>
      <c r="B100" s="32" t="s">
        <v>255</v>
      </c>
      <c r="C100" s="32" t="s">
        <v>161</v>
      </c>
      <c r="D100" s="59" t="n">
        <f aca="false">ROUND(S100*T100,0)</f>
        <v>500</v>
      </c>
      <c r="E100" s="59" t="n">
        <f aca="false">ROUND(S100,0)-D100</f>
        <v>645</v>
      </c>
      <c r="F100" s="59" t="n">
        <f aca="false">IF(COUNTA(D100:E100)=0,"",SUM(D100:E100))</f>
        <v>1145</v>
      </c>
      <c r="G100" s="40" t="n">
        <f aca="false">IF(OR(F100="",F100=0),"",D100/F100)</f>
        <v>0.436681222707424</v>
      </c>
      <c r="H100" s="40" t="n">
        <f aca="false">IF(OR(F100="",F100=0),"",E100/F100)</f>
        <v>0.563318777292576</v>
      </c>
      <c r="I100" s="32" t="s">
        <v>162</v>
      </c>
      <c r="J100" s="36" t="n">
        <v>2.73663407218982</v>
      </c>
      <c r="K100" s="36" t="n">
        <f aca="false">$K$8</f>
        <v>1.27451386687379</v>
      </c>
      <c r="L100" s="36" t="n">
        <f aca="false">SQRT(J100^2+K100^2)</f>
        <v>3.01886595295714</v>
      </c>
      <c r="M100" s="40" t="n">
        <f aca="false">IF(G100="","",MAX(0,G100-1.96*L100/100))</f>
        <v>0.377511450029464</v>
      </c>
      <c r="N100" s="40" t="n">
        <f aca="false">IF(G100="","",MIN(1,G100+1.96*L100/100))</f>
        <v>0.495850995385384</v>
      </c>
      <c r="O100" s="59" t="n">
        <f aca="false">ROUND(S100*W100,0)</f>
        <v>89</v>
      </c>
      <c r="P100" s="59" t="n">
        <f aca="false">IF(F100="","",ROUND(SQRT((F100*L100/100)^2+(G100*O100)^2),0))</f>
        <v>52</v>
      </c>
      <c r="R100" s="60" t="n">
        <v>0.992860028954102</v>
      </c>
      <c r="S100" s="61" t="n">
        <f aca="false">U100*V100*$F$5</f>
        <v>1145.48062775871</v>
      </c>
      <c r="T100" s="62" t="n">
        <f aca="false">MAX(0,MIN(1,R100/100+$D$5))</f>
        <v>0.43636091184375</v>
      </c>
      <c r="U100" s="62" t="n">
        <v>0.537027954879843</v>
      </c>
      <c r="V100" s="61" t="n">
        <v>2133</v>
      </c>
      <c r="W100" s="62" t="n">
        <v>0.0777040344688333</v>
      </c>
      <c r="X100" s="63" t="s">
        <v>163</v>
      </c>
      <c r="Y100" s="63" t="s">
        <v>164</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258</v>
      </c>
    </row>
    <row r="2" customFormat="false" ht="15" hidden="false" customHeight="false" outlineLevel="0" collapsed="false">
      <c r="A2" s="2" t="s">
        <v>119</v>
      </c>
    </row>
    <row r="3" customFormat="false" ht="15" hidden="false" customHeight="false" outlineLevel="0" collapsed="false">
      <c r="A3" s="13" t="s">
        <v>120</v>
      </c>
      <c r="B3" s="13"/>
      <c r="C3" s="13"/>
      <c r="D3" s="13"/>
      <c r="E3" s="13"/>
      <c r="F3" s="13"/>
      <c r="G3" s="13"/>
      <c r="H3" s="13"/>
      <c r="I3" s="13"/>
    </row>
    <row r="4" customFormat="false" ht="15" hidden="false" customHeight="false" outlineLevel="0" collapsed="false">
      <c r="A4" s="0" t="s">
        <v>121</v>
      </c>
      <c r="B4" s="0" t="s">
        <v>259</v>
      </c>
      <c r="C4" s="0" t="s">
        <v>123</v>
      </c>
      <c r="D4" s="48" t="n">
        <v>46300</v>
      </c>
      <c r="E4" s="49" t="s">
        <v>124</v>
      </c>
      <c r="F4" s="49" t="s">
        <v>125</v>
      </c>
      <c r="G4" s="49" t="s">
        <v>126</v>
      </c>
      <c r="H4" s="49" t="s">
        <v>127</v>
      </c>
    </row>
    <row r="5" customFormat="false" ht="15" hidden="false" customHeight="false" outlineLevel="0" collapsed="false">
      <c r="A5" s="0" t="s">
        <v>128</v>
      </c>
      <c r="B5" s="50" t="n">
        <f aca="false">'Scenario &amp; Comparison'!$C$6</f>
        <v>0.498309819554836</v>
      </c>
      <c r="C5" s="49" t="s">
        <v>129</v>
      </c>
      <c r="D5" s="51" t="n">
        <f aca="false">B5-SUMPRODUCT(R12:R100,S12:S100)/SUM(S12:S100)/100</f>
        <v>0.420699154810584</v>
      </c>
      <c r="E5" s="49" t="s">
        <v>130</v>
      </c>
      <c r="F5" s="52" t="n">
        <f aca="false">'Scenario &amp; Comparison'!$C$7</f>
        <v>1</v>
      </c>
    </row>
    <row r="6" customFormat="false" ht="15" hidden="false" customHeight="false" outlineLevel="0" collapsed="false">
      <c r="A6" s="4" t="s">
        <v>131</v>
      </c>
      <c r="B6" s="4"/>
      <c r="C6" s="4"/>
      <c r="D6" s="4"/>
      <c r="E6" s="4"/>
      <c r="F6" s="4"/>
      <c r="G6" s="4"/>
      <c r="H6" s="4"/>
      <c r="I6" s="4"/>
      <c r="J6" s="4"/>
      <c r="K6" s="4"/>
      <c r="L6" s="4"/>
      <c r="M6" s="4"/>
      <c r="N6" s="4"/>
      <c r="O6" s="4"/>
      <c r="P6" s="4"/>
    </row>
    <row r="7" customFormat="false" ht="45" hidden="false" customHeight="true" outlineLevel="0" collapsed="false">
      <c r="A7" s="8" t="s">
        <v>132</v>
      </c>
      <c r="B7" s="8" t="s">
        <v>133</v>
      </c>
      <c r="C7" s="8" t="s">
        <v>134</v>
      </c>
      <c r="D7" s="8" t="s">
        <v>36</v>
      </c>
      <c r="E7" s="8" t="s">
        <v>37</v>
      </c>
      <c r="F7" s="8" t="s">
        <v>38</v>
      </c>
      <c r="G7" s="8" t="s">
        <v>39</v>
      </c>
      <c r="H7" s="8" t="s">
        <v>135</v>
      </c>
      <c r="I7" s="8" t="s">
        <v>136</v>
      </c>
      <c r="J7" s="8" t="s">
        <v>137</v>
      </c>
      <c r="K7" s="8" t="s">
        <v>138</v>
      </c>
      <c r="L7" s="8" t="s">
        <v>139</v>
      </c>
      <c r="M7" s="8" t="s">
        <v>140</v>
      </c>
      <c r="N7" s="8" t="s">
        <v>141</v>
      </c>
      <c r="O7" s="8" t="s">
        <v>142</v>
      </c>
      <c r="P7" s="8" t="s">
        <v>143</v>
      </c>
    </row>
    <row r="8" customFormat="false" ht="15" hidden="false" customHeight="false" outlineLevel="0" collapsed="false">
      <c r="A8" s="20" t="s">
        <v>144</v>
      </c>
      <c r="B8" s="20" t="s">
        <v>145</v>
      </c>
      <c r="C8" s="20"/>
      <c r="D8" s="53" t="n">
        <f aca="false">SUM(D12:D100)</f>
        <v>152552</v>
      </c>
      <c r="E8" s="53" t="n">
        <f aca="false">SUM(E12:E100)</f>
        <v>153577</v>
      </c>
      <c r="F8" s="53" t="n">
        <f aca="false">D8+E8</f>
        <v>306129</v>
      </c>
      <c r="G8" s="54" t="n">
        <f aca="false">IF(F8=0,"",D8/F8)</f>
        <v>0.498325869159733</v>
      </c>
      <c r="H8" s="54" t="n">
        <f aca="false">IF(F8=0,"",E8/F8)</f>
        <v>0.501674130840267</v>
      </c>
      <c r="I8" s="20" t="s">
        <v>146</v>
      </c>
      <c r="J8" s="55" t="n">
        <v>0</v>
      </c>
      <c r="K8" s="55" t="n">
        <v>1.2747518664323</v>
      </c>
      <c r="L8" s="55" t="n">
        <f aca="false">SQRT(J8^2+K8^2)</f>
        <v>1.2747518664323</v>
      </c>
      <c r="M8" s="54" t="n">
        <f aca="false">G8-1.96*L8/100</f>
        <v>0.47334073257766</v>
      </c>
      <c r="N8" s="54" t="n">
        <f aca="false">G8+1.96*L8/100</f>
        <v>0.523311005741806</v>
      </c>
      <c r="O8" s="53" t="n">
        <f aca="false">ROUND(F8*0.04363,0)</f>
        <v>13356</v>
      </c>
      <c r="P8" s="53" t="n">
        <f aca="false">ROUND(SQRT((F8*L8/100)^2+(G8*O8)^2),0)</f>
        <v>7715</v>
      </c>
    </row>
    <row r="9" customFormat="false" ht="15" hidden="false" customHeight="false" outlineLevel="0" collapsed="false">
      <c r="A9" s="13" t="s">
        <v>147</v>
      </c>
      <c r="B9" s="13"/>
      <c r="C9" s="13"/>
      <c r="D9" s="13"/>
      <c r="E9" s="13"/>
      <c r="F9" s="13"/>
      <c r="G9" s="13"/>
      <c r="H9" s="13"/>
      <c r="I9" s="13"/>
      <c r="J9" s="13"/>
      <c r="K9" s="13"/>
      <c r="L9" s="13"/>
      <c r="M9" s="13"/>
      <c r="N9" s="13"/>
      <c r="O9" s="13"/>
      <c r="P9" s="13"/>
    </row>
    <row r="10" customFormat="false" ht="15" hidden="false" customHeight="false" outlineLevel="0" collapsed="false">
      <c r="A10" s="4" t="s">
        <v>148</v>
      </c>
      <c r="B10" s="4"/>
      <c r="C10" s="4"/>
      <c r="D10" s="4"/>
      <c r="E10" s="4"/>
      <c r="F10" s="4"/>
      <c r="G10" s="4"/>
      <c r="H10" s="4"/>
      <c r="I10" s="4"/>
      <c r="J10" s="4"/>
      <c r="K10" s="4"/>
      <c r="L10" s="4"/>
      <c r="M10" s="4"/>
      <c r="N10" s="4"/>
      <c r="O10" s="4"/>
      <c r="P10" s="4"/>
      <c r="R10" s="56" t="s">
        <v>149</v>
      </c>
      <c r="S10" s="57"/>
      <c r="T10" s="57"/>
      <c r="U10" s="57"/>
      <c r="V10" s="57"/>
      <c r="W10" s="57"/>
      <c r="X10" s="57"/>
      <c r="Y10" s="57"/>
    </row>
    <row r="11" customFormat="false" ht="31.5" hidden="false" customHeight="true" outlineLevel="0" collapsed="false">
      <c r="A11" s="8" t="s">
        <v>110</v>
      </c>
      <c r="B11" s="8" t="s">
        <v>111</v>
      </c>
      <c r="C11" s="8" t="s">
        <v>112</v>
      </c>
      <c r="D11" s="8" t="s">
        <v>36</v>
      </c>
      <c r="E11" s="8" t="s">
        <v>37</v>
      </c>
      <c r="F11" s="8" t="s">
        <v>38</v>
      </c>
      <c r="G11" s="8" t="s">
        <v>39</v>
      </c>
      <c r="H11" s="8" t="s">
        <v>135</v>
      </c>
      <c r="I11" s="8" t="s">
        <v>150</v>
      </c>
      <c r="J11" s="8" t="s">
        <v>137</v>
      </c>
      <c r="K11" s="8" t="s">
        <v>138</v>
      </c>
      <c r="L11" s="8" t="s">
        <v>139</v>
      </c>
      <c r="M11" s="8" t="s">
        <v>140</v>
      </c>
      <c r="N11" s="8" t="s">
        <v>141</v>
      </c>
      <c r="O11" s="8" t="s">
        <v>142</v>
      </c>
      <c r="P11" s="8" t="s">
        <v>143</v>
      </c>
      <c r="R11" s="58" t="s">
        <v>151</v>
      </c>
      <c r="S11" s="58" t="s">
        <v>152</v>
      </c>
      <c r="T11" s="58" t="s">
        <v>153</v>
      </c>
      <c r="U11" s="58" t="s">
        <v>154</v>
      </c>
      <c r="V11" s="58" t="s">
        <v>155</v>
      </c>
      <c r="W11" s="58" t="s">
        <v>156</v>
      </c>
      <c r="X11" s="58" t="s">
        <v>157</v>
      </c>
      <c r="Y11" s="58" t="s">
        <v>158</v>
      </c>
    </row>
    <row r="12" customFormat="false" ht="15" hidden="false" customHeight="false" outlineLevel="0" collapsed="false">
      <c r="A12" s="32" t="s">
        <v>159</v>
      </c>
      <c r="B12" s="32" t="s">
        <v>160</v>
      </c>
      <c r="C12" s="32" t="s">
        <v>161</v>
      </c>
      <c r="D12" s="59" t="n">
        <f aca="false">ROUND(S12*T12,0)</f>
        <v>138</v>
      </c>
      <c r="E12" s="59" t="n">
        <f aca="false">ROUND(S12,0)-D12</f>
        <v>226</v>
      </c>
      <c r="F12" s="59" t="n">
        <f aca="false">IF(COUNTA(D12:E12)=0,"",SUM(D12:E12))</f>
        <v>364</v>
      </c>
      <c r="G12" s="40" t="n">
        <f aca="false">IF(OR(F12="",F12=0),"",D12/F12)</f>
        <v>0.379120879120879</v>
      </c>
      <c r="H12" s="40" t="n">
        <f aca="false">IF(OR(F12="",F12=0),"",E12/F12)</f>
        <v>0.620879120879121</v>
      </c>
      <c r="I12" s="32" t="s">
        <v>162</v>
      </c>
      <c r="J12" s="36" t="n">
        <v>3.01261974295132</v>
      </c>
      <c r="K12" s="36" t="n">
        <f aca="false">$K$8</f>
        <v>1.2747518664323</v>
      </c>
      <c r="L12" s="36" t="n">
        <f aca="false">SQRT(J12^2+K12^2)</f>
        <v>3.27121843302961</v>
      </c>
      <c r="M12" s="40" t="n">
        <f aca="false">IF(G12="","",MAX(0,G12-1.96*L12/100))</f>
        <v>0.315004997833499</v>
      </c>
      <c r="N12" s="40" t="n">
        <f aca="false">IF(G12="","",MIN(1,G12+1.96*L12/100))</f>
        <v>0.443236760408259</v>
      </c>
      <c r="O12" s="59" t="n">
        <f aca="false">ROUND(S12*W12,0)</f>
        <v>28</v>
      </c>
      <c r="P12" s="59" t="n">
        <f aca="false">IF(F12="","",ROUND(SQRT((F12*L12/100)^2+(G12*O12)^2),0))</f>
        <v>16</v>
      </c>
      <c r="R12" s="60" t="n">
        <v>-4.26021352779444</v>
      </c>
      <c r="S12" s="61" t="n">
        <f aca="false">U12*V12*$F$5</f>
        <v>364.490963855422</v>
      </c>
      <c r="T12" s="62" t="n">
        <f aca="false">MAX(0,MIN(1,R12/100+$D$5))</f>
        <v>0.37809701953264</v>
      </c>
      <c r="U12" s="62" t="n">
        <v>0.581325301204819</v>
      </c>
      <c r="V12" s="61" t="n">
        <v>627</v>
      </c>
      <c r="W12" s="62" t="n">
        <v>0.0777040344688333</v>
      </c>
      <c r="X12" s="63" t="s">
        <v>163</v>
      </c>
      <c r="Y12" s="63" t="s">
        <v>164</v>
      </c>
    </row>
    <row r="13" customFormat="false" ht="15" hidden="false" customHeight="false" outlineLevel="0" collapsed="false">
      <c r="A13" s="32" t="s">
        <v>159</v>
      </c>
      <c r="B13" s="32" t="s">
        <v>165</v>
      </c>
      <c r="C13" s="32" t="s">
        <v>161</v>
      </c>
      <c r="D13" s="59" t="n">
        <f aca="false">ROUND(S13*T13,0)</f>
        <v>94</v>
      </c>
      <c r="E13" s="59" t="n">
        <f aca="false">ROUND(S13,0)-D13</f>
        <v>236</v>
      </c>
      <c r="F13" s="59" t="n">
        <f aca="false">IF(COUNTA(D13:E13)=0,"",SUM(D13:E13))</f>
        <v>330</v>
      </c>
      <c r="G13" s="40" t="n">
        <f aca="false">IF(OR(F13="",F13=0),"",D13/F13)</f>
        <v>0.284848484848485</v>
      </c>
      <c r="H13" s="40" t="n">
        <f aca="false">IF(OR(F13="",F13=0),"",E13/F13)</f>
        <v>0.715151515151515</v>
      </c>
      <c r="I13" s="32" t="s">
        <v>162</v>
      </c>
      <c r="J13" s="36" t="n">
        <v>3.01261974295132</v>
      </c>
      <c r="K13" s="36" t="n">
        <f aca="false">$K$8</f>
        <v>1.2747518664323</v>
      </c>
      <c r="L13" s="36" t="n">
        <f aca="false">SQRT(J13^2+K13^2)</f>
        <v>3.27121843302961</v>
      </c>
      <c r="M13" s="40" t="n">
        <f aca="false">IF(G13="","",MAX(0,G13-1.96*L13/100))</f>
        <v>0.220732603561105</v>
      </c>
      <c r="N13" s="40" t="n">
        <f aca="false">IF(G13="","",MIN(1,G13+1.96*L13/100))</f>
        <v>0.348964366135865</v>
      </c>
      <c r="O13" s="59" t="n">
        <f aca="false">ROUND(S13*W13,0)</f>
        <v>26</v>
      </c>
      <c r="P13" s="59" t="n">
        <f aca="false">IF(F13="","",ROUND(SQRT((F13*L13/100)^2+(G13*O13)^2),0))</f>
        <v>13</v>
      </c>
      <c r="R13" s="60" t="n">
        <v>-13.4644403301731</v>
      </c>
      <c r="S13" s="61" t="n">
        <f aca="false">U13*V13*$F$5</f>
        <v>330.130136986301</v>
      </c>
      <c r="T13" s="62" t="n">
        <f aca="false">MAX(0,MIN(1,R13/100+$D$5))</f>
        <v>0.286054751508853</v>
      </c>
      <c r="U13" s="62" t="n">
        <v>0.537671232876712</v>
      </c>
      <c r="V13" s="61" t="n">
        <v>614</v>
      </c>
      <c r="W13" s="62" t="n">
        <v>0.0777040344688333</v>
      </c>
      <c r="X13" s="63" t="s">
        <v>163</v>
      </c>
      <c r="Y13" s="63" t="s">
        <v>164</v>
      </c>
    </row>
    <row r="14" customFormat="false" ht="15" hidden="false" customHeight="false" outlineLevel="0" collapsed="false">
      <c r="A14" s="32" t="s">
        <v>159</v>
      </c>
      <c r="B14" s="32" t="s">
        <v>166</v>
      </c>
      <c r="C14" s="32" t="s">
        <v>161</v>
      </c>
      <c r="D14" s="59" t="n">
        <f aca="false">ROUND(S14*T14,0)</f>
        <v>116</v>
      </c>
      <c r="E14" s="59" t="n">
        <f aca="false">ROUND(S14,0)-D14</f>
        <v>240</v>
      </c>
      <c r="F14" s="59" t="n">
        <f aca="false">IF(COUNTA(D14:E14)=0,"",SUM(D14:E14))</f>
        <v>356</v>
      </c>
      <c r="G14" s="40" t="n">
        <f aca="false">IF(OR(F14="",F14=0),"",D14/F14)</f>
        <v>0.325842696629214</v>
      </c>
      <c r="H14" s="40" t="n">
        <f aca="false">IF(OR(F14="",F14=0),"",E14/F14)</f>
        <v>0.674157303370787</v>
      </c>
      <c r="I14" s="32" t="s">
        <v>162</v>
      </c>
      <c r="J14" s="36" t="n">
        <v>3.01261974295132</v>
      </c>
      <c r="K14" s="36" t="n">
        <f aca="false">$K$8</f>
        <v>1.2747518664323</v>
      </c>
      <c r="L14" s="36" t="n">
        <f aca="false">SQRT(J14^2+K14^2)</f>
        <v>3.27121843302961</v>
      </c>
      <c r="M14" s="40" t="n">
        <f aca="false">IF(G14="","",MAX(0,G14-1.96*L14/100))</f>
        <v>0.261726815341833</v>
      </c>
      <c r="N14" s="40" t="n">
        <f aca="false">IF(G14="","",MIN(1,G14+1.96*L14/100))</f>
        <v>0.389958577916594</v>
      </c>
      <c r="O14" s="59" t="n">
        <f aca="false">ROUND(S14*W14,0)</f>
        <v>28</v>
      </c>
      <c r="P14" s="59" t="n">
        <f aca="false">IF(F14="","",ROUND(SQRT((F14*L14/100)^2+(G14*O14)^2),0))</f>
        <v>15</v>
      </c>
      <c r="R14" s="60" t="n">
        <v>-9.42592230307579</v>
      </c>
      <c r="S14" s="61" t="n">
        <f aca="false">U14*V14*$F$5</f>
        <v>355.63436928702</v>
      </c>
      <c r="T14" s="62" t="n">
        <f aca="false">MAX(0,MIN(1,R14/100+$D$5))</f>
        <v>0.326439931779826</v>
      </c>
      <c r="U14" s="62" t="n">
        <v>0.636197440585009</v>
      </c>
      <c r="V14" s="61" t="n">
        <v>559</v>
      </c>
      <c r="W14" s="62" t="n">
        <v>0.0777040344688333</v>
      </c>
      <c r="X14" s="63" t="s">
        <v>163</v>
      </c>
      <c r="Y14" s="63" t="s">
        <v>164</v>
      </c>
    </row>
    <row r="15" customFormat="false" ht="15" hidden="false" customHeight="false" outlineLevel="0" collapsed="false">
      <c r="A15" s="32" t="s">
        <v>159</v>
      </c>
      <c r="B15" s="32" t="s">
        <v>167</v>
      </c>
      <c r="C15" s="32" t="s">
        <v>161</v>
      </c>
      <c r="D15" s="59" t="n">
        <f aca="false">ROUND(S15*T15,0)</f>
        <v>359</v>
      </c>
      <c r="E15" s="59" t="n">
        <f aca="false">ROUND(S15,0)-D15</f>
        <v>976</v>
      </c>
      <c r="F15" s="59" t="n">
        <f aca="false">IF(COUNTA(D15:E15)=0,"",SUM(D15:E15))</f>
        <v>1335</v>
      </c>
      <c r="G15" s="40" t="n">
        <f aca="false">IF(OR(F15="",F15=0),"",D15/F15)</f>
        <v>0.268913857677903</v>
      </c>
      <c r="H15" s="40" t="n">
        <f aca="false">IF(OR(F15="",F15=0),"",E15/F15)</f>
        <v>0.731086142322097</v>
      </c>
      <c r="I15" s="32" t="s">
        <v>162</v>
      </c>
      <c r="J15" s="36" t="n">
        <v>1.97233065497388</v>
      </c>
      <c r="K15" s="36" t="n">
        <f aca="false">$K$8</f>
        <v>1.2747518664323</v>
      </c>
      <c r="L15" s="36" t="n">
        <f aca="false">SQRT(J15^2+K15^2)</f>
        <v>2.34842085953994</v>
      </c>
      <c r="M15" s="40" t="n">
        <f aca="false">IF(G15="","",MAX(0,G15-1.96*L15/100))</f>
        <v>0.22288480883092</v>
      </c>
      <c r="N15" s="40" t="n">
        <f aca="false">IF(G15="","",MIN(1,G15+1.96*L15/100))</f>
        <v>0.314942906524885</v>
      </c>
      <c r="O15" s="59" t="n">
        <f aca="false">ROUND(S15*W15,0)</f>
        <v>81</v>
      </c>
      <c r="P15" s="59" t="n">
        <f aca="false">IF(F15="","",ROUND(SQRT((F15*L15/100)^2+(G15*O15)^2),0))</f>
        <v>38</v>
      </c>
      <c r="R15" s="60" t="n">
        <v>-15.1856490173813</v>
      </c>
      <c r="S15" s="61" t="n">
        <f aca="false">U15*V15*$F$5</f>
        <v>1334.82101558572</v>
      </c>
      <c r="T15" s="62" t="n">
        <f aca="false">MAX(0,MIN(1,R15/100+$D$5))</f>
        <v>0.268842664636772</v>
      </c>
      <c r="U15" s="62" t="n">
        <v>0.652086475615887</v>
      </c>
      <c r="V15" s="61" t="n">
        <v>2047</v>
      </c>
      <c r="W15" s="62" t="n">
        <v>0.0606122259008943</v>
      </c>
      <c r="X15" s="63" t="s">
        <v>168</v>
      </c>
      <c r="Y15" s="63" t="s">
        <v>164</v>
      </c>
    </row>
    <row r="16" customFormat="false" ht="15" hidden="false" customHeight="false" outlineLevel="0" collapsed="false">
      <c r="A16" s="32" t="s">
        <v>159</v>
      </c>
      <c r="B16" s="32" t="s">
        <v>169</v>
      </c>
      <c r="C16" s="32" t="s">
        <v>161</v>
      </c>
      <c r="D16" s="59" t="n">
        <f aca="false">ROUND(S16*T16,0)</f>
        <v>32</v>
      </c>
      <c r="E16" s="59" t="n">
        <f aca="false">ROUND(S16,0)-D16</f>
        <v>61</v>
      </c>
      <c r="F16" s="59" t="n">
        <f aca="false">IF(COUNTA(D16:E16)=0,"",SUM(D16:E16))</f>
        <v>93</v>
      </c>
      <c r="G16" s="40" t="n">
        <f aca="false">IF(OR(F16="",F16=0),"",D16/F16)</f>
        <v>0.344086021505376</v>
      </c>
      <c r="H16" s="40" t="n">
        <f aca="false">IF(OR(F16="",F16=0),"",E16/F16)</f>
        <v>0.655913978494624</v>
      </c>
      <c r="I16" s="32" t="s">
        <v>162</v>
      </c>
      <c r="J16" s="36" t="n">
        <v>3.01261974295132</v>
      </c>
      <c r="K16" s="36" t="n">
        <f aca="false">$K$8</f>
        <v>1.2747518664323</v>
      </c>
      <c r="L16" s="36" t="n">
        <f aca="false">SQRT(J16^2+K16^2)</f>
        <v>3.27121843302961</v>
      </c>
      <c r="M16" s="40" t="n">
        <f aca="false">IF(G16="","",MAX(0,G16-1.96*L16/100))</f>
        <v>0.279970140217996</v>
      </c>
      <c r="N16" s="40" t="n">
        <f aca="false">IF(G16="","",MIN(1,G16+1.96*L16/100))</f>
        <v>0.408201902792757</v>
      </c>
      <c r="O16" s="59" t="n">
        <f aca="false">ROUND(S16*W16,0)</f>
        <v>7</v>
      </c>
      <c r="P16" s="59" t="n">
        <f aca="false">IF(F16="","",ROUND(SQRT((F16*L16/100)^2+(G16*O16)^2),0))</f>
        <v>4</v>
      </c>
      <c r="R16" s="60" t="n">
        <v>-7.66157949865477</v>
      </c>
      <c r="S16" s="61" t="n">
        <f aca="false">U16*V16*$F$5</f>
        <v>93.4268292682927</v>
      </c>
      <c r="T16" s="62" t="n">
        <f aca="false">MAX(0,MIN(1,R16/100+$D$5))</f>
        <v>0.344083359824037</v>
      </c>
      <c r="U16" s="62" t="n">
        <v>0.573170731707317</v>
      </c>
      <c r="V16" s="61" t="n">
        <v>163</v>
      </c>
      <c r="W16" s="62" t="n">
        <v>0.0777040344688333</v>
      </c>
      <c r="X16" s="63" t="s">
        <v>163</v>
      </c>
      <c r="Y16" s="63" t="s">
        <v>164</v>
      </c>
    </row>
    <row r="17" customFormat="false" ht="15" hidden="false" customHeight="false" outlineLevel="0" collapsed="false">
      <c r="A17" s="32" t="s">
        <v>159</v>
      </c>
      <c r="B17" s="32" t="s">
        <v>170</v>
      </c>
      <c r="C17" s="32" t="s">
        <v>161</v>
      </c>
      <c r="D17" s="59" t="n">
        <f aca="false">ROUND(S17*T17,0)</f>
        <v>554</v>
      </c>
      <c r="E17" s="59" t="n">
        <f aca="false">ROUND(S17,0)-D17</f>
        <v>1428</v>
      </c>
      <c r="F17" s="59" t="n">
        <f aca="false">IF(COUNTA(D17:E17)=0,"",SUM(D17:E17))</f>
        <v>1982</v>
      </c>
      <c r="G17" s="40" t="n">
        <f aca="false">IF(OR(F17="",F17=0),"",D17/F17)</f>
        <v>0.279515640766902</v>
      </c>
      <c r="H17" s="40" t="n">
        <f aca="false">IF(OR(F17="",F17=0),"",E17/F17)</f>
        <v>0.720484359233098</v>
      </c>
      <c r="I17" s="32" t="s">
        <v>162</v>
      </c>
      <c r="J17" s="36" t="n">
        <v>1.97233065497388</v>
      </c>
      <c r="K17" s="36" t="n">
        <f aca="false">$K$8</f>
        <v>1.2747518664323</v>
      </c>
      <c r="L17" s="36" t="n">
        <f aca="false">SQRT(J17^2+K17^2)</f>
        <v>2.34842085953994</v>
      </c>
      <c r="M17" s="40" t="n">
        <f aca="false">IF(G17="","",MAX(0,G17-1.96*L17/100))</f>
        <v>0.233486591919919</v>
      </c>
      <c r="N17" s="40" t="n">
        <f aca="false">IF(G17="","",MIN(1,G17+1.96*L17/100))</f>
        <v>0.325544689613885</v>
      </c>
      <c r="O17" s="59" t="n">
        <f aca="false">ROUND(S17*W17,0)</f>
        <v>120</v>
      </c>
      <c r="P17" s="59" t="n">
        <f aca="false">IF(F17="","",ROUND(SQRT((F17*L17/100)^2+(G17*O17)^2),0))</f>
        <v>57</v>
      </c>
      <c r="R17" s="60" t="n">
        <v>-14.1138514839178</v>
      </c>
      <c r="S17" s="61" t="n">
        <f aca="false">U17*V17*$F$5</f>
        <v>1982.00903517264</v>
      </c>
      <c r="T17" s="62" t="n">
        <f aca="false">MAX(0,MIN(1,R17/100+$D$5))</f>
        <v>0.279560639971406</v>
      </c>
      <c r="U17" s="62" t="n">
        <v>0.631816715069377</v>
      </c>
      <c r="V17" s="61" t="n">
        <v>3137</v>
      </c>
      <c r="W17" s="62" t="n">
        <v>0.0606122259008943</v>
      </c>
      <c r="X17" s="63" t="s">
        <v>168</v>
      </c>
      <c r="Y17" s="63" t="s">
        <v>164</v>
      </c>
    </row>
    <row r="18" customFormat="false" ht="15" hidden="false" customHeight="false" outlineLevel="0" collapsed="false">
      <c r="A18" s="32" t="s">
        <v>159</v>
      </c>
      <c r="B18" s="32" t="s">
        <v>171</v>
      </c>
      <c r="C18" s="32" t="s">
        <v>161</v>
      </c>
      <c r="D18" s="59" t="n">
        <f aca="false">ROUND(S18*T18,0)</f>
        <v>919</v>
      </c>
      <c r="E18" s="59" t="n">
        <f aca="false">ROUND(S18,0)-D18</f>
        <v>1189</v>
      </c>
      <c r="F18" s="59" t="n">
        <f aca="false">IF(COUNTA(D18:E18)=0,"",SUM(D18:E18))</f>
        <v>2108</v>
      </c>
      <c r="G18" s="40" t="n">
        <f aca="false">IF(OR(F18="",F18=0),"",D18/F18)</f>
        <v>0.43595825426945</v>
      </c>
      <c r="H18" s="40" t="n">
        <f aca="false">IF(OR(F18="",F18=0),"",E18/F18)</f>
        <v>0.56404174573055</v>
      </c>
      <c r="I18" s="32" t="s">
        <v>162</v>
      </c>
      <c r="J18" s="36" t="n">
        <v>1.97233065497388</v>
      </c>
      <c r="K18" s="36" t="n">
        <f aca="false">$K$8</f>
        <v>1.2747518664323</v>
      </c>
      <c r="L18" s="36" t="n">
        <f aca="false">SQRT(J18^2+K18^2)</f>
        <v>2.34842085953994</v>
      </c>
      <c r="M18" s="40" t="n">
        <f aca="false">IF(G18="","",MAX(0,G18-1.96*L18/100))</f>
        <v>0.389929205422467</v>
      </c>
      <c r="N18" s="40" t="n">
        <f aca="false">IF(G18="","",MIN(1,G18+1.96*L18/100))</f>
        <v>0.481987303116433</v>
      </c>
      <c r="O18" s="59" t="n">
        <f aca="false">ROUND(S18*W18,0)</f>
        <v>128</v>
      </c>
      <c r="P18" s="59" t="n">
        <f aca="false">IF(F18="","",ROUND(SQRT((F18*L18/100)^2+(G18*O18)^2),0))</f>
        <v>75</v>
      </c>
      <c r="R18" s="60" t="n">
        <v>1.52015082844306</v>
      </c>
      <c r="S18" s="61" t="n">
        <f aca="false">U18*V18*$F$5</f>
        <v>2107.72563176895</v>
      </c>
      <c r="T18" s="62" t="n">
        <f aca="false">MAX(0,MIN(1,R18/100+$D$5))</f>
        <v>0.435900663095015</v>
      </c>
      <c r="U18" s="62" t="n">
        <v>0.642599277978339</v>
      </c>
      <c r="V18" s="61" t="n">
        <v>3280</v>
      </c>
      <c r="W18" s="62" t="n">
        <v>0.0606122259008943</v>
      </c>
      <c r="X18" s="63" t="s">
        <v>168</v>
      </c>
      <c r="Y18" s="63" t="s">
        <v>164</v>
      </c>
    </row>
    <row r="19" customFormat="false" ht="15" hidden="false" customHeight="false" outlineLevel="0" collapsed="false">
      <c r="A19" s="32" t="s">
        <v>159</v>
      </c>
      <c r="B19" s="32" t="s">
        <v>172</v>
      </c>
      <c r="C19" s="32" t="s">
        <v>161</v>
      </c>
      <c r="D19" s="59" t="n">
        <f aca="false">ROUND(S19*T19,0)</f>
        <v>270</v>
      </c>
      <c r="E19" s="59" t="n">
        <f aca="false">ROUND(S19,0)-D19</f>
        <v>535</v>
      </c>
      <c r="F19" s="59" t="n">
        <f aca="false">IF(COUNTA(D19:E19)=0,"",SUM(D19:E19))</f>
        <v>805</v>
      </c>
      <c r="G19" s="40" t="n">
        <f aca="false">IF(OR(F19="",F19=0),"",D19/F19)</f>
        <v>0.335403726708075</v>
      </c>
      <c r="H19" s="40" t="n">
        <f aca="false">IF(OR(F19="",F19=0),"",E19/F19)</f>
        <v>0.664596273291926</v>
      </c>
      <c r="I19" s="32" t="s">
        <v>162</v>
      </c>
      <c r="J19" s="36" t="n">
        <v>3.01261974295132</v>
      </c>
      <c r="K19" s="36" t="n">
        <f aca="false">$K$8</f>
        <v>1.2747518664323</v>
      </c>
      <c r="L19" s="36" t="n">
        <f aca="false">SQRT(J19^2+K19^2)</f>
        <v>3.27121843302961</v>
      </c>
      <c r="M19" s="40" t="n">
        <f aca="false">IF(G19="","",MAX(0,G19-1.96*L19/100))</f>
        <v>0.271287845420694</v>
      </c>
      <c r="N19" s="40" t="n">
        <f aca="false">IF(G19="","",MIN(1,G19+1.96*L19/100))</f>
        <v>0.399519607995455</v>
      </c>
      <c r="O19" s="59" t="n">
        <f aca="false">ROUND(S19*W19,0)</f>
        <v>63</v>
      </c>
      <c r="P19" s="59" t="n">
        <f aca="false">IF(F19="","",ROUND(SQRT((F19*L19/100)^2+(G19*O19)^2),0))</f>
        <v>34</v>
      </c>
      <c r="R19" s="60" t="n">
        <v>-8.5352193952923</v>
      </c>
      <c r="S19" s="61" t="n">
        <f aca="false">U19*V19*$F$5</f>
        <v>804.850331125828</v>
      </c>
      <c r="T19" s="62" t="n">
        <f aca="false">MAX(0,MIN(1,R19/100+$D$5))</f>
        <v>0.335346960857661</v>
      </c>
      <c r="U19" s="62" t="n">
        <v>0.554304635761589</v>
      </c>
      <c r="V19" s="61" t="n">
        <v>1452</v>
      </c>
      <c r="W19" s="62" t="n">
        <v>0.0777040344688333</v>
      </c>
      <c r="X19" s="63" t="s">
        <v>163</v>
      </c>
      <c r="Y19" s="63" t="s">
        <v>164</v>
      </c>
    </row>
    <row r="20" customFormat="false" ht="15" hidden="false" customHeight="false" outlineLevel="0" collapsed="false">
      <c r="A20" s="32" t="s">
        <v>159</v>
      </c>
      <c r="B20" s="32" t="s">
        <v>173</v>
      </c>
      <c r="C20" s="32" t="s">
        <v>161</v>
      </c>
      <c r="D20" s="59" t="n">
        <f aca="false">ROUND(S20*T20,0)</f>
        <v>449</v>
      </c>
      <c r="E20" s="59" t="n">
        <f aca="false">ROUND(S20,0)-D20</f>
        <v>634</v>
      </c>
      <c r="F20" s="59" t="n">
        <f aca="false">IF(COUNTA(D20:E20)=0,"",SUM(D20:E20))</f>
        <v>1083</v>
      </c>
      <c r="G20" s="40" t="n">
        <f aca="false">IF(OR(F20="",F20=0),"",D20/F20)</f>
        <v>0.414589104339797</v>
      </c>
      <c r="H20" s="40" t="n">
        <f aca="false">IF(OR(F20="",F20=0),"",E20/F20)</f>
        <v>0.585410895660203</v>
      </c>
      <c r="I20" s="32" t="s">
        <v>162</v>
      </c>
      <c r="J20" s="36" t="n">
        <v>3.01261974295132</v>
      </c>
      <c r="K20" s="36" t="n">
        <f aca="false">$K$8</f>
        <v>1.2747518664323</v>
      </c>
      <c r="L20" s="36" t="n">
        <f aca="false">SQRT(J20^2+K20^2)</f>
        <v>3.27121843302961</v>
      </c>
      <c r="M20" s="40" t="n">
        <f aca="false">IF(G20="","",MAX(0,G20-1.96*L20/100))</f>
        <v>0.350473223052417</v>
      </c>
      <c r="N20" s="40" t="n">
        <f aca="false">IF(G20="","",MIN(1,G20+1.96*L20/100))</f>
        <v>0.478704985627177</v>
      </c>
      <c r="O20" s="59" t="n">
        <f aca="false">ROUND(S20*W20,0)</f>
        <v>84</v>
      </c>
      <c r="P20" s="59" t="n">
        <f aca="false">IF(F20="","",ROUND(SQRT((F20*L20/100)^2+(G20*O20)^2),0))</f>
        <v>50</v>
      </c>
      <c r="R20" s="60" t="n">
        <v>-0.624882699843211</v>
      </c>
      <c r="S20" s="61" t="n">
        <f aca="false">U20*V20*$F$5</f>
        <v>1083.4829443447</v>
      </c>
      <c r="T20" s="62" t="n">
        <f aca="false">MAX(0,MIN(1,R20/100+$D$5))</f>
        <v>0.414450327812152</v>
      </c>
      <c r="U20" s="62" t="n">
        <v>0.448833034111311</v>
      </c>
      <c r="V20" s="61" t="n">
        <v>2414</v>
      </c>
      <c r="W20" s="62" t="n">
        <v>0.0777040344688333</v>
      </c>
      <c r="X20" s="63" t="s">
        <v>163</v>
      </c>
      <c r="Y20" s="63" t="s">
        <v>164</v>
      </c>
    </row>
    <row r="21" customFormat="false" ht="15" hidden="false" customHeight="false" outlineLevel="0" collapsed="false">
      <c r="A21" s="32" t="s">
        <v>159</v>
      </c>
      <c r="B21" s="32" t="s">
        <v>174</v>
      </c>
      <c r="C21" s="32" t="s">
        <v>161</v>
      </c>
      <c r="D21" s="59" t="n">
        <f aca="false">ROUND(S21*T21,0)</f>
        <v>32</v>
      </c>
      <c r="E21" s="59" t="n">
        <f aca="false">ROUND(S21,0)-D21</f>
        <v>86</v>
      </c>
      <c r="F21" s="59" t="n">
        <f aca="false">IF(COUNTA(D21:E21)=0,"",SUM(D21:E21))</f>
        <v>118</v>
      </c>
      <c r="G21" s="40" t="n">
        <f aca="false">IF(OR(F21="",F21=0),"",D21/F21)</f>
        <v>0.271186440677966</v>
      </c>
      <c r="H21" s="40" t="n">
        <f aca="false">IF(OR(F21="",F21=0),"",E21/F21)</f>
        <v>0.728813559322034</v>
      </c>
      <c r="I21" s="32" t="s">
        <v>162</v>
      </c>
      <c r="J21" s="36" t="n">
        <v>3.01261974295132</v>
      </c>
      <c r="K21" s="36" t="n">
        <f aca="false">$K$8</f>
        <v>1.2747518664323</v>
      </c>
      <c r="L21" s="36" t="n">
        <f aca="false">SQRT(J21^2+K21^2)</f>
        <v>3.27121843302961</v>
      </c>
      <c r="M21" s="40" t="n">
        <f aca="false">IF(G21="","",MAX(0,G21-1.96*L21/100))</f>
        <v>0.207070559390586</v>
      </c>
      <c r="N21" s="40" t="n">
        <f aca="false">IF(G21="","",MIN(1,G21+1.96*L21/100))</f>
        <v>0.335302321965346</v>
      </c>
      <c r="O21" s="59" t="n">
        <f aca="false">ROUND(S21*W21,0)</f>
        <v>9</v>
      </c>
      <c r="P21" s="59" t="n">
        <f aca="false">IF(F21="","",ROUND(SQRT((F21*L21/100)^2+(G21*O21)^2),0))</f>
        <v>5</v>
      </c>
      <c r="R21" s="60" t="n">
        <v>-15.4251889059331</v>
      </c>
      <c r="S21" s="61" t="n">
        <f aca="false">U21*V21*$F$5</f>
        <v>118.285714285714</v>
      </c>
      <c r="T21" s="62" t="n">
        <f aca="false">MAX(0,MIN(1,R21/100+$D$5))</f>
        <v>0.266447265751254</v>
      </c>
      <c r="U21" s="62" t="n">
        <v>0.657142857142857</v>
      </c>
      <c r="V21" s="61" t="n">
        <v>180</v>
      </c>
      <c r="W21" s="62" t="n">
        <v>0.0777040344688333</v>
      </c>
      <c r="X21" s="63" t="s">
        <v>163</v>
      </c>
      <c r="Y21" s="63" t="s">
        <v>164</v>
      </c>
    </row>
    <row r="22" customFormat="false" ht="15" hidden="false" customHeight="false" outlineLevel="0" collapsed="false">
      <c r="A22" s="32" t="s">
        <v>159</v>
      </c>
      <c r="B22" s="32" t="s">
        <v>175</v>
      </c>
      <c r="C22" s="32" t="s">
        <v>161</v>
      </c>
      <c r="D22" s="59" t="n">
        <f aca="false">ROUND(S22*T22,0)</f>
        <v>46</v>
      </c>
      <c r="E22" s="59" t="n">
        <f aca="false">ROUND(S22,0)-D22</f>
        <v>191</v>
      </c>
      <c r="F22" s="59" t="n">
        <f aca="false">IF(COUNTA(D22:E22)=0,"",SUM(D22:E22))</f>
        <v>237</v>
      </c>
      <c r="G22" s="40" t="n">
        <f aca="false">IF(OR(F22="",F22=0),"",D22/F22)</f>
        <v>0.194092827004219</v>
      </c>
      <c r="H22" s="40" t="n">
        <f aca="false">IF(OR(F22="",F22=0),"",E22/F22)</f>
        <v>0.805907172995781</v>
      </c>
      <c r="I22" s="32" t="s">
        <v>162</v>
      </c>
      <c r="J22" s="36" t="n">
        <v>3.01261974295132</v>
      </c>
      <c r="K22" s="36" t="n">
        <f aca="false">$K$8</f>
        <v>1.2747518664323</v>
      </c>
      <c r="L22" s="36" t="n">
        <f aca="false">SQRT(J22^2+K22^2)</f>
        <v>3.27121843302961</v>
      </c>
      <c r="M22" s="40" t="n">
        <f aca="false">IF(G22="","",MAX(0,G22-1.96*L22/100))</f>
        <v>0.129976945716839</v>
      </c>
      <c r="N22" s="40" t="n">
        <f aca="false">IF(G22="","",MIN(1,G22+1.96*L22/100))</f>
        <v>0.2582087082916</v>
      </c>
      <c r="O22" s="59" t="n">
        <f aca="false">ROUND(S22*W22,0)</f>
        <v>18</v>
      </c>
      <c r="P22" s="59" t="n">
        <f aca="false">IF(F22="","",ROUND(SQRT((F22*L22/100)^2+(G22*O22)^2),0))</f>
        <v>9</v>
      </c>
      <c r="R22" s="60" t="n">
        <v>-22.7867937926016</v>
      </c>
      <c r="S22" s="61" t="n">
        <f aca="false">U22*V22*$F$5</f>
        <v>236.844827586207</v>
      </c>
      <c r="T22" s="62" t="n">
        <f aca="false">MAX(0,MIN(1,R22/100+$D$5))</f>
        <v>0.192831216884568</v>
      </c>
      <c r="U22" s="62" t="n">
        <v>0.692528735632184</v>
      </c>
      <c r="V22" s="61" t="n">
        <v>342</v>
      </c>
      <c r="W22" s="62" t="n">
        <v>0.0777040344688333</v>
      </c>
      <c r="X22" s="63" t="s">
        <v>163</v>
      </c>
      <c r="Y22" s="63" t="s">
        <v>164</v>
      </c>
    </row>
    <row r="23" customFormat="false" ht="15" hidden="false" customHeight="false" outlineLevel="0" collapsed="false">
      <c r="A23" s="32" t="s">
        <v>159</v>
      </c>
      <c r="B23" s="32" t="s">
        <v>176</v>
      </c>
      <c r="C23" s="32" t="s">
        <v>161</v>
      </c>
      <c r="D23" s="59" t="n">
        <f aca="false">ROUND(S23*T23,0)</f>
        <v>702</v>
      </c>
      <c r="E23" s="59" t="n">
        <f aca="false">ROUND(S23,0)-D23</f>
        <v>1052</v>
      </c>
      <c r="F23" s="59" t="n">
        <f aca="false">IF(COUNTA(D23:E23)=0,"",SUM(D23:E23))</f>
        <v>1754</v>
      </c>
      <c r="G23" s="40" t="n">
        <f aca="false">IF(OR(F23="",F23=0),"",D23/F23)</f>
        <v>0.400228050171038</v>
      </c>
      <c r="H23" s="40" t="n">
        <f aca="false">IF(OR(F23="",F23=0),"",E23/F23)</f>
        <v>0.599771949828962</v>
      </c>
      <c r="I23" s="32" t="s">
        <v>162</v>
      </c>
      <c r="J23" s="36" t="n">
        <v>1.97233065497388</v>
      </c>
      <c r="K23" s="36" t="n">
        <f aca="false">$K$8</f>
        <v>1.2747518664323</v>
      </c>
      <c r="L23" s="36" t="n">
        <f aca="false">SQRT(J23^2+K23^2)</f>
        <v>2.34842085953994</v>
      </c>
      <c r="M23" s="40" t="n">
        <f aca="false">IF(G23="","",MAX(0,G23-1.96*L23/100))</f>
        <v>0.354199001324055</v>
      </c>
      <c r="N23" s="40" t="n">
        <f aca="false">IF(G23="","",MIN(1,G23+1.96*L23/100))</f>
        <v>0.44625709901802</v>
      </c>
      <c r="O23" s="59" t="n">
        <f aca="false">ROUND(S23*W23,0)</f>
        <v>106</v>
      </c>
      <c r="P23" s="59" t="n">
        <f aca="false">IF(F23="","",ROUND(SQRT((F23*L23/100)^2+(G23*O23)^2),0))</f>
        <v>59</v>
      </c>
      <c r="R23" s="60" t="n">
        <v>-2.06644321125801</v>
      </c>
      <c r="S23" s="61" t="n">
        <f aca="false">U23*V23*$F$5</f>
        <v>1753.74077578051</v>
      </c>
      <c r="T23" s="62" t="n">
        <f aca="false">MAX(0,MIN(1,R23/100+$D$5))</f>
        <v>0.400034722698004</v>
      </c>
      <c r="U23" s="62" t="n">
        <v>0.525701671397036</v>
      </c>
      <c r="V23" s="61" t="n">
        <v>3336</v>
      </c>
      <c r="W23" s="62" t="n">
        <v>0.0606122259008943</v>
      </c>
      <c r="X23" s="63" t="s">
        <v>168</v>
      </c>
      <c r="Y23" s="63" t="s">
        <v>164</v>
      </c>
    </row>
    <row r="24" customFormat="false" ht="15" hidden="false" customHeight="false" outlineLevel="0" collapsed="false">
      <c r="A24" s="32" t="s">
        <v>159</v>
      </c>
      <c r="B24" s="32" t="s">
        <v>177</v>
      </c>
      <c r="C24" s="32" t="s">
        <v>161</v>
      </c>
      <c r="D24" s="59" t="n">
        <f aca="false">ROUND(S24*T24,0)</f>
        <v>394</v>
      </c>
      <c r="E24" s="59" t="n">
        <f aca="false">ROUND(S24,0)-D24</f>
        <v>1007</v>
      </c>
      <c r="F24" s="59" t="n">
        <f aca="false">IF(COUNTA(D24:E24)=0,"",SUM(D24:E24))</f>
        <v>1401</v>
      </c>
      <c r="G24" s="40" t="n">
        <f aca="false">IF(OR(F24="",F24=0),"",D24/F24)</f>
        <v>0.281227694503926</v>
      </c>
      <c r="H24" s="40" t="n">
        <f aca="false">IF(OR(F24="",F24=0),"",E24/F24)</f>
        <v>0.718772305496074</v>
      </c>
      <c r="I24" s="32" t="s">
        <v>162</v>
      </c>
      <c r="J24" s="36" t="n">
        <v>1.97233065497388</v>
      </c>
      <c r="K24" s="36" t="n">
        <f aca="false">$K$8</f>
        <v>1.2747518664323</v>
      </c>
      <c r="L24" s="36" t="n">
        <f aca="false">SQRT(J24^2+K24^2)</f>
        <v>2.34842085953994</v>
      </c>
      <c r="M24" s="40" t="n">
        <f aca="false">IF(G24="","",MAX(0,G24-1.96*L24/100))</f>
        <v>0.235198645656943</v>
      </c>
      <c r="N24" s="40" t="n">
        <f aca="false">IF(G24="","",MIN(1,G24+1.96*L24/100))</f>
        <v>0.327256743350909</v>
      </c>
      <c r="O24" s="59" t="n">
        <f aca="false">ROUND(S24*W24,0)</f>
        <v>85</v>
      </c>
      <c r="P24" s="59" t="n">
        <f aca="false">IF(F24="","",ROUND(SQRT((F24*L24/100)^2+(G24*O24)^2),0))</f>
        <v>41</v>
      </c>
      <c r="R24" s="60" t="n">
        <v>-13.9840186446123</v>
      </c>
      <c r="S24" s="61" t="n">
        <f aca="false">U24*V24*$F$5</f>
        <v>1401.11772917636</v>
      </c>
      <c r="T24" s="62" t="n">
        <f aca="false">MAX(0,MIN(1,R24/100+$D$5))</f>
        <v>0.280858968364461</v>
      </c>
      <c r="U24" s="62" t="n">
        <v>0.626337831549558</v>
      </c>
      <c r="V24" s="61" t="n">
        <v>2237</v>
      </c>
      <c r="W24" s="62" t="n">
        <v>0.0606122259008943</v>
      </c>
      <c r="X24" s="63" t="s">
        <v>168</v>
      </c>
      <c r="Y24" s="63" t="s">
        <v>164</v>
      </c>
    </row>
    <row r="25" customFormat="false" ht="15" hidden="false" customHeight="false" outlineLevel="0" collapsed="false">
      <c r="A25" s="32" t="s">
        <v>159</v>
      </c>
      <c r="B25" s="32" t="s">
        <v>178</v>
      </c>
      <c r="C25" s="32" t="s">
        <v>161</v>
      </c>
      <c r="D25" s="59" t="n">
        <f aca="false">ROUND(S25*T25,0)</f>
        <v>549</v>
      </c>
      <c r="E25" s="59" t="n">
        <f aca="false">ROUND(S25,0)-D25</f>
        <v>1329</v>
      </c>
      <c r="F25" s="59" t="n">
        <f aca="false">IF(COUNTA(D25:E25)=0,"",SUM(D25:E25))</f>
        <v>1878</v>
      </c>
      <c r="G25" s="40" t="n">
        <f aca="false">IF(OR(F25="",F25=0),"",D25/F25)</f>
        <v>0.292332268370607</v>
      </c>
      <c r="H25" s="40" t="n">
        <f aca="false">IF(OR(F25="",F25=0),"",E25/F25)</f>
        <v>0.707667731629393</v>
      </c>
      <c r="I25" s="32" t="s">
        <v>162</v>
      </c>
      <c r="J25" s="36" t="n">
        <v>1.97233065497388</v>
      </c>
      <c r="K25" s="36" t="n">
        <f aca="false">$K$8</f>
        <v>1.2747518664323</v>
      </c>
      <c r="L25" s="36" t="n">
        <f aca="false">SQRT(J25^2+K25^2)</f>
        <v>2.34842085953994</v>
      </c>
      <c r="M25" s="40" t="n">
        <f aca="false">IF(G25="","",MAX(0,G25-1.96*L25/100))</f>
        <v>0.246303219523624</v>
      </c>
      <c r="N25" s="40" t="n">
        <f aca="false">IF(G25="","",MIN(1,G25+1.96*L25/100))</f>
        <v>0.33836131721759</v>
      </c>
      <c r="O25" s="59" t="n">
        <f aca="false">ROUND(S25*W25,0)</f>
        <v>114</v>
      </c>
      <c r="P25" s="59" t="n">
        <f aca="false">IF(F25="","",ROUND(SQRT((F25*L25/100)^2+(G25*O25)^2),0))</f>
        <v>55</v>
      </c>
      <c r="R25" s="60" t="n">
        <v>-12.8542530943076</v>
      </c>
      <c r="S25" s="61" t="n">
        <f aca="false">U25*V25*$F$5</f>
        <v>1878.41828929068</v>
      </c>
      <c r="T25" s="62" t="n">
        <f aca="false">MAX(0,MIN(1,R25/100+$D$5))</f>
        <v>0.292156623867509</v>
      </c>
      <c r="U25" s="62" t="n">
        <v>0.616481223922114</v>
      </c>
      <c r="V25" s="61" t="n">
        <v>3047</v>
      </c>
      <c r="W25" s="62" t="n">
        <v>0.0606122259008943</v>
      </c>
      <c r="X25" s="63" t="s">
        <v>168</v>
      </c>
      <c r="Y25" s="63" t="s">
        <v>164</v>
      </c>
    </row>
    <row r="26" customFormat="false" ht="15" hidden="false" customHeight="false" outlineLevel="0" collapsed="false">
      <c r="A26" s="32" t="s">
        <v>159</v>
      </c>
      <c r="B26" s="32" t="s">
        <v>179</v>
      </c>
      <c r="C26" s="32" t="s">
        <v>161</v>
      </c>
      <c r="D26" s="59" t="n">
        <f aca="false">ROUND(S26*T26,0)</f>
        <v>482</v>
      </c>
      <c r="E26" s="59" t="n">
        <f aca="false">ROUND(S26,0)-D26</f>
        <v>732</v>
      </c>
      <c r="F26" s="59" t="n">
        <f aca="false">IF(COUNTA(D26:E26)=0,"",SUM(D26:E26))</f>
        <v>1214</v>
      </c>
      <c r="G26" s="40" t="n">
        <f aca="false">IF(OR(F26="",F26=0),"",D26/F26)</f>
        <v>0.397034596375618</v>
      </c>
      <c r="H26" s="40" t="n">
        <f aca="false">IF(OR(F26="",F26=0),"",E26/F26)</f>
        <v>0.602965403624382</v>
      </c>
      <c r="I26" s="32" t="s">
        <v>162</v>
      </c>
      <c r="J26" s="36" t="n">
        <v>3.01261974295132</v>
      </c>
      <c r="K26" s="36" t="n">
        <f aca="false">$K$8</f>
        <v>1.2747518664323</v>
      </c>
      <c r="L26" s="36" t="n">
        <f aca="false">SQRT(J26^2+K26^2)</f>
        <v>3.27121843302961</v>
      </c>
      <c r="M26" s="40" t="n">
        <f aca="false">IF(G26="","",MAX(0,G26-1.96*L26/100))</f>
        <v>0.332918715088237</v>
      </c>
      <c r="N26" s="40" t="n">
        <f aca="false">IF(G26="","",MIN(1,G26+1.96*L26/100))</f>
        <v>0.461150477662998</v>
      </c>
      <c r="O26" s="59" t="n">
        <f aca="false">ROUND(S26*W26,0)</f>
        <v>94</v>
      </c>
      <c r="P26" s="59" t="n">
        <f aca="false">IF(F26="","",ROUND(SQRT((F26*L26/100)^2+(G26*O26)^2),0))</f>
        <v>54</v>
      </c>
      <c r="R26" s="60" t="n">
        <v>-2.39410432377489</v>
      </c>
      <c r="S26" s="61" t="n">
        <f aca="false">U26*V26*$F$5</f>
        <v>1214.17865765331</v>
      </c>
      <c r="T26" s="62" t="n">
        <f aca="false">MAX(0,MIN(1,R26/100+$D$5))</f>
        <v>0.396758111572835</v>
      </c>
      <c r="U26" s="62" t="n">
        <v>0.576533075808788</v>
      </c>
      <c r="V26" s="61" t="n">
        <v>2106</v>
      </c>
      <c r="W26" s="62" t="n">
        <v>0.0777040344688333</v>
      </c>
      <c r="X26" s="63" t="s">
        <v>163</v>
      </c>
      <c r="Y26" s="63" t="s">
        <v>164</v>
      </c>
    </row>
    <row r="27" customFormat="false" ht="15" hidden="false" customHeight="false" outlineLevel="0" collapsed="false">
      <c r="A27" s="32" t="s">
        <v>159</v>
      </c>
      <c r="B27" s="32" t="s">
        <v>180</v>
      </c>
      <c r="C27" s="32" t="s">
        <v>161</v>
      </c>
      <c r="D27" s="59" t="n">
        <f aca="false">ROUND(S27*T27,0)</f>
        <v>100</v>
      </c>
      <c r="E27" s="59" t="n">
        <f aca="false">ROUND(S27,0)-D27</f>
        <v>430</v>
      </c>
      <c r="F27" s="59" t="n">
        <f aca="false">IF(COUNTA(D27:E27)=0,"",SUM(D27:E27))</f>
        <v>530</v>
      </c>
      <c r="G27" s="40" t="n">
        <f aca="false">IF(OR(F27="",F27=0),"",D27/F27)</f>
        <v>0.188679245283019</v>
      </c>
      <c r="H27" s="40" t="n">
        <f aca="false">IF(OR(F27="",F27=0),"",E27/F27)</f>
        <v>0.811320754716981</v>
      </c>
      <c r="I27" s="32" t="s">
        <v>162</v>
      </c>
      <c r="J27" s="36" t="n">
        <v>3.01261974295132</v>
      </c>
      <c r="K27" s="36" t="n">
        <f aca="false">$K$8</f>
        <v>1.2747518664323</v>
      </c>
      <c r="L27" s="36" t="n">
        <f aca="false">SQRT(J27^2+K27^2)</f>
        <v>3.27121843302961</v>
      </c>
      <c r="M27" s="40" t="n">
        <f aca="false">IF(G27="","",MAX(0,G27-1.96*L27/100))</f>
        <v>0.124563363995639</v>
      </c>
      <c r="N27" s="40" t="n">
        <f aca="false">IF(G27="","",MIN(1,G27+1.96*L27/100))</f>
        <v>0.252795126570399</v>
      </c>
      <c r="O27" s="59" t="n">
        <f aca="false">ROUND(S27*W27,0)</f>
        <v>41</v>
      </c>
      <c r="P27" s="59" t="n">
        <f aca="false">IF(F27="","",ROUND(SQRT((F27*L27/100)^2+(G27*O27)^2),0))</f>
        <v>19</v>
      </c>
      <c r="R27" s="60" t="n">
        <v>-23.2110075988006</v>
      </c>
      <c r="S27" s="61" t="n">
        <f aca="false">U27*V27*$F$5</f>
        <v>530.117647058824</v>
      </c>
      <c r="T27" s="62" t="n">
        <f aca="false">MAX(0,MIN(1,R27/100+$D$5))</f>
        <v>0.188589078822578</v>
      </c>
      <c r="U27" s="62" t="n">
        <v>0.705882352941177</v>
      </c>
      <c r="V27" s="61" t="n">
        <v>751</v>
      </c>
      <c r="W27" s="62" t="n">
        <v>0.0777040344688333</v>
      </c>
      <c r="X27" s="63" t="s">
        <v>163</v>
      </c>
      <c r="Y27" s="63" t="s">
        <v>164</v>
      </c>
    </row>
    <row r="28" customFormat="false" ht="15" hidden="false" customHeight="false" outlineLevel="0" collapsed="false">
      <c r="A28" s="32" t="s">
        <v>159</v>
      </c>
      <c r="B28" s="32" t="s">
        <v>181</v>
      </c>
      <c r="C28" s="32" t="s">
        <v>161</v>
      </c>
      <c r="D28" s="59" t="n">
        <f aca="false">ROUND(S28*T28,0)</f>
        <v>722</v>
      </c>
      <c r="E28" s="59" t="n">
        <f aca="false">ROUND(S28,0)-D28</f>
        <v>1269</v>
      </c>
      <c r="F28" s="59" t="n">
        <f aca="false">IF(COUNTA(D28:E28)=0,"",SUM(D28:E28))</f>
        <v>1991</v>
      </c>
      <c r="G28" s="40" t="n">
        <f aca="false">IF(OR(F28="",F28=0),"",D28/F28)</f>
        <v>0.362631843294827</v>
      </c>
      <c r="H28" s="40" t="n">
        <f aca="false">IF(OR(F28="",F28=0),"",E28/F28)</f>
        <v>0.637368156705173</v>
      </c>
      <c r="I28" s="32" t="s">
        <v>162</v>
      </c>
      <c r="J28" s="36" t="n">
        <v>1.97233065497388</v>
      </c>
      <c r="K28" s="36" t="n">
        <f aca="false">$K$8</f>
        <v>1.2747518664323</v>
      </c>
      <c r="L28" s="36" t="n">
        <f aca="false">SQRT(J28^2+K28^2)</f>
        <v>2.34842085953994</v>
      </c>
      <c r="M28" s="40" t="n">
        <f aca="false">IF(G28="","",MAX(0,G28-1.96*L28/100))</f>
        <v>0.316602794447844</v>
      </c>
      <c r="N28" s="40" t="n">
        <f aca="false">IF(G28="","",MIN(1,G28+1.96*L28/100))</f>
        <v>0.40866089214181</v>
      </c>
      <c r="O28" s="59" t="n">
        <f aca="false">ROUND(S28*W28,0)</f>
        <v>121</v>
      </c>
      <c r="P28" s="59" t="n">
        <f aca="false">IF(F28="","",ROUND(SQRT((F28*L28/100)^2+(G28*O28)^2),0))</f>
        <v>64</v>
      </c>
      <c r="R28" s="60" t="n">
        <v>-5.82109222727091</v>
      </c>
      <c r="S28" s="61" t="n">
        <f aca="false">U28*V28*$F$5</f>
        <v>1991.47057118005</v>
      </c>
      <c r="T28" s="62" t="n">
        <f aca="false">MAX(0,MIN(1,R28/100+$D$5))</f>
        <v>0.362488232537875</v>
      </c>
      <c r="U28" s="62" t="n">
        <v>0.553493766309075</v>
      </c>
      <c r="V28" s="61" t="n">
        <v>3598</v>
      </c>
      <c r="W28" s="62" t="n">
        <v>0.0606122259008943</v>
      </c>
      <c r="X28" s="63" t="s">
        <v>168</v>
      </c>
      <c r="Y28" s="63" t="s">
        <v>164</v>
      </c>
    </row>
    <row r="29" customFormat="false" ht="15" hidden="false" customHeight="false" outlineLevel="0" collapsed="false">
      <c r="A29" s="32" t="s">
        <v>159</v>
      </c>
      <c r="B29" s="32" t="s">
        <v>182</v>
      </c>
      <c r="C29" s="32" t="s">
        <v>161</v>
      </c>
      <c r="D29" s="59" t="n">
        <f aca="false">ROUND(S29*T29,0)</f>
        <v>57</v>
      </c>
      <c r="E29" s="59" t="n">
        <f aca="false">ROUND(S29,0)-D29</f>
        <v>128</v>
      </c>
      <c r="F29" s="59" t="n">
        <f aca="false">IF(COUNTA(D29:E29)=0,"",SUM(D29:E29))</f>
        <v>185</v>
      </c>
      <c r="G29" s="40" t="n">
        <f aca="false">IF(OR(F29="",F29=0),"",D29/F29)</f>
        <v>0.308108108108108</v>
      </c>
      <c r="H29" s="40" t="n">
        <f aca="false">IF(OR(F29="",F29=0),"",E29/F29)</f>
        <v>0.691891891891892</v>
      </c>
      <c r="I29" s="32" t="s">
        <v>162</v>
      </c>
      <c r="J29" s="36" t="n">
        <v>3.01261974295132</v>
      </c>
      <c r="K29" s="36" t="n">
        <f aca="false">$K$8</f>
        <v>1.2747518664323</v>
      </c>
      <c r="L29" s="36" t="n">
        <f aca="false">SQRT(J29^2+K29^2)</f>
        <v>3.27121843302961</v>
      </c>
      <c r="M29" s="40" t="n">
        <f aca="false">IF(G29="","",MAX(0,G29-1.96*L29/100))</f>
        <v>0.243992226820728</v>
      </c>
      <c r="N29" s="40" t="n">
        <f aca="false">IF(G29="","",MIN(1,G29+1.96*L29/100))</f>
        <v>0.372223989395488</v>
      </c>
      <c r="O29" s="59" t="n">
        <f aca="false">ROUND(S29*W29,0)</f>
        <v>14</v>
      </c>
      <c r="P29" s="59" t="n">
        <f aca="false">IF(F29="","",ROUND(SQRT((F29*L29/100)^2+(G29*O29)^2),0))</f>
        <v>7</v>
      </c>
      <c r="R29" s="60" t="n">
        <v>-11.2157186001081</v>
      </c>
      <c r="S29" s="61" t="n">
        <f aca="false">U29*V29*$F$5</f>
        <v>184.547540983607</v>
      </c>
      <c r="T29" s="62" t="n">
        <f aca="false">MAX(0,MIN(1,R29/100+$D$5))</f>
        <v>0.308541968809504</v>
      </c>
      <c r="U29" s="62" t="n">
        <v>0.613114754098361</v>
      </c>
      <c r="V29" s="61" t="n">
        <v>301</v>
      </c>
      <c r="W29" s="62" t="n">
        <v>0.0777040344688333</v>
      </c>
      <c r="X29" s="63" t="s">
        <v>163</v>
      </c>
      <c r="Y29" s="63" t="s">
        <v>164</v>
      </c>
    </row>
    <row r="30" customFormat="false" ht="15" hidden="false" customHeight="false" outlineLevel="0" collapsed="false">
      <c r="A30" s="32" t="s">
        <v>159</v>
      </c>
      <c r="B30" s="32" t="s">
        <v>183</v>
      </c>
      <c r="C30" s="32" t="s">
        <v>161</v>
      </c>
      <c r="D30" s="59" t="n">
        <f aca="false">ROUND(S30*T30,0)</f>
        <v>1606</v>
      </c>
      <c r="E30" s="59" t="n">
        <f aca="false">ROUND(S30,0)-D30</f>
        <v>2866</v>
      </c>
      <c r="F30" s="59" t="n">
        <f aca="false">IF(COUNTA(D30:E30)=0,"",SUM(D30:E30))</f>
        <v>4472</v>
      </c>
      <c r="G30" s="40" t="n">
        <f aca="false">IF(OR(F30="",F30=0),"",D30/F30)</f>
        <v>0.35912343470483</v>
      </c>
      <c r="H30" s="40" t="n">
        <f aca="false">IF(OR(F30="",F30=0),"",E30/F30)</f>
        <v>0.64087656529517</v>
      </c>
      <c r="I30" s="32" t="s">
        <v>162</v>
      </c>
      <c r="J30" s="36" t="n">
        <v>1.66048092133492</v>
      </c>
      <c r="K30" s="36" t="n">
        <f aca="false">$K$8</f>
        <v>1.2747518664323</v>
      </c>
      <c r="L30" s="36" t="n">
        <f aca="false">SQRT(J30^2+K30^2)</f>
        <v>2.09336791106816</v>
      </c>
      <c r="M30" s="40" t="n">
        <f aca="false">IF(G30="","",MAX(0,G30-1.96*L30/100))</f>
        <v>0.318093423647894</v>
      </c>
      <c r="N30" s="40" t="n">
        <f aca="false">IF(G30="","",MIN(1,G30+1.96*L30/100))</f>
        <v>0.400153445761766</v>
      </c>
      <c r="O30" s="59" t="n">
        <f aca="false">ROUND(S30*W30,0)</f>
        <v>247</v>
      </c>
      <c r="P30" s="59" t="n">
        <f aca="false">IF(F30="","",ROUND(SQRT((F30*L30/100)^2+(G30*O30)^2),0))</f>
        <v>129</v>
      </c>
      <c r="R30" s="60" t="n">
        <v>-6.15353023531061</v>
      </c>
      <c r="S30" s="61" t="n">
        <f aca="false">U30*V30*$F$5</f>
        <v>4472.46592381446</v>
      </c>
      <c r="T30" s="62" t="n">
        <f aca="false">MAX(0,MIN(1,R30/100+$D$5))</f>
        <v>0.359163852457478</v>
      </c>
      <c r="U30" s="62" t="n">
        <v>0.560248769111169</v>
      </c>
      <c r="V30" s="61" t="n">
        <v>7983</v>
      </c>
      <c r="W30" s="62" t="n">
        <v>0.0551273752894184</v>
      </c>
      <c r="X30" s="63" t="s">
        <v>184</v>
      </c>
      <c r="Y30" s="63" t="s">
        <v>164</v>
      </c>
    </row>
    <row r="31" customFormat="false" ht="15" hidden="false" customHeight="false" outlineLevel="0" collapsed="false">
      <c r="A31" s="32" t="s">
        <v>159</v>
      </c>
      <c r="B31" s="32" t="s">
        <v>185</v>
      </c>
      <c r="C31" s="32" t="s">
        <v>161</v>
      </c>
      <c r="D31" s="59" t="n">
        <f aca="false">ROUND(S31*T31,0)</f>
        <v>556</v>
      </c>
      <c r="E31" s="59" t="n">
        <f aca="false">ROUND(S31,0)-D31</f>
        <v>737</v>
      </c>
      <c r="F31" s="59" t="n">
        <f aca="false">IF(COUNTA(D31:E31)=0,"",SUM(D31:E31))</f>
        <v>1293</v>
      </c>
      <c r="G31" s="40" t="n">
        <f aca="false">IF(OR(F31="",F31=0),"",D31/F31)</f>
        <v>0.43000773395205</v>
      </c>
      <c r="H31" s="40" t="n">
        <f aca="false">IF(OR(F31="",F31=0),"",E31/F31)</f>
        <v>0.569992266047951</v>
      </c>
      <c r="I31" s="32" t="s">
        <v>162</v>
      </c>
      <c r="J31" s="36" t="n">
        <v>1.97233065497388</v>
      </c>
      <c r="K31" s="36" t="n">
        <f aca="false">$K$8</f>
        <v>1.2747518664323</v>
      </c>
      <c r="L31" s="36" t="n">
        <f aca="false">SQRT(J31^2+K31^2)</f>
        <v>2.34842085953994</v>
      </c>
      <c r="M31" s="40" t="n">
        <f aca="false">IF(G31="","",MAX(0,G31-1.96*L31/100))</f>
        <v>0.383978685105067</v>
      </c>
      <c r="N31" s="40" t="n">
        <f aca="false">IF(G31="","",MIN(1,G31+1.96*L31/100))</f>
        <v>0.476036782799032</v>
      </c>
      <c r="O31" s="59" t="n">
        <f aca="false">ROUND(S31*W31,0)</f>
        <v>78</v>
      </c>
      <c r="P31" s="59" t="n">
        <f aca="false">IF(F31="","",ROUND(SQRT((F31*L31/100)^2+(G31*O31)^2),0))</f>
        <v>45</v>
      </c>
      <c r="R31" s="60" t="n">
        <v>0.942495525278631</v>
      </c>
      <c r="S31" s="61" t="n">
        <f aca="false">U31*V31*$F$5</f>
        <v>1293.28908554572</v>
      </c>
      <c r="T31" s="62" t="n">
        <f aca="false">MAX(0,MIN(1,R31/100+$D$5))</f>
        <v>0.430124110063371</v>
      </c>
      <c r="U31" s="62" t="n">
        <v>0.607177974434612</v>
      </c>
      <c r="V31" s="61" t="n">
        <v>2130</v>
      </c>
      <c r="W31" s="62" t="n">
        <v>0.0606122259008943</v>
      </c>
      <c r="X31" s="63" t="s">
        <v>168</v>
      </c>
      <c r="Y31" s="63" t="s">
        <v>164</v>
      </c>
    </row>
    <row r="32" customFormat="false" ht="15" hidden="false" customHeight="false" outlineLevel="0" collapsed="false">
      <c r="A32" s="32" t="s">
        <v>159</v>
      </c>
      <c r="B32" s="32" t="s">
        <v>186</v>
      </c>
      <c r="C32" s="32" t="s">
        <v>161</v>
      </c>
      <c r="D32" s="59" t="n">
        <f aca="false">ROUND(S32*T32,0)</f>
        <v>647</v>
      </c>
      <c r="E32" s="59" t="n">
        <f aca="false">ROUND(S32,0)-D32</f>
        <v>1611</v>
      </c>
      <c r="F32" s="59" t="n">
        <f aca="false">IF(COUNTA(D32:E32)=0,"",SUM(D32:E32))</f>
        <v>2258</v>
      </c>
      <c r="G32" s="40" t="n">
        <f aca="false">IF(OR(F32="",F32=0),"",D32/F32)</f>
        <v>0.286536758193091</v>
      </c>
      <c r="H32" s="40" t="n">
        <f aca="false">IF(OR(F32="",F32=0),"",E32/F32)</f>
        <v>0.713463241806909</v>
      </c>
      <c r="I32" s="32" t="s">
        <v>162</v>
      </c>
      <c r="J32" s="36" t="n">
        <v>1.97233065497388</v>
      </c>
      <c r="K32" s="36" t="n">
        <f aca="false">$K$8</f>
        <v>1.2747518664323</v>
      </c>
      <c r="L32" s="36" t="n">
        <f aca="false">SQRT(J32^2+K32^2)</f>
        <v>2.34842085953994</v>
      </c>
      <c r="M32" s="40" t="n">
        <f aca="false">IF(G32="","",MAX(0,G32-1.96*L32/100))</f>
        <v>0.240507709346108</v>
      </c>
      <c r="N32" s="40" t="n">
        <f aca="false">IF(G32="","",MIN(1,G32+1.96*L32/100))</f>
        <v>0.332565807040074</v>
      </c>
      <c r="O32" s="59" t="n">
        <f aca="false">ROUND(S32*W32,0)</f>
        <v>137</v>
      </c>
      <c r="P32" s="59" t="n">
        <f aca="false">IF(F32="","",ROUND(SQRT((F32*L32/100)^2+(G32*O32)^2),0))</f>
        <v>66</v>
      </c>
      <c r="R32" s="60" t="n">
        <v>-13.4250463908962</v>
      </c>
      <c r="S32" s="61" t="n">
        <f aca="false">U32*V32*$F$5</f>
        <v>2258.11685530743</v>
      </c>
      <c r="T32" s="62" t="n">
        <f aca="false">MAX(0,MIN(1,R32/100+$D$5))</f>
        <v>0.286448690901622</v>
      </c>
      <c r="U32" s="62" t="n">
        <v>0.65188130926889</v>
      </c>
      <c r="V32" s="61" t="n">
        <v>3464</v>
      </c>
      <c r="W32" s="62" t="n">
        <v>0.0606122259008943</v>
      </c>
      <c r="X32" s="63" t="s">
        <v>168</v>
      </c>
      <c r="Y32" s="63" t="s">
        <v>164</v>
      </c>
    </row>
    <row r="33" customFormat="false" ht="15" hidden="false" customHeight="false" outlineLevel="0" collapsed="false">
      <c r="A33" s="32" t="s">
        <v>159</v>
      </c>
      <c r="B33" s="32" t="s">
        <v>187</v>
      </c>
      <c r="C33" s="32" t="s">
        <v>161</v>
      </c>
      <c r="D33" s="59" t="n">
        <f aca="false">ROUND(S33*T33,0)</f>
        <v>267</v>
      </c>
      <c r="E33" s="59" t="n">
        <f aca="false">ROUND(S33,0)-D33</f>
        <v>647</v>
      </c>
      <c r="F33" s="59" t="n">
        <f aca="false">IF(COUNTA(D33:E33)=0,"",SUM(D33:E33))</f>
        <v>914</v>
      </c>
      <c r="G33" s="40" t="n">
        <f aca="false">IF(OR(F33="",F33=0),"",D33/F33)</f>
        <v>0.292122538293217</v>
      </c>
      <c r="H33" s="40" t="n">
        <f aca="false">IF(OR(F33="",F33=0),"",E33/F33)</f>
        <v>0.707877461706783</v>
      </c>
      <c r="I33" s="32" t="s">
        <v>162</v>
      </c>
      <c r="J33" s="36" t="n">
        <v>3.01261974295132</v>
      </c>
      <c r="K33" s="36" t="n">
        <f aca="false">$K$8</f>
        <v>1.2747518664323</v>
      </c>
      <c r="L33" s="36" t="n">
        <f aca="false">SQRT(J33^2+K33^2)</f>
        <v>3.27121843302961</v>
      </c>
      <c r="M33" s="40" t="n">
        <f aca="false">IF(G33="","",MAX(0,G33-1.96*L33/100))</f>
        <v>0.228006657005836</v>
      </c>
      <c r="N33" s="40" t="n">
        <f aca="false">IF(G33="","",MIN(1,G33+1.96*L33/100))</f>
        <v>0.356238419580597</v>
      </c>
      <c r="O33" s="59" t="n">
        <f aca="false">ROUND(S33*W33,0)</f>
        <v>71</v>
      </c>
      <c r="P33" s="59" t="n">
        <f aca="false">IF(F33="","",ROUND(SQRT((F33*L33/100)^2+(G33*O33)^2),0))</f>
        <v>36</v>
      </c>
      <c r="R33" s="60" t="n">
        <v>-12.8262197194834</v>
      </c>
      <c r="S33" s="61" t="n">
        <f aca="false">U33*V33*$F$5</f>
        <v>913.771907216495</v>
      </c>
      <c r="T33" s="62" t="n">
        <f aca="false">MAX(0,MIN(1,R33/100+$D$5))</f>
        <v>0.29243695761575</v>
      </c>
      <c r="U33" s="62" t="n">
        <v>0.580541237113402</v>
      </c>
      <c r="V33" s="61" t="n">
        <v>1574</v>
      </c>
      <c r="W33" s="62" t="n">
        <v>0.0777040344688333</v>
      </c>
      <c r="X33" s="63" t="s">
        <v>163</v>
      </c>
      <c r="Y33" s="63" t="s">
        <v>164</v>
      </c>
    </row>
    <row r="34" customFormat="false" ht="15" hidden="false" customHeight="false" outlineLevel="0" collapsed="false">
      <c r="A34" s="32" t="s">
        <v>159</v>
      </c>
      <c r="B34" s="32" t="s">
        <v>188</v>
      </c>
      <c r="C34" s="32" t="s">
        <v>161</v>
      </c>
      <c r="D34" s="59" t="n">
        <f aca="false">ROUND(S34*T34,0)</f>
        <v>37</v>
      </c>
      <c r="E34" s="59" t="n">
        <f aca="false">ROUND(S34,0)-D34</f>
        <v>70</v>
      </c>
      <c r="F34" s="59" t="n">
        <f aca="false">IF(COUNTA(D34:E34)=0,"",SUM(D34:E34))</f>
        <v>107</v>
      </c>
      <c r="G34" s="40" t="n">
        <f aca="false">IF(OR(F34="",F34=0),"",D34/F34)</f>
        <v>0.345794392523364</v>
      </c>
      <c r="H34" s="40" t="n">
        <f aca="false">IF(OR(F34="",F34=0),"",E34/F34)</f>
        <v>0.654205607476636</v>
      </c>
      <c r="I34" s="32" t="s">
        <v>162</v>
      </c>
      <c r="J34" s="36" t="n">
        <v>3.01261974295132</v>
      </c>
      <c r="K34" s="36" t="n">
        <f aca="false">$K$8</f>
        <v>1.2747518664323</v>
      </c>
      <c r="L34" s="36" t="n">
        <f aca="false">SQRT(J34^2+K34^2)</f>
        <v>3.27121843302961</v>
      </c>
      <c r="M34" s="40" t="n">
        <f aca="false">IF(G34="","",MAX(0,G34-1.96*L34/100))</f>
        <v>0.281678511235984</v>
      </c>
      <c r="N34" s="40" t="n">
        <f aca="false">IF(G34="","",MIN(1,G34+1.96*L34/100))</f>
        <v>0.409910273810745</v>
      </c>
      <c r="O34" s="59" t="n">
        <f aca="false">ROUND(S34*W34,0)</f>
        <v>8</v>
      </c>
      <c r="P34" s="59" t="n">
        <f aca="false">IF(F34="","",ROUND(SQRT((F34*L34/100)^2+(G34*O34)^2),0))</f>
        <v>4</v>
      </c>
      <c r="R34" s="60" t="n">
        <v>-7.81931199291445</v>
      </c>
      <c r="S34" s="61" t="n">
        <f aca="false">U34*V34*$F$5</f>
        <v>106.666666666667</v>
      </c>
      <c r="T34" s="62" t="n">
        <f aca="false">MAX(0,MIN(1,R34/100+$D$5))</f>
        <v>0.34250603488144</v>
      </c>
      <c r="U34" s="62" t="n">
        <v>0.444444444444444</v>
      </c>
      <c r="V34" s="61" t="n">
        <v>240</v>
      </c>
      <c r="W34" s="62" t="n">
        <v>0.0777040344688333</v>
      </c>
      <c r="X34" s="63" t="s">
        <v>163</v>
      </c>
      <c r="Y34" s="63" t="s">
        <v>164</v>
      </c>
    </row>
    <row r="35" customFormat="false" ht="15" hidden="false" customHeight="false" outlineLevel="0" collapsed="false">
      <c r="A35" s="32" t="s">
        <v>189</v>
      </c>
      <c r="B35" s="32" t="s">
        <v>190</v>
      </c>
      <c r="C35" s="32" t="s">
        <v>161</v>
      </c>
      <c r="D35" s="59" t="n">
        <f aca="false">ROUND(S35*T35,0)</f>
        <v>497</v>
      </c>
      <c r="E35" s="59" t="n">
        <f aca="false">ROUND(S35,0)-D35</f>
        <v>564</v>
      </c>
      <c r="F35" s="59" t="n">
        <f aca="false">IF(COUNTA(D35:E35)=0,"",SUM(D35:E35))</f>
        <v>1061</v>
      </c>
      <c r="G35" s="40" t="n">
        <f aca="false">IF(OR(F35="",F35=0),"",D35/F35)</f>
        <v>0.468426013195099</v>
      </c>
      <c r="H35" s="40" t="n">
        <f aca="false">IF(OR(F35="",F35=0),"",E35/F35)</f>
        <v>0.531573986804901</v>
      </c>
      <c r="I35" s="32" t="s">
        <v>162</v>
      </c>
      <c r="J35" s="36" t="n">
        <v>3.01261974295132</v>
      </c>
      <c r="K35" s="36" t="n">
        <f aca="false">$K$8</f>
        <v>1.2747518664323</v>
      </c>
      <c r="L35" s="36" t="n">
        <f aca="false">SQRT(J35^2+K35^2)</f>
        <v>3.27121843302961</v>
      </c>
      <c r="M35" s="40" t="n">
        <f aca="false">IF(G35="","",MAX(0,G35-1.96*L35/100))</f>
        <v>0.404310131907719</v>
      </c>
      <c r="N35" s="40" t="n">
        <f aca="false">IF(G35="","",MIN(1,G35+1.96*L35/100))</f>
        <v>0.532541894482479</v>
      </c>
      <c r="O35" s="59" t="n">
        <f aca="false">ROUND(S35*W35,0)</f>
        <v>82</v>
      </c>
      <c r="P35" s="59" t="n">
        <f aca="false">IF(F35="","",ROUND(SQRT((F35*L35/100)^2+(G35*O35)^2),0))</f>
        <v>52</v>
      </c>
      <c r="R35" s="60" t="n">
        <v>4.80664085726769</v>
      </c>
      <c r="S35" s="61" t="n">
        <f aca="false">U35*V35*$F$5</f>
        <v>1060.80585424134</v>
      </c>
      <c r="T35" s="62" t="n">
        <f aca="false">MAX(0,MIN(1,R35/100+$D$5))</f>
        <v>0.468765563383261</v>
      </c>
      <c r="U35" s="62" t="n">
        <v>0.605137395459976</v>
      </c>
      <c r="V35" s="61" t="n">
        <v>1753</v>
      </c>
      <c r="W35" s="62" t="n">
        <v>0.0777040344688333</v>
      </c>
      <c r="X35" s="63" t="s">
        <v>163</v>
      </c>
      <c r="Y35" s="63" t="s">
        <v>164</v>
      </c>
    </row>
    <row r="36" customFormat="false" ht="15" hidden="false" customHeight="false" outlineLevel="0" collapsed="false">
      <c r="A36" s="32" t="s">
        <v>189</v>
      </c>
      <c r="B36" s="32" t="s">
        <v>191</v>
      </c>
      <c r="C36" s="32" t="s">
        <v>161</v>
      </c>
      <c r="D36" s="59" t="n">
        <f aca="false">ROUND(S36*T36,0)</f>
        <v>17043</v>
      </c>
      <c r="E36" s="59" t="n">
        <f aca="false">ROUND(S36,0)-D36</f>
        <v>8330</v>
      </c>
      <c r="F36" s="59" t="n">
        <f aca="false">IF(COUNTA(D36:E36)=0,"",SUM(D36:E36))</f>
        <v>25373</v>
      </c>
      <c r="G36" s="40" t="n">
        <f aca="false">IF(OR(F36="",F36=0),"",D36/F36)</f>
        <v>0.671698261931975</v>
      </c>
      <c r="H36" s="40" t="n">
        <f aca="false">IF(OR(F36="",F36=0),"",E36/F36)</f>
        <v>0.328301738068025</v>
      </c>
      <c r="I36" s="32" t="s">
        <v>162</v>
      </c>
      <c r="J36" s="36" t="n">
        <v>1.66048092133492</v>
      </c>
      <c r="K36" s="36" t="n">
        <f aca="false">$K$8</f>
        <v>1.2747518664323</v>
      </c>
      <c r="L36" s="36" t="n">
        <f aca="false">SQRT(J36^2+K36^2)</f>
        <v>2.09336791106816</v>
      </c>
      <c r="M36" s="40" t="n">
        <f aca="false">IF(G36="","",MAX(0,G36-1.96*L36/100))</f>
        <v>0.630668250875039</v>
      </c>
      <c r="N36" s="40" t="n">
        <f aca="false">IF(G36="","",MIN(1,G36+1.96*L36/100))</f>
        <v>0.712728272988911</v>
      </c>
      <c r="O36" s="59" t="n">
        <f aca="false">ROUND(S36*W36,0)</f>
        <v>1399</v>
      </c>
      <c r="P36" s="59" t="n">
        <f aca="false">IF(F36="","",ROUND(SQRT((F36*L36/100)^2+(G36*O36)^2),0))</f>
        <v>1079</v>
      </c>
      <c r="R36" s="60" t="n">
        <v>25.0975357328464</v>
      </c>
      <c r="S36" s="61" t="n">
        <f aca="false">U36*V36*$F$5</f>
        <v>25373.374760008</v>
      </c>
      <c r="T36" s="62" t="n">
        <f aca="false">MAX(0,MIN(1,R36/100+$D$5))</f>
        <v>0.671674512139048</v>
      </c>
      <c r="U36" s="62" t="n">
        <v>0.356778519643522</v>
      </c>
      <c r="V36" s="61" t="n">
        <v>71118</v>
      </c>
      <c r="W36" s="62" t="n">
        <v>0.0551273752894184</v>
      </c>
      <c r="X36" s="63" t="s">
        <v>184</v>
      </c>
      <c r="Y36" s="63" t="s">
        <v>164</v>
      </c>
    </row>
    <row r="37" customFormat="false" ht="15" hidden="false" customHeight="false" outlineLevel="0" collapsed="false">
      <c r="A37" s="32" t="s">
        <v>189</v>
      </c>
      <c r="B37" s="32" t="s">
        <v>192</v>
      </c>
      <c r="C37" s="32" t="s">
        <v>161</v>
      </c>
      <c r="D37" s="59" t="n">
        <f aca="false">ROUND(S37*T37,0)</f>
        <v>5185</v>
      </c>
      <c r="E37" s="59" t="n">
        <f aca="false">ROUND(S37,0)-D37</f>
        <v>2792</v>
      </c>
      <c r="F37" s="59" t="n">
        <f aca="false">IF(COUNTA(D37:E37)=0,"",SUM(D37:E37))</f>
        <v>7977</v>
      </c>
      <c r="G37" s="40" t="n">
        <f aca="false">IF(OR(F37="",F37=0),"",D37/F37)</f>
        <v>0.649993731979441</v>
      </c>
      <c r="H37" s="40" t="n">
        <f aca="false">IF(OR(F37="",F37=0),"",E37/F37)</f>
        <v>0.350006268020559</v>
      </c>
      <c r="I37" s="32" t="s">
        <v>162</v>
      </c>
      <c r="J37" s="36" t="n">
        <v>1.66048092133492</v>
      </c>
      <c r="K37" s="36" t="n">
        <f aca="false">$K$8</f>
        <v>1.2747518664323</v>
      </c>
      <c r="L37" s="36" t="n">
        <f aca="false">SQRT(J37^2+K37^2)</f>
        <v>2.09336791106816</v>
      </c>
      <c r="M37" s="40" t="n">
        <f aca="false">IF(G37="","",MAX(0,G37-1.96*L37/100))</f>
        <v>0.608963720922505</v>
      </c>
      <c r="N37" s="40" t="n">
        <f aca="false">IF(G37="","",MIN(1,G37+1.96*L37/100))</f>
        <v>0.691023743036377</v>
      </c>
      <c r="O37" s="59" t="n">
        <f aca="false">ROUND(S37*W37,0)</f>
        <v>440</v>
      </c>
      <c r="P37" s="59" t="n">
        <f aca="false">IF(F37="","",ROUND(SQRT((F37*L37/100)^2+(G37*O37)^2),0))</f>
        <v>331</v>
      </c>
      <c r="R37" s="60" t="n">
        <v>22.9356683006901</v>
      </c>
      <c r="S37" s="61" t="n">
        <f aca="false">U37*V37*$F$5</f>
        <v>7976.55329986175</v>
      </c>
      <c r="T37" s="62" t="n">
        <f aca="false">MAX(0,MIN(1,R37/100+$D$5))</f>
        <v>0.650055837817485</v>
      </c>
      <c r="U37" s="62" t="n">
        <v>0.574183220548643</v>
      </c>
      <c r="V37" s="61" t="n">
        <v>13892</v>
      </c>
      <c r="W37" s="62" t="n">
        <v>0.0551273752894184</v>
      </c>
      <c r="X37" s="63" t="s">
        <v>184</v>
      </c>
      <c r="Y37" s="63" t="s">
        <v>164</v>
      </c>
    </row>
    <row r="38" customFormat="false" ht="15" hidden="false" customHeight="false" outlineLevel="0" collapsed="false">
      <c r="A38" s="32" t="s">
        <v>189</v>
      </c>
      <c r="B38" s="32" t="s">
        <v>193</v>
      </c>
      <c r="C38" s="32" t="s">
        <v>161</v>
      </c>
      <c r="D38" s="59" t="n">
        <f aca="false">ROUND(S38*T38,0)</f>
        <v>1144</v>
      </c>
      <c r="E38" s="59" t="n">
        <f aca="false">ROUND(S38,0)-D38</f>
        <v>1034</v>
      </c>
      <c r="F38" s="59" t="n">
        <f aca="false">IF(COUNTA(D38:E38)=0,"",SUM(D38:E38))</f>
        <v>2178</v>
      </c>
      <c r="G38" s="40" t="n">
        <f aca="false">IF(OR(F38="",F38=0),"",D38/F38)</f>
        <v>0.525252525252525</v>
      </c>
      <c r="H38" s="40" t="n">
        <f aca="false">IF(OR(F38="",F38=0),"",E38/F38)</f>
        <v>0.474747474747475</v>
      </c>
      <c r="I38" s="32" t="s">
        <v>162</v>
      </c>
      <c r="J38" s="36" t="n">
        <v>1.97233065497388</v>
      </c>
      <c r="K38" s="36" t="n">
        <f aca="false">$K$8</f>
        <v>1.2747518664323</v>
      </c>
      <c r="L38" s="36" t="n">
        <f aca="false">SQRT(J38^2+K38^2)</f>
        <v>2.34842085953994</v>
      </c>
      <c r="M38" s="40" t="n">
        <f aca="false">IF(G38="","",MAX(0,G38-1.96*L38/100))</f>
        <v>0.479223476405542</v>
      </c>
      <c r="N38" s="40" t="n">
        <f aca="false">IF(G38="","",MIN(1,G38+1.96*L38/100))</f>
        <v>0.571281574099508</v>
      </c>
      <c r="O38" s="59" t="n">
        <f aca="false">ROUND(S38*W38,0)</f>
        <v>132</v>
      </c>
      <c r="P38" s="59" t="n">
        <f aca="false">IF(F38="","",ROUND(SQRT((F38*L38/100)^2+(G38*O38)^2),0))</f>
        <v>86</v>
      </c>
      <c r="R38" s="60" t="n">
        <v>10.468242565637</v>
      </c>
      <c r="S38" s="61" t="n">
        <f aca="false">U38*V38*$F$5</f>
        <v>2177.82706204834</v>
      </c>
      <c r="T38" s="62" t="n">
        <f aca="false">MAX(0,MIN(1,R38/100+$D$5))</f>
        <v>0.525381580466955</v>
      </c>
      <c r="U38" s="62" t="n">
        <v>0.525791178669325</v>
      </c>
      <c r="V38" s="61" t="n">
        <v>4142</v>
      </c>
      <c r="W38" s="62" t="n">
        <v>0.0606122259008943</v>
      </c>
      <c r="X38" s="63" t="s">
        <v>168</v>
      </c>
      <c r="Y38" s="63" t="s">
        <v>164</v>
      </c>
    </row>
    <row r="39" customFormat="false" ht="15" hidden="false" customHeight="false" outlineLevel="0" collapsed="false">
      <c r="A39" s="32" t="s">
        <v>189</v>
      </c>
      <c r="B39" s="32" t="s">
        <v>194</v>
      </c>
      <c r="C39" s="32" t="s">
        <v>161</v>
      </c>
      <c r="D39" s="59" t="n">
        <f aca="false">ROUND(S39*T39,0)</f>
        <v>616</v>
      </c>
      <c r="E39" s="59" t="n">
        <f aca="false">ROUND(S39,0)-D39</f>
        <v>654</v>
      </c>
      <c r="F39" s="59" t="n">
        <f aca="false">IF(COUNTA(D39:E39)=0,"",SUM(D39:E39))</f>
        <v>1270</v>
      </c>
      <c r="G39" s="40" t="n">
        <f aca="false">IF(OR(F39="",F39=0),"",D39/F39)</f>
        <v>0.48503937007874</v>
      </c>
      <c r="H39" s="40" t="n">
        <f aca="false">IF(OR(F39="",F39=0),"",E39/F39)</f>
        <v>0.51496062992126</v>
      </c>
      <c r="I39" s="32" t="s">
        <v>162</v>
      </c>
      <c r="J39" s="36" t="n">
        <v>1.97233065497388</v>
      </c>
      <c r="K39" s="36" t="n">
        <f aca="false">$K$8</f>
        <v>1.2747518664323</v>
      </c>
      <c r="L39" s="36" t="n">
        <f aca="false">SQRT(J39^2+K39^2)</f>
        <v>2.34842085953994</v>
      </c>
      <c r="M39" s="40" t="n">
        <f aca="false">IF(G39="","",MAX(0,G39-1.96*L39/100))</f>
        <v>0.439010321231757</v>
      </c>
      <c r="N39" s="40" t="n">
        <f aca="false">IF(G39="","",MIN(1,G39+1.96*L39/100))</f>
        <v>0.531068418925723</v>
      </c>
      <c r="O39" s="59" t="n">
        <f aca="false">ROUND(S39*W39,0)</f>
        <v>77</v>
      </c>
      <c r="P39" s="59" t="n">
        <f aca="false">IF(F39="","",ROUND(SQRT((F39*L39/100)^2+(G39*O39)^2),0))</f>
        <v>48</v>
      </c>
      <c r="R39" s="60" t="n">
        <v>6.39313399729219</v>
      </c>
      <c r="S39" s="61" t="n">
        <f aca="false">U39*V39*$F$5</f>
        <v>1270.44031093837</v>
      </c>
      <c r="T39" s="62" t="n">
        <f aca="false">MAX(0,MIN(1,R39/100+$D$5))</f>
        <v>0.484630494783506</v>
      </c>
      <c r="U39" s="62" t="n">
        <v>0.676846196557468</v>
      </c>
      <c r="V39" s="61" t="n">
        <v>1877</v>
      </c>
      <c r="W39" s="62" t="n">
        <v>0.0606122259008943</v>
      </c>
      <c r="X39" s="63" t="s">
        <v>168</v>
      </c>
      <c r="Y39" s="63" t="s">
        <v>164</v>
      </c>
    </row>
    <row r="40" customFormat="false" ht="15" hidden="false" customHeight="false" outlineLevel="0" collapsed="false">
      <c r="A40" s="32" t="s">
        <v>189</v>
      </c>
      <c r="B40" s="32" t="s">
        <v>195</v>
      </c>
      <c r="C40" s="32" t="s">
        <v>161</v>
      </c>
      <c r="D40" s="59" t="n">
        <f aca="false">ROUND(S40*T40,0)</f>
        <v>709</v>
      </c>
      <c r="E40" s="59" t="n">
        <f aca="false">ROUND(S40,0)-D40</f>
        <v>655</v>
      </c>
      <c r="F40" s="59" t="n">
        <f aca="false">IF(COUNTA(D40:E40)=0,"",SUM(D40:E40))</f>
        <v>1364</v>
      </c>
      <c r="G40" s="40" t="n">
        <f aca="false">IF(OR(F40="",F40=0),"",D40/F40)</f>
        <v>0.519794721407625</v>
      </c>
      <c r="H40" s="40" t="n">
        <f aca="false">IF(OR(F40="",F40=0),"",E40/F40)</f>
        <v>0.480205278592375</v>
      </c>
      <c r="I40" s="32" t="s">
        <v>162</v>
      </c>
      <c r="J40" s="36" t="n">
        <v>1.97233065497388</v>
      </c>
      <c r="K40" s="36" t="n">
        <f aca="false">$K$8</f>
        <v>1.2747518664323</v>
      </c>
      <c r="L40" s="36" t="n">
        <f aca="false">SQRT(J40^2+K40^2)</f>
        <v>2.34842085953994</v>
      </c>
      <c r="M40" s="40" t="n">
        <f aca="false">IF(G40="","",MAX(0,G40-1.96*L40/100))</f>
        <v>0.473765672560642</v>
      </c>
      <c r="N40" s="40" t="n">
        <f aca="false">IF(G40="","",MIN(1,G40+1.96*L40/100))</f>
        <v>0.565823770254607</v>
      </c>
      <c r="O40" s="59" t="n">
        <f aca="false">ROUND(S40*W40,0)</f>
        <v>83</v>
      </c>
      <c r="P40" s="59" t="n">
        <f aca="false">IF(F40="","",ROUND(SQRT((F40*L40/100)^2+(G40*O40)^2),0))</f>
        <v>54</v>
      </c>
      <c r="R40" s="60" t="n">
        <v>9.87989389675926</v>
      </c>
      <c r="S40" s="61" t="n">
        <f aca="false">U40*V40*$F$5</f>
        <v>1363.93435943866</v>
      </c>
      <c r="T40" s="62" t="n">
        <f aca="false">MAX(0,MIN(1,R40/100+$D$5))</f>
        <v>0.519498093778177</v>
      </c>
      <c r="U40" s="62" t="n">
        <v>0.587143503847895</v>
      </c>
      <c r="V40" s="61" t="n">
        <v>2323</v>
      </c>
      <c r="W40" s="62" t="n">
        <v>0.0606122259008943</v>
      </c>
      <c r="X40" s="63" t="s">
        <v>168</v>
      </c>
      <c r="Y40" s="63" t="s">
        <v>164</v>
      </c>
    </row>
    <row r="41" customFormat="false" ht="15" hidden="false" customHeight="false" outlineLevel="0" collapsed="false">
      <c r="A41" s="32" t="s">
        <v>189</v>
      </c>
      <c r="B41" s="32" t="s">
        <v>196</v>
      </c>
      <c r="C41" s="32" t="s">
        <v>161</v>
      </c>
      <c r="D41" s="59" t="n">
        <f aca="false">ROUND(S41*T41,0)</f>
        <v>2926</v>
      </c>
      <c r="E41" s="59" t="n">
        <f aca="false">ROUND(S41,0)-D41</f>
        <v>2462</v>
      </c>
      <c r="F41" s="59" t="n">
        <f aca="false">IF(COUNTA(D41:E41)=0,"",SUM(D41:E41))</f>
        <v>5388</v>
      </c>
      <c r="G41" s="40" t="n">
        <f aca="false">IF(OR(F41="",F41=0),"",D41/F41)</f>
        <v>0.543058648849295</v>
      </c>
      <c r="H41" s="40" t="n">
        <f aca="false">IF(OR(F41="",F41=0),"",E41/F41)</f>
        <v>0.456941351150705</v>
      </c>
      <c r="I41" s="32" t="s">
        <v>162</v>
      </c>
      <c r="J41" s="36" t="n">
        <v>1.66048092133492</v>
      </c>
      <c r="K41" s="36" t="n">
        <f aca="false">$K$8</f>
        <v>1.2747518664323</v>
      </c>
      <c r="L41" s="36" t="n">
        <f aca="false">SQRT(J41^2+K41^2)</f>
        <v>2.09336791106816</v>
      </c>
      <c r="M41" s="40" t="n">
        <f aca="false">IF(G41="","",MAX(0,G41-1.96*L41/100))</f>
        <v>0.502028637792359</v>
      </c>
      <c r="N41" s="40" t="n">
        <f aca="false">IF(G41="","",MIN(1,G41+1.96*L41/100))</f>
        <v>0.584088659906231</v>
      </c>
      <c r="O41" s="59" t="n">
        <f aca="false">ROUND(S41*W41,0)</f>
        <v>297</v>
      </c>
      <c r="P41" s="59" t="n">
        <f aca="false">IF(F41="","",ROUND(SQRT((F41*L41/100)^2+(G41*O41)^2),0))</f>
        <v>197</v>
      </c>
      <c r="R41" s="60" t="n">
        <v>12.236722091082</v>
      </c>
      <c r="S41" s="61" t="n">
        <f aca="false">U41*V41*$F$5</f>
        <v>5388.18679314119</v>
      </c>
      <c r="T41" s="62" t="n">
        <f aca="false">MAX(0,MIN(1,R41/100+$D$5))</f>
        <v>0.543066375721404</v>
      </c>
      <c r="U41" s="62" t="n">
        <v>0.618265839717865</v>
      </c>
      <c r="V41" s="61" t="n">
        <v>8715</v>
      </c>
      <c r="W41" s="62" t="n">
        <v>0.0551273752894184</v>
      </c>
      <c r="X41" s="63" t="s">
        <v>184</v>
      </c>
      <c r="Y41" s="63" t="s">
        <v>164</v>
      </c>
    </row>
    <row r="42" customFormat="false" ht="15" hidden="false" customHeight="false" outlineLevel="0" collapsed="false">
      <c r="A42" s="32" t="s">
        <v>189</v>
      </c>
      <c r="B42" s="32" t="s">
        <v>197</v>
      </c>
      <c r="C42" s="32" t="s">
        <v>161</v>
      </c>
      <c r="D42" s="59" t="n">
        <f aca="false">ROUND(S42*T42,0)</f>
        <v>1082</v>
      </c>
      <c r="E42" s="59" t="n">
        <f aca="false">ROUND(S42,0)-D42</f>
        <v>523</v>
      </c>
      <c r="F42" s="59" t="n">
        <f aca="false">IF(COUNTA(D42:E42)=0,"",SUM(D42:E42))</f>
        <v>1605</v>
      </c>
      <c r="G42" s="40" t="n">
        <f aca="false">IF(OR(F42="",F42=0),"",D42/F42)</f>
        <v>0.674143302180685</v>
      </c>
      <c r="H42" s="40" t="n">
        <f aca="false">IF(OR(F42="",F42=0),"",E42/F42)</f>
        <v>0.325856697819315</v>
      </c>
      <c r="I42" s="32" t="s">
        <v>162</v>
      </c>
      <c r="J42" s="36" t="n">
        <v>1.97233065497388</v>
      </c>
      <c r="K42" s="36" t="n">
        <f aca="false">$K$8</f>
        <v>1.2747518664323</v>
      </c>
      <c r="L42" s="36" t="n">
        <f aca="false">SQRT(J42^2+K42^2)</f>
        <v>2.34842085953994</v>
      </c>
      <c r="M42" s="40" t="n">
        <f aca="false">IF(G42="","",MAX(0,G42-1.96*L42/100))</f>
        <v>0.628114253333703</v>
      </c>
      <c r="N42" s="40" t="n">
        <f aca="false">IF(G42="","",MIN(1,G42+1.96*L42/100))</f>
        <v>0.720172351027668</v>
      </c>
      <c r="O42" s="59" t="n">
        <f aca="false">ROUND(S42*W42,0)</f>
        <v>97</v>
      </c>
      <c r="P42" s="59" t="n">
        <f aca="false">IF(F42="","",ROUND(SQRT((F42*L42/100)^2+(G42*O42)^2),0))</f>
        <v>75</v>
      </c>
      <c r="R42" s="60" t="n">
        <v>25.3258552625878</v>
      </c>
      <c r="S42" s="61" t="n">
        <f aca="false">U42*V42*$F$5</f>
        <v>1605.4392182842</v>
      </c>
      <c r="T42" s="62" t="n">
        <f aca="false">MAX(0,MIN(1,R42/100+$D$5))</f>
        <v>0.673957707436463</v>
      </c>
      <c r="U42" s="62" t="n">
        <v>0.513083802583637</v>
      </c>
      <c r="V42" s="61" t="n">
        <v>3129</v>
      </c>
      <c r="W42" s="62" t="n">
        <v>0.0606122259008943</v>
      </c>
      <c r="X42" s="63" t="s">
        <v>168</v>
      </c>
      <c r="Y42" s="63" t="s">
        <v>164</v>
      </c>
    </row>
    <row r="43" customFormat="false" ht="15" hidden="false" customHeight="false" outlineLevel="0" collapsed="false">
      <c r="A43" s="32" t="s">
        <v>189</v>
      </c>
      <c r="B43" s="32" t="s">
        <v>198</v>
      </c>
      <c r="C43" s="32" t="s">
        <v>161</v>
      </c>
      <c r="D43" s="59" t="n">
        <f aca="false">ROUND(S43*T43,0)</f>
        <v>264</v>
      </c>
      <c r="E43" s="59" t="n">
        <f aca="false">ROUND(S43,0)-D43</f>
        <v>220</v>
      </c>
      <c r="F43" s="59" t="n">
        <f aca="false">IF(COUNTA(D43:E43)=0,"",SUM(D43:E43))</f>
        <v>484</v>
      </c>
      <c r="G43" s="40" t="n">
        <f aca="false">IF(OR(F43="",F43=0),"",D43/F43)</f>
        <v>0.545454545454545</v>
      </c>
      <c r="H43" s="40" t="n">
        <f aca="false">IF(OR(F43="",F43=0),"",E43/F43)</f>
        <v>0.454545454545455</v>
      </c>
      <c r="I43" s="32" t="s">
        <v>162</v>
      </c>
      <c r="J43" s="36" t="n">
        <v>3.01261974295132</v>
      </c>
      <c r="K43" s="36" t="n">
        <f aca="false">$K$8</f>
        <v>1.2747518664323</v>
      </c>
      <c r="L43" s="36" t="n">
        <f aca="false">SQRT(J43^2+K43^2)</f>
        <v>3.27121843302961</v>
      </c>
      <c r="M43" s="40" t="n">
        <f aca="false">IF(G43="","",MAX(0,G43-1.96*L43/100))</f>
        <v>0.481338664167165</v>
      </c>
      <c r="N43" s="40" t="n">
        <f aca="false">IF(G43="","",MIN(1,G43+1.96*L43/100))</f>
        <v>0.609570426741926</v>
      </c>
      <c r="O43" s="59" t="n">
        <f aca="false">ROUND(S43*W43,0)</f>
        <v>38</v>
      </c>
      <c r="P43" s="59" t="n">
        <f aca="false">IF(F43="","",ROUND(SQRT((F43*L43/100)^2+(G43*O43)^2),0))</f>
        <v>26</v>
      </c>
      <c r="R43" s="60" t="n">
        <v>12.4166360177587</v>
      </c>
      <c r="S43" s="61" t="n">
        <f aca="false">U43*V43*$F$5</f>
        <v>483.913480885312</v>
      </c>
      <c r="T43" s="62" t="n">
        <f aca="false">MAX(0,MIN(1,R43/100+$D$5))</f>
        <v>0.544865514988171</v>
      </c>
      <c r="U43" s="62" t="n">
        <v>0.469818913480885</v>
      </c>
      <c r="V43" s="61" t="n">
        <v>1030</v>
      </c>
      <c r="W43" s="62" t="n">
        <v>0.0777040344688333</v>
      </c>
      <c r="X43" s="63" t="s">
        <v>163</v>
      </c>
      <c r="Y43" s="63" t="s">
        <v>164</v>
      </c>
    </row>
    <row r="44" customFormat="false" ht="15" hidden="false" customHeight="false" outlineLevel="0" collapsed="false">
      <c r="A44" s="32" t="s">
        <v>189</v>
      </c>
      <c r="B44" s="32" t="s">
        <v>199</v>
      </c>
      <c r="C44" s="32" t="s">
        <v>161</v>
      </c>
      <c r="D44" s="59" t="n">
        <f aca="false">ROUND(S44*T44,0)</f>
        <v>521</v>
      </c>
      <c r="E44" s="59" t="n">
        <f aca="false">ROUND(S44,0)-D44</f>
        <v>1136</v>
      </c>
      <c r="F44" s="59" t="n">
        <f aca="false">IF(COUNTA(D44:E44)=0,"",SUM(D44:E44))</f>
        <v>1657</v>
      </c>
      <c r="G44" s="40" t="n">
        <f aca="false">IF(OR(F44="",F44=0),"",D44/F44)</f>
        <v>0.314423657211829</v>
      </c>
      <c r="H44" s="40" t="n">
        <f aca="false">IF(OR(F44="",F44=0),"",E44/F44)</f>
        <v>0.685576342788171</v>
      </c>
      <c r="I44" s="32" t="s">
        <v>162</v>
      </c>
      <c r="J44" s="36" t="n">
        <v>1.97233065497388</v>
      </c>
      <c r="K44" s="36" t="n">
        <f aca="false">$K$8</f>
        <v>1.2747518664323</v>
      </c>
      <c r="L44" s="36" t="n">
        <f aca="false">SQRT(J44^2+K44^2)</f>
        <v>2.34842085953994</v>
      </c>
      <c r="M44" s="40" t="n">
        <f aca="false">IF(G44="","",MAX(0,G44-1.96*L44/100))</f>
        <v>0.268394608364846</v>
      </c>
      <c r="N44" s="40" t="n">
        <f aca="false">IF(G44="","",MIN(1,G44+1.96*L44/100))</f>
        <v>0.360452706058811</v>
      </c>
      <c r="O44" s="59" t="n">
        <f aca="false">ROUND(S44*W44,0)</f>
        <v>100</v>
      </c>
      <c r="P44" s="59" t="n">
        <f aca="false">IF(F44="","",ROUND(SQRT((F44*L44/100)^2+(G44*O44)^2),0))</f>
        <v>50</v>
      </c>
      <c r="R44" s="60" t="n">
        <v>-10.6438700336378</v>
      </c>
      <c r="S44" s="61" t="n">
        <f aca="false">U44*V44*$F$5</f>
        <v>1656.73758865248</v>
      </c>
      <c r="T44" s="62" t="n">
        <f aca="false">MAX(0,MIN(1,R44/100+$D$5))</f>
        <v>0.314260454474206</v>
      </c>
      <c r="U44" s="62" t="n">
        <v>0.66750104297038</v>
      </c>
      <c r="V44" s="61" t="n">
        <v>2482</v>
      </c>
      <c r="W44" s="62" t="n">
        <v>0.0606122259008943</v>
      </c>
      <c r="X44" s="63" t="s">
        <v>168</v>
      </c>
      <c r="Y44" s="63" t="s">
        <v>164</v>
      </c>
    </row>
    <row r="45" customFormat="false" ht="15" hidden="false" customHeight="false" outlineLevel="0" collapsed="false">
      <c r="A45" s="32" t="s">
        <v>189</v>
      </c>
      <c r="B45" s="32" t="s">
        <v>200</v>
      </c>
      <c r="C45" s="32" t="s">
        <v>161</v>
      </c>
      <c r="D45" s="59" t="n">
        <f aca="false">ROUND(S45*T45,0)</f>
        <v>8299</v>
      </c>
      <c r="E45" s="59" t="n">
        <f aca="false">ROUND(S45,0)-D45</f>
        <v>8036</v>
      </c>
      <c r="F45" s="59" t="n">
        <f aca="false">IF(COUNTA(D45:E45)=0,"",SUM(D45:E45))</f>
        <v>16335</v>
      </c>
      <c r="G45" s="40" t="n">
        <f aca="false">IF(OR(F45="",F45=0),"",D45/F45)</f>
        <v>0.50805019895929</v>
      </c>
      <c r="H45" s="40" t="n">
        <f aca="false">IF(OR(F45="",F45=0),"",E45/F45)</f>
        <v>0.49194980104071</v>
      </c>
      <c r="I45" s="32" t="s">
        <v>162</v>
      </c>
      <c r="J45" s="36" t="n">
        <v>1.66048092133492</v>
      </c>
      <c r="K45" s="36" t="n">
        <f aca="false">$K$8</f>
        <v>1.2747518664323</v>
      </c>
      <c r="L45" s="36" t="n">
        <f aca="false">SQRT(J45^2+K45^2)</f>
        <v>2.09336791106816</v>
      </c>
      <c r="M45" s="40" t="n">
        <f aca="false">IF(G45="","",MAX(0,G45-1.96*L45/100))</f>
        <v>0.467020187902354</v>
      </c>
      <c r="N45" s="40" t="n">
        <f aca="false">IF(G45="","",MIN(1,G45+1.96*L45/100))</f>
        <v>0.549080210016226</v>
      </c>
      <c r="O45" s="59" t="n">
        <f aca="false">ROUND(S45*W45,0)</f>
        <v>900</v>
      </c>
      <c r="P45" s="59" t="n">
        <f aca="false">IF(F45="","",ROUND(SQRT((F45*L45/100)^2+(G45*O45)^2),0))</f>
        <v>571</v>
      </c>
      <c r="R45" s="60" t="n">
        <v>8.73463020146038</v>
      </c>
      <c r="S45" s="61" t="n">
        <f aca="false">U45*V45*$F$5</f>
        <v>16334.7109624891</v>
      </c>
      <c r="T45" s="62" t="n">
        <f aca="false">MAX(0,MIN(1,R45/100+$D$5))</f>
        <v>0.508045456825188</v>
      </c>
      <c r="U45" s="62" t="n">
        <v>0.662692643210236</v>
      </c>
      <c r="V45" s="61" t="n">
        <v>24649</v>
      </c>
      <c r="W45" s="62" t="n">
        <v>0.0551273752894184</v>
      </c>
      <c r="X45" s="63" t="s">
        <v>184</v>
      </c>
      <c r="Y45" s="63" t="s">
        <v>164</v>
      </c>
    </row>
    <row r="46" customFormat="false" ht="15" hidden="false" customHeight="false" outlineLevel="0" collapsed="false">
      <c r="A46" s="32" t="s">
        <v>189</v>
      </c>
      <c r="B46" s="32" t="s">
        <v>201</v>
      </c>
      <c r="C46" s="32" t="s">
        <v>161</v>
      </c>
      <c r="D46" s="59" t="n">
        <f aca="false">ROUND(S46*T46,0)</f>
        <v>825</v>
      </c>
      <c r="E46" s="59" t="n">
        <f aca="false">ROUND(S46,0)-D46</f>
        <v>1379</v>
      </c>
      <c r="F46" s="59" t="n">
        <f aca="false">IF(COUNTA(D46:E46)=0,"",SUM(D46:E46))</f>
        <v>2204</v>
      </c>
      <c r="G46" s="40" t="n">
        <f aca="false">IF(OR(F46="",F46=0),"",D46/F46)</f>
        <v>0.37431941923775</v>
      </c>
      <c r="H46" s="40" t="n">
        <f aca="false">IF(OR(F46="",F46=0),"",E46/F46)</f>
        <v>0.62568058076225</v>
      </c>
      <c r="I46" s="32" t="s">
        <v>162</v>
      </c>
      <c r="J46" s="36" t="n">
        <v>1.97233065497388</v>
      </c>
      <c r="K46" s="36" t="n">
        <f aca="false">$K$8</f>
        <v>1.2747518664323</v>
      </c>
      <c r="L46" s="36" t="n">
        <f aca="false">SQRT(J46^2+K46^2)</f>
        <v>2.34842085953994</v>
      </c>
      <c r="M46" s="40" t="n">
        <f aca="false">IF(G46="","",MAX(0,G46-1.96*L46/100))</f>
        <v>0.328290370390767</v>
      </c>
      <c r="N46" s="40" t="n">
        <f aca="false">IF(G46="","",MIN(1,G46+1.96*L46/100))</f>
        <v>0.420348468084732</v>
      </c>
      <c r="O46" s="59" t="n">
        <f aca="false">ROUND(S46*W46,0)</f>
        <v>134</v>
      </c>
      <c r="P46" s="59" t="n">
        <f aca="false">IF(F46="","",ROUND(SQRT((F46*L46/100)^2+(G46*O46)^2),0))</f>
        <v>72</v>
      </c>
      <c r="R46" s="60" t="n">
        <v>-4.65992738542736</v>
      </c>
      <c r="S46" s="61" t="n">
        <f aca="false">U46*V46*$F$5</f>
        <v>2204.10505319149</v>
      </c>
      <c r="T46" s="62" t="n">
        <f aca="false">MAX(0,MIN(1,R46/100+$D$5))</f>
        <v>0.374099880956311</v>
      </c>
      <c r="U46" s="62" t="n">
        <v>0.718417553191489</v>
      </c>
      <c r="V46" s="61" t="n">
        <v>3068</v>
      </c>
      <c r="W46" s="62" t="n">
        <v>0.0606122259008943</v>
      </c>
      <c r="X46" s="63" t="s">
        <v>168</v>
      </c>
      <c r="Y46" s="63" t="s">
        <v>164</v>
      </c>
    </row>
    <row r="47" customFormat="false" ht="15" hidden="false" customHeight="false" outlineLevel="0" collapsed="false">
      <c r="A47" s="32" t="s">
        <v>189</v>
      </c>
      <c r="B47" s="32" t="s">
        <v>202</v>
      </c>
      <c r="C47" s="32" t="s">
        <v>161</v>
      </c>
      <c r="D47" s="59" t="n">
        <f aca="false">ROUND(S47*T47,0)</f>
        <v>439</v>
      </c>
      <c r="E47" s="59" t="n">
        <f aca="false">ROUND(S47,0)-D47</f>
        <v>798</v>
      </c>
      <c r="F47" s="59" t="n">
        <f aca="false">IF(COUNTA(D47:E47)=0,"",SUM(D47:E47))</f>
        <v>1237</v>
      </c>
      <c r="G47" s="40" t="n">
        <f aca="false">IF(OR(F47="",F47=0),"",D47/F47)</f>
        <v>0.354890864995958</v>
      </c>
      <c r="H47" s="40" t="n">
        <f aca="false">IF(OR(F47="",F47=0),"",E47/F47)</f>
        <v>0.645109135004042</v>
      </c>
      <c r="I47" s="32" t="s">
        <v>162</v>
      </c>
      <c r="J47" s="36" t="n">
        <v>3.01261974295132</v>
      </c>
      <c r="K47" s="36" t="n">
        <f aca="false">$K$8</f>
        <v>1.2747518664323</v>
      </c>
      <c r="L47" s="36" t="n">
        <f aca="false">SQRT(J47^2+K47^2)</f>
        <v>3.27121843302961</v>
      </c>
      <c r="M47" s="40" t="n">
        <f aca="false">IF(G47="","",MAX(0,G47-1.96*L47/100))</f>
        <v>0.290774983708578</v>
      </c>
      <c r="N47" s="40" t="n">
        <f aca="false">IF(G47="","",MIN(1,G47+1.96*L47/100))</f>
        <v>0.419006746283338</v>
      </c>
      <c r="O47" s="59" t="n">
        <f aca="false">ROUND(S47*W47,0)</f>
        <v>96</v>
      </c>
      <c r="P47" s="59" t="n">
        <f aca="false">IF(F47="","",ROUND(SQRT((F47*L47/100)^2+(G47*O47)^2),0))</f>
        <v>53</v>
      </c>
      <c r="R47" s="60" t="n">
        <v>-6.55537741913833</v>
      </c>
      <c r="S47" s="61" t="n">
        <f aca="false">U47*V47*$F$5</f>
        <v>1236.97340124505</v>
      </c>
      <c r="T47" s="62" t="n">
        <f aca="false">MAX(0,MIN(1,R47/100+$D$5))</f>
        <v>0.355145380619201</v>
      </c>
      <c r="U47" s="62" t="n">
        <v>0.688737973967176</v>
      </c>
      <c r="V47" s="61" t="n">
        <v>1796</v>
      </c>
      <c r="W47" s="62" t="n">
        <v>0.0777040344688333</v>
      </c>
      <c r="X47" s="63" t="s">
        <v>163</v>
      </c>
      <c r="Y47" s="63" t="s">
        <v>164</v>
      </c>
    </row>
    <row r="48" customFormat="false" ht="15" hidden="false" customHeight="false" outlineLevel="0" collapsed="false">
      <c r="A48" s="32" t="s">
        <v>189</v>
      </c>
      <c r="B48" s="32" t="s">
        <v>203</v>
      </c>
      <c r="C48" s="32" t="s">
        <v>161</v>
      </c>
      <c r="D48" s="59" t="n">
        <f aca="false">ROUND(S48*T48,0)</f>
        <v>680</v>
      </c>
      <c r="E48" s="59" t="n">
        <f aca="false">ROUND(S48,0)-D48</f>
        <v>1512</v>
      </c>
      <c r="F48" s="59" t="n">
        <f aca="false">IF(COUNTA(D48:E48)=0,"",SUM(D48:E48))</f>
        <v>2192</v>
      </c>
      <c r="G48" s="40" t="n">
        <f aca="false">IF(OR(F48="",F48=0),"",D48/F48)</f>
        <v>0.31021897810219</v>
      </c>
      <c r="H48" s="40" t="n">
        <f aca="false">IF(OR(F48="",F48=0),"",E48/F48)</f>
        <v>0.68978102189781</v>
      </c>
      <c r="I48" s="32" t="s">
        <v>162</v>
      </c>
      <c r="J48" s="36" t="n">
        <v>1.97233065497388</v>
      </c>
      <c r="K48" s="36" t="n">
        <f aca="false">$K$8</f>
        <v>1.2747518664323</v>
      </c>
      <c r="L48" s="36" t="n">
        <f aca="false">SQRT(J48^2+K48^2)</f>
        <v>2.34842085953994</v>
      </c>
      <c r="M48" s="40" t="n">
        <f aca="false">IF(G48="","",MAX(0,G48-1.96*L48/100))</f>
        <v>0.264189929255207</v>
      </c>
      <c r="N48" s="40" t="n">
        <f aca="false">IF(G48="","",MIN(1,G48+1.96*L48/100))</f>
        <v>0.356248026949173</v>
      </c>
      <c r="O48" s="59" t="n">
        <f aca="false">ROUND(S48*W48,0)</f>
        <v>133</v>
      </c>
      <c r="P48" s="59" t="n">
        <f aca="false">IF(F48="","",ROUND(SQRT((F48*L48/100)^2+(G48*O48)^2),0))</f>
        <v>66</v>
      </c>
      <c r="R48" s="60" t="n">
        <v>-11.0560073265366</v>
      </c>
      <c r="S48" s="61" t="n">
        <f aca="false">U48*V48*$F$5</f>
        <v>2191.88036117382</v>
      </c>
      <c r="T48" s="62" t="n">
        <f aca="false">MAX(0,MIN(1,R48/100+$D$5))</f>
        <v>0.310139081545218</v>
      </c>
      <c r="U48" s="62" t="n">
        <v>0.694292163818123</v>
      </c>
      <c r="V48" s="61" t="n">
        <v>3157</v>
      </c>
      <c r="W48" s="62" t="n">
        <v>0.0606122259008943</v>
      </c>
      <c r="X48" s="63" t="s">
        <v>168</v>
      </c>
      <c r="Y48" s="63" t="s">
        <v>164</v>
      </c>
    </row>
    <row r="49" customFormat="false" ht="15" hidden="false" customHeight="false" outlineLevel="0" collapsed="false">
      <c r="A49" s="32" t="s">
        <v>189</v>
      </c>
      <c r="B49" s="32" t="s">
        <v>204</v>
      </c>
      <c r="C49" s="32" t="s">
        <v>161</v>
      </c>
      <c r="D49" s="59" t="n">
        <f aca="false">ROUND(S49*T49,0)</f>
        <v>813</v>
      </c>
      <c r="E49" s="59" t="n">
        <f aca="false">ROUND(S49,0)-D49</f>
        <v>700</v>
      </c>
      <c r="F49" s="59" t="n">
        <f aca="false">IF(COUNTA(D49:E49)=0,"",SUM(D49:E49))</f>
        <v>1513</v>
      </c>
      <c r="G49" s="40" t="n">
        <f aca="false">IF(OR(F49="",F49=0),"",D49/F49)</f>
        <v>0.53734302709848</v>
      </c>
      <c r="H49" s="40" t="n">
        <f aca="false">IF(OR(F49="",F49=0),"",E49/F49)</f>
        <v>0.46265697290152</v>
      </c>
      <c r="I49" s="32" t="s">
        <v>162</v>
      </c>
      <c r="J49" s="36" t="n">
        <v>1.97233065497388</v>
      </c>
      <c r="K49" s="36" t="n">
        <f aca="false">$K$8</f>
        <v>1.2747518664323</v>
      </c>
      <c r="L49" s="36" t="n">
        <f aca="false">SQRT(J49^2+K49^2)</f>
        <v>2.34842085953994</v>
      </c>
      <c r="M49" s="40" t="n">
        <f aca="false">IF(G49="","",MAX(0,G49-1.96*L49/100))</f>
        <v>0.491313978251497</v>
      </c>
      <c r="N49" s="40" t="n">
        <f aca="false">IF(G49="","",MIN(1,G49+1.96*L49/100))</f>
        <v>0.583372075945463</v>
      </c>
      <c r="O49" s="59" t="n">
        <f aca="false">ROUND(S49*W49,0)</f>
        <v>92</v>
      </c>
      <c r="P49" s="59" t="n">
        <f aca="false">IF(F49="","",ROUND(SQRT((F49*L49/100)^2+(G49*O49)^2),0))</f>
        <v>61</v>
      </c>
      <c r="R49" s="60" t="n">
        <v>11.6838063019047</v>
      </c>
      <c r="S49" s="61" t="n">
        <f aca="false">U49*V49*$F$5</f>
        <v>1512.74151436031</v>
      </c>
      <c r="T49" s="62" t="n">
        <f aca="false">MAX(0,MIN(1,R49/100+$D$5))</f>
        <v>0.537537217829631</v>
      </c>
      <c r="U49" s="62" t="n">
        <v>0.616187989556136</v>
      </c>
      <c r="V49" s="61" t="n">
        <v>2455</v>
      </c>
      <c r="W49" s="62" t="n">
        <v>0.0606122259008943</v>
      </c>
      <c r="X49" s="63" t="s">
        <v>168</v>
      </c>
      <c r="Y49" s="63" t="s">
        <v>164</v>
      </c>
    </row>
    <row r="50" customFormat="false" ht="15" hidden="false" customHeight="false" outlineLevel="0" collapsed="false">
      <c r="A50" s="32" t="s">
        <v>189</v>
      </c>
      <c r="B50" s="32" t="s">
        <v>205</v>
      </c>
      <c r="C50" s="32" t="s">
        <v>161</v>
      </c>
      <c r="D50" s="59" t="n">
        <f aca="false">ROUND(S50*T50,0)</f>
        <v>3304</v>
      </c>
      <c r="E50" s="59" t="n">
        <f aca="false">ROUND(S50,0)-D50</f>
        <v>4593</v>
      </c>
      <c r="F50" s="59" t="n">
        <f aca="false">IF(COUNTA(D50:E50)=0,"",SUM(D50:E50))</f>
        <v>7897</v>
      </c>
      <c r="G50" s="40" t="n">
        <f aca="false">IF(OR(F50="",F50=0),"",D50/F50)</f>
        <v>0.418386729137647</v>
      </c>
      <c r="H50" s="40" t="n">
        <f aca="false">IF(OR(F50="",F50=0),"",E50/F50)</f>
        <v>0.581613270862353</v>
      </c>
      <c r="I50" s="32" t="s">
        <v>162</v>
      </c>
      <c r="J50" s="36" t="n">
        <v>1.66048092133492</v>
      </c>
      <c r="K50" s="36" t="n">
        <f aca="false">$K$8</f>
        <v>1.2747518664323</v>
      </c>
      <c r="L50" s="36" t="n">
        <f aca="false">SQRT(J50^2+K50^2)</f>
        <v>2.09336791106816</v>
      </c>
      <c r="M50" s="40" t="n">
        <f aca="false">IF(G50="","",MAX(0,G50-1.96*L50/100))</f>
        <v>0.377356718080711</v>
      </c>
      <c r="N50" s="40" t="n">
        <f aca="false">IF(G50="","",MIN(1,G50+1.96*L50/100))</f>
        <v>0.459416740194583</v>
      </c>
      <c r="O50" s="59" t="n">
        <f aca="false">ROUND(S50*W50,0)</f>
        <v>435</v>
      </c>
      <c r="P50" s="59" t="n">
        <f aca="false">IF(F50="","",ROUND(SQRT((F50*L50/100)^2+(G50*O50)^2),0))</f>
        <v>246</v>
      </c>
      <c r="R50" s="60" t="n">
        <v>-0.225735611657242</v>
      </c>
      <c r="S50" s="61" t="n">
        <f aca="false">U50*V50*$F$5</f>
        <v>7896.5113304721</v>
      </c>
      <c r="T50" s="62" t="n">
        <f aca="false">MAX(0,MIN(1,R50/100+$D$5))</f>
        <v>0.418441798694012</v>
      </c>
      <c r="U50" s="62" t="n">
        <v>0.662403433476395</v>
      </c>
      <c r="V50" s="61" t="n">
        <v>11921</v>
      </c>
      <c r="W50" s="62" t="n">
        <v>0.0551273752894184</v>
      </c>
      <c r="X50" s="63" t="s">
        <v>184</v>
      </c>
      <c r="Y50" s="63" t="s">
        <v>164</v>
      </c>
    </row>
    <row r="51" customFormat="false" ht="15" hidden="false" customHeight="false" outlineLevel="0" collapsed="false">
      <c r="A51" s="32" t="s">
        <v>189</v>
      </c>
      <c r="B51" s="32" t="s">
        <v>206</v>
      </c>
      <c r="C51" s="32" t="s">
        <v>161</v>
      </c>
      <c r="D51" s="59" t="n">
        <f aca="false">ROUND(S51*T51,0)</f>
        <v>3245</v>
      </c>
      <c r="E51" s="59" t="n">
        <f aca="false">ROUND(S51,0)-D51</f>
        <v>3185</v>
      </c>
      <c r="F51" s="59" t="n">
        <f aca="false">IF(COUNTA(D51:E51)=0,"",SUM(D51:E51))</f>
        <v>6430</v>
      </c>
      <c r="G51" s="40" t="n">
        <f aca="false">IF(OR(F51="",F51=0),"",D51/F51)</f>
        <v>0.504665629860031</v>
      </c>
      <c r="H51" s="40" t="n">
        <f aca="false">IF(OR(F51="",F51=0),"",E51/F51)</f>
        <v>0.495334370139969</v>
      </c>
      <c r="I51" s="32" t="s">
        <v>162</v>
      </c>
      <c r="J51" s="36" t="n">
        <v>1.66048092133492</v>
      </c>
      <c r="K51" s="36" t="n">
        <f aca="false">$K$8</f>
        <v>1.2747518664323</v>
      </c>
      <c r="L51" s="36" t="n">
        <f aca="false">SQRT(J51^2+K51^2)</f>
        <v>2.09336791106816</v>
      </c>
      <c r="M51" s="40" t="n">
        <f aca="false">IF(G51="","",MAX(0,G51-1.96*L51/100))</f>
        <v>0.463635618803095</v>
      </c>
      <c r="N51" s="40" t="n">
        <f aca="false">IF(G51="","",MIN(1,G51+1.96*L51/100))</f>
        <v>0.545695640916967</v>
      </c>
      <c r="O51" s="59" t="n">
        <f aca="false">ROUND(S51*W51,0)</f>
        <v>354</v>
      </c>
      <c r="P51" s="59" t="n">
        <f aca="false">IF(F51="","",ROUND(SQRT((F51*L51/100)^2+(G51*O51)^2),0))</f>
        <v>224</v>
      </c>
      <c r="R51" s="60" t="n">
        <v>8.39695048026067</v>
      </c>
      <c r="S51" s="61" t="n">
        <f aca="false">U51*V51*$F$5</f>
        <v>6429.9709076009</v>
      </c>
      <c r="T51" s="62" t="n">
        <f aca="false">MAX(0,MIN(1,R51/100+$D$5))</f>
        <v>0.504668659613191</v>
      </c>
      <c r="U51" s="62" t="n">
        <v>0.652325343167384</v>
      </c>
      <c r="V51" s="61" t="n">
        <v>9857</v>
      </c>
      <c r="W51" s="62" t="n">
        <v>0.0551273752894184</v>
      </c>
      <c r="X51" s="63" t="s">
        <v>184</v>
      </c>
      <c r="Y51" s="63" t="s">
        <v>164</v>
      </c>
    </row>
    <row r="52" customFormat="false" ht="15" hidden="false" customHeight="false" outlineLevel="0" collapsed="false">
      <c r="A52" s="32" t="s">
        <v>189</v>
      </c>
      <c r="B52" s="32" t="s">
        <v>207</v>
      </c>
      <c r="C52" s="32" t="s">
        <v>161</v>
      </c>
      <c r="D52" s="59" t="n">
        <f aca="false">ROUND(S52*T52,0)</f>
        <v>591</v>
      </c>
      <c r="E52" s="59" t="n">
        <f aca="false">ROUND(S52,0)-D52</f>
        <v>799</v>
      </c>
      <c r="F52" s="59" t="n">
        <f aca="false">IF(COUNTA(D52:E52)=0,"",SUM(D52:E52))</f>
        <v>1390</v>
      </c>
      <c r="G52" s="40" t="n">
        <f aca="false">IF(OR(F52="",F52=0),"",D52/F52)</f>
        <v>0.425179856115108</v>
      </c>
      <c r="H52" s="40" t="n">
        <f aca="false">IF(OR(F52="",F52=0),"",E52/F52)</f>
        <v>0.574820143884892</v>
      </c>
      <c r="I52" s="32" t="s">
        <v>162</v>
      </c>
      <c r="J52" s="36" t="n">
        <v>1.97233065497388</v>
      </c>
      <c r="K52" s="36" t="n">
        <f aca="false">$K$8</f>
        <v>1.2747518664323</v>
      </c>
      <c r="L52" s="36" t="n">
        <f aca="false">SQRT(J52^2+K52^2)</f>
        <v>2.34842085953994</v>
      </c>
      <c r="M52" s="40" t="n">
        <f aca="false">IF(G52="","",MAX(0,G52-1.96*L52/100))</f>
        <v>0.379150807268125</v>
      </c>
      <c r="N52" s="40" t="n">
        <f aca="false">IF(G52="","",MIN(1,G52+1.96*L52/100))</f>
        <v>0.471208904962091</v>
      </c>
      <c r="O52" s="59" t="n">
        <f aca="false">ROUND(S52*W52,0)</f>
        <v>84</v>
      </c>
      <c r="P52" s="59" t="n">
        <f aca="false">IF(F52="","",ROUND(SQRT((F52*L52/100)^2+(G52*O52)^2),0))</f>
        <v>48</v>
      </c>
      <c r="R52" s="60" t="n">
        <v>0.433582894761497</v>
      </c>
      <c r="S52" s="61" t="n">
        <f aca="false">U52*V52*$F$5</f>
        <v>1390.15942028986</v>
      </c>
      <c r="T52" s="62" t="n">
        <f aca="false">MAX(0,MIN(1,R52/100+$D$5))</f>
        <v>0.425034983758199</v>
      </c>
      <c r="U52" s="62" t="n">
        <v>0.529181355268312</v>
      </c>
      <c r="V52" s="61" t="n">
        <v>2627</v>
      </c>
      <c r="W52" s="62" t="n">
        <v>0.0606122259008943</v>
      </c>
      <c r="X52" s="63" t="s">
        <v>168</v>
      </c>
      <c r="Y52" s="63" t="s">
        <v>164</v>
      </c>
    </row>
    <row r="53" customFormat="false" ht="15" hidden="false" customHeight="false" outlineLevel="0" collapsed="false">
      <c r="A53" s="32" t="s">
        <v>189</v>
      </c>
      <c r="B53" s="32" t="s">
        <v>208</v>
      </c>
      <c r="C53" s="32" t="s">
        <v>161</v>
      </c>
      <c r="D53" s="59" t="n">
        <f aca="false">ROUND(S53*T53,0)</f>
        <v>5680</v>
      </c>
      <c r="E53" s="59" t="n">
        <f aca="false">ROUND(S53,0)-D53</f>
        <v>4806</v>
      </c>
      <c r="F53" s="59" t="n">
        <f aca="false">IF(COUNTA(D53:E53)=0,"",SUM(D53:E53))</f>
        <v>10486</v>
      </c>
      <c r="G53" s="40" t="n">
        <f aca="false">IF(OR(F53="",F53=0),"",D53/F53)</f>
        <v>0.541674613770742</v>
      </c>
      <c r="H53" s="40" t="n">
        <f aca="false">IF(OR(F53="",F53=0),"",E53/F53)</f>
        <v>0.458325386229258</v>
      </c>
      <c r="I53" s="32" t="s">
        <v>162</v>
      </c>
      <c r="J53" s="36" t="n">
        <v>1.66048092133492</v>
      </c>
      <c r="K53" s="36" t="n">
        <f aca="false">$K$8</f>
        <v>1.2747518664323</v>
      </c>
      <c r="L53" s="36" t="n">
        <f aca="false">SQRT(J53^2+K53^2)</f>
        <v>2.09336791106816</v>
      </c>
      <c r="M53" s="40" t="n">
        <f aca="false">IF(G53="","",MAX(0,G53-1.96*L53/100))</f>
        <v>0.500644602713806</v>
      </c>
      <c r="N53" s="40" t="n">
        <f aca="false">IF(G53="","",MIN(1,G53+1.96*L53/100))</f>
        <v>0.582704624827678</v>
      </c>
      <c r="O53" s="59" t="n">
        <f aca="false">ROUND(S53*W53,0)</f>
        <v>578</v>
      </c>
      <c r="P53" s="59" t="n">
        <f aca="false">IF(F53="","",ROUND(SQRT((F53*L53/100)^2+(G53*O53)^2),0))</f>
        <v>382</v>
      </c>
      <c r="R53" s="60" t="n">
        <v>12.0968002767873</v>
      </c>
      <c r="S53" s="61" t="n">
        <f aca="false">U53*V53*$F$5</f>
        <v>10486.1559171025</v>
      </c>
      <c r="T53" s="62" t="n">
        <f aca="false">MAX(0,MIN(1,R53/100+$D$5))</f>
        <v>0.541667157578457</v>
      </c>
      <c r="U53" s="62" t="n">
        <v>0.653302343598683</v>
      </c>
      <c r="V53" s="61" t="n">
        <v>16051</v>
      </c>
      <c r="W53" s="62" t="n">
        <v>0.0551273752894184</v>
      </c>
      <c r="X53" s="63" t="s">
        <v>184</v>
      </c>
      <c r="Y53" s="63" t="s">
        <v>164</v>
      </c>
    </row>
    <row r="54" customFormat="false" ht="15" hidden="false" customHeight="false" outlineLevel="0" collapsed="false">
      <c r="A54" s="32" t="s">
        <v>189</v>
      </c>
      <c r="B54" s="32" t="s">
        <v>209</v>
      </c>
      <c r="C54" s="32" t="s">
        <v>161</v>
      </c>
      <c r="D54" s="59" t="n">
        <f aca="false">ROUND(S54*T54,0)</f>
        <v>6301</v>
      </c>
      <c r="E54" s="59" t="n">
        <f aca="false">ROUND(S54,0)-D54</f>
        <v>5729</v>
      </c>
      <c r="F54" s="59" t="n">
        <f aca="false">IF(COUNTA(D54:E54)=0,"",SUM(D54:E54))</f>
        <v>12030</v>
      </c>
      <c r="G54" s="40" t="n">
        <f aca="false">IF(OR(F54="",F54=0),"",D54/F54)</f>
        <v>0.523773898586866</v>
      </c>
      <c r="H54" s="40" t="n">
        <f aca="false">IF(OR(F54="",F54=0),"",E54/F54)</f>
        <v>0.476226101413134</v>
      </c>
      <c r="I54" s="32" t="s">
        <v>162</v>
      </c>
      <c r="J54" s="36" t="n">
        <v>1.66048092133492</v>
      </c>
      <c r="K54" s="36" t="n">
        <f aca="false">$K$8</f>
        <v>1.2747518664323</v>
      </c>
      <c r="L54" s="36" t="n">
        <f aca="false">SQRT(J54^2+K54^2)</f>
        <v>2.09336791106816</v>
      </c>
      <c r="M54" s="40" t="n">
        <f aca="false">IF(G54="","",MAX(0,G54-1.96*L54/100))</f>
        <v>0.48274388752993</v>
      </c>
      <c r="N54" s="40" t="n">
        <f aca="false">IF(G54="","",MIN(1,G54+1.96*L54/100))</f>
        <v>0.564803909643802</v>
      </c>
      <c r="O54" s="59" t="n">
        <f aca="false">ROUND(S54*W54,0)</f>
        <v>663</v>
      </c>
      <c r="P54" s="59" t="n">
        <f aca="false">IF(F54="","",ROUND(SQRT((F54*L54/100)^2+(G54*O54)^2),0))</f>
        <v>429</v>
      </c>
      <c r="R54" s="60" t="n">
        <v>10.3091571454253</v>
      </c>
      <c r="S54" s="61" t="n">
        <f aca="false">U54*V54*$F$5</f>
        <v>12030.3346699902</v>
      </c>
      <c r="T54" s="62" t="n">
        <f aca="false">MAX(0,MIN(1,R54/100+$D$5))</f>
        <v>0.523790726264838</v>
      </c>
      <c r="U54" s="62" t="n">
        <v>0.610490950471443</v>
      </c>
      <c r="V54" s="61" t="n">
        <v>19706</v>
      </c>
      <c r="W54" s="62" t="n">
        <v>0.0551273752894184</v>
      </c>
      <c r="X54" s="63" t="s">
        <v>184</v>
      </c>
      <c r="Y54" s="63" t="s">
        <v>164</v>
      </c>
    </row>
    <row r="55" customFormat="false" ht="15" hidden="false" customHeight="false" outlineLevel="0" collapsed="false">
      <c r="A55" s="32" t="s">
        <v>189</v>
      </c>
      <c r="B55" s="32" t="s">
        <v>210</v>
      </c>
      <c r="C55" s="32" t="s">
        <v>161</v>
      </c>
      <c r="D55" s="59" t="n">
        <f aca="false">ROUND(S55*T55,0)</f>
        <v>2017</v>
      </c>
      <c r="E55" s="59" t="n">
        <f aca="false">ROUND(S55,0)-D55</f>
        <v>2597</v>
      </c>
      <c r="F55" s="59" t="n">
        <f aca="false">IF(COUNTA(D55:E55)=0,"",SUM(D55:E55))</f>
        <v>4614</v>
      </c>
      <c r="G55" s="40" t="n">
        <f aca="false">IF(OR(F55="",F55=0),"",D55/F55)</f>
        <v>0.43714781100997</v>
      </c>
      <c r="H55" s="40" t="n">
        <f aca="false">IF(OR(F55="",F55=0),"",E55/F55)</f>
        <v>0.56285218899003</v>
      </c>
      <c r="I55" s="32" t="s">
        <v>162</v>
      </c>
      <c r="J55" s="36" t="n">
        <v>1.66048092133492</v>
      </c>
      <c r="K55" s="36" t="n">
        <f aca="false">$K$8</f>
        <v>1.2747518664323</v>
      </c>
      <c r="L55" s="36" t="n">
        <f aca="false">SQRT(J55^2+K55^2)</f>
        <v>2.09336791106816</v>
      </c>
      <c r="M55" s="40" t="n">
        <f aca="false">IF(G55="","",MAX(0,G55-1.96*L55/100))</f>
        <v>0.396117799953034</v>
      </c>
      <c r="N55" s="40" t="n">
        <f aca="false">IF(G55="","",MIN(1,G55+1.96*L55/100))</f>
        <v>0.478177822066906</v>
      </c>
      <c r="O55" s="59" t="n">
        <f aca="false">ROUND(S55*W55,0)</f>
        <v>254</v>
      </c>
      <c r="P55" s="59" t="n">
        <f aca="false">IF(F55="","",ROUND(SQRT((F55*L55/100)^2+(G55*O55)^2),0))</f>
        <v>147</v>
      </c>
      <c r="R55" s="60" t="n">
        <v>1.64402759233702</v>
      </c>
      <c r="S55" s="61" t="n">
        <f aca="false">U55*V55*$F$5</f>
        <v>4613.50991276765</v>
      </c>
      <c r="T55" s="62" t="n">
        <f aca="false">MAX(0,MIN(1,R55/100+$D$5))</f>
        <v>0.437139430733954</v>
      </c>
      <c r="U55" s="62" t="n">
        <v>0.71086439333862</v>
      </c>
      <c r="V55" s="61" t="n">
        <v>6490</v>
      </c>
      <c r="W55" s="62" t="n">
        <v>0.0551273752894184</v>
      </c>
      <c r="X55" s="63" t="s">
        <v>184</v>
      </c>
      <c r="Y55" s="63" t="s">
        <v>164</v>
      </c>
    </row>
    <row r="56" customFormat="false" ht="15" hidden="false" customHeight="false" outlineLevel="0" collapsed="false">
      <c r="A56" s="32" t="s">
        <v>189</v>
      </c>
      <c r="B56" s="32" t="s">
        <v>211</v>
      </c>
      <c r="C56" s="32" t="s">
        <v>161</v>
      </c>
      <c r="D56" s="59" t="n">
        <f aca="false">ROUND(S56*T56,0)</f>
        <v>4609</v>
      </c>
      <c r="E56" s="59" t="n">
        <f aca="false">ROUND(S56,0)-D56</f>
        <v>4735</v>
      </c>
      <c r="F56" s="59" t="n">
        <f aca="false">IF(COUNTA(D56:E56)=0,"",SUM(D56:E56))</f>
        <v>9344</v>
      </c>
      <c r="G56" s="40" t="n">
        <f aca="false">IF(OR(F56="",F56=0),"",D56/F56)</f>
        <v>0.493257705479452</v>
      </c>
      <c r="H56" s="40" t="n">
        <f aca="false">IF(OR(F56="",F56=0),"",E56/F56)</f>
        <v>0.506742294520548</v>
      </c>
      <c r="I56" s="32" t="s">
        <v>162</v>
      </c>
      <c r="J56" s="36" t="n">
        <v>1.66048092133492</v>
      </c>
      <c r="K56" s="36" t="n">
        <f aca="false">$K$8</f>
        <v>1.2747518664323</v>
      </c>
      <c r="L56" s="36" t="n">
        <f aca="false">SQRT(J56^2+K56^2)</f>
        <v>2.09336791106816</v>
      </c>
      <c r="M56" s="40" t="n">
        <f aca="false">IF(G56="","",MAX(0,G56-1.96*L56/100))</f>
        <v>0.452227694422516</v>
      </c>
      <c r="N56" s="40" t="n">
        <f aca="false">IF(G56="","",MIN(1,G56+1.96*L56/100))</f>
        <v>0.534287716536388</v>
      </c>
      <c r="O56" s="59" t="n">
        <f aca="false">ROUND(S56*W56,0)</f>
        <v>515</v>
      </c>
      <c r="P56" s="59" t="n">
        <f aca="false">IF(F56="","",ROUND(SQRT((F56*L56/100)^2+(G56*O56)^2),0))</f>
        <v>321</v>
      </c>
      <c r="R56" s="60" t="n">
        <v>7.2564218768189</v>
      </c>
      <c r="S56" s="61" t="n">
        <f aca="false">U56*V56*$F$5</f>
        <v>9343.93860561915</v>
      </c>
      <c r="T56" s="62" t="n">
        <f aca="false">MAX(0,MIN(1,R56/100+$D$5))</f>
        <v>0.493263373578773</v>
      </c>
      <c r="U56" s="62" t="n">
        <v>0.702393340270552</v>
      </c>
      <c r="V56" s="61" t="n">
        <v>13303</v>
      </c>
      <c r="W56" s="62" t="n">
        <v>0.0551273752894184</v>
      </c>
      <c r="X56" s="63" t="s">
        <v>184</v>
      </c>
      <c r="Y56" s="63" t="s">
        <v>164</v>
      </c>
    </row>
    <row r="57" customFormat="false" ht="15" hidden="false" customHeight="false" outlineLevel="0" collapsed="false">
      <c r="A57" s="32" t="s">
        <v>189</v>
      </c>
      <c r="B57" s="32" t="s">
        <v>212</v>
      </c>
      <c r="C57" s="32" t="s">
        <v>161</v>
      </c>
      <c r="D57" s="59" t="n">
        <f aca="false">ROUND(S57*T57,0)</f>
        <v>1030</v>
      </c>
      <c r="E57" s="59" t="n">
        <f aca="false">ROUND(S57,0)-D57</f>
        <v>2073</v>
      </c>
      <c r="F57" s="59" t="n">
        <f aca="false">IF(COUNTA(D57:E57)=0,"",SUM(D57:E57))</f>
        <v>3103</v>
      </c>
      <c r="G57" s="40" t="n">
        <f aca="false">IF(OR(F57="",F57=0),"",D57/F57)</f>
        <v>0.331936835320657</v>
      </c>
      <c r="H57" s="40" t="n">
        <f aca="false">IF(OR(F57="",F57=0),"",E57/F57)</f>
        <v>0.668063164679343</v>
      </c>
      <c r="I57" s="32" t="s">
        <v>162</v>
      </c>
      <c r="J57" s="36" t="n">
        <v>1.66048092133492</v>
      </c>
      <c r="K57" s="36" t="n">
        <f aca="false">$K$8</f>
        <v>1.2747518664323</v>
      </c>
      <c r="L57" s="36" t="n">
        <f aca="false">SQRT(J57^2+K57^2)</f>
        <v>2.09336791106816</v>
      </c>
      <c r="M57" s="40" t="n">
        <f aca="false">IF(G57="","",MAX(0,G57-1.96*L57/100))</f>
        <v>0.290906824263721</v>
      </c>
      <c r="N57" s="40" t="n">
        <f aca="false">IF(G57="","",MIN(1,G57+1.96*L57/100))</f>
        <v>0.372966846377593</v>
      </c>
      <c r="O57" s="59" t="n">
        <f aca="false">ROUND(S57*W57,0)</f>
        <v>171</v>
      </c>
      <c r="P57" s="59" t="n">
        <f aca="false">IF(F57="","",ROUND(SQRT((F57*L57/100)^2+(G57*O57)^2),0))</f>
        <v>86</v>
      </c>
      <c r="R57" s="60" t="n">
        <v>-8.87592461567407</v>
      </c>
      <c r="S57" s="61" t="n">
        <f aca="false">U57*V57*$F$5</f>
        <v>3102.86358754028</v>
      </c>
      <c r="T57" s="62" t="n">
        <f aca="false">MAX(0,MIN(1,R57/100+$D$5))</f>
        <v>0.331939908653844</v>
      </c>
      <c r="U57" s="62" t="n">
        <v>0.645757250268529</v>
      </c>
      <c r="V57" s="61" t="n">
        <v>4805</v>
      </c>
      <c r="W57" s="62" t="n">
        <v>0.0551273752894184</v>
      </c>
      <c r="X57" s="63" t="s">
        <v>184</v>
      </c>
      <c r="Y57" s="63" t="s">
        <v>164</v>
      </c>
    </row>
    <row r="58" customFormat="false" ht="15" hidden="false" customHeight="false" outlineLevel="0" collapsed="false">
      <c r="A58" s="32" t="s">
        <v>189</v>
      </c>
      <c r="B58" s="32" t="s">
        <v>213</v>
      </c>
      <c r="C58" s="32" t="s">
        <v>161</v>
      </c>
      <c r="D58" s="59" t="n">
        <f aca="false">ROUND(S58*T58,0)</f>
        <v>953</v>
      </c>
      <c r="E58" s="59" t="n">
        <f aca="false">ROUND(S58,0)-D58</f>
        <v>1787</v>
      </c>
      <c r="F58" s="59" t="n">
        <f aca="false">IF(COUNTA(D58:E58)=0,"",SUM(D58:E58))</f>
        <v>2740</v>
      </c>
      <c r="G58" s="40" t="n">
        <f aca="false">IF(OR(F58="",F58=0),"",D58/F58)</f>
        <v>0.347810218978102</v>
      </c>
      <c r="H58" s="40" t="n">
        <f aca="false">IF(OR(F58="",F58=0),"",E58/F58)</f>
        <v>0.652189781021898</v>
      </c>
      <c r="I58" s="32" t="s">
        <v>162</v>
      </c>
      <c r="J58" s="36" t="n">
        <v>1.97233065497388</v>
      </c>
      <c r="K58" s="36" t="n">
        <f aca="false">$K$8</f>
        <v>1.2747518664323</v>
      </c>
      <c r="L58" s="36" t="n">
        <f aca="false">SQRT(J58^2+K58^2)</f>
        <v>2.34842085953994</v>
      </c>
      <c r="M58" s="40" t="n">
        <f aca="false">IF(G58="","",MAX(0,G58-1.96*L58/100))</f>
        <v>0.301781170131119</v>
      </c>
      <c r="N58" s="40" t="n">
        <f aca="false">IF(G58="","",MIN(1,G58+1.96*L58/100))</f>
        <v>0.393839267825085</v>
      </c>
      <c r="O58" s="59" t="n">
        <f aca="false">ROUND(S58*W58,0)</f>
        <v>166</v>
      </c>
      <c r="P58" s="59" t="n">
        <f aca="false">IF(F58="","",ROUND(SQRT((F58*L58/100)^2+(G58*O58)^2),0))</f>
        <v>86</v>
      </c>
      <c r="R58" s="60" t="n">
        <v>-7.28288708666507</v>
      </c>
      <c r="S58" s="61" t="n">
        <f aca="false">U58*V58*$F$5</f>
        <v>2739.5017118778</v>
      </c>
      <c r="T58" s="62" t="n">
        <f aca="false">MAX(0,MIN(1,R58/100+$D$5))</f>
        <v>0.347870283943934</v>
      </c>
      <c r="U58" s="62" t="n">
        <v>0.708980774295496</v>
      </c>
      <c r="V58" s="61" t="n">
        <v>3864</v>
      </c>
      <c r="W58" s="62" t="n">
        <v>0.0606122259008943</v>
      </c>
      <c r="X58" s="63" t="s">
        <v>168</v>
      </c>
      <c r="Y58" s="63" t="s">
        <v>164</v>
      </c>
    </row>
    <row r="59" customFormat="false" ht="15" hidden="false" customHeight="false" outlineLevel="0" collapsed="false">
      <c r="A59" s="32" t="s">
        <v>189</v>
      </c>
      <c r="B59" s="32" t="s">
        <v>214</v>
      </c>
      <c r="C59" s="32" t="s">
        <v>161</v>
      </c>
      <c r="D59" s="59" t="n">
        <f aca="false">ROUND(S59*T59,0)</f>
        <v>5507</v>
      </c>
      <c r="E59" s="59" t="n">
        <f aca="false">ROUND(S59,0)-D59</f>
        <v>4997</v>
      </c>
      <c r="F59" s="59" t="n">
        <f aca="false">IF(COUNTA(D59:E59)=0,"",SUM(D59:E59))</f>
        <v>10504</v>
      </c>
      <c r="G59" s="40" t="n">
        <f aca="false">IF(OR(F59="",F59=0),"",D59/F59)</f>
        <v>0.524276466108149</v>
      </c>
      <c r="H59" s="40" t="n">
        <f aca="false">IF(OR(F59="",F59=0),"",E59/F59)</f>
        <v>0.475723533891851</v>
      </c>
      <c r="I59" s="32" t="s">
        <v>162</v>
      </c>
      <c r="J59" s="36" t="n">
        <v>1.66048092133492</v>
      </c>
      <c r="K59" s="36" t="n">
        <f aca="false">$K$8</f>
        <v>1.2747518664323</v>
      </c>
      <c r="L59" s="36" t="n">
        <f aca="false">SQRT(J59^2+K59^2)</f>
        <v>2.09336791106816</v>
      </c>
      <c r="M59" s="40" t="n">
        <f aca="false">IF(G59="","",MAX(0,G59-1.96*L59/100))</f>
        <v>0.483246455051213</v>
      </c>
      <c r="N59" s="40" t="n">
        <f aca="false">IF(G59="","",MIN(1,G59+1.96*L59/100))</f>
        <v>0.565306477165085</v>
      </c>
      <c r="O59" s="59" t="n">
        <f aca="false">ROUND(S59*W59,0)</f>
        <v>579</v>
      </c>
      <c r="P59" s="59" t="n">
        <f aca="false">IF(F59="","",ROUND(SQRT((F59*L59/100)^2+(G59*O59)^2),0))</f>
        <v>375</v>
      </c>
      <c r="R59" s="60" t="n">
        <v>10.3536149110403</v>
      </c>
      <c r="S59" s="61" t="n">
        <f aca="false">U59*V59*$F$5</f>
        <v>10504.2978562557</v>
      </c>
      <c r="T59" s="62" t="n">
        <f aca="false">MAX(0,MIN(1,R59/100+$D$5))</f>
        <v>0.524235303920987</v>
      </c>
      <c r="U59" s="62" t="n">
        <v>0.555753550407689</v>
      </c>
      <c r="V59" s="61" t="n">
        <v>18901</v>
      </c>
      <c r="W59" s="62" t="n">
        <v>0.0551273752894184</v>
      </c>
      <c r="X59" s="63" t="s">
        <v>184</v>
      </c>
      <c r="Y59" s="63" t="s">
        <v>164</v>
      </c>
    </row>
    <row r="60" customFormat="false" ht="15" hidden="false" customHeight="false" outlineLevel="0" collapsed="false">
      <c r="A60" s="32" t="s">
        <v>215</v>
      </c>
      <c r="B60" s="32" t="s">
        <v>216</v>
      </c>
      <c r="C60" s="32" t="s">
        <v>161</v>
      </c>
      <c r="D60" s="59" t="n">
        <f aca="false">ROUND(S60*T60,0)</f>
        <v>362</v>
      </c>
      <c r="E60" s="59" t="n">
        <f aca="false">ROUND(S60,0)-D60</f>
        <v>872</v>
      </c>
      <c r="F60" s="59" t="n">
        <f aca="false">IF(COUNTA(D60:E60)=0,"",SUM(D60:E60))</f>
        <v>1234</v>
      </c>
      <c r="G60" s="40" t="n">
        <f aca="false">IF(OR(F60="",F60=0),"",D60/F60)</f>
        <v>0.293354943273906</v>
      </c>
      <c r="H60" s="40" t="n">
        <f aca="false">IF(OR(F60="",F60=0),"",E60/F60)</f>
        <v>0.706645056726094</v>
      </c>
      <c r="I60" s="32" t="s">
        <v>162</v>
      </c>
      <c r="J60" s="36" t="n">
        <v>3.01261974295132</v>
      </c>
      <c r="K60" s="36" t="n">
        <f aca="false">$K$8</f>
        <v>1.2747518664323</v>
      </c>
      <c r="L60" s="36" t="n">
        <f aca="false">SQRT(J60^2+K60^2)</f>
        <v>3.27121843302961</v>
      </c>
      <c r="M60" s="40" t="n">
        <f aca="false">IF(G60="","",MAX(0,G60-1.96*L60/100))</f>
        <v>0.229239061986526</v>
      </c>
      <c r="N60" s="40" t="n">
        <f aca="false">IF(G60="","",MIN(1,G60+1.96*L60/100))</f>
        <v>0.357470824561286</v>
      </c>
      <c r="O60" s="59" t="n">
        <f aca="false">ROUND(S60*W60,0)</f>
        <v>96</v>
      </c>
      <c r="P60" s="59" t="n">
        <f aca="false">IF(F60="","",ROUND(SQRT((F60*L60/100)^2+(G60*O60)^2),0))</f>
        <v>49</v>
      </c>
      <c r="R60" s="60" t="n">
        <v>-12.7640731428394</v>
      </c>
      <c r="S60" s="61" t="n">
        <f aca="false">U60*V60*$F$5</f>
        <v>1234.45226917058</v>
      </c>
      <c r="T60" s="62" t="n">
        <f aca="false">MAX(0,MIN(1,R60/100+$D$5))</f>
        <v>0.29305842338219</v>
      </c>
      <c r="U60" s="62" t="n">
        <v>0.618153364632238</v>
      </c>
      <c r="V60" s="61" t="n">
        <v>1997</v>
      </c>
      <c r="W60" s="62" t="n">
        <v>0.0777040344688333</v>
      </c>
      <c r="X60" s="63" t="s">
        <v>163</v>
      </c>
      <c r="Y60" s="63" t="s">
        <v>217</v>
      </c>
    </row>
    <row r="61" customFormat="false" ht="15" hidden="false" customHeight="false" outlineLevel="0" collapsed="false">
      <c r="A61" s="32" t="s">
        <v>215</v>
      </c>
      <c r="B61" s="32" t="s">
        <v>218</v>
      </c>
      <c r="C61" s="32" t="s">
        <v>161</v>
      </c>
      <c r="D61" s="59" t="n">
        <f aca="false">ROUND(S61*T61,0)</f>
        <v>1048</v>
      </c>
      <c r="E61" s="59" t="n">
        <f aca="false">ROUND(S61,0)-D61</f>
        <v>2102</v>
      </c>
      <c r="F61" s="59" t="n">
        <f aca="false">IF(COUNTA(D61:E61)=0,"",SUM(D61:E61))</f>
        <v>3150</v>
      </c>
      <c r="G61" s="40" t="n">
        <f aca="false">IF(OR(F61="",F61=0),"",D61/F61)</f>
        <v>0.332698412698413</v>
      </c>
      <c r="H61" s="40" t="n">
        <f aca="false">IF(OR(F61="",F61=0),"",E61/F61)</f>
        <v>0.667301587301587</v>
      </c>
      <c r="I61" s="32" t="s">
        <v>162</v>
      </c>
      <c r="J61" s="36" t="n">
        <v>1.66048092133492</v>
      </c>
      <c r="K61" s="36" t="n">
        <f aca="false">$K$8</f>
        <v>1.2747518664323</v>
      </c>
      <c r="L61" s="36" t="n">
        <f aca="false">SQRT(J61^2+K61^2)</f>
        <v>2.09336791106816</v>
      </c>
      <c r="M61" s="40" t="n">
        <f aca="false">IF(G61="","",MAX(0,G61-1.96*L61/100))</f>
        <v>0.291668401641477</v>
      </c>
      <c r="N61" s="40" t="n">
        <f aca="false">IF(G61="","",MIN(1,G61+1.96*L61/100))</f>
        <v>0.373728423755349</v>
      </c>
      <c r="O61" s="59" t="n">
        <f aca="false">ROUND(S61*W61,0)</f>
        <v>174</v>
      </c>
      <c r="P61" s="59" t="n">
        <f aca="false">IF(F61="","",ROUND(SQRT((F61*L61/100)^2+(G61*O61)^2),0))</f>
        <v>88</v>
      </c>
      <c r="R61" s="60" t="n">
        <v>-8.80384961450968</v>
      </c>
      <c r="S61" s="61" t="n">
        <f aca="false">U61*V61*$F$5</f>
        <v>3150.44851429639</v>
      </c>
      <c r="T61" s="62" t="n">
        <f aca="false">MAX(0,MIN(1,R61/100+$D$5))</f>
        <v>0.332660658665488</v>
      </c>
      <c r="U61" s="62" t="n">
        <v>0.56157727527565</v>
      </c>
      <c r="V61" s="61" t="n">
        <v>5610</v>
      </c>
      <c r="W61" s="62" t="n">
        <v>0.0551273752894184</v>
      </c>
      <c r="X61" s="63" t="s">
        <v>184</v>
      </c>
      <c r="Y61" s="63" t="s">
        <v>217</v>
      </c>
    </row>
    <row r="62" customFormat="false" ht="15" hidden="false" customHeight="false" outlineLevel="0" collapsed="false">
      <c r="A62" s="32" t="s">
        <v>215</v>
      </c>
      <c r="B62" s="32" t="s">
        <v>219</v>
      </c>
      <c r="C62" s="32" t="s">
        <v>161</v>
      </c>
      <c r="D62" s="59" t="n">
        <f aca="false">ROUND(S62*T62,0)</f>
        <v>387</v>
      </c>
      <c r="E62" s="59" t="n">
        <f aca="false">ROUND(S62,0)-D62</f>
        <v>784</v>
      </c>
      <c r="F62" s="59" t="n">
        <f aca="false">IF(COUNTA(D62:E62)=0,"",SUM(D62:E62))</f>
        <v>1171</v>
      </c>
      <c r="G62" s="40" t="n">
        <f aca="false">IF(OR(F62="",F62=0),"",D62/F62)</f>
        <v>0.330486763450043</v>
      </c>
      <c r="H62" s="40" t="n">
        <f aca="false">IF(OR(F62="",F62=0),"",E62/F62)</f>
        <v>0.669513236549957</v>
      </c>
      <c r="I62" s="32" t="s">
        <v>162</v>
      </c>
      <c r="J62" s="36" t="n">
        <v>3.01261974295132</v>
      </c>
      <c r="K62" s="36" t="n">
        <f aca="false">$K$8</f>
        <v>1.2747518664323</v>
      </c>
      <c r="L62" s="36" t="n">
        <f aca="false">SQRT(J62^2+K62^2)</f>
        <v>3.27121843302961</v>
      </c>
      <c r="M62" s="40" t="n">
        <f aca="false">IF(G62="","",MAX(0,G62-1.96*L62/100))</f>
        <v>0.266370882162662</v>
      </c>
      <c r="N62" s="40" t="n">
        <f aca="false">IF(G62="","",MIN(1,G62+1.96*L62/100))</f>
        <v>0.394602644737423</v>
      </c>
      <c r="O62" s="59" t="n">
        <f aca="false">ROUND(S62*W62,0)</f>
        <v>91</v>
      </c>
      <c r="P62" s="59" t="n">
        <f aca="false">IF(F62="","",ROUND(SQRT((F62*L62/100)^2+(G62*O62)^2),0))</f>
        <v>49</v>
      </c>
      <c r="R62" s="60" t="n">
        <v>-8.98372520036305</v>
      </c>
      <c r="S62" s="61" t="n">
        <f aca="false">U62*V62*$F$5</f>
        <v>1170.82273494654</v>
      </c>
      <c r="T62" s="62" t="n">
        <f aca="false">MAX(0,MIN(1,R62/100+$D$5))</f>
        <v>0.330861902806954</v>
      </c>
      <c r="U62" s="62" t="n">
        <v>0.625773776027012</v>
      </c>
      <c r="V62" s="61" t="n">
        <v>1871</v>
      </c>
      <c r="W62" s="62" t="n">
        <v>0.0777040344688333</v>
      </c>
      <c r="X62" s="63" t="s">
        <v>163</v>
      </c>
      <c r="Y62" s="63" t="s">
        <v>217</v>
      </c>
    </row>
    <row r="63" customFormat="false" ht="15" hidden="false" customHeight="false" outlineLevel="0" collapsed="false">
      <c r="A63" s="32" t="s">
        <v>220</v>
      </c>
      <c r="B63" s="32" t="s">
        <v>221</v>
      </c>
      <c r="C63" s="32" t="s">
        <v>161</v>
      </c>
      <c r="D63" s="59" t="n">
        <f aca="false">ROUND(S63*T63,0)</f>
        <v>1181</v>
      </c>
      <c r="E63" s="59" t="n">
        <f aca="false">ROUND(S63,0)-D63</f>
        <v>1526</v>
      </c>
      <c r="F63" s="59" t="n">
        <f aca="false">IF(COUNTA(D63:E63)=0,"",SUM(D63:E63))</f>
        <v>2707</v>
      </c>
      <c r="G63" s="40" t="n">
        <f aca="false">IF(OR(F63="",F63=0),"",D63/F63)</f>
        <v>0.436276320650166</v>
      </c>
      <c r="H63" s="40" t="n">
        <f aca="false">IF(OR(F63="",F63=0),"",E63/F63)</f>
        <v>0.563723679349834</v>
      </c>
      <c r="I63" s="32" t="s">
        <v>162</v>
      </c>
      <c r="J63" s="36" t="n">
        <v>1.97233065497388</v>
      </c>
      <c r="K63" s="36" t="n">
        <f aca="false">$K$8</f>
        <v>1.2747518664323</v>
      </c>
      <c r="L63" s="36" t="n">
        <f aca="false">SQRT(J63^2+K63^2)</f>
        <v>2.34842085953994</v>
      </c>
      <c r="M63" s="40" t="n">
        <f aca="false">IF(G63="","",MAX(0,G63-1.96*L63/100))</f>
        <v>0.390247271803183</v>
      </c>
      <c r="N63" s="40" t="n">
        <f aca="false">IF(G63="","",MIN(1,G63+1.96*L63/100))</f>
        <v>0.482305369497149</v>
      </c>
      <c r="O63" s="59" t="n">
        <f aca="false">ROUND(S63*W63,0)</f>
        <v>164</v>
      </c>
      <c r="P63" s="59" t="n">
        <f aca="false">IF(F63="","",ROUND(SQRT((F63*L63/100)^2+(G63*O63)^2),0))</f>
        <v>96</v>
      </c>
      <c r="R63" s="60" t="n">
        <v>1.54371261336986</v>
      </c>
      <c r="S63" s="61" t="n">
        <f aca="false">U63*V63*$F$5</f>
        <v>2707.41725054361</v>
      </c>
      <c r="T63" s="62" t="n">
        <f aca="false">MAX(0,MIN(1,R63/100+$D$5))</f>
        <v>0.436136280944283</v>
      </c>
      <c r="U63" s="62" t="n">
        <v>0.628171055810582</v>
      </c>
      <c r="V63" s="61" t="n">
        <v>4310</v>
      </c>
      <c r="W63" s="62" t="n">
        <v>0.0606122259008943</v>
      </c>
      <c r="X63" s="63" t="s">
        <v>168</v>
      </c>
      <c r="Y63" s="63" t="s">
        <v>164</v>
      </c>
    </row>
    <row r="64" customFormat="false" ht="15" hidden="false" customHeight="false" outlineLevel="0" collapsed="false">
      <c r="A64" s="32" t="s">
        <v>220</v>
      </c>
      <c r="B64" s="32" t="s">
        <v>222</v>
      </c>
      <c r="C64" s="32" t="s">
        <v>161</v>
      </c>
      <c r="D64" s="59" t="n">
        <f aca="false">ROUND(S64*T64,0)</f>
        <v>705</v>
      </c>
      <c r="E64" s="59" t="n">
        <f aca="false">ROUND(S64,0)-D64</f>
        <v>983</v>
      </c>
      <c r="F64" s="59" t="n">
        <f aca="false">IF(COUNTA(D64:E64)=0,"",SUM(D64:E64))</f>
        <v>1688</v>
      </c>
      <c r="G64" s="40" t="n">
        <f aca="false">IF(OR(F64="",F64=0),"",D64/F64)</f>
        <v>0.417654028436019</v>
      </c>
      <c r="H64" s="40" t="n">
        <f aca="false">IF(OR(F64="",F64=0),"",E64/F64)</f>
        <v>0.582345971563981</v>
      </c>
      <c r="I64" s="32" t="s">
        <v>162</v>
      </c>
      <c r="J64" s="36" t="n">
        <v>1.97233065497388</v>
      </c>
      <c r="K64" s="36" t="n">
        <f aca="false">$K$8</f>
        <v>1.2747518664323</v>
      </c>
      <c r="L64" s="36" t="n">
        <f aca="false">SQRT(J64^2+K64^2)</f>
        <v>2.34842085953994</v>
      </c>
      <c r="M64" s="40" t="n">
        <f aca="false">IF(G64="","",MAX(0,G64-1.96*L64/100))</f>
        <v>0.371624979589036</v>
      </c>
      <c r="N64" s="40" t="n">
        <f aca="false">IF(G64="","",MIN(1,G64+1.96*L64/100))</f>
        <v>0.463683077283002</v>
      </c>
      <c r="O64" s="59" t="n">
        <f aca="false">ROUND(S64*W64,0)</f>
        <v>102</v>
      </c>
      <c r="P64" s="59" t="n">
        <f aca="false">IF(F64="","",ROUND(SQRT((F64*L64/100)^2+(G64*O64)^2),0))</f>
        <v>58</v>
      </c>
      <c r="R64" s="60" t="n">
        <v>-0.318518954287629</v>
      </c>
      <c r="S64" s="61" t="n">
        <f aca="false">U64*V64*$F$5</f>
        <v>1687.9765578635</v>
      </c>
      <c r="T64" s="62" t="n">
        <f aca="false">MAX(0,MIN(1,R64/100+$D$5))</f>
        <v>0.417513965267708</v>
      </c>
      <c r="U64" s="62" t="n">
        <v>0.491691394658754</v>
      </c>
      <c r="V64" s="61" t="n">
        <v>3433</v>
      </c>
      <c r="W64" s="62" t="n">
        <v>0.0606122259008943</v>
      </c>
      <c r="X64" s="63" t="s">
        <v>168</v>
      </c>
      <c r="Y64" s="63" t="s">
        <v>164</v>
      </c>
    </row>
    <row r="65" customFormat="false" ht="15" hidden="false" customHeight="false" outlineLevel="0" collapsed="false">
      <c r="A65" s="32" t="s">
        <v>220</v>
      </c>
      <c r="B65" s="32" t="s">
        <v>223</v>
      </c>
      <c r="C65" s="32" t="s">
        <v>161</v>
      </c>
      <c r="D65" s="59" t="n">
        <f aca="false">ROUND(S65*T65,0)</f>
        <v>478</v>
      </c>
      <c r="E65" s="59" t="n">
        <f aca="false">ROUND(S65,0)-D65</f>
        <v>538</v>
      </c>
      <c r="F65" s="59" t="n">
        <f aca="false">IF(COUNTA(D65:E65)=0,"",SUM(D65:E65))</f>
        <v>1016</v>
      </c>
      <c r="G65" s="40" t="n">
        <f aca="false">IF(OR(F65="",F65=0),"",D65/F65)</f>
        <v>0.470472440944882</v>
      </c>
      <c r="H65" s="40" t="n">
        <f aca="false">IF(OR(F65="",F65=0),"",E65/F65)</f>
        <v>0.529527559055118</v>
      </c>
      <c r="I65" s="32" t="s">
        <v>162</v>
      </c>
      <c r="J65" s="36" t="n">
        <v>3.01261974295132</v>
      </c>
      <c r="K65" s="36" t="n">
        <f aca="false">$K$8</f>
        <v>1.2747518664323</v>
      </c>
      <c r="L65" s="36" t="n">
        <f aca="false">SQRT(J65^2+K65^2)</f>
        <v>3.27121843302961</v>
      </c>
      <c r="M65" s="40" t="n">
        <f aca="false">IF(G65="","",MAX(0,G65-1.96*L65/100))</f>
        <v>0.406356559657502</v>
      </c>
      <c r="N65" s="40" t="n">
        <f aca="false">IF(G65="","",MIN(1,G65+1.96*L65/100))</f>
        <v>0.534588322232262</v>
      </c>
      <c r="O65" s="59" t="n">
        <f aca="false">ROUND(S65*W65,0)</f>
        <v>79</v>
      </c>
      <c r="P65" s="59" t="n">
        <f aca="false">IF(F65="","",ROUND(SQRT((F65*L65/100)^2+(G65*O65)^2),0))</f>
        <v>50</v>
      </c>
      <c r="R65" s="60" t="n">
        <v>5.00450441939227</v>
      </c>
      <c r="S65" s="61" t="n">
        <f aca="false">U65*V65*$F$5</f>
        <v>1015.97556912826</v>
      </c>
      <c r="T65" s="62" t="n">
        <f aca="false">MAX(0,MIN(1,R65/100+$D$5))</f>
        <v>0.470744199004507</v>
      </c>
      <c r="U65" s="62" t="n">
        <v>0.529705719044975</v>
      </c>
      <c r="V65" s="61" t="n">
        <v>1918</v>
      </c>
      <c r="W65" s="62" t="n">
        <v>0.0777040344688333</v>
      </c>
      <c r="X65" s="63" t="s">
        <v>163</v>
      </c>
      <c r="Y65" s="63" t="s">
        <v>164</v>
      </c>
    </row>
    <row r="66" customFormat="false" ht="15" hidden="false" customHeight="false" outlineLevel="0" collapsed="false">
      <c r="A66" s="32" t="s">
        <v>220</v>
      </c>
      <c r="B66" s="32" t="s">
        <v>192</v>
      </c>
      <c r="C66" s="32" t="s">
        <v>161</v>
      </c>
      <c r="D66" s="59" t="n">
        <f aca="false">ROUND(S66*T66,0)</f>
        <v>13001</v>
      </c>
      <c r="E66" s="59" t="n">
        <f aca="false">ROUND(S66,0)-D66</f>
        <v>5971</v>
      </c>
      <c r="F66" s="59" t="n">
        <f aca="false">IF(COUNTA(D66:E66)=0,"",SUM(D66:E66))</f>
        <v>18972</v>
      </c>
      <c r="G66" s="40" t="n">
        <f aca="false">IF(OR(F66="",F66=0),"",D66/F66)</f>
        <v>0.685273033944761</v>
      </c>
      <c r="H66" s="40" t="n">
        <f aca="false">IF(OR(F66="",F66=0),"",E66/F66)</f>
        <v>0.314726966055239</v>
      </c>
      <c r="I66" s="32" t="s">
        <v>162</v>
      </c>
      <c r="J66" s="36" t="n">
        <v>1.66048092133492</v>
      </c>
      <c r="K66" s="36" t="n">
        <f aca="false">$K$8</f>
        <v>1.2747518664323</v>
      </c>
      <c r="L66" s="36" t="n">
        <f aca="false">SQRT(J66^2+K66^2)</f>
        <v>2.09336791106816</v>
      </c>
      <c r="M66" s="40" t="n">
        <f aca="false">IF(G66="","",MAX(0,G66-1.96*L66/100))</f>
        <v>0.644243022887825</v>
      </c>
      <c r="N66" s="40" t="n">
        <f aca="false">IF(G66="","",MIN(1,G66+1.96*L66/100))</f>
        <v>0.726303045001697</v>
      </c>
      <c r="O66" s="59" t="n">
        <f aca="false">ROUND(S66*W66,0)</f>
        <v>1046</v>
      </c>
      <c r="P66" s="59" t="n">
        <f aca="false">IF(F66="","",ROUND(SQRT((F66*L66/100)^2+(G66*O66)^2),0))</f>
        <v>819</v>
      </c>
      <c r="R66" s="60" t="n">
        <v>26.4560852966369</v>
      </c>
      <c r="S66" s="61" t="n">
        <f aca="false">U66*V66*$F$5</f>
        <v>18972.4050126369</v>
      </c>
      <c r="T66" s="62" t="n">
        <f aca="false">MAX(0,MIN(1,R66/100+$D$5))</f>
        <v>0.685260007776954</v>
      </c>
      <c r="U66" s="62" t="n">
        <v>0.476358466722831</v>
      </c>
      <c r="V66" s="61" t="n">
        <v>39828</v>
      </c>
      <c r="W66" s="62" t="n">
        <v>0.0551273752894184</v>
      </c>
      <c r="X66" s="63" t="s">
        <v>184</v>
      </c>
      <c r="Y66" s="63" t="s">
        <v>217</v>
      </c>
    </row>
    <row r="67" customFormat="false" ht="15" hidden="false" customHeight="false" outlineLevel="0" collapsed="false">
      <c r="A67" s="32" t="s">
        <v>220</v>
      </c>
      <c r="B67" s="32" t="s">
        <v>224</v>
      </c>
      <c r="C67" s="32" t="s">
        <v>161</v>
      </c>
      <c r="D67" s="59" t="n">
        <f aca="false">ROUND(S67*T67,0)</f>
        <v>6849</v>
      </c>
      <c r="E67" s="59" t="n">
        <f aca="false">ROUND(S67,0)-D67</f>
        <v>5900</v>
      </c>
      <c r="F67" s="59" t="n">
        <f aca="false">IF(COUNTA(D67:E67)=0,"",SUM(D67:E67))</f>
        <v>12749</v>
      </c>
      <c r="G67" s="40" t="n">
        <f aca="false">IF(OR(F67="",F67=0),"",D67/F67)</f>
        <v>0.537218605380814</v>
      </c>
      <c r="H67" s="40" t="n">
        <f aca="false">IF(OR(F67="",F67=0),"",E67/F67)</f>
        <v>0.462781394619186</v>
      </c>
      <c r="I67" s="32" t="s">
        <v>162</v>
      </c>
      <c r="J67" s="36" t="n">
        <v>1.66048092133492</v>
      </c>
      <c r="K67" s="36" t="n">
        <f aca="false">$K$8</f>
        <v>1.2747518664323</v>
      </c>
      <c r="L67" s="36" t="n">
        <f aca="false">SQRT(J67^2+K67^2)</f>
        <v>2.09336791106816</v>
      </c>
      <c r="M67" s="40" t="n">
        <f aca="false">IF(G67="","",MAX(0,G67-1.96*L67/100))</f>
        <v>0.496188594323878</v>
      </c>
      <c r="N67" s="40" t="n">
        <f aca="false">IF(G67="","",MIN(1,G67+1.96*L67/100))</f>
        <v>0.57824861643775</v>
      </c>
      <c r="O67" s="59" t="n">
        <f aca="false">ROUND(S67*W67,0)</f>
        <v>703</v>
      </c>
      <c r="P67" s="59" t="n">
        <f aca="false">IF(F67="","",ROUND(SQRT((F67*L67/100)^2+(G67*O67)^2),0))</f>
        <v>462</v>
      </c>
      <c r="R67" s="60" t="n">
        <v>11.655907219359</v>
      </c>
      <c r="S67" s="61" t="n">
        <f aca="false">U67*V67*$F$5</f>
        <v>12748.560475162</v>
      </c>
      <c r="T67" s="62" t="n">
        <f aca="false">MAX(0,MIN(1,R67/100+$D$5))</f>
        <v>0.537258227004175</v>
      </c>
      <c r="U67" s="62" t="n">
        <v>0.629589632829374</v>
      </c>
      <c r="V67" s="61" t="n">
        <v>20249</v>
      </c>
      <c r="W67" s="62" t="n">
        <v>0.0551273752894184</v>
      </c>
      <c r="X67" s="63" t="s">
        <v>184</v>
      </c>
      <c r="Y67" s="63" t="s">
        <v>217</v>
      </c>
    </row>
    <row r="68" customFormat="false" ht="15" hidden="false" customHeight="false" outlineLevel="0" collapsed="false">
      <c r="A68" s="32" t="s">
        <v>220</v>
      </c>
      <c r="B68" s="32" t="s">
        <v>225</v>
      </c>
      <c r="C68" s="32" t="s">
        <v>161</v>
      </c>
      <c r="D68" s="59" t="n">
        <f aca="false">ROUND(S68*T68,0)</f>
        <v>1658</v>
      </c>
      <c r="E68" s="59" t="n">
        <f aca="false">ROUND(S68,0)-D68</f>
        <v>2765</v>
      </c>
      <c r="F68" s="59" t="n">
        <f aca="false">IF(COUNTA(D68:E68)=0,"",SUM(D68:E68))</f>
        <v>4423</v>
      </c>
      <c r="G68" s="40" t="n">
        <f aca="false">IF(OR(F68="",F68=0),"",D68/F68)</f>
        <v>0.374858693194664</v>
      </c>
      <c r="H68" s="40" t="n">
        <f aca="false">IF(OR(F68="",F68=0),"",E68/F68)</f>
        <v>0.625141306805336</v>
      </c>
      <c r="I68" s="32" t="s">
        <v>162</v>
      </c>
      <c r="J68" s="36" t="n">
        <v>1.66048092133492</v>
      </c>
      <c r="K68" s="36" t="n">
        <f aca="false">$K$8</f>
        <v>1.2747518664323</v>
      </c>
      <c r="L68" s="36" t="n">
        <f aca="false">SQRT(J68^2+K68^2)</f>
        <v>2.09336791106816</v>
      </c>
      <c r="M68" s="40" t="n">
        <f aca="false">IF(G68="","",MAX(0,G68-1.96*L68/100))</f>
        <v>0.333828682137728</v>
      </c>
      <c r="N68" s="40" t="n">
        <f aca="false">IF(G68="","",MIN(1,G68+1.96*L68/100))</f>
        <v>0.4158887042516</v>
      </c>
      <c r="O68" s="59" t="n">
        <f aca="false">ROUND(S68*W68,0)</f>
        <v>244</v>
      </c>
      <c r="P68" s="59" t="n">
        <f aca="false">IF(F68="","",ROUND(SQRT((F68*L68/100)^2+(G68*O68)^2),0))</f>
        <v>130</v>
      </c>
      <c r="R68" s="60" t="n">
        <v>-4.5766079710875</v>
      </c>
      <c r="S68" s="61" t="n">
        <f aca="false">U68*V68*$F$5</f>
        <v>4422.68236877524</v>
      </c>
      <c r="T68" s="62" t="n">
        <f aca="false">MAX(0,MIN(1,R68/100+$D$5))</f>
        <v>0.374933075099709</v>
      </c>
      <c r="U68" s="62" t="n">
        <v>0.657843577089876</v>
      </c>
      <c r="V68" s="61" t="n">
        <v>6723</v>
      </c>
      <c r="W68" s="62" t="n">
        <v>0.0551273752894184</v>
      </c>
      <c r="X68" s="63" t="s">
        <v>184</v>
      </c>
      <c r="Y68" s="63" t="s">
        <v>164</v>
      </c>
    </row>
    <row r="69" customFormat="false" ht="15" hidden="false" customHeight="false" outlineLevel="0" collapsed="false">
      <c r="A69" s="32" t="s">
        <v>220</v>
      </c>
      <c r="B69" s="32" t="s">
        <v>226</v>
      </c>
      <c r="C69" s="32" t="s">
        <v>161</v>
      </c>
      <c r="D69" s="59" t="n">
        <f aca="false">ROUND(S69*T69,0)</f>
        <v>35</v>
      </c>
      <c r="E69" s="59" t="n">
        <f aca="false">ROUND(S69,0)-D69</f>
        <v>62</v>
      </c>
      <c r="F69" s="59" t="n">
        <f aca="false">IF(COUNTA(D69:E69)=0,"",SUM(D69:E69))</f>
        <v>97</v>
      </c>
      <c r="G69" s="40" t="n">
        <f aca="false">IF(OR(F69="",F69=0),"",D69/F69)</f>
        <v>0.360824742268041</v>
      </c>
      <c r="H69" s="40" t="n">
        <f aca="false">IF(OR(F69="",F69=0),"",E69/F69)</f>
        <v>0.639175257731959</v>
      </c>
      <c r="I69" s="32" t="s">
        <v>162</v>
      </c>
      <c r="J69" s="36" t="n">
        <v>3.01261974295132</v>
      </c>
      <c r="K69" s="36" t="n">
        <f aca="false">$K$8</f>
        <v>1.2747518664323</v>
      </c>
      <c r="L69" s="36" t="n">
        <f aca="false">SQRT(J69^2+K69^2)</f>
        <v>3.27121843302961</v>
      </c>
      <c r="M69" s="40" t="n">
        <f aca="false">IF(G69="","",MAX(0,G69-1.96*L69/100))</f>
        <v>0.296708860980661</v>
      </c>
      <c r="N69" s="40" t="n">
        <f aca="false">IF(G69="","",MIN(1,G69+1.96*L69/100))</f>
        <v>0.424940623555422</v>
      </c>
      <c r="O69" s="59" t="n">
        <f aca="false">ROUND(S69*W69,0)</f>
        <v>8</v>
      </c>
      <c r="P69" s="59" t="n">
        <f aca="false">IF(F69="","",ROUND(SQRT((F69*L69/100)^2+(G69*O69)^2),0))</f>
        <v>4</v>
      </c>
      <c r="R69" s="60" t="n">
        <v>-6.49477694779164</v>
      </c>
      <c r="S69" s="61" t="n">
        <f aca="false">U69*V69*$F$5</f>
        <v>97.2992700729927</v>
      </c>
      <c r="T69" s="62" t="n">
        <f aca="false">MAX(0,MIN(1,R69/100+$D$5))</f>
        <v>0.355751385332668</v>
      </c>
      <c r="U69" s="62" t="n">
        <v>0.627737226277372</v>
      </c>
      <c r="V69" s="61" t="n">
        <v>155</v>
      </c>
      <c r="W69" s="62" t="n">
        <v>0.0777040344688333</v>
      </c>
      <c r="X69" s="63" t="s">
        <v>163</v>
      </c>
      <c r="Y69" s="63" t="s">
        <v>164</v>
      </c>
    </row>
    <row r="70" customFormat="false" ht="15" hidden="false" customHeight="false" outlineLevel="0" collapsed="false">
      <c r="A70" s="32" t="s">
        <v>220</v>
      </c>
      <c r="B70" s="32" t="s">
        <v>227</v>
      </c>
      <c r="C70" s="32" t="s">
        <v>161</v>
      </c>
      <c r="D70" s="59" t="n">
        <f aca="false">ROUND(S70*T70,0)</f>
        <v>1139</v>
      </c>
      <c r="E70" s="59" t="n">
        <f aca="false">ROUND(S70,0)-D70</f>
        <v>1502</v>
      </c>
      <c r="F70" s="59" t="n">
        <f aca="false">IF(COUNTA(D70:E70)=0,"",SUM(D70:E70))</f>
        <v>2641</v>
      </c>
      <c r="G70" s="40" t="n">
        <f aca="false">IF(OR(F70="",F70=0),"",D70/F70)</f>
        <v>0.431276031806134</v>
      </c>
      <c r="H70" s="40" t="n">
        <f aca="false">IF(OR(F70="",F70=0),"",E70/F70)</f>
        <v>0.568723968193866</v>
      </c>
      <c r="I70" s="32" t="s">
        <v>162</v>
      </c>
      <c r="J70" s="36" t="n">
        <v>1.97233065497388</v>
      </c>
      <c r="K70" s="36" t="n">
        <f aca="false">$K$8</f>
        <v>1.2747518664323</v>
      </c>
      <c r="L70" s="36" t="n">
        <f aca="false">SQRT(J70^2+K70^2)</f>
        <v>2.34842085953994</v>
      </c>
      <c r="M70" s="40" t="n">
        <f aca="false">IF(G70="","",MAX(0,G70-1.96*L70/100))</f>
        <v>0.385246982959151</v>
      </c>
      <c r="N70" s="40" t="n">
        <f aca="false">IF(G70="","",MIN(1,G70+1.96*L70/100))</f>
        <v>0.477305080653117</v>
      </c>
      <c r="O70" s="59" t="n">
        <f aca="false">ROUND(S70*W70,0)</f>
        <v>160</v>
      </c>
      <c r="P70" s="59" t="n">
        <f aca="false">IF(F70="","",ROUND(SQRT((F70*L70/100)^2+(G70*O70)^2),0))</f>
        <v>93</v>
      </c>
      <c r="R70" s="60" t="n">
        <v>1.04941188654447</v>
      </c>
      <c r="S70" s="61" t="n">
        <f aca="false">U70*V70*$F$5</f>
        <v>2640.91189093663</v>
      </c>
      <c r="T70" s="62" t="n">
        <f aca="false">MAX(0,MIN(1,R70/100+$D$5))</f>
        <v>0.431193273676029</v>
      </c>
      <c r="U70" s="62" t="n">
        <v>0.635445594546832</v>
      </c>
      <c r="V70" s="61" t="n">
        <v>4156</v>
      </c>
      <c r="W70" s="62" t="n">
        <v>0.0606122259008943</v>
      </c>
      <c r="X70" s="63" t="s">
        <v>168</v>
      </c>
      <c r="Y70" s="63" t="s">
        <v>164</v>
      </c>
    </row>
    <row r="71" customFormat="false" ht="15" hidden="false" customHeight="false" outlineLevel="0" collapsed="false">
      <c r="A71" s="32" t="s">
        <v>220</v>
      </c>
      <c r="B71" s="32" t="s">
        <v>228</v>
      </c>
      <c r="C71" s="32" t="s">
        <v>161</v>
      </c>
      <c r="D71" s="59" t="n">
        <f aca="false">ROUND(S71*T71,0)</f>
        <v>145</v>
      </c>
      <c r="E71" s="59" t="n">
        <f aca="false">ROUND(S71,0)-D71</f>
        <v>215</v>
      </c>
      <c r="F71" s="59" t="n">
        <f aca="false">IF(COUNTA(D71:E71)=0,"",SUM(D71:E71))</f>
        <v>360</v>
      </c>
      <c r="G71" s="40" t="n">
        <f aca="false">IF(OR(F71="",F71=0),"",D71/F71)</f>
        <v>0.402777777777778</v>
      </c>
      <c r="H71" s="40" t="n">
        <f aca="false">IF(OR(F71="",F71=0),"",E71/F71)</f>
        <v>0.597222222222222</v>
      </c>
      <c r="I71" s="32" t="s">
        <v>162</v>
      </c>
      <c r="J71" s="36" t="n">
        <v>3.01261974295132</v>
      </c>
      <c r="K71" s="36" t="n">
        <f aca="false">$K$8</f>
        <v>1.2747518664323</v>
      </c>
      <c r="L71" s="36" t="n">
        <f aca="false">SQRT(J71^2+K71^2)</f>
        <v>3.27121843302961</v>
      </c>
      <c r="M71" s="40" t="n">
        <f aca="false">IF(G71="","",MAX(0,G71-1.96*L71/100))</f>
        <v>0.338661896490397</v>
      </c>
      <c r="N71" s="40" t="n">
        <f aca="false">IF(G71="","",MIN(1,G71+1.96*L71/100))</f>
        <v>0.466893659065158</v>
      </c>
      <c r="O71" s="59" t="n">
        <f aca="false">ROUND(S71*W71,0)</f>
        <v>28</v>
      </c>
      <c r="P71" s="59" t="n">
        <f aca="false">IF(F71="","",ROUND(SQRT((F71*L71/100)^2+(G71*O71)^2),0))</f>
        <v>16</v>
      </c>
      <c r="R71" s="60" t="n">
        <v>-1.83943787430512</v>
      </c>
      <c r="S71" s="61" t="n">
        <f aca="false">U71*V71*$F$5</f>
        <v>360.236842105263</v>
      </c>
      <c r="T71" s="62" t="n">
        <f aca="false">MAX(0,MIN(1,R71/100+$D$5))</f>
        <v>0.402304776067533</v>
      </c>
      <c r="U71" s="62" t="n">
        <v>0.513157894736842</v>
      </c>
      <c r="V71" s="61" t="n">
        <v>702</v>
      </c>
      <c r="W71" s="62" t="n">
        <v>0.0777040344688333</v>
      </c>
      <c r="X71" s="63" t="s">
        <v>163</v>
      </c>
      <c r="Y71" s="63" t="s">
        <v>164</v>
      </c>
    </row>
    <row r="72" customFormat="false" ht="15" hidden="false" customHeight="false" outlineLevel="0" collapsed="false">
      <c r="A72" s="32" t="s">
        <v>220</v>
      </c>
      <c r="B72" s="32" t="s">
        <v>229</v>
      </c>
      <c r="C72" s="32" t="s">
        <v>161</v>
      </c>
      <c r="D72" s="59" t="n">
        <f aca="false">ROUND(S72*T72,0)</f>
        <v>5147</v>
      </c>
      <c r="E72" s="59" t="n">
        <f aca="false">ROUND(S72,0)-D72</f>
        <v>2150</v>
      </c>
      <c r="F72" s="59" t="n">
        <f aca="false">IF(COUNTA(D72:E72)=0,"",SUM(D72:E72))</f>
        <v>7297</v>
      </c>
      <c r="G72" s="40" t="n">
        <f aca="false">IF(OR(F72="",F72=0),"",D72/F72)</f>
        <v>0.705358366451967</v>
      </c>
      <c r="H72" s="40" t="n">
        <f aca="false">IF(OR(F72="",F72=0),"",E72/F72)</f>
        <v>0.294641633548033</v>
      </c>
      <c r="I72" s="32" t="s">
        <v>162</v>
      </c>
      <c r="J72" s="36" t="n">
        <v>1.66048092133492</v>
      </c>
      <c r="K72" s="36" t="n">
        <f aca="false">$K$8</f>
        <v>1.2747518664323</v>
      </c>
      <c r="L72" s="36" t="n">
        <f aca="false">SQRT(J72^2+K72^2)</f>
        <v>2.09336791106816</v>
      </c>
      <c r="M72" s="40" t="n">
        <f aca="false">IF(G72="","",MAX(0,G72-1.96*L72/100))</f>
        <v>0.664328355395031</v>
      </c>
      <c r="N72" s="40" t="n">
        <f aca="false">IF(G72="","",MIN(1,G72+1.96*L72/100))</f>
        <v>0.746388377508903</v>
      </c>
      <c r="O72" s="59" t="n">
        <f aca="false">ROUND(S72*W72,0)</f>
        <v>402</v>
      </c>
      <c r="P72" s="59" t="n">
        <f aca="false">IF(F72="","",ROUND(SQRT((F72*L72/100)^2+(G72*O72)^2),0))</f>
        <v>322</v>
      </c>
      <c r="R72" s="60" t="n">
        <v>28.458392347507</v>
      </c>
      <c r="S72" s="61" t="n">
        <f aca="false">U72*V72*$F$5</f>
        <v>7297.15979682392</v>
      </c>
      <c r="T72" s="62" t="n">
        <f aca="false">MAX(0,MIN(1,R72/100+$D$5))</f>
        <v>0.705283078285655</v>
      </c>
      <c r="U72" s="62" t="n">
        <v>0.414117234936945</v>
      </c>
      <c r="V72" s="61" t="n">
        <v>17621</v>
      </c>
      <c r="W72" s="62" t="n">
        <v>0.0551273752894184</v>
      </c>
      <c r="X72" s="63" t="s">
        <v>184</v>
      </c>
      <c r="Y72" s="63" t="s">
        <v>164</v>
      </c>
    </row>
    <row r="73" customFormat="false" ht="15" hidden="false" customHeight="false" outlineLevel="0" collapsed="false">
      <c r="A73" s="32" t="s">
        <v>220</v>
      </c>
      <c r="B73" s="32" t="s">
        <v>230</v>
      </c>
      <c r="C73" s="32" t="s">
        <v>161</v>
      </c>
      <c r="D73" s="59" t="n">
        <f aca="false">ROUND(S73*T73,0)</f>
        <v>4273</v>
      </c>
      <c r="E73" s="59" t="n">
        <f aca="false">ROUND(S73,0)-D73</f>
        <v>3902</v>
      </c>
      <c r="F73" s="59" t="n">
        <f aca="false">IF(COUNTA(D73:E73)=0,"",SUM(D73:E73))</f>
        <v>8175</v>
      </c>
      <c r="G73" s="40" t="n">
        <f aca="false">IF(OR(F73="",F73=0),"",D73/F73)</f>
        <v>0.522691131498471</v>
      </c>
      <c r="H73" s="40" t="n">
        <f aca="false">IF(OR(F73="",F73=0),"",E73/F73)</f>
        <v>0.477308868501529</v>
      </c>
      <c r="I73" s="32" t="s">
        <v>162</v>
      </c>
      <c r="J73" s="36" t="n">
        <v>1.66048092133492</v>
      </c>
      <c r="K73" s="36" t="n">
        <f aca="false">$K$8</f>
        <v>1.2747518664323</v>
      </c>
      <c r="L73" s="36" t="n">
        <f aca="false">SQRT(J73^2+K73^2)</f>
        <v>2.09336791106816</v>
      </c>
      <c r="M73" s="40" t="n">
        <f aca="false">IF(G73="","",MAX(0,G73-1.96*L73/100))</f>
        <v>0.481661120441535</v>
      </c>
      <c r="N73" s="40" t="n">
        <f aca="false">IF(G73="","",MIN(1,G73+1.96*L73/100))</f>
        <v>0.563721142555407</v>
      </c>
      <c r="O73" s="59" t="n">
        <f aca="false">ROUND(S73*W73,0)</f>
        <v>451</v>
      </c>
      <c r="P73" s="59" t="n">
        <f aca="false">IF(F73="","",ROUND(SQRT((F73*L73/100)^2+(G73*O73)^2),0))</f>
        <v>291</v>
      </c>
      <c r="R73" s="60" t="n">
        <v>10.1947863502231</v>
      </c>
      <c r="S73" s="61" t="n">
        <f aca="false">U73*V73*$F$5</f>
        <v>8175.00272606901</v>
      </c>
      <c r="T73" s="62" t="n">
        <f aca="false">MAX(0,MIN(1,R73/100+$D$5))</f>
        <v>0.522647018312816</v>
      </c>
      <c r="U73" s="62" t="n">
        <v>0.618428226497391</v>
      </c>
      <c r="V73" s="61" t="n">
        <v>13219</v>
      </c>
      <c r="W73" s="62" t="n">
        <v>0.0551273752894184</v>
      </c>
      <c r="X73" s="63" t="s">
        <v>184</v>
      </c>
      <c r="Y73" s="63" t="s">
        <v>164</v>
      </c>
    </row>
    <row r="74" customFormat="false" ht="15" hidden="false" customHeight="false" outlineLevel="0" collapsed="false">
      <c r="A74" s="32" t="s">
        <v>220</v>
      </c>
      <c r="B74" s="32" t="s">
        <v>231</v>
      </c>
      <c r="C74" s="32" t="s">
        <v>161</v>
      </c>
      <c r="D74" s="59" t="n">
        <f aca="false">ROUND(S74*T74,0)</f>
        <v>495</v>
      </c>
      <c r="E74" s="59" t="n">
        <f aca="false">ROUND(S74,0)-D74</f>
        <v>316</v>
      </c>
      <c r="F74" s="59" t="n">
        <f aca="false">IF(COUNTA(D74:E74)=0,"",SUM(D74:E74))</f>
        <v>811</v>
      </c>
      <c r="G74" s="40" t="n">
        <f aca="false">IF(OR(F74="",F74=0),"",D74/F74)</f>
        <v>0.61035758323058</v>
      </c>
      <c r="H74" s="40" t="n">
        <f aca="false">IF(OR(F74="",F74=0),"",E74/F74)</f>
        <v>0.38964241676942</v>
      </c>
      <c r="I74" s="32" t="s">
        <v>162</v>
      </c>
      <c r="J74" s="36" t="n">
        <v>3.01261974295132</v>
      </c>
      <c r="K74" s="36" t="n">
        <f aca="false">$K$8</f>
        <v>1.2747518664323</v>
      </c>
      <c r="L74" s="36" t="n">
        <f aca="false">SQRT(J74^2+K74^2)</f>
        <v>3.27121843302961</v>
      </c>
      <c r="M74" s="40" t="n">
        <f aca="false">IF(G74="","",MAX(0,G74-1.96*L74/100))</f>
        <v>0.546241701943199</v>
      </c>
      <c r="N74" s="40" t="n">
        <f aca="false">IF(G74="","",MIN(1,G74+1.96*L74/100))</f>
        <v>0.67447346451796</v>
      </c>
      <c r="O74" s="59" t="n">
        <f aca="false">ROUND(S74*W74,0)</f>
        <v>63</v>
      </c>
      <c r="P74" s="59" t="n">
        <f aca="false">IF(F74="","",ROUND(SQRT((F74*L74/100)^2+(G74*O74)^2),0))</f>
        <v>47</v>
      </c>
      <c r="R74" s="60" t="n">
        <v>18.9222127974105</v>
      </c>
      <c r="S74" s="61" t="n">
        <f aca="false">U74*V74*$F$5</f>
        <v>811.272251308901</v>
      </c>
      <c r="T74" s="62" t="n">
        <f aca="false">MAX(0,MIN(1,R74/100+$D$5))</f>
        <v>0.60992128278469</v>
      </c>
      <c r="U74" s="62" t="n">
        <v>0.424083769633508</v>
      </c>
      <c r="V74" s="61" t="n">
        <v>1913</v>
      </c>
      <c r="W74" s="62" t="n">
        <v>0.0777040344688333</v>
      </c>
      <c r="X74" s="63" t="s">
        <v>163</v>
      </c>
      <c r="Y74" s="63" t="s">
        <v>164</v>
      </c>
    </row>
    <row r="75" customFormat="false" ht="15" hidden="false" customHeight="false" outlineLevel="0" collapsed="false">
      <c r="A75" s="32" t="s">
        <v>220</v>
      </c>
      <c r="B75" s="32" t="s">
        <v>232</v>
      </c>
      <c r="C75" s="32" t="s">
        <v>161</v>
      </c>
      <c r="D75" s="59" t="n">
        <f aca="false">ROUND(S75*T75,0)</f>
        <v>75</v>
      </c>
      <c r="E75" s="59" t="n">
        <f aca="false">ROUND(S75,0)-D75</f>
        <v>69</v>
      </c>
      <c r="F75" s="59" t="n">
        <f aca="false">IF(COUNTA(D75:E75)=0,"",SUM(D75:E75))</f>
        <v>144</v>
      </c>
      <c r="G75" s="40" t="n">
        <f aca="false">IF(OR(F75="",F75=0),"",D75/F75)</f>
        <v>0.520833333333333</v>
      </c>
      <c r="H75" s="40" t="n">
        <f aca="false">IF(OR(F75="",F75=0),"",E75/F75)</f>
        <v>0.479166666666667</v>
      </c>
      <c r="I75" s="32" t="s">
        <v>162</v>
      </c>
      <c r="J75" s="36" t="n">
        <v>3.01261974295132</v>
      </c>
      <c r="K75" s="36" t="n">
        <f aca="false">$K$8</f>
        <v>1.2747518664323</v>
      </c>
      <c r="L75" s="36" t="n">
        <f aca="false">SQRT(J75^2+K75^2)</f>
        <v>3.27121843302961</v>
      </c>
      <c r="M75" s="40" t="n">
        <f aca="false">IF(G75="","",MAX(0,G75-1.96*L75/100))</f>
        <v>0.456717452045953</v>
      </c>
      <c r="N75" s="40" t="n">
        <f aca="false">IF(G75="","",MIN(1,G75+1.96*L75/100))</f>
        <v>0.584949214620714</v>
      </c>
      <c r="O75" s="59" t="n">
        <f aca="false">ROUND(S75*W75,0)</f>
        <v>11</v>
      </c>
      <c r="P75" s="59" t="n">
        <f aca="false">IF(F75="","",ROUND(SQRT((F75*L75/100)^2+(G75*O75)^2),0))</f>
        <v>7</v>
      </c>
      <c r="R75" s="60" t="n">
        <v>10.0743169169829</v>
      </c>
      <c r="S75" s="61" t="n">
        <f aca="false">U75*V75*$F$5</f>
        <v>143.630597014925</v>
      </c>
      <c r="T75" s="62" t="n">
        <f aca="false">MAX(0,MIN(1,R75/100+$D$5))</f>
        <v>0.521442323980413</v>
      </c>
      <c r="U75" s="62" t="n">
        <v>0.526119402985075</v>
      </c>
      <c r="V75" s="61" t="n">
        <v>273</v>
      </c>
      <c r="W75" s="62" t="n">
        <v>0.0777040344688333</v>
      </c>
      <c r="X75" s="63" t="s">
        <v>163</v>
      </c>
      <c r="Y75" s="63" t="s">
        <v>164</v>
      </c>
    </row>
    <row r="76" customFormat="false" ht="15" hidden="false" customHeight="false" outlineLevel="0" collapsed="false">
      <c r="A76" s="32" t="s">
        <v>220</v>
      </c>
      <c r="B76" s="32" t="s">
        <v>198</v>
      </c>
      <c r="C76" s="32" t="s">
        <v>161</v>
      </c>
      <c r="D76" s="59" t="n">
        <f aca="false">ROUND(S76*T76,0)</f>
        <v>3502</v>
      </c>
      <c r="E76" s="59" t="n">
        <f aca="false">ROUND(S76,0)-D76</f>
        <v>2921</v>
      </c>
      <c r="F76" s="59" t="n">
        <f aca="false">IF(COUNTA(D76:E76)=0,"",SUM(D76:E76))</f>
        <v>6423</v>
      </c>
      <c r="G76" s="40" t="n">
        <f aca="false">IF(OR(F76="",F76=0),"",D76/F76)</f>
        <v>0.545228086563911</v>
      </c>
      <c r="H76" s="40" t="n">
        <f aca="false">IF(OR(F76="",F76=0),"",E76/F76)</f>
        <v>0.454771913436089</v>
      </c>
      <c r="I76" s="32" t="s">
        <v>162</v>
      </c>
      <c r="J76" s="36" t="n">
        <v>1.66048092133492</v>
      </c>
      <c r="K76" s="36" t="n">
        <f aca="false">$K$8</f>
        <v>1.2747518664323</v>
      </c>
      <c r="L76" s="36" t="n">
        <f aca="false">SQRT(J76^2+K76^2)</f>
        <v>2.09336791106816</v>
      </c>
      <c r="M76" s="40" t="n">
        <f aca="false">IF(G76="","",MAX(0,G76-1.96*L76/100))</f>
        <v>0.504198075506975</v>
      </c>
      <c r="N76" s="40" t="n">
        <f aca="false">IF(G76="","",MIN(1,G76+1.96*L76/100))</f>
        <v>0.586258097620847</v>
      </c>
      <c r="O76" s="59" t="n">
        <f aca="false">ROUND(S76*W76,0)</f>
        <v>354</v>
      </c>
      <c r="P76" s="59" t="n">
        <f aca="false">IF(F76="","",ROUND(SQRT((F76*L76/100)^2+(G76*O76)^2),0))</f>
        <v>235</v>
      </c>
      <c r="R76" s="60" t="n">
        <v>12.4625294934961</v>
      </c>
      <c r="S76" s="61" t="n">
        <f aca="false">U76*V76*$F$5</f>
        <v>6422.70106427379</v>
      </c>
      <c r="T76" s="62" t="n">
        <f aca="false">MAX(0,MIN(1,R76/100+$D$5))</f>
        <v>0.545324449745545</v>
      </c>
      <c r="U76" s="62" t="n">
        <v>0.673309682804674</v>
      </c>
      <c r="V76" s="61" t="n">
        <v>9539</v>
      </c>
      <c r="W76" s="62" t="n">
        <v>0.0551273752894184</v>
      </c>
      <c r="X76" s="63" t="s">
        <v>184</v>
      </c>
      <c r="Y76" s="63" t="s">
        <v>164</v>
      </c>
    </row>
    <row r="77" customFormat="false" ht="15" hidden="false" customHeight="false" outlineLevel="0" collapsed="false">
      <c r="A77" s="32" t="s">
        <v>220</v>
      </c>
      <c r="B77" s="32" t="s">
        <v>233</v>
      </c>
      <c r="C77" s="32" t="s">
        <v>161</v>
      </c>
      <c r="D77" s="59" t="n">
        <f aca="false">ROUND(S77*T77,0)</f>
        <v>1369</v>
      </c>
      <c r="E77" s="59" t="n">
        <f aca="false">ROUND(S77,0)-D77</f>
        <v>1259</v>
      </c>
      <c r="F77" s="59" t="n">
        <f aca="false">IF(COUNTA(D77:E77)=0,"",SUM(D77:E77))</f>
        <v>2628</v>
      </c>
      <c r="G77" s="40" t="n">
        <f aca="false">IF(OR(F77="",F77=0),"",D77/F77)</f>
        <v>0.520928462709285</v>
      </c>
      <c r="H77" s="40" t="n">
        <f aca="false">IF(OR(F77="",F77=0),"",E77/F77)</f>
        <v>0.479071537290715</v>
      </c>
      <c r="I77" s="32" t="s">
        <v>162</v>
      </c>
      <c r="J77" s="36" t="n">
        <v>1.97233065497388</v>
      </c>
      <c r="K77" s="36" t="n">
        <f aca="false">$K$8</f>
        <v>1.2747518664323</v>
      </c>
      <c r="L77" s="36" t="n">
        <f aca="false">SQRT(J77^2+K77^2)</f>
        <v>2.34842085953994</v>
      </c>
      <c r="M77" s="40" t="n">
        <f aca="false">IF(G77="","",MAX(0,G77-1.96*L77/100))</f>
        <v>0.474899413862302</v>
      </c>
      <c r="N77" s="40" t="n">
        <f aca="false">IF(G77="","",MIN(1,G77+1.96*L77/100))</f>
        <v>0.566957511556268</v>
      </c>
      <c r="O77" s="59" t="n">
        <f aca="false">ROUND(S77*W77,0)</f>
        <v>159</v>
      </c>
      <c r="P77" s="59" t="n">
        <f aca="false">IF(F77="","",ROUND(SQRT((F77*L77/100)^2+(G77*O77)^2),0))</f>
        <v>103</v>
      </c>
      <c r="R77" s="60" t="n">
        <v>10.0091816169499</v>
      </c>
      <c r="S77" s="61" t="n">
        <f aca="false">U77*V77*$F$5</f>
        <v>2628.02463970246</v>
      </c>
      <c r="T77" s="62" t="n">
        <f aca="false">MAX(0,MIN(1,R77/100+$D$5))</f>
        <v>0.520790970980083</v>
      </c>
      <c r="U77" s="62" t="n">
        <v>0.598093909809391</v>
      </c>
      <c r="V77" s="61" t="n">
        <v>4394</v>
      </c>
      <c r="W77" s="62" t="n">
        <v>0.0606122259008943</v>
      </c>
      <c r="X77" s="63" t="s">
        <v>168</v>
      </c>
      <c r="Y77" s="63" t="s">
        <v>164</v>
      </c>
    </row>
    <row r="78" customFormat="false" ht="15" hidden="false" customHeight="false" outlineLevel="0" collapsed="false">
      <c r="A78" s="32" t="s">
        <v>220</v>
      </c>
      <c r="B78" s="32" t="s">
        <v>234</v>
      </c>
      <c r="C78" s="32" t="s">
        <v>161</v>
      </c>
      <c r="D78" s="59" t="n">
        <f aca="false">ROUND(S78*T78,0)</f>
        <v>1794</v>
      </c>
      <c r="E78" s="59" t="n">
        <f aca="false">ROUND(S78,0)-D78</f>
        <v>3545</v>
      </c>
      <c r="F78" s="59" t="n">
        <f aca="false">IF(COUNTA(D78:E78)=0,"",SUM(D78:E78))</f>
        <v>5339</v>
      </c>
      <c r="G78" s="40" t="n">
        <f aca="false">IF(OR(F78="",F78=0),"",D78/F78)</f>
        <v>0.336017980895299</v>
      </c>
      <c r="H78" s="40" t="n">
        <f aca="false">IF(OR(F78="",F78=0),"",E78/F78)</f>
        <v>0.663982019104701</v>
      </c>
      <c r="I78" s="32" t="s">
        <v>162</v>
      </c>
      <c r="J78" s="36" t="n">
        <v>1.66048092133492</v>
      </c>
      <c r="K78" s="36" t="n">
        <f aca="false">$K$8</f>
        <v>1.2747518664323</v>
      </c>
      <c r="L78" s="36" t="n">
        <f aca="false">SQRT(J78^2+K78^2)</f>
        <v>2.09336791106816</v>
      </c>
      <c r="M78" s="40" t="n">
        <f aca="false">IF(G78="","",MAX(0,G78-1.96*L78/100))</f>
        <v>0.294987969838363</v>
      </c>
      <c r="N78" s="40" t="n">
        <f aca="false">IF(G78="","",MIN(1,G78+1.96*L78/100))</f>
        <v>0.377047991952235</v>
      </c>
      <c r="O78" s="59" t="n">
        <f aca="false">ROUND(S78*W78,0)</f>
        <v>294</v>
      </c>
      <c r="P78" s="59" t="n">
        <f aca="false">IF(F78="","",ROUND(SQRT((F78*L78/100)^2+(G78*O78)^2),0))</f>
        <v>149</v>
      </c>
      <c r="R78" s="60" t="n">
        <v>-8.46843161972895</v>
      </c>
      <c r="S78" s="61" t="n">
        <f aca="false">U78*V78*$F$5</f>
        <v>5339.13569131833</v>
      </c>
      <c r="T78" s="62" t="n">
        <f aca="false">MAX(0,MIN(1,R78/100+$D$5))</f>
        <v>0.336014838613295</v>
      </c>
      <c r="U78" s="62" t="n">
        <v>0.656720257234727</v>
      </c>
      <c r="V78" s="61" t="n">
        <v>8130</v>
      </c>
      <c r="W78" s="62" t="n">
        <v>0.0551273752894184</v>
      </c>
      <c r="X78" s="63" t="s">
        <v>184</v>
      </c>
      <c r="Y78" s="63" t="s">
        <v>164</v>
      </c>
    </row>
    <row r="79" customFormat="false" ht="15" hidden="false" customHeight="false" outlineLevel="0" collapsed="false">
      <c r="A79" s="32" t="s">
        <v>220</v>
      </c>
      <c r="B79" s="32" t="s">
        <v>235</v>
      </c>
      <c r="C79" s="32" t="s">
        <v>161</v>
      </c>
      <c r="D79" s="59" t="n">
        <f aca="false">ROUND(S79*T79,0)</f>
        <v>484</v>
      </c>
      <c r="E79" s="59" t="n">
        <f aca="false">ROUND(S79,0)-D79</f>
        <v>954</v>
      </c>
      <c r="F79" s="59" t="n">
        <f aca="false">IF(COUNTA(D79:E79)=0,"",SUM(D79:E79))</f>
        <v>1438</v>
      </c>
      <c r="G79" s="40" t="n">
        <f aca="false">IF(OR(F79="",F79=0),"",D79/F79)</f>
        <v>0.336578581363004</v>
      </c>
      <c r="H79" s="40" t="n">
        <f aca="false">IF(OR(F79="",F79=0),"",E79/F79)</f>
        <v>0.663421418636996</v>
      </c>
      <c r="I79" s="32" t="s">
        <v>162</v>
      </c>
      <c r="J79" s="36" t="n">
        <v>1.97233065497388</v>
      </c>
      <c r="K79" s="36" t="n">
        <f aca="false">$K$8</f>
        <v>1.2747518664323</v>
      </c>
      <c r="L79" s="36" t="n">
        <f aca="false">SQRT(J79^2+K79^2)</f>
        <v>2.34842085953994</v>
      </c>
      <c r="M79" s="40" t="n">
        <f aca="false">IF(G79="","",MAX(0,G79-1.96*L79/100))</f>
        <v>0.290549532516021</v>
      </c>
      <c r="N79" s="40" t="n">
        <f aca="false">IF(G79="","",MIN(1,G79+1.96*L79/100))</f>
        <v>0.382607630209987</v>
      </c>
      <c r="O79" s="59" t="n">
        <f aca="false">ROUND(S79*W79,0)</f>
        <v>87</v>
      </c>
      <c r="P79" s="59" t="n">
        <f aca="false">IF(F79="","",ROUND(SQRT((F79*L79/100)^2+(G79*O79)^2),0))</f>
        <v>45</v>
      </c>
      <c r="R79" s="60" t="n">
        <v>-8.37978356913243</v>
      </c>
      <c r="S79" s="61" t="n">
        <f aca="false">U79*V79*$F$5</f>
        <v>1437.5</v>
      </c>
      <c r="T79" s="62" t="n">
        <f aca="false">MAX(0,MIN(1,R79/100+$D$5))</f>
        <v>0.33690131911926</v>
      </c>
      <c r="U79" s="62" t="n">
        <v>0.625</v>
      </c>
      <c r="V79" s="61" t="n">
        <v>2300</v>
      </c>
      <c r="W79" s="62" t="n">
        <v>0.0606122259008943</v>
      </c>
      <c r="X79" s="63" t="s">
        <v>168</v>
      </c>
      <c r="Y79" s="63" t="s">
        <v>164</v>
      </c>
    </row>
    <row r="80" customFormat="false" ht="15" hidden="false" customHeight="false" outlineLevel="0" collapsed="false">
      <c r="A80" s="32" t="s">
        <v>220</v>
      </c>
      <c r="B80" s="32" t="s">
        <v>236</v>
      </c>
      <c r="C80" s="32" t="s">
        <v>161</v>
      </c>
      <c r="D80" s="59" t="n">
        <f aca="false">ROUND(S80*T80,0)</f>
        <v>1705</v>
      </c>
      <c r="E80" s="59" t="n">
        <f aca="false">ROUND(S80,0)-D80</f>
        <v>2017</v>
      </c>
      <c r="F80" s="59" t="n">
        <f aca="false">IF(COUNTA(D80:E80)=0,"",SUM(D80:E80))</f>
        <v>3722</v>
      </c>
      <c r="G80" s="40" t="n">
        <f aca="false">IF(OR(F80="",F80=0),"",D80/F80)</f>
        <v>0.458087049973133</v>
      </c>
      <c r="H80" s="40" t="n">
        <f aca="false">IF(OR(F80="",F80=0),"",E80/F80)</f>
        <v>0.541912950026867</v>
      </c>
      <c r="I80" s="32" t="s">
        <v>162</v>
      </c>
      <c r="J80" s="36" t="n">
        <v>1.66048092133492</v>
      </c>
      <c r="K80" s="36" t="n">
        <f aca="false">$K$8</f>
        <v>1.2747518664323</v>
      </c>
      <c r="L80" s="36" t="n">
        <f aca="false">SQRT(J80^2+K80^2)</f>
        <v>2.09336791106816</v>
      </c>
      <c r="M80" s="40" t="n">
        <f aca="false">IF(G80="","",MAX(0,G80-1.96*L80/100))</f>
        <v>0.417057038916197</v>
      </c>
      <c r="N80" s="40" t="n">
        <f aca="false">IF(G80="","",MIN(1,G80+1.96*L80/100))</f>
        <v>0.499117061030069</v>
      </c>
      <c r="O80" s="59" t="n">
        <f aca="false">ROUND(S80*W80,0)</f>
        <v>205</v>
      </c>
      <c r="P80" s="59" t="n">
        <f aca="false">IF(F80="","",ROUND(SQRT((F80*L80/100)^2+(G80*O80)^2),0))</f>
        <v>122</v>
      </c>
      <c r="R80" s="60" t="n">
        <v>3.7511933522519</v>
      </c>
      <c r="S80" s="61" t="n">
        <f aca="false">U80*V80*$F$5</f>
        <v>3721.57991120977</v>
      </c>
      <c r="T80" s="62" t="n">
        <f aca="false">MAX(0,MIN(1,R80/100+$D$5))</f>
        <v>0.458211088333103</v>
      </c>
      <c r="U80" s="62" t="n">
        <v>0.684239733629301</v>
      </c>
      <c r="V80" s="61" t="n">
        <v>5439</v>
      </c>
      <c r="W80" s="62" t="n">
        <v>0.0551273752894184</v>
      </c>
      <c r="X80" s="63" t="s">
        <v>184</v>
      </c>
      <c r="Y80" s="63" t="s">
        <v>164</v>
      </c>
    </row>
    <row r="81" customFormat="false" ht="15" hidden="false" customHeight="false" outlineLevel="0" collapsed="false">
      <c r="A81" s="32" t="s">
        <v>220</v>
      </c>
      <c r="B81" s="32" t="s">
        <v>237</v>
      </c>
      <c r="C81" s="32" t="s">
        <v>161</v>
      </c>
      <c r="D81" s="59" t="n">
        <f aca="false">ROUND(S81*T81,0)</f>
        <v>2883</v>
      </c>
      <c r="E81" s="59" t="n">
        <f aca="false">ROUND(S81,0)-D81</f>
        <v>3041</v>
      </c>
      <c r="F81" s="59" t="n">
        <f aca="false">IF(COUNTA(D81:E81)=0,"",SUM(D81:E81))</f>
        <v>5924</v>
      </c>
      <c r="G81" s="40" t="n">
        <f aca="false">IF(OR(F81="",F81=0),"",D81/F81)</f>
        <v>0.486664415935179</v>
      </c>
      <c r="H81" s="40" t="n">
        <f aca="false">IF(OR(F81="",F81=0),"",E81/F81)</f>
        <v>0.513335584064821</v>
      </c>
      <c r="I81" s="32" t="s">
        <v>162</v>
      </c>
      <c r="J81" s="36" t="n">
        <v>1.66048092133492</v>
      </c>
      <c r="K81" s="36" t="n">
        <f aca="false">$K$8</f>
        <v>1.2747518664323</v>
      </c>
      <c r="L81" s="36" t="n">
        <f aca="false">SQRT(J81^2+K81^2)</f>
        <v>2.09336791106816</v>
      </c>
      <c r="M81" s="40" t="n">
        <f aca="false">IF(G81="","",MAX(0,G81-1.96*L81/100))</f>
        <v>0.445634404878243</v>
      </c>
      <c r="N81" s="40" t="n">
        <f aca="false">IF(G81="","",MIN(1,G81+1.96*L81/100))</f>
        <v>0.527694426992115</v>
      </c>
      <c r="O81" s="59" t="n">
        <f aca="false">ROUND(S81*W81,0)</f>
        <v>327</v>
      </c>
      <c r="P81" s="59" t="n">
        <f aca="false">IF(F81="","",ROUND(SQRT((F81*L81/100)^2+(G81*O81)^2),0))</f>
        <v>202</v>
      </c>
      <c r="R81" s="60" t="n">
        <v>6.59158501531138</v>
      </c>
      <c r="S81" s="61" t="n">
        <f aca="false">U81*V81*$F$5</f>
        <v>5924.29823361823</v>
      </c>
      <c r="T81" s="62" t="n">
        <f aca="false">MAX(0,MIN(1,R81/100+$D$5))</f>
        <v>0.486615004963698</v>
      </c>
      <c r="U81" s="62" t="n">
        <v>0.675441595441595</v>
      </c>
      <c r="V81" s="61" t="n">
        <v>8771</v>
      </c>
      <c r="W81" s="62" t="n">
        <v>0.0551273752894184</v>
      </c>
      <c r="X81" s="63" t="s">
        <v>184</v>
      </c>
      <c r="Y81" s="63" t="s">
        <v>164</v>
      </c>
    </row>
    <row r="82" customFormat="false" ht="15" hidden="false" customHeight="false" outlineLevel="0" collapsed="false">
      <c r="A82" s="32" t="s">
        <v>220</v>
      </c>
      <c r="B82" s="32" t="s">
        <v>238</v>
      </c>
      <c r="C82" s="32" t="s">
        <v>161</v>
      </c>
      <c r="D82" s="59" t="n">
        <f aca="false">ROUND(S82*T82,0)</f>
        <v>1594</v>
      </c>
      <c r="E82" s="59" t="n">
        <f aca="false">ROUND(S82,0)-D82</f>
        <v>3254</v>
      </c>
      <c r="F82" s="59" t="n">
        <f aca="false">IF(COUNTA(D82:E82)=0,"",SUM(D82:E82))</f>
        <v>4848</v>
      </c>
      <c r="G82" s="40" t="n">
        <f aca="false">IF(OR(F82="",F82=0),"",D82/F82)</f>
        <v>0.328795379537954</v>
      </c>
      <c r="H82" s="40" t="n">
        <f aca="false">IF(OR(F82="",F82=0),"",E82/F82)</f>
        <v>0.671204620462046</v>
      </c>
      <c r="I82" s="32" t="s">
        <v>162</v>
      </c>
      <c r="J82" s="36" t="n">
        <v>1.66048092133492</v>
      </c>
      <c r="K82" s="36" t="n">
        <f aca="false">$K$8</f>
        <v>1.2747518664323</v>
      </c>
      <c r="L82" s="36" t="n">
        <f aca="false">SQRT(J82^2+K82^2)</f>
        <v>2.09336791106816</v>
      </c>
      <c r="M82" s="40" t="n">
        <f aca="false">IF(G82="","",MAX(0,G82-1.96*L82/100))</f>
        <v>0.287765368481018</v>
      </c>
      <c r="N82" s="40" t="n">
        <f aca="false">IF(G82="","",MIN(1,G82+1.96*L82/100))</f>
        <v>0.36982539059489</v>
      </c>
      <c r="O82" s="59" t="n">
        <f aca="false">ROUND(S82*W82,0)</f>
        <v>267</v>
      </c>
      <c r="P82" s="59" t="n">
        <f aca="false">IF(F82="","",ROUND(SQRT((F82*L82/100)^2+(G82*O82)^2),0))</f>
        <v>134</v>
      </c>
      <c r="R82" s="60" t="n">
        <v>-9.20046859939966</v>
      </c>
      <c r="S82" s="61" t="n">
        <f aca="false">U82*V82*$F$5</f>
        <v>4848.29721362229</v>
      </c>
      <c r="T82" s="62" t="n">
        <f aca="false">MAX(0,MIN(1,R82/100+$D$5))</f>
        <v>0.328694468816588</v>
      </c>
      <c r="U82" s="62" t="n">
        <v>0.668730650154799</v>
      </c>
      <c r="V82" s="61" t="n">
        <v>7250</v>
      </c>
      <c r="W82" s="62" t="n">
        <v>0.0551273752894184</v>
      </c>
      <c r="X82" s="63" t="s">
        <v>184</v>
      </c>
      <c r="Y82" s="63" t="s">
        <v>164</v>
      </c>
    </row>
    <row r="83" customFormat="false" ht="15" hidden="false" customHeight="false" outlineLevel="0" collapsed="false">
      <c r="A83" s="32" t="s">
        <v>220</v>
      </c>
      <c r="B83" s="32" t="s">
        <v>239</v>
      </c>
      <c r="C83" s="32" t="s">
        <v>161</v>
      </c>
      <c r="D83" s="59" t="n">
        <f aca="false">ROUND(S83*T83,0)</f>
        <v>1239</v>
      </c>
      <c r="E83" s="59" t="n">
        <f aca="false">ROUND(S83,0)-D83</f>
        <v>1276</v>
      </c>
      <c r="F83" s="59" t="n">
        <f aca="false">IF(COUNTA(D83:E83)=0,"",SUM(D83:E83))</f>
        <v>2515</v>
      </c>
      <c r="G83" s="40" t="n">
        <f aca="false">IF(OR(F83="",F83=0),"",D83/F83)</f>
        <v>0.492644135188867</v>
      </c>
      <c r="H83" s="40" t="n">
        <f aca="false">IF(OR(F83="",F83=0),"",E83/F83)</f>
        <v>0.507355864811133</v>
      </c>
      <c r="I83" s="32" t="s">
        <v>162</v>
      </c>
      <c r="J83" s="36" t="n">
        <v>1.97233065497388</v>
      </c>
      <c r="K83" s="36" t="n">
        <f aca="false">$K$8</f>
        <v>1.2747518664323</v>
      </c>
      <c r="L83" s="36" t="n">
        <f aca="false">SQRT(J83^2+K83^2)</f>
        <v>2.34842085953994</v>
      </c>
      <c r="M83" s="40" t="n">
        <f aca="false">IF(G83="","",MAX(0,G83-1.96*L83/100))</f>
        <v>0.446615086341884</v>
      </c>
      <c r="N83" s="40" t="n">
        <f aca="false">IF(G83="","",MIN(1,G83+1.96*L83/100))</f>
        <v>0.53867318403585</v>
      </c>
      <c r="O83" s="59" t="n">
        <f aca="false">ROUND(S83*W83,0)</f>
        <v>152</v>
      </c>
      <c r="P83" s="59" t="n">
        <f aca="false">IF(F83="","",ROUND(SQRT((F83*L83/100)^2+(G83*O83)^2),0))</f>
        <v>95</v>
      </c>
      <c r="R83" s="60" t="n">
        <v>7.18215303746952</v>
      </c>
      <c r="S83" s="61" t="n">
        <f aca="false">U83*V83*$F$5</f>
        <v>2514.75925477861</v>
      </c>
      <c r="T83" s="62" t="n">
        <f aca="false">MAX(0,MIN(1,R83/100+$D$5))</f>
        <v>0.492520685185279</v>
      </c>
      <c r="U83" s="62" t="n">
        <v>0.595209291071861</v>
      </c>
      <c r="V83" s="61" t="n">
        <v>4225</v>
      </c>
      <c r="W83" s="62" t="n">
        <v>0.0606122259008943</v>
      </c>
      <c r="X83" s="63" t="s">
        <v>168</v>
      </c>
      <c r="Y83" s="63" t="s">
        <v>164</v>
      </c>
    </row>
    <row r="84" customFormat="false" ht="15" hidden="false" customHeight="false" outlineLevel="0" collapsed="false">
      <c r="A84" s="32" t="s">
        <v>220</v>
      </c>
      <c r="B84" s="32" t="s">
        <v>240</v>
      </c>
      <c r="C84" s="32" t="s">
        <v>161</v>
      </c>
      <c r="D84" s="59" t="n">
        <f aca="false">ROUND(S84*T84,0)</f>
        <v>710</v>
      </c>
      <c r="E84" s="59" t="n">
        <f aca="false">ROUND(S84,0)-D84</f>
        <v>718</v>
      </c>
      <c r="F84" s="59" t="n">
        <f aca="false">IF(COUNTA(D84:E84)=0,"",SUM(D84:E84))</f>
        <v>1428</v>
      </c>
      <c r="G84" s="40" t="n">
        <f aca="false">IF(OR(F84="",F84=0),"",D84/F84)</f>
        <v>0.497198879551821</v>
      </c>
      <c r="H84" s="40" t="n">
        <f aca="false">IF(OR(F84="",F84=0),"",E84/F84)</f>
        <v>0.502801120448179</v>
      </c>
      <c r="I84" s="32" t="s">
        <v>162</v>
      </c>
      <c r="J84" s="36" t="n">
        <v>1.97233065497388</v>
      </c>
      <c r="K84" s="36" t="n">
        <f aca="false">$K$8</f>
        <v>1.2747518664323</v>
      </c>
      <c r="L84" s="36" t="n">
        <f aca="false">SQRT(J84^2+K84^2)</f>
        <v>2.34842085953994</v>
      </c>
      <c r="M84" s="40" t="n">
        <f aca="false">IF(G84="","",MAX(0,G84-1.96*L84/100))</f>
        <v>0.451169830704838</v>
      </c>
      <c r="N84" s="40" t="n">
        <f aca="false">IF(G84="","",MIN(1,G84+1.96*L84/100))</f>
        <v>0.543227928398804</v>
      </c>
      <c r="O84" s="59" t="n">
        <f aca="false">ROUND(S84*W84,0)</f>
        <v>87</v>
      </c>
      <c r="P84" s="59" t="n">
        <f aca="false">IF(F84="","",ROUND(SQRT((F84*L84/100)^2+(G84*O84)^2),0))</f>
        <v>55</v>
      </c>
      <c r="R84" s="60" t="n">
        <v>7.68376455729631</v>
      </c>
      <c r="S84" s="61" t="n">
        <f aca="false">U84*V84*$F$5</f>
        <v>1427.54656265236</v>
      </c>
      <c r="T84" s="62" t="n">
        <f aca="false">MAX(0,MIN(1,R84/100+$D$5))</f>
        <v>0.497536800383547</v>
      </c>
      <c r="U84" s="62" t="n">
        <v>0.623110677718186</v>
      </c>
      <c r="V84" s="61" t="n">
        <v>2291</v>
      </c>
      <c r="W84" s="62" t="n">
        <v>0.0606122259008943</v>
      </c>
      <c r="X84" s="63" t="s">
        <v>168</v>
      </c>
      <c r="Y84" s="63" t="s">
        <v>164</v>
      </c>
    </row>
    <row r="85" customFormat="false" ht="15" hidden="false" customHeight="false" outlineLevel="0" collapsed="false">
      <c r="A85" s="32" t="s">
        <v>220</v>
      </c>
      <c r="B85" s="32" t="s">
        <v>241</v>
      </c>
      <c r="C85" s="32" t="s">
        <v>161</v>
      </c>
      <c r="D85" s="59" t="n">
        <f aca="false">ROUND(S85*T85,0)</f>
        <v>1972</v>
      </c>
      <c r="E85" s="59" t="n">
        <f aca="false">ROUND(S85,0)-D85</f>
        <v>2192</v>
      </c>
      <c r="F85" s="59" t="n">
        <f aca="false">IF(COUNTA(D85:E85)=0,"",SUM(D85:E85))</f>
        <v>4164</v>
      </c>
      <c r="G85" s="40" t="n">
        <f aca="false">IF(OR(F85="",F85=0),"",D85/F85)</f>
        <v>0.473583093179635</v>
      </c>
      <c r="H85" s="40" t="n">
        <f aca="false">IF(OR(F85="",F85=0),"",E85/F85)</f>
        <v>0.526416906820365</v>
      </c>
      <c r="I85" s="32" t="s">
        <v>162</v>
      </c>
      <c r="J85" s="36" t="n">
        <v>1.66048092133492</v>
      </c>
      <c r="K85" s="36" t="n">
        <f aca="false">$K$8</f>
        <v>1.2747518664323</v>
      </c>
      <c r="L85" s="36" t="n">
        <f aca="false">SQRT(J85^2+K85^2)</f>
        <v>2.09336791106816</v>
      </c>
      <c r="M85" s="40" t="n">
        <f aca="false">IF(G85="","",MAX(0,G85-1.96*L85/100))</f>
        <v>0.432553082122699</v>
      </c>
      <c r="N85" s="40" t="n">
        <f aca="false">IF(G85="","",MIN(1,G85+1.96*L85/100))</f>
        <v>0.514613104236571</v>
      </c>
      <c r="O85" s="59" t="n">
        <f aca="false">ROUND(S85*W85,0)</f>
        <v>230</v>
      </c>
      <c r="P85" s="59" t="n">
        <f aca="false">IF(F85="","",ROUND(SQRT((F85*L85/100)^2+(G85*O85)^2),0))</f>
        <v>140</v>
      </c>
      <c r="R85" s="60" t="n">
        <v>5.29954114353846</v>
      </c>
      <c r="S85" s="61" t="n">
        <f aca="false">U85*V85*$F$5</f>
        <v>4163.88109359178</v>
      </c>
      <c r="T85" s="62" t="n">
        <f aca="false">MAX(0,MIN(1,R85/100+$D$5))</f>
        <v>0.473694566245969</v>
      </c>
      <c r="U85" s="62" t="n">
        <v>0.568060176479097</v>
      </c>
      <c r="V85" s="61" t="n">
        <v>7330</v>
      </c>
      <c r="W85" s="62" t="n">
        <v>0.0551273752894184</v>
      </c>
      <c r="X85" s="63" t="s">
        <v>184</v>
      </c>
      <c r="Y85" s="63" t="s">
        <v>164</v>
      </c>
    </row>
    <row r="86" customFormat="false" ht="15" hidden="false" customHeight="false" outlineLevel="0" collapsed="false">
      <c r="A86" s="32" t="s">
        <v>220</v>
      </c>
      <c r="B86" s="32" t="s">
        <v>242</v>
      </c>
      <c r="C86" s="32" t="s">
        <v>161</v>
      </c>
      <c r="D86" s="59" t="n">
        <f aca="false">ROUND(S86*T86,0)</f>
        <v>5495</v>
      </c>
      <c r="E86" s="59" t="n">
        <f aca="false">ROUND(S86,0)-D86</f>
        <v>5162</v>
      </c>
      <c r="F86" s="59" t="n">
        <f aca="false">IF(COUNTA(D86:E86)=0,"",SUM(D86:E86))</f>
        <v>10657</v>
      </c>
      <c r="G86" s="40" t="n">
        <f aca="false">IF(OR(F86="",F86=0),"",D86/F86)</f>
        <v>0.515623533827531</v>
      </c>
      <c r="H86" s="40" t="n">
        <f aca="false">IF(OR(F86="",F86=0),"",E86/F86)</f>
        <v>0.484376466172469</v>
      </c>
      <c r="I86" s="32" t="s">
        <v>162</v>
      </c>
      <c r="J86" s="36" t="n">
        <v>1.66048092133492</v>
      </c>
      <c r="K86" s="36" t="n">
        <f aca="false">$K$8</f>
        <v>1.2747518664323</v>
      </c>
      <c r="L86" s="36" t="n">
        <f aca="false">SQRT(J86^2+K86^2)</f>
        <v>2.09336791106816</v>
      </c>
      <c r="M86" s="40" t="n">
        <f aca="false">IF(G86="","",MAX(0,G86-1.96*L86/100))</f>
        <v>0.474593522770595</v>
      </c>
      <c r="N86" s="40" t="n">
        <f aca="false">IF(G86="","",MIN(1,G86+1.96*L86/100))</f>
        <v>0.556653544884467</v>
      </c>
      <c r="O86" s="59" t="n">
        <f aca="false">ROUND(S86*W86,0)</f>
        <v>587</v>
      </c>
      <c r="P86" s="59" t="n">
        <f aca="false">IF(F86="","",ROUND(SQRT((F86*L86/100)^2+(G86*O86)^2),0))</f>
        <v>376</v>
      </c>
      <c r="R86" s="60" t="n">
        <v>9.49652664061835</v>
      </c>
      <c r="S86" s="61" t="n">
        <f aca="false">U86*V86*$F$5</f>
        <v>10656.5050635134</v>
      </c>
      <c r="T86" s="62" t="n">
        <f aca="false">MAX(0,MIN(1,R86/100+$D$5))</f>
        <v>0.515664421216768</v>
      </c>
      <c r="U86" s="62" t="n">
        <v>0.603699584382134</v>
      </c>
      <c r="V86" s="61" t="n">
        <v>17652</v>
      </c>
      <c r="W86" s="62" t="n">
        <v>0.0551273752894184</v>
      </c>
      <c r="X86" s="63" t="s">
        <v>184</v>
      </c>
      <c r="Y86" s="63" t="s">
        <v>164</v>
      </c>
    </row>
    <row r="87" customFormat="false" ht="15" hidden="false" customHeight="false" outlineLevel="0" collapsed="false">
      <c r="A87" s="32" t="s">
        <v>220</v>
      </c>
      <c r="B87" s="32" t="s">
        <v>243</v>
      </c>
      <c r="C87" s="32" t="s">
        <v>161</v>
      </c>
      <c r="D87" s="59" t="n">
        <f aca="false">ROUND(S87*T87,0)</f>
        <v>499</v>
      </c>
      <c r="E87" s="59" t="n">
        <f aca="false">ROUND(S87,0)-D87</f>
        <v>863</v>
      </c>
      <c r="F87" s="59" t="n">
        <f aca="false">IF(COUNTA(D87:E87)=0,"",SUM(D87:E87))</f>
        <v>1362</v>
      </c>
      <c r="G87" s="40" t="n">
        <f aca="false">IF(OR(F87="",F87=0),"",D87/F87)</f>
        <v>0.366372980910426</v>
      </c>
      <c r="H87" s="40" t="n">
        <f aca="false">IF(OR(F87="",F87=0),"",E87/F87)</f>
        <v>0.633627019089574</v>
      </c>
      <c r="I87" s="32" t="s">
        <v>162</v>
      </c>
      <c r="J87" s="36" t="n">
        <v>1.97233065497388</v>
      </c>
      <c r="K87" s="36" t="n">
        <f aca="false">$K$8</f>
        <v>1.2747518664323</v>
      </c>
      <c r="L87" s="36" t="n">
        <f aca="false">SQRT(J87^2+K87^2)</f>
        <v>2.34842085953994</v>
      </c>
      <c r="M87" s="40" t="n">
        <f aca="false">IF(G87="","",MAX(0,G87-1.96*L87/100))</f>
        <v>0.320343932063443</v>
      </c>
      <c r="N87" s="40" t="n">
        <f aca="false">IF(G87="","",MIN(1,G87+1.96*L87/100))</f>
        <v>0.412402029757409</v>
      </c>
      <c r="O87" s="59" t="n">
        <f aca="false">ROUND(S87*W87,0)</f>
        <v>83</v>
      </c>
      <c r="P87" s="59" t="n">
        <f aca="false">IF(F87="","",ROUND(SQRT((F87*L87/100)^2+(G87*O87)^2),0))</f>
        <v>44</v>
      </c>
      <c r="R87" s="60" t="n">
        <v>-5.40027785465861</v>
      </c>
      <c r="S87" s="61" t="n">
        <f aca="false">U87*V87*$F$5</f>
        <v>1362.06750324535</v>
      </c>
      <c r="T87" s="62" t="n">
        <f aca="false">MAX(0,MIN(1,R87/100+$D$5))</f>
        <v>0.366696376263998</v>
      </c>
      <c r="U87" s="62" t="n">
        <v>0.55776720034617</v>
      </c>
      <c r="V87" s="61" t="n">
        <v>2442</v>
      </c>
      <c r="W87" s="62" t="n">
        <v>0.0606122259008943</v>
      </c>
      <c r="X87" s="63" t="s">
        <v>168</v>
      </c>
      <c r="Y87" s="63" t="s">
        <v>164</v>
      </c>
    </row>
    <row r="88" customFormat="false" ht="15" hidden="false" customHeight="false" outlineLevel="0" collapsed="false">
      <c r="A88" s="32" t="s">
        <v>220</v>
      </c>
      <c r="B88" s="32" t="s">
        <v>244</v>
      </c>
      <c r="C88" s="32" t="s">
        <v>161</v>
      </c>
      <c r="D88" s="59" t="n">
        <f aca="false">ROUND(S88*T88,0)</f>
        <v>1043</v>
      </c>
      <c r="E88" s="59" t="n">
        <f aca="false">ROUND(S88,0)-D88</f>
        <v>2078</v>
      </c>
      <c r="F88" s="59" t="n">
        <f aca="false">IF(COUNTA(D88:E88)=0,"",SUM(D88:E88))</f>
        <v>3121</v>
      </c>
      <c r="G88" s="40" t="n">
        <f aca="false">IF(OR(F88="",F88=0),"",D88/F88)</f>
        <v>0.334187760333227</v>
      </c>
      <c r="H88" s="40" t="n">
        <f aca="false">IF(OR(F88="",F88=0),"",E88/F88)</f>
        <v>0.665812239666774</v>
      </c>
      <c r="I88" s="32" t="s">
        <v>162</v>
      </c>
      <c r="J88" s="36" t="n">
        <v>1.66048092133492</v>
      </c>
      <c r="K88" s="36" t="n">
        <f aca="false">$K$8</f>
        <v>1.2747518664323</v>
      </c>
      <c r="L88" s="36" t="n">
        <f aca="false">SQRT(J88^2+K88^2)</f>
        <v>2.09336791106816</v>
      </c>
      <c r="M88" s="40" t="n">
        <f aca="false">IF(G88="","",MAX(0,G88-1.96*L88/100))</f>
        <v>0.293157749276291</v>
      </c>
      <c r="N88" s="40" t="n">
        <f aca="false">IF(G88="","",MIN(1,G88+1.96*L88/100))</f>
        <v>0.375217771390163</v>
      </c>
      <c r="O88" s="59" t="n">
        <f aca="false">ROUND(S88*W88,0)</f>
        <v>172</v>
      </c>
      <c r="P88" s="59" t="n">
        <f aca="false">IF(F88="","",ROUND(SQRT((F88*L88/100)^2+(G88*O88)^2),0))</f>
        <v>87</v>
      </c>
      <c r="R88" s="60" t="n">
        <v>-8.64334801373648</v>
      </c>
      <c r="S88" s="61" t="n">
        <f aca="false">U88*V88*$F$5</f>
        <v>3121.34219409283</v>
      </c>
      <c r="T88" s="62" t="n">
        <f aca="false">MAX(0,MIN(1,R88/100+$D$5))</f>
        <v>0.334265674673219</v>
      </c>
      <c r="U88" s="62" t="n">
        <v>0.648523206751055</v>
      </c>
      <c r="V88" s="61" t="n">
        <v>4813</v>
      </c>
      <c r="W88" s="62" t="n">
        <v>0.0551273752894184</v>
      </c>
      <c r="X88" s="63" t="s">
        <v>184</v>
      </c>
      <c r="Y88" s="63" t="s">
        <v>164</v>
      </c>
    </row>
    <row r="89" customFormat="false" ht="15" hidden="false" customHeight="false" outlineLevel="0" collapsed="false">
      <c r="A89" s="32" t="s">
        <v>220</v>
      </c>
      <c r="B89" s="32" t="s">
        <v>245</v>
      </c>
      <c r="C89" s="32" t="s">
        <v>161</v>
      </c>
      <c r="D89" s="59" t="n">
        <f aca="false">ROUND(S89*T89,0)</f>
        <v>68</v>
      </c>
      <c r="E89" s="59" t="n">
        <f aca="false">ROUND(S89,0)-D89</f>
        <v>128</v>
      </c>
      <c r="F89" s="59" t="n">
        <f aca="false">IF(COUNTA(D89:E89)=0,"",SUM(D89:E89))</f>
        <v>196</v>
      </c>
      <c r="G89" s="40" t="n">
        <f aca="false">IF(OR(F89="",F89=0),"",D89/F89)</f>
        <v>0.346938775510204</v>
      </c>
      <c r="H89" s="40" t="n">
        <f aca="false">IF(OR(F89="",F89=0),"",E89/F89)</f>
        <v>0.653061224489796</v>
      </c>
      <c r="I89" s="32" t="s">
        <v>162</v>
      </c>
      <c r="J89" s="36" t="n">
        <v>3.01261974295132</v>
      </c>
      <c r="K89" s="36" t="n">
        <f aca="false">$K$8</f>
        <v>1.2747518664323</v>
      </c>
      <c r="L89" s="36" t="n">
        <f aca="false">SQRT(J89^2+K89^2)</f>
        <v>3.27121843302961</v>
      </c>
      <c r="M89" s="40" t="n">
        <f aca="false">IF(G89="","",MAX(0,G89-1.96*L89/100))</f>
        <v>0.282822894222824</v>
      </c>
      <c r="N89" s="40" t="n">
        <f aca="false">IF(G89="","",MIN(1,G89+1.96*L89/100))</f>
        <v>0.411054656797584</v>
      </c>
      <c r="O89" s="59" t="n">
        <f aca="false">ROUND(S89*W89,0)</f>
        <v>15</v>
      </c>
      <c r="P89" s="59" t="n">
        <f aca="false">IF(F89="","",ROUND(SQRT((F89*L89/100)^2+(G89*O89)^2),0))</f>
        <v>8</v>
      </c>
      <c r="R89" s="60" t="n">
        <v>-7.50111465137391</v>
      </c>
      <c r="S89" s="61" t="n">
        <f aca="false">U89*V89*$F$5</f>
        <v>196.10298102981</v>
      </c>
      <c r="T89" s="62" t="n">
        <f aca="false">MAX(0,MIN(1,R89/100+$D$5))</f>
        <v>0.345688008296845</v>
      </c>
      <c r="U89" s="62" t="n">
        <v>0.525745257452575</v>
      </c>
      <c r="V89" s="61" t="n">
        <v>373</v>
      </c>
      <c r="W89" s="62" t="n">
        <v>0.0777040344688333</v>
      </c>
      <c r="X89" s="63" t="s">
        <v>163</v>
      </c>
      <c r="Y89" s="63" t="s">
        <v>164</v>
      </c>
    </row>
    <row r="90" customFormat="false" ht="15" hidden="false" customHeight="false" outlineLevel="0" collapsed="false">
      <c r="A90" s="32" t="s">
        <v>220</v>
      </c>
      <c r="B90" s="32" t="s">
        <v>246</v>
      </c>
      <c r="C90" s="32" t="s">
        <v>161</v>
      </c>
      <c r="D90" s="59" t="n">
        <f aca="false">ROUND(S90*T90,0)</f>
        <v>254</v>
      </c>
      <c r="E90" s="59" t="n">
        <f aca="false">ROUND(S90,0)-D90</f>
        <v>430</v>
      </c>
      <c r="F90" s="59" t="n">
        <f aca="false">IF(COUNTA(D90:E90)=0,"",SUM(D90:E90))</f>
        <v>684</v>
      </c>
      <c r="G90" s="40" t="n">
        <f aca="false">IF(OR(F90="",F90=0),"",D90/F90)</f>
        <v>0.371345029239766</v>
      </c>
      <c r="H90" s="40" t="n">
        <f aca="false">IF(OR(F90="",F90=0),"",E90/F90)</f>
        <v>0.628654970760234</v>
      </c>
      <c r="I90" s="32" t="s">
        <v>162</v>
      </c>
      <c r="J90" s="36" t="n">
        <v>3.01261974295132</v>
      </c>
      <c r="K90" s="36" t="n">
        <f aca="false">$K$8</f>
        <v>1.2747518664323</v>
      </c>
      <c r="L90" s="36" t="n">
        <f aca="false">SQRT(J90^2+K90^2)</f>
        <v>3.27121843302961</v>
      </c>
      <c r="M90" s="40" t="n">
        <f aca="false">IF(G90="","",MAX(0,G90-1.96*L90/100))</f>
        <v>0.307229147952386</v>
      </c>
      <c r="N90" s="40" t="n">
        <f aca="false">IF(G90="","",MIN(1,G90+1.96*L90/100))</f>
        <v>0.435460910527146</v>
      </c>
      <c r="O90" s="59" t="n">
        <f aca="false">ROUND(S90*W90,0)</f>
        <v>53</v>
      </c>
      <c r="P90" s="59" t="n">
        <f aca="false">IF(F90="","",ROUND(SQRT((F90*L90/100)^2+(G90*O90)^2),0))</f>
        <v>30</v>
      </c>
      <c r="R90" s="60" t="n">
        <v>-4.91631471444697</v>
      </c>
      <c r="S90" s="61" t="n">
        <f aca="false">U90*V90*$F$5</f>
        <v>683.952941176471</v>
      </c>
      <c r="T90" s="62" t="n">
        <f aca="false">MAX(0,MIN(1,R90/100+$D$5))</f>
        <v>0.371536007666115</v>
      </c>
      <c r="U90" s="62" t="n">
        <v>0.568067226890756</v>
      </c>
      <c r="V90" s="61" t="n">
        <v>1204</v>
      </c>
      <c r="W90" s="62" t="n">
        <v>0.0777040344688333</v>
      </c>
      <c r="X90" s="63" t="s">
        <v>163</v>
      </c>
      <c r="Y90" s="63" t="s">
        <v>164</v>
      </c>
    </row>
    <row r="91" customFormat="false" ht="15" hidden="false" customHeight="false" outlineLevel="0" collapsed="false">
      <c r="A91" s="32" t="s">
        <v>220</v>
      </c>
      <c r="B91" s="32" t="s">
        <v>247</v>
      </c>
      <c r="C91" s="32" t="s">
        <v>161</v>
      </c>
      <c r="D91" s="59" t="n">
        <f aca="false">ROUND(S91*T91,0)</f>
        <v>159</v>
      </c>
      <c r="E91" s="59" t="n">
        <f aca="false">ROUND(S91,0)-D91</f>
        <v>230</v>
      </c>
      <c r="F91" s="59" t="n">
        <f aca="false">IF(COUNTA(D91:E91)=0,"",SUM(D91:E91))</f>
        <v>389</v>
      </c>
      <c r="G91" s="40" t="n">
        <f aca="false">IF(OR(F91="",F91=0),"",D91/F91)</f>
        <v>0.408740359897172</v>
      </c>
      <c r="H91" s="40" t="n">
        <f aca="false">IF(OR(F91="",F91=0),"",E91/F91)</f>
        <v>0.591259640102828</v>
      </c>
      <c r="I91" s="32" t="s">
        <v>162</v>
      </c>
      <c r="J91" s="36" t="n">
        <v>3.01261974295132</v>
      </c>
      <c r="K91" s="36" t="n">
        <f aca="false">$K$8</f>
        <v>1.2747518664323</v>
      </c>
      <c r="L91" s="36" t="n">
        <f aca="false">SQRT(J91^2+K91^2)</f>
        <v>3.27121843302961</v>
      </c>
      <c r="M91" s="40" t="n">
        <f aca="false">IF(G91="","",MAX(0,G91-1.96*L91/100))</f>
        <v>0.344624478609792</v>
      </c>
      <c r="N91" s="40" t="n">
        <f aca="false">IF(G91="","",MIN(1,G91+1.96*L91/100))</f>
        <v>0.472856241184553</v>
      </c>
      <c r="O91" s="59" t="n">
        <f aca="false">ROUND(S91*W91,0)</f>
        <v>30</v>
      </c>
      <c r="P91" s="59" t="n">
        <f aca="false">IF(F91="","",ROUND(SQRT((F91*L91/100)^2+(G91*O91)^2),0))</f>
        <v>18</v>
      </c>
      <c r="R91" s="60" t="n">
        <v>-1.08781754965142</v>
      </c>
      <c r="S91" s="61" t="n">
        <f aca="false">U91*V91*$F$5</f>
        <v>388.819749216301</v>
      </c>
      <c r="T91" s="62" t="n">
        <f aca="false">MAX(0,MIN(1,R91/100+$D$5))</f>
        <v>0.40982097931407</v>
      </c>
      <c r="U91" s="62" t="n">
        <v>0.606583072100314</v>
      </c>
      <c r="V91" s="61" t="n">
        <v>641</v>
      </c>
      <c r="W91" s="62" t="n">
        <v>0.0777040344688333</v>
      </c>
      <c r="X91" s="63" t="s">
        <v>163</v>
      </c>
      <c r="Y91" s="63" t="s">
        <v>164</v>
      </c>
    </row>
    <row r="92" customFormat="false" ht="15" hidden="false" customHeight="false" outlineLevel="0" collapsed="false">
      <c r="A92" s="32" t="s">
        <v>220</v>
      </c>
      <c r="B92" s="32" t="s">
        <v>248</v>
      </c>
      <c r="C92" s="32" t="s">
        <v>161</v>
      </c>
      <c r="D92" s="59" t="n">
        <f aca="false">ROUND(S92*T92,0)</f>
        <v>255</v>
      </c>
      <c r="E92" s="59" t="n">
        <f aca="false">ROUND(S92,0)-D92</f>
        <v>347</v>
      </c>
      <c r="F92" s="59" t="n">
        <f aca="false">IF(COUNTA(D92:E92)=0,"",SUM(D92:E92))</f>
        <v>602</v>
      </c>
      <c r="G92" s="40" t="n">
        <f aca="false">IF(OR(F92="",F92=0),"",D92/F92)</f>
        <v>0.42358803986711</v>
      </c>
      <c r="H92" s="40" t="n">
        <f aca="false">IF(OR(F92="",F92=0),"",E92/F92)</f>
        <v>0.57641196013289</v>
      </c>
      <c r="I92" s="32" t="s">
        <v>162</v>
      </c>
      <c r="J92" s="36" t="n">
        <v>3.01261974295132</v>
      </c>
      <c r="K92" s="36" t="n">
        <f aca="false">$K$8</f>
        <v>1.2747518664323</v>
      </c>
      <c r="L92" s="36" t="n">
        <f aca="false">SQRT(J92^2+K92^2)</f>
        <v>3.27121843302961</v>
      </c>
      <c r="M92" s="40" t="n">
        <f aca="false">IF(G92="","",MAX(0,G92-1.96*L92/100))</f>
        <v>0.359472158579729</v>
      </c>
      <c r="N92" s="40" t="n">
        <f aca="false">IF(G92="","",MIN(1,G92+1.96*L92/100))</f>
        <v>0.48770392115449</v>
      </c>
      <c r="O92" s="59" t="n">
        <f aca="false">ROUND(S92*W92,0)</f>
        <v>47</v>
      </c>
      <c r="P92" s="59" t="n">
        <f aca="false">IF(F92="","",ROUND(SQRT((F92*L92/100)^2+(G92*O92)^2),0))</f>
        <v>28</v>
      </c>
      <c r="R92" s="60" t="n">
        <v>0.229129395892457</v>
      </c>
      <c r="S92" s="61" t="n">
        <f aca="false">U92*V92*$F$5</f>
        <v>602.07868852459</v>
      </c>
      <c r="T92" s="62" t="n">
        <f aca="false">MAX(0,MIN(1,R92/100+$D$5))</f>
        <v>0.422990448769509</v>
      </c>
      <c r="U92" s="62" t="n">
        <v>0.613114754098361</v>
      </c>
      <c r="V92" s="61" t="n">
        <v>982</v>
      </c>
      <c r="W92" s="62" t="n">
        <v>0.0777040344688333</v>
      </c>
      <c r="X92" s="63" t="s">
        <v>163</v>
      </c>
      <c r="Y92" s="63" t="s">
        <v>164</v>
      </c>
    </row>
    <row r="93" customFormat="false" ht="15" hidden="false" customHeight="false" outlineLevel="0" collapsed="false">
      <c r="A93" s="32" t="s">
        <v>220</v>
      </c>
      <c r="B93" s="32" t="s">
        <v>249</v>
      </c>
      <c r="C93" s="32" t="s">
        <v>161</v>
      </c>
      <c r="D93" s="59" t="n">
        <f aca="false">ROUND(S93*T93,0)</f>
        <v>980</v>
      </c>
      <c r="E93" s="59" t="n">
        <f aca="false">ROUND(S93,0)-D93</f>
        <v>2166</v>
      </c>
      <c r="F93" s="59" t="n">
        <f aca="false">IF(COUNTA(D93:E93)=0,"",SUM(D93:E93))</f>
        <v>3146</v>
      </c>
      <c r="G93" s="40" t="n">
        <f aca="false">IF(OR(F93="",F93=0),"",D93/F93)</f>
        <v>0.311506675143039</v>
      </c>
      <c r="H93" s="40" t="n">
        <f aca="false">IF(OR(F93="",F93=0),"",E93/F93)</f>
        <v>0.688493324856961</v>
      </c>
      <c r="I93" s="32" t="s">
        <v>162</v>
      </c>
      <c r="J93" s="36" t="n">
        <v>1.66048092133492</v>
      </c>
      <c r="K93" s="36" t="n">
        <f aca="false">$K$8</f>
        <v>1.2747518664323</v>
      </c>
      <c r="L93" s="36" t="n">
        <f aca="false">SQRT(J93^2+K93^2)</f>
        <v>2.09336791106816</v>
      </c>
      <c r="M93" s="40" t="n">
        <f aca="false">IF(G93="","",MAX(0,G93-1.96*L93/100))</f>
        <v>0.270476664086103</v>
      </c>
      <c r="N93" s="40" t="n">
        <f aca="false">IF(G93="","",MIN(1,G93+1.96*L93/100))</f>
        <v>0.352536686199975</v>
      </c>
      <c r="O93" s="59" t="n">
        <f aca="false">ROUND(S93*W93,0)</f>
        <v>173</v>
      </c>
      <c r="P93" s="59" t="n">
        <f aca="false">IF(F93="","",ROUND(SQRT((F93*L93/100)^2+(G93*O93)^2),0))</f>
        <v>85</v>
      </c>
      <c r="R93" s="60" t="n">
        <v>-10.9244297562064</v>
      </c>
      <c r="S93" s="61" t="n">
        <f aca="false">U93*V93*$F$5</f>
        <v>3146.26275765459</v>
      </c>
      <c r="T93" s="62" t="n">
        <f aca="false">MAX(0,MIN(1,R93/100+$D$5))</f>
        <v>0.311454857248521</v>
      </c>
      <c r="U93" s="62" t="n">
        <v>0.625375225135081</v>
      </c>
      <c r="V93" s="61" t="n">
        <v>5031</v>
      </c>
      <c r="W93" s="62" t="n">
        <v>0.0551273752894184</v>
      </c>
      <c r="X93" s="63" t="s">
        <v>184</v>
      </c>
      <c r="Y93" s="63" t="s">
        <v>164</v>
      </c>
    </row>
    <row r="94" customFormat="false" ht="15" hidden="false" customHeight="false" outlineLevel="0" collapsed="false">
      <c r="A94" s="32" t="s">
        <v>220</v>
      </c>
      <c r="B94" s="32" t="s">
        <v>250</v>
      </c>
      <c r="C94" s="32" t="s">
        <v>161</v>
      </c>
      <c r="D94" s="59" t="n">
        <f aca="false">ROUND(S94*T94,0)</f>
        <v>1582</v>
      </c>
      <c r="E94" s="59" t="n">
        <f aca="false">ROUND(S94,0)-D94</f>
        <v>1695</v>
      </c>
      <c r="F94" s="59" t="n">
        <f aca="false">IF(COUNTA(D94:E94)=0,"",SUM(D94:E94))</f>
        <v>3277</v>
      </c>
      <c r="G94" s="40" t="n">
        <f aca="false">IF(OR(F94="",F94=0),"",D94/F94)</f>
        <v>0.482758620689655</v>
      </c>
      <c r="H94" s="40" t="n">
        <f aca="false">IF(OR(F94="",F94=0),"",E94/F94)</f>
        <v>0.517241379310345</v>
      </c>
      <c r="I94" s="32" t="s">
        <v>162</v>
      </c>
      <c r="J94" s="36" t="n">
        <v>1.66048092133492</v>
      </c>
      <c r="K94" s="36" t="n">
        <f aca="false">$K$8</f>
        <v>1.2747518664323</v>
      </c>
      <c r="L94" s="36" t="n">
        <f aca="false">SQRT(J94^2+K94^2)</f>
        <v>2.09336791106816</v>
      </c>
      <c r="M94" s="40" t="n">
        <f aca="false">IF(G94="","",MAX(0,G94-1.96*L94/100))</f>
        <v>0.441728609632719</v>
      </c>
      <c r="N94" s="40" t="n">
        <f aca="false">IF(G94="","",MIN(1,G94+1.96*L94/100))</f>
        <v>0.523788631746591</v>
      </c>
      <c r="O94" s="59" t="n">
        <f aca="false">ROUND(S94*W94,0)</f>
        <v>181</v>
      </c>
      <c r="P94" s="59" t="n">
        <f aca="false">IF(F94="","",ROUND(SQRT((F94*L94/100)^2+(G94*O94)^2),0))</f>
        <v>111</v>
      </c>
      <c r="R94" s="60" t="n">
        <v>6.19783877798984</v>
      </c>
      <c r="S94" s="61" t="n">
        <f aca="false">U94*V94*$F$5</f>
        <v>3277.36336396324</v>
      </c>
      <c r="T94" s="62" t="n">
        <f aca="false">MAX(0,MIN(1,R94/100+$D$5))</f>
        <v>0.482677542590483</v>
      </c>
      <c r="U94" s="62" t="n">
        <v>0.631841789852177</v>
      </c>
      <c r="V94" s="61" t="n">
        <v>5187</v>
      </c>
      <c r="W94" s="62" t="n">
        <v>0.0551273752894184</v>
      </c>
      <c r="X94" s="63" t="s">
        <v>184</v>
      </c>
      <c r="Y94" s="63" t="s">
        <v>164</v>
      </c>
    </row>
    <row r="95" customFormat="false" ht="15" hidden="false" customHeight="false" outlineLevel="0" collapsed="false">
      <c r="A95" s="32" t="s">
        <v>220</v>
      </c>
      <c r="B95" s="32" t="s">
        <v>251</v>
      </c>
      <c r="C95" s="32" t="s">
        <v>161</v>
      </c>
      <c r="D95" s="59" t="n">
        <f aca="false">ROUND(S95*T95,0)</f>
        <v>295</v>
      </c>
      <c r="E95" s="59" t="n">
        <f aca="false">ROUND(S95,0)-D95</f>
        <v>466</v>
      </c>
      <c r="F95" s="59" t="n">
        <f aca="false">IF(COUNTA(D95:E95)=0,"",SUM(D95:E95))</f>
        <v>761</v>
      </c>
      <c r="G95" s="40" t="n">
        <f aca="false">IF(OR(F95="",F95=0),"",D95/F95)</f>
        <v>0.387647831800263</v>
      </c>
      <c r="H95" s="40" t="n">
        <f aca="false">IF(OR(F95="",F95=0),"",E95/F95)</f>
        <v>0.612352168199737</v>
      </c>
      <c r="I95" s="32" t="s">
        <v>162</v>
      </c>
      <c r="J95" s="36" t="n">
        <v>3.01261974295132</v>
      </c>
      <c r="K95" s="36" t="n">
        <f aca="false">$K$8</f>
        <v>1.2747518664323</v>
      </c>
      <c r="L95" s="36" t="n">
        <f aca="false">SQRT(J95^2+K95^2)</f>
        <v>3.27121843302961</v>
      </c>
      <c r="M95" s="40" t="n">
        <f aca="false">IF(G95="","",MAX(0,G95-1.96*L95/100))</f>
        <v>0.323531950512882</v>
      </c>
      <c r="N95" s="40" t="n">
        <f aca="false">IF(G95="","",MIN(1,G95+1.96*L95/100))</f>
        <v>0.451763713087643</v>
      </c>
      <c r="O95" s="59" t="n">
        <f aca="false">ROUND(S95*W95,0)</f>
        <v>59</v>
      </c>
      <c r="P95" s="59" t="n">
        <f aca="false">IF(F95="","",ROUND(SQRT((F95*L95/100)^2+(G95*O95)^2),0))</f>
        <v>34</v>
      </c>
      <c r="R95" s="60" t="n">
        <v>-3.30828473841317</v>
      </c>
      <c r="S95" s="61" t="n">
        <f aca="false">U95*V95*$F$5</f>
        <v>761.429837518464</v>
      </c>
      <c r="T95" s="62" t="n">
        <f aca="false">MAX(0,MIN(1,R95/100+$D$5))</f>
        <v>0.387616307426453</v>
      </c>
      <c r="U95" s="62" t="n">
        <v>0.534711964549483</v>
      </c>
      <c r="V95" s="61" t="n">
        <v>1424</v>
      </c>
      <c r="W95" s="62" t="n">
        <v>0.0777040344688333</v>
      </c>
      <c r="X95" s="63" t="s">
        <v>163</v>
      </c>
      <c r="Y95" s="63" t="s">
        <v>164</v>
      </c>
    </row>
    <row r="96" customFormat="false" ht="15" hidden="false" customHeight="false" outlineLevel="0" collapsed="false">
      <c r="A96" s="32" t="s">
        <v>220</v>
      </c>
      <c r="B96" s="32" t="s">
        <v>212</v>
      </c>
      <c r="C96" s="32" t="s">
        <v>161</v>
      </c>
      <c r="D96" s="59" t="n">
        <f aca="false">ROUND(S96*T96,0)</f>
        <v>786</v>
      </c>
      <c r="E96" s="59" t="n">
        <f aca="false">ROUND(S96,0)-D96</f>
        <v>1601</v>
      </c>
      <c r="F96" s="59" t="n">
        <f aca="false">IF(COUNTA(D96:E96)=0,"",SUM(D96:E96))</f>
        <v>2387</v>
      </c>
      <c r="G96" s="40" t="n">
        <f aca="false">IF(OR(F96="",F96=0),"",D96/F96)</f>
        <v>0.3292836196062</v>
      </c>
      <c r="H96" s="40" t="n">
        <f aca="false">IF(OR(F96="",F96=0),"",E96/F96)</f>
        <v>0.6707163803938</v>
      </c>
      <c r="I96" s="32" t="s">
        <v>162</v>
      </c>
      <c r="J96" s="36" t="n">
        <v>1.97233065497388</v>
      </c>
      <c r="K96" s="36" t="n">
        <f aca="false">$K$8</f>
        <v>1.2747518664323</v>
      </c>
      <c r="L96" s="36" t="n">
        <f aca="false">SQRT(J96^2+K96^2)</f>
        <v>2.34842085953994</v>
      </c>
      <c r="M96" s="40" t="n">
        <f aca="false">IF(G96="","",MAX(0,G96-1.96*L96/100))</f>
        <v>0.283254570759217</v>
      </c>
      <c r="N96" s="40" t="n">
        <f aca="false">IF(G96="","",MIN(1,G96+1.96*L96/100))</f>
        <v>0.375312668453183</v>
      </c>
      <c r="O96" s="59" t="n">
        <f aca="false">ROUND(S96*W96,0)</f>
        <v>145</v>
      </c>
      <c r="P96" s="59" t="n">
        <f aca="false">IF(F96="","",ROUND(SQRT((F96*L96/100)^2+(G96*O96)^2),0))</f>
        <v>74</v>
      </c>
      <c r="R96" s="60" t="n">
        <v>-9.14071967353561</v>
      </c>
      <c r="S96" s="61" t="n">
        <f aca="false">U96*V96*$F$5</f>
        <v>2386.68081761006</v>
      </c>
      <c r="T96" s="62" t="n">
        <f aca="false">MAX(0,MIN(1,R96/100+$D$5))</f>
        <v>0.329291958075228</v>
      </c>
      <c r="U96" s="62" t="n">
        <v>0.62185534591195</v>
      </c>
      <c r="V96" s="61" t="n">
        <v>3838</v>
      </c>
      <c r="W96" s="62" t="n">
        <v>0.0606122259008943</v>
      </c>
      <c r="X96" s="63" t="s">
        <v>168</v>
      </c>
      <c r="Y96" s="63" t="s">
        <v>164</v>
      </c>
    </row>
    <row r="97" customFormat="false" ht="15" hidden="false" customHeight="false" outlineLevel="0" collapsed="false">
      <c r="A97" s="32" t="s">
        <v>220</v>
      </c>
      <c r="B97" s="32" t="s">
        <v>252</v>
      </c>
      <c r="C97" s="32" t="s">
        <v>161</v>
      </c>
      <c r="D97" s="59" t="n">
        <f aca="false">ROUND(S97*T97,0)</f>
        <v>213</v>
      </c>
      <c r="E97" s="59" t="n">
        <f aca="false">ROUND(S97,0)-D97</f>
        <v>225</v>
      </c>
      <c r="F97" s="59" t="n">
        <f aca="false">IF(COUNTA(D97:E97)=0,"",SUM(D97:E97))</f>
        <v>438</v>
      </c>
      <c r="G97" s="40" t="n">
        <f aca="false">IF(OR(F97="",F97=0),"",D97/F97)</f>
        <v>0.486301369863014</v>
      </c>
      <c r="H97" s="40" t="n">
        <f aca="false">IF(OR(F97="",F97=0),"",E97/F97)</f>
        <v>0.513698630136986</v>
      </c>
      <c r="I97" s="32" t="s">
        <v>162</v>
      </c>
      <c r="J97" s="36" t="n">
        <v>3.01261974295132</v>
      </c>
      <c r="K97" s="36" t="n">
        <f aca="false">$K$8</f>
        <v>1.2747518664323</v>
      </c>
      <c r="L97" s="36" t="n">
        <f aca="false">SQRT(J97^2+K97^2)</f>
        <v>3.27121843302961</v>
      </c>
      <c r="M97" s="40" t="n">
        <f aca="false">IF(G97="","",MAX(0,G97-1.96*L97/100))</f>
        <v>0.422185488575633</v>
      </c>
      <c r="N97" s="40" t="n">
        <f aca="false">IF(G97="","",MIN(1,G97+1.96*L97/100))</f>
        <v>0.550417251150394</v>
      </c>
      <c r="O97" s="59" t="n">
        <f aca="false">ROUND(S97*W97,0)</f>
        <v>34</v>
      </c>
      <c r="P97" s="59" t="n">
        <f aca="false">IF(F97="","",ROUND(SQRT((F97*L97/100)^2+(G97*O97)^2),0))</f>
        <v>22</v>
      </c>
      <c r="R97" s="60" t="n">
        <v>6.55831587264913</v>
      </c>
      <c r="S97" s="61" t="n">
        <f aca="false">U97*V97*$F$5</f>
        <v>438.292134831461</v>
      </c>
      <c r="T97" s="62" t="n">
        <f aca="false">MAX(0,MIN(1,R97/100+$D$5))</f>
        <v>0.486282313537076</v>
      </c>
      <c r="U97" s="62" t="n">
        <v>0.51685393258427</v>
      </c>
      <c r="V97" s="61" t="n">
        <v>848</v>
      </c>
      <c r="W97" s="62" t="n">
        <v>0.0777040344688333</v>
      </c>
      <c r="X97" s="63" t="s">
        <v>163</v>
      </c>
      <c r="Y97" s="63" t="s">
        <v>164</v>
      </c>
    </row>
    <row r="98" customFormat="false" ht="15" hidden="false" customHeight="false" outlineLevel="0" collapsed="false">
      <c r="A98" s="32" t="s">
        <v>220</v>
      </c>
      <c r="B98" s="32" t="s">
        <v>253</v>
      </c>
      <c r="C98" s="32" t="s">
        <v>161</v>
      </c>
      <c r="D98" s="59" t="n">
        <f aca="false">ROUND(S98*T98,0)</f>
        <v>1461</v>
      </c>
      <c r="E98" s="59" t="n">
        <f aca="false">ROUND(S98,0)-D98</f>
        <v>1905</v>
      </c>
      <c r="F98" s="59" t="n">
        <f aca="false">IF(COUNTA(D98:E98)=0,"",SUM(D98:E98))</f>
        <v>3366</v>
      </c>
      <c r="G98" s="40" t="n">
        <f aca="false">IF(OR(F98="",F98=0),"",D98/F98)</f>
        <v>0.434046345811052</v>
      </c>
      <c r="H98" s="40" t="n">
        <f aca="false">IF(OR(F98="",F98=0),"",E98/F98)</f>
        <v>0.565953654188948</v>
      </c>
      <c r="I98" s="32" t="s">
        <v>162</v>
      </c>
      <c r="J98" s="36" t="n">
        <v>1.66048092133492</v>
      </c>
      <c r="K98" s="36" t="n">
        <f aca="false">$K$8</f>
        <v>1.2747518664323</v>
      </c>
      <c r="L98" s="36" t="n">
        <f aca="false">SQRT(J98^2+K98^2)</f>
        <v>2.09336791106816</v>
      </c>
      <c r="M98" s="40" t="n">
        <f aca="false">IF(G98="","",MAX(0,G98-1.96*L98/100))</f>
        <v>0.393016334754116</v>
      </c>
      <c r="N98" s="40" t="n">
        <f aca="false">IF(G98="","",MIN(1,G98+1.96*L98/100))</f>
        <v>0.475076356867988</v>
      </c>
      <c r="O98" s="59" t="n">
        <f aca="false">ROUND(S98*W98,0)</f>
        <v>186</v>
      </c>
      <c r="P98" s="59" t="n">
        <f aca="false">IF(F98="","",ROUND(SQRT((F98*L98/100)^2+(G98*O98)^2),0))</f>
        <v>107</v>
      </c>
      <c r="R98" s="60" t="n">
        <v>1.33422845047013</v>
      </c>
      <c r="S98" s="61" t="n">
        <f aca="false">U98*V98*$F$5</f>
        <v>3365.72741078208</v>
      </c>
      <c r="T98" s="62" t="n">
        <f aca="false">MAX(0,MIN(1,R98/100+$D$5))</f>
        <v>0.434041439315286</v>
      </c>
      <c r="U98" s="62" t="n">
        <v>0.629460895975702</v>
      </c>
      <c r="V98" s="61" t="n">
        <v>5347</v>
      </c>
      <c r="W98" s="62" t="n">
        <v>0.0551273752894184</v>
      </c>
      <c r="X98" s="63" t="s">
        <v>184</v>
      </c>
      <c r="Y98" s="63" t="s">
        <v>164</v>
      </c>
    </row>
    <row r="99" customFormat="false" ht="15" hidden="false" customHeight="false" outlineLevel="0" collapsed="false">
      <c r="A99" s="32" t="s">
        <v>220</v>
      </c>
      <c r="B99" s="32" t="s">
        <v>254</v>
      </c>
      <c r="C99" s="32" t="s">
        <v>161</v>
      </c>
      <c r="D99" s="59" t="n">
        <f aca="false">ROUND(S99*T99,0)</f>
        <v>1330</v>
      </c>
      <c r="E99" s="59" t="n">
        <f aca="false">ROUND(S99,0)-D99</f>
        <v>1020</v>
      </c>
      <c r="F99" s="59" t="n">
        <f aca="false">IF(COUNTA(D99:E99)=0,"",SUM(D99:E99))</f>
        <v>2350</v>
      </c>
      <c r="G99" s="40" t="n">
        <f aca="false">IF(OR(F99="",F99=0),"",D99/F99)</f>
        <v>0.565957446808511</v>
      </c>
      <c r="H99" s="40" t="n">
        <f aca="false">IF(OR(F99="",F99=0),"",E99/F99)</f>
        <v>0.434042553191489</v>
      </c>
      <c r="I99" s="32" t="s">
        <v>162</v>
      </c>
      <c r="J99" s="36" t="n">
        <v>1.97233065497388</v>
      </c>
      <c r="K99" s="36" t="n">
        <f aca="false">$K$8</f>
        <v>1.2747518664323</v>
      </c>
      <c r="L99" s="36" t="n">
        <f aca="false">SQRT(J99^2+K99^2)</f>
        <v>2.34842085953994</v>
      </c>
      <c r="M99" s="40" t="n">
        <f aca="false">IF(G99="","",MAX(0,G99-1.96*L99/100))</f>
        <v>0.519928397961528</v>
      </c>
      <c r="N99" s="40" t="n">
        <f aca="false">IF(G99="","",MIN(1,G99+1.96*L99/100))</f>
        <v>0.611986495655494</v>
      </c>
      <c r="O99" s="59" t="n">
        <f aca="false">ROUND(S99*W99,0)</f>
        <v>142</v>
      </c>
      <c r="P99" s="59" t="n">
        <f aca="false">IF(F99="","",ROUND(SQRT((F99*L99/100)^2+(G99*O99)^2),0))</f>
        <v>97</v>
      </c>
      <c r="R99" s="60" t="n">
        <v>14.516770037175</v>
      </c>
      <c r="S99" s="61" t="n">
        <f aca="false">U99*V99*$F$5</f>
        <v>2350.25573902537</v>
      </c>
      <c r="T99" s="62" t="n">
        <f aca="false">MAX(0,MIN(1,R99/100+$D$5))</f>
        <v>0.565866855182334</v>
      </c>
      <c r="U99" s="62" t="n">
        <v>0.461739830849779</v>
      </c>
      <c r="V99" s="61" t="n">
        <v>5090</v>
      </c>
      <c r="W99" s="62" t="n">
        <v>0.0606122259008943</v>
      </c>
      <c r="X99" s="63" t="s">
        <v>168</v>
      </c>
      <c r="Y99" s="63" t="s">
        <v>164</v>
      </c>
    </row>
    <row r="100" customFormat="false" ht="15" hidden="false" customHeight="false" outlineLevel="0" collapsed="false">
      <c r="A100" s="32" t="s">
        <v>220</v>
      </c>
      <c r="B100" s="32" t="s">
        <v>255</v>
      </c>
      <c r="C100" s="32" t="s">
        <v>161</v>
      </c>
      <c r="D100" s="59" t="n">
        <f aca="false">ROUND(S100*T100,0)</f>
        <v>494</v>
      </c>
      <c r="E100" s="59" t="n">
        <f aca="false">ROUND(S100,0)-D100</f>
        <v>651</v>
      </c>
      <c r="F100" s="59" t="n">
        <f aca="false">IF(COUNTA(D100:E100)=0,"",SUM(D100:E100))</f>
        <v>1145</v>
      </c>
      <c r="G100" s="40" t="n">
        <f aca="false">IF(OR(F100="",F100=0),"",D100/F100)</f>
        <v>0.431441048034935</v>
      </c>
      <c r="H100" s="40" t="n">
        <f aca="false">IF(OR(F100="",F100=0),"",E100/F100)</f>
        <v>0.568558951965066</v>
      </c>
      <c r="I100" s="32" t="s">
        <v>162</v>
      </c>
      <c r="J100" s="36" t="n">
        <v>3.01261974295132</v>
      </c>
      <c r="K100" s="36" t="n">
        <f aca="false">$K$8</f>
        <v>1.2747518664323</v>
      </c>
      <c r="L100" s="36" t="n">
        <f aca="false">SQRT(J100^2+K100^2)</f>
        <v>3.27121843302961</v>
      </c>
      <c r="M100" s="40" t="n">
        <f aca="false">IF(G100="","",MAX(0,G100-1.96*L100/100))</f>
        <v>0.367325166747554</v>
      </c>
      <c r="N100" s="40" t="n">
        <f aca="false">IF(G100="","",MIN(1,G100+1.96*L100/100))</f>
        <v>0.495556929322315</v>
      </c>
      <c r="O100" s="59" t="n">
        <f aca="false">ROUND(S100*W100,0)</f>
        <v>89</v>
      </c>
      <c r="P100" s="59" t="n">
        <f aca="false">IF(F100="","",ROUND(SQRT((F100*L100/100)^2+(G100*O100)^2),0))</f>
        <v>54</v>
      </c>
      <c r="R100" s="60" t="n">
        <v>1.02604548487743</v>
      </c>
      <c r="S100" s="61" t="n">
        <f aca="false">U100*V100*$F$5</f>
        <v>1145.48062775871</v>
      </c>
      <c r="T100" s="62" t="n">
        <f aca="false">MAX(0,MIN(1,R100/100+$D$5))</f>
        <v>0.430959609659359</v>
      </c>
      <c r="U100" s="62" t="n">
        <v>0.537027954879843</v>
      </c>
      <c r="V100" s="61" t="n">
        <v>2133</v>
      </c>
      <c r="W100" s="62" t="n">
        <v>0.0777040344688333</v>
      </c>
      <c r="X100" s="63" t="s">
        <v>163</v>
      </c>
      <c r="Y100" s="63" t="s">
        <v>164</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260</v>
      </c>
    </row>
    <row r="3" customFormat="false" ht="15" hidden="false" customHeight="false" outlineLevel="0" collapsed="false">
      <c r="A3" s="5" t="s">
        <v>261</v>
      </c>
    </row>
    <row r="4" customFormat="false" ht="33.75" hidden="false" customHeight="true" outlineLevel="0" collapsed="false">
      <c r="A4" s="39" t="s">
        <v>262</v>
      </c>
      <c r="B4" s="39"/>
      <c r="C4" s="39"/>
      <c r="D4" s="39"/>
      <c r="E4" s="39"/>
      <c r="F4" s="39"/>
      <c r="G4" s="39"/>
      <c r="H4" s="39"/>
    </row>
    <row r="5" customFormat="false" ht="15" hidden="false" customHeight="false" outlineLevel="0" collapsed="false">
      <c r="A5" s="5" t="s">
        <v>263</v>
      </c>
    </row>
    <row r="6" customFormat="false" ht="33.75" hidden="false" customHeight="true" outlineLevel="0" collapsed="false">
      <c r="A6" s="39" t="s">
        <v>264</v>
      </c>
      <c r="B6" s="39"/>
      <c r="C6" s="39"/>
      <c r="D6" s="39"/>
      <c r="E6" s="39"/>
      <c r="F6" s="39"/>
      <c r="G6" s="39"/>
      <c r="H6" s="39"/>
    </row>
    <row r="7" customFormat="false" ht="15" hidden="false" customHeight="false" outlineLevel="0" collapsed="false">
      <c r="A7" s="5" t="s">
        <v>265</v>
      </c>
    </row>
    <row r="8" customFormat="false" ht="33.75" hidden="false" customHeight="true" outlineLevel="0" collapsed="false">
      <c r="A8" s="39" t="s">
        <v>266</v>
      </c>
      <c r="B8" s="39"/>
      <c r="C8" s="39"/>
      <c r="D8" s="39"/>
      <c r="E8" s="39"/>
      <c r="F8" s="39"/>
      <c r="G8" s="39"/>
      <c r="H8" s="39"/>
    </row>
    <row r="9" customFormat="false" ht="15" hidden="false" customHeight="false" outlineLevel="0" collapsed="false">
      <c r="A9" s="5" t="s">
        <v>267</v>
      </c>
    </row>
    <row r="10" customFormat="false" ht="33.75" hidden="false" customHeight="true" outlineLevel="0" collapsed="false">
      <c r="A10" s="39" t="s">
        <v>268</v>
      </c>
      <c r="B10" s="39"/>
      <c r="C10" s="39"/>
      <c r="D10" s="39"/>
      <c r="E10" s="39"/>
      <c r="F10" s="39"/>
      <c r="G10" s="39"/>
      <c r="H10" s="39"/>
    </row>
    <row r="11" customFormat="false" ht="15" hidden="false" customHeight="false" outlineLevel="0" collapsed="false">
      <c r="A11" s="5" t="s">
        <v>269</v>
      </c>
    </row>
    <row r="12" customFormat="false" ht="33.75" hidden="false" customHeight="true" outlineLevel="0" collapsed="false">
      <c r="A12" s="39" t="s">
        <v>270</v>
      </c>
      <c r="B12" s="39"/>
      <c r="C12" s="39"/>
      <c r="D12" s="39"/>
      <c r="E12" s="39"/>
      <c r="F12" s="39"/>
      <c r="G12" s="39"/>
      <c r="H12" s="39"/>
    </row>
    <row r="14" customFormat="false" ht="15" hidden="false" customHeight="false" outlineLevel="0" collapsed="false">
      <c r="A14" s="4" t="s">
        <v>271</v>
      </c>
      <c r="B14" s="4"/>
      <c r="C14" s="4"/>
      <c r="D14" s="4"/>
      <c r="E14" s="4"/>
      <c r="F14" s="4"/>
      <c r="G14" s="4"/>
      <c r="H14" s="4"/>
    </row>
    <row r="15" customFormat="false" ht="31.5" hidden="false" customHeight="true" outlineLevel="0" collapsed="false">
      <c r="A15" s="8" t="s">
        <v>272</v>
      </c>
      <c r="B15" s="8" t="s">
        <v>44</v>
      </c>
      <c r="C15" s="8" t="s">
        <v>46</v>
      </c>
      <c r="D15" s="8" t="s">
        <v>48</v>
      </c>
      <c r="E15" s="8" t="s">
        <v>273</v>
      </c>
    </row>
    <row r="16" customFormat="false" ht="15" hidden="false" customHeight="false" outlineLevel="0" collapsed="false">
      <c r="A16" s="42" t="s">
        <v>274</v>
      </c>
      <c r="B16" s="10" t="n">
        <v>0.000358447583916254</v>
      </c>
      <c r="C16" s="10" t="n">
        <v>0</v>
      </c>
      <c r="D16" s="10" t="n">
        <v>0.000336591221810259</v>
      </c>
      <c r="E16" s="46" t="n">
        <v>1</v>
      </c>
    </row>
    <row r="17" customFormat="false" ht="15" hidden="false" customHeight="false" outlineLevel="0" collapsed="false">
      <c r="A17" s="42" t="s">
        <v>275</v>
      </c>
      <c r="B17" s="10" t="n">
        <v>0.773817029693965</v>
      </c>
      <c r="C17" s="10" t="n">
        <v>0.799096136295111</v>
      </c>
      <c r="D17" s="10" t="n">
        <v>0.737913351514439</v>
      </c>
      <c r="E17" s="46" t="n">
        <v>1.01552345160557</v>
      </c>
    </row>
    <row r="18" customFormat="false" ht="15" hidden="false" customHeight="false" outlineLevel="0" collapsed="false">
      <c r="A18" s="42" t="s">
        <v>276</v>
      </c>
      <c r="B18" s="10" t="n">
        <v>0.225824522722119</v>
      </c>
      <c r="C18" s="10" t="n">
        <v>0.200903863704889</v>
      </c>
      <c r="D18" s="10" t="n">
        <v>0.261750057263751</v>
      </c>
      <c r="E18" s="46" t="n">
        <v>1.234350667447</v>
      </c>
    </row>
    <row r="19" customFormat="false" ht="15" hidden="false" customHeight="false" outlineLevel="0" collapsed="false">
      <c r="A19" s="3" t="s">
        <v>277</v>
      </c>
    </row>
    <row r="21" customFormat="false" ht="15" hidden="false" customHeight="false" outlineLevel="0" collapsed="false">
      <c r="A21" s="4" t="s">
        <v>278</v>
      </c>
      <c r="B21" s="4"/>
      <c r="C21" s="4"/>
      <c r="D21" s="4"/>
      <c r="E21" s="4"/>
      <c r="F21" s="4"/>
      <c r="G21" s="4"/>
      <c r="H21" s="4"/>
    </row>
    <row r="22" customFormat="false" ht="31.5" hidden="false" customHeight="true" outlineLevel="0" collapsed="false">
      <c r="A22" s="8" t="s">
        <v>279</v>
      </c>
      <c r="B22" s="8" t="s">
        <v>44</v>
      </c>
      <c r="C22" s="8" t="s">
        <v>280</v>
      </c>
      <c r="D22" s="8" t="s">
        <v>46</v>
      </c>
      <c r="E22" s="8" t="s">
        <v>280</v>
      </c>
      <c r="F22" s="8" t="s">
        <v>48</v>
      </c>
      <c r="G22" s="8" t="s">
        <v>280</v>
      </c>
    </row>
    <row r="23" customFormat="false" ht="15" hidden="false" customHeight="false" outlineLevel="0" collapsed="false">
      <c r="A23" s="9" t="n">
        <v>1</v>
      </c>
      <c r="B23" s="9" t="s">
        <v>281</v>
      </c>
      <c r="C23" s="10" t="n">
        <v>0.250882922173248</v>
      </c>
      <c r="D23" s="9" t="s">
        <v>282</v>
      </c>
      <c r="E23" s="10" t="n">
        <v>0.238813689881664</v>
      </c>
      <c r="F23" s="9" t="s">
        <v>281</v>
      </c>
      <c r="G23" s="10" t="n">
        <v>0.239242418859422</v>
      </c>
    </row>
    <row r="24" customFormat="false" ht="15" hidden="false" customHeight="false" outlineLevel="0" collapsed="false">
      <c r="A24" s="9" t="n">
        <v>2</v>
      </c>
      <c r="B24" s="9" t="s">
        <v>283</v>
      </c>
      <c r="C24" s="10" t="n">
        <v>0.2043269818173</v>
      </c>
      <c r="D24" s="9" t="s">
        <v>281</v>
      </c>
      <c r="E24" s="10" t="n">
        <v>0.238080942179594</v>
      </c>
      <c r="F24" s="9" t="s">
        <v>283</v>
      </c>
      <c r="G24" s="10" t="n">
        <v>0.194846587981223</v>
      </c>
    </row>
    <row r="25" customFormat="false" ht="15" hidden="false" customHeight="false" outlineLevel="0" collapsed="false">
      <c r="A25" s="9" t="n">
        <v>3</v>
      </c>
      <c r="B25" s="9" t="s">
        <v>282</v>
      </c>
      <c r="C25" s="10" t="n">
        <v>0.203711498420339</v>
      </c>
      <c r="D25" s="9" t="s">
        <v>283</v>
      </c>
      <c r="E25" s="10" t="n">
        <v>0.226981584836028</v>
      </c>
      <c r="F25" s="9" t="s">
        <v>282</v>
      </c>
      <c r="G25" s="10" t="n">
        <v>0.194259661874889</v>
      </c>
    </row>
    <row r="26" customFormat="false" ht="15" hidden="false" customHeight="false" outlineLevel="0" collapsed="false">
      <c r="A26" s="9" t="n">
        <v>4</v>
      </c>
      <c r="B26" s="9" t="s">
        <v>284</v>
      </c>
      <c r="C26" s="10" t="n">
        <v>0.101722852363334</v>
      </c>
      <c r="D26" s="9" t="s">
        <v>284</v>
      </c>
      <c r="E26" s="10" t="n">
        <v>0.129779164529997</v>
      </c>
      <c r="F26" s="9" t="s">
        <v>284</v>
      </c>
      <c r="G26" s="10" t="n">
        <v>0.117905540594891</v>
      </c>
    </row>
    <row r="27" customFormat="false" ht="15" hidden="false" customHeight="false" outlineLevel="0" collapsed="false">
      <c r="A27" s="9" t="n">
        <v>5</v>
      </c>
      <c r="B27" s="9" t="s">
        <v>285</v>
      </c>
      <c r="C27" s="10" t="n">
        <v>0.0758618505451446</v>
      </c>
      <c r="D27" s="9" t="s">
        <v>285</v>
      </c>
      <c r="E27" s="10" t="n">
        <v>0.0783131794203996</v>
      </c>
      <c r="F27" s="9" t="s">
        <v>286</v>
      </c>
      <c r="G27" s="10" t="n">
        <v>0.0871547488942259</v>
      </c>
    </row>
    <row r="28" customFormat="false" ht="15" hidden="false" customHeight="false" outlineLevel="0" collapsed="false">
      <c r="A28" s="9" t="n">
        <v>6</v>
      </c>
      <c r="B28" s="9" t="s">
        <v>286</v>
      </c>
      <c r="C28" s="10" t="n">
        <v>0.0751926466712194</v>
      </c>
      <c r="D28" s="9" t="s">
        <v>286</v>
      </c>
      <c r="E28" s="10" t="n">
        <v>0.0711246991748917</v>
      </c>
      <c r="F28" s="9" t="s">
        <v>285</v>
      </c>
      <c r="G28" s="10" t="n">
        <v>0.0723420010670924</v>
      </c>
    </row>
    <row r="29" customFormat="false" ht="15" hidden="false" customHeight="false" outlineLevel="0" collapsed="false">
      <c r="A29" s="9" t="n">
        <v>7</v>
      </c>
      <c r="B29" s="9" t="s">
        <v>287</v>
      </c>
      <c r="C29" s="10" t="n">
        <v>0.0238162762290969</v>
      </c>
      <c r="D29" s="9" t="s">
        <v>287</v>
      </c>
      <c r="E29" s="10" t="n">
        <v>0.016906739977427</v>
      </c>
      <c r="F29" s="9" t="s">
        <v>287</v>
      </c>
      <c r="G29" s="10" t="n">
        <v>0.0227112450856205</v>
      </c>
    </row>
    <row r="30" customFormat="false" ht="15" hidden="false" customHeight="false" outlineLevel="0" collapsed="false">
      <c r="A30" s="9" t="n">
        <v>8</v>
      </c>
      <c r="B30" s="9" t="s">
        <v>288</v>
      </c>
      <c r="C30" s="10" t="n">
        <v>0.0187497020379445</v>
      </c>
      <c r="D30" s="9"/>
      <c r="E30" s="9"/>
      <c r="F30" s="9" t="s">
        <v>288</v>
      </c>
      <c r="G30" s="10" t="n">
        <v>0.0217325183419044</v>
      </c>
    </row>
    <row r="31" customFormat="false" ht="15" hidden="false" customHeight="false" outlineLevel="0" collapsed="false">
      <c r="A31" s="9" t="n">
        <v>9</v>
      </c>
      <c r="B31" s="9" t="s">
        <v>289</v>
      </c>
      <c r="C31" s="10" t="n">
        <v>0.010591793962294</v>
      </c>
      <c r="D31" s="9"/>
      <c r="E31" s="9"/>
      <c r="F31" s="9" t="s">
        <v>289</v>
      </c>
      <c r="G31" s="10" t="n">
        <v>0.0122768007776011</v>
      </c>
    </row>
    <row r="32" customFormat="false" ht="15" hidden="false" customHeight="false" outlineLevel="0" collapsed="false">
      <c r="A32" s="9" t="n">
        <v>10</v>
      </c>
      <c r="B32" s="9" t="s">
        <v>290</v>
      </c>
      <c r="C32" s="10" t="n">
        <v>0.00921917776964854</v>
      </c>
      <c r="D32" s="9"/>
      <c r="E32" s="9"/>
      <c r="F32" s="9" t="s">
        <v>290</v>
      </c>
      <c r="G32" s="10" t="n">
        <v>0.0106858204770772</v>
      </c>
    </row>
    <row r="34" customFormat="false" ht="15" hidden="false" customHeight="false" outlineLevel="0" collapsed="false">
      <c r="A34" s="4" t="s">
        <v>291</v>
      </c>
      <c r="B34" s="4"/>
      <c r="C34" s="4"/>
      <c r="D34" s="4"/>
      <c r="E34" s="4"/>
      <c r="F34" s="4"/>
      <c r="G34" s="4"/>
      <c r="H34" s="4"/>
    </row>
    <row r="35" customFormat="false" ht="31.5" hidden="false" customHeight="true" outlineLevel="0" collapsed="false">
      <c r="A35" s="8" t="s">
        <v>292</v>
      </c>
      <c r="B35" s="8" t="s">
        <v>293</v>
      </c>
      <c r="C35" s="8" t="s">
        <v>294</v>
      </c>
      <c r="D35" s="8" t="s">
        <v>295</v>
      </c>
    </row>
    <row r="36" customFormat="false" ht="15" hidden="false" customHeight="false" outlineLevel="0" collapsed="false">
      <c r="A36" s="32" t="s">
        <v>281</v>
      </c>
      <c r="B36" s="32" t="n">
        <v>20</v>
      </c>
      <c r="C36" s="40" t="n">
        <v>0.2506372869063</v>
      </c>
      <c r="D36" s="32" t="s">
        <v>296</v>
      </c>
    </row>
    <row r="37" customFormat="false" ht="15" hidden="false" customHeight="false" outlineLevel="0" collapsed="false">
      <c r="A37" s="32" t="s">
        <v>283</v>
      </c>
      <c r="B37" s="32" t="n">
        <v>20</v>
      </c>
      <c r="C37" s="40" t="n">
        <v>0.205424621955368</v>
      </c>
      <c r="D37" s="32" t="s">
        <v>296</v>
      </c>
    </row>
    <row r="38" customFormat="false" ht="15" hidden="false" customHeight="false" outlineLevel="0" collapsed="false">
      <c r="A38" s="32" t="s">
        <v>282</v>
      </c>
      <c r="B38" s="32" t="n">
        <v>20</v>
      </c>
      <c r="C38" s="40" t="n">
        <v>0.202904978559419</v>
      </c>
      <c r="D38" s="32" t="s">
        <v>296</v>
      </c>
    </row>
    <row r="39" customFormat="false" ht="15" hidden="false" customHeight="false" outlineLevel="0" collapsed="false">
      <c r="A39" s="32" t="s">
        <v>284</v>
      </c>
      <c r="B39" s="32" t="n">
        <v>20</v>
      </c>
      <c r="C39" s="40" t="n">
        <v>0.0988543480602174</v>
      </c>
      <c r="D39" s="32" t="s">
        <v>296</v>
      </c>
    </row>
    <row r="40" customFormat="false" ht="15" hidden="false" customHeight="false" outlineLevel="0" collapsed="false">
      <c r="A40" s="32" t="s">
        <v>286</v>
      </c>
      <c r="B40" s="32" t="n">
        <v>20</v>
      </c>
      <c r="C40" s="40" t="n">
        <v>0.0713827160675059</v>
      </c>
      <c r="D40" s="32" t="s">
        <v>296</v>
      </c>
    </row>
    <row r="41" customFormat="false" ht="15" hidden="false" customHeight="false" outlineLevel="0" collapsed="false">
      <c r="A41" s="32" t="s">
        <v>285</v>
      </c>
      <c r="B41" s="32" t="n">
        <v>20</v>
      </c>
      <c r="C41" s="40" t="n">
        <v>0.068913111125191</v>
      </c>
      <c r="D41" s="32" t="s">
        <v>296</v>
      </c>
    </row>
    <row r="42" customFormat="false" ht="15" hidden="false" customHeight="false" outlineLevel="0" collapsed="false">
      <c r="A42" s="32" t="s">
        <v>287</v>
      </c>
      <c r="B42" s="32" t="n">
        <v>20</v>
      </c>
      <c r="C42" s="40" t="n">
        <v>0.0257845936795545</v>
      </c>
      <c r="D42" s="32" t="s">
        <v>296</v>
      </c>
    </row>
    <row r="43" customFormat="false" ht="15" hidden="false" customHeight="false" outlineLevel="0" collapsed="false">
      <c r="A43" s="32" t="s">
        <v>288</v>
      </c>
      <c r="B43" s="32" t="n">
        <v>19</v>
      </c>
      <c r="C43" s="40" t="n">
        <v>0.0155492808490582</v>
      </c>
      <c r="D43" s="32" t="s">
        <v>297</v>
      </c>
    </row>
    <row r="44" customFormat="false" ht="15" hidden="false" customHeight="false" outlineLevel="0" collapsed="false">
      <c r="A44" s="32" t="s">
        <v>289</v>
      </c>
      <c r="B44" s="32" t="n">
        <v>17</v>
      </c>
      <c r="C44" s="40" t="n">
        <v>0.0139269049252607</v>
      </c>
      <c r="D44" s="32" t="s">
        <v>297</v>
      </c>
    </row>
    <row r="45" customFormat="false" ht="15" hidden="false" customHeight="false" outlineLevel="0" collapsed="false">
      <c r="A45" s="32" t="s">
        <v>290</v>
      </c>
      <c r="B45" s="32" t="n">
        <v>19</v>
      </c>
      <c r="C45" s="40" t="n">
        <v>0.0131513272157356</v>
      </c>
      <c r="D45" s="32" t="s">
        <v>297</v>
      </c>
    </row>
    <row r="46" customFormat="false" ht="15" hidden="false" customHeight="false" outlineLevel="0" collapsed="false">
      <c r="A46" s="32" t="s">
        <v>298</v>
      </c>
      <c r="B46" s="32" t="n">
        <v>16</v>
      </c>
      <c r="C46" s="40" t="n">
        <v>0.00661382139312916</v>
      </c>
      <c r="D46" s="32" t="s">
        <v>297</v>
      </c>
    </row>
    <row r="47" customFormat="false" ht="15" hidden="false" customHeight="false" outlineLevel="0" collapsed="false">
      <c r="A47" s="32" t="s">
        <v>299</v>
      </c>
      <c r="B47" s="32" t="n">
        <v>14</v>
      </c>
      <c r="C47" s="40" t="n">
        <v>0.00542698441516168</v>
      </c>
      <c r="D47" s="32" t="s">
        <v>297</v>
      </c>
    </row>
    <row r="48" customFormat="false" ht="15" hidden="false" customHeight="false" outlineLevel="0" collapsed="false">
      <c r="A48" s="32" t="s">
        <v>300</v>
      </c>
      <c r="B48" s="32" t="n">
        <v>3</v>
      </c>
      <c r="C48" s="40" t="n">
        <v>0.00401593213709872</v>
      </c>
      <c r="D48" s="32" t="s">
        <v>297</v>
      </c>
    </row>
    <row r="49" customFormat="false" ht="15" hidden="false" customHeight="false" outlineLevel="0" collapsed="false">
      <c r="A49" s="32" t="s">
        <v>301</v>
      </c>
      <c r="B49" s="32" t="n">
        <v>4</v>
      </c>
      <c r="C49" s="40" t="n">
        <v>0.00348533001540572</v>
      </c>
      <c r="D49" s="32" t="s">
        <v>297</v>
      </c>
    </row>
    <row r="50" customFormat="false" ht="15" hidden="false" customHeight="false" outlineLevel="0" collapsed="false">
      <c r="A50" s="32" t="s">
        <v>302</v>
      </c>
      <c r="B50" s="32" t="n">
        <v>5</v>
      </c>
      <c r="C50" s="40" t="n">
        <v>0.0033343106412587</v>
      </c>
      <c r="D50" s="32" t="s">
        <v>297</v>
      </c>
    </row>
    <row r="51" customFormat="false" ht="15" hidden="false" customHeight="false" outlineLevel="0" collapsed="false">
      <c r="A51" s="32" t="s">
        <v>303</v>
      </c>
      <c r="B51" s="32" t="n">
        <v>0</v>
      </c>
      <c r="C51" s="40" t="n">
        <v>0.00260468927701785</v>
      </c>
      <c r="D51" s="32" t="s">
        <v>297</v>
      </c>
    </row>
    <row r="52" customFormat="false" ht="15" hidden="false" customHeight="false" outlineLevel="0" collapsed="false">
      <c r="A52" s="32" t="s">
        <v>304</v>
      </c>
      <c r="B52" s="32" t="n">
        <v>0</v>
      </c>
      <c r="C52" s="40" t="n">
        <v>0.00206029289861702</v>
      </c>
      <c r="D52" s="32" t="s">
        <v>297</v>
      </c>
    </row>
    <row r="53" customFormat="false" ht="15" hidden="false" customHeight="false" outlineLevel="0" collapsed="false">
      <c r="A53" s="32" t="s">
        <v>305</v>
      </c>
      <c r="B53" s="32" t="n">
        <v>0</v>
      </c>
      <c r="C53" s="40" t="n">
        <v>0.00197369252481191</v>
      </c>
      <c r="D53" s="32" t="s">
        <v>297</v>
      </c>
    </row>
    <row r="54" customFormat="false" ht="15" hidden="false" customHeight="false" outlineLevel="0" collapsed="false">
      <c r="A54" s="32" t="s">
        <v>306</v>
      </c>
      <c r="B54" s="32" t="n">
        <v>0</v>
      </c>
      <c r="C54" s="40" t="n">
        <v>0.00194928675880361</v>
      </c>
      <c r="D54" s="32" t="s">
        <v>297</v>
      </c>
    </row>
    <row r="55" customFormat="false" ht="15" hidden="false" customHeight="false" outlineLevel="0" collapsed="false">
      <c r="A55" s="32" t="s">
        <v>307</v>
      </c>
      <c r="B55" s="32" t="n">
        <v>0</v>
      </c>
      <c r="C55" s="40" t="n">
        <v>0.00149502788436186</v>
      </c>
      <c r="D55" s="32" t="s">
        <v>297</v>
      </c>
    </row>
    <row r="56" customFormat="false" ht="15" hidden="false" customHeight="false" outlineLevel="0" collapsed="false">
      <c r="A56" s="32" t="s">
        <v>308</v>
      </c>
      <c r="B56" s="32" t="n">
        <v>0</v>
      </c>
      <c r="C56" s="40" t="n">
        <v>0.000511462710722797</v>
      </c>
      <c r="D56" s="32" t="s">
        <v>297</v>
      </c>
    </row>
  </sheetData>
  <mergeCells count="8">
    <mergeCell ref="A4:H4"/>
    <mergeCell ref="A6:H6"/>
    <mergeCell ref="A8:H8"/>
    <mergeCell ref="A10:H10"/>
    <mergeCell ref="A12:H12"/>
    <mergeCell ref="A14:H14"/>
    <mergeCell ref="A21:H21"/>
    <mergeCell ref="A34:H34"/>
  </mergeCells>
  <conditionalFormatting sqref="B16:D18">
    <cfRule type="dataBar" priority="2">
      <dataBar showValue="1" minLength="10" maxLength="90">
        <cfvo type="num" val="0"/>
        <cfvo type="num" val="1"/>
        <color rgb="FF5B9BD5"/>
      </dataBar>
      <extLst>
        <ext xmlns:x14="http://schemas.microsoft.com/office/spreadsheetml/2009/9/main" uri="{B025F937-C7B1-47D3-B67F-A62EFF666E3E}">
          <x14:id>{E451E620-2466-4123-A8F8-9F73A942F529}</x14:id>
        </ext>
      </extLst>
    </cfRule>
  </conditionalFormatting>
  <conditionalFormatting sqref="D36:D56">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451E620-2466-4123-A8F8-9F73A942F529}">
            <x14:dataBar minLength="10" maxLength="90" axisPosition="none" gradient="true">
              <x14:cfvo type="num">
                <xm:f>0</xm:f>
              </x14:cfvo>
              <x14:cfvo type="num">
                <xm:f>1</xm:f>
              </x14:cfvo>
              <x14:negativeFillColor rgb="FF5B9BD5"/>
              <x14:axisColor rgb="FF000000"/>
            </x14:dataBar>
          </x14:cfRule>
          <xm:sqref>B16:D18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309</v>
      </c>
      <c r="B1" s="8" t="s">
        <v>310</v>
      </c>
      <c r="C1" s="8" t="s">
        <v>272</v>
      </c>
      <c r="D1" s="8" t="s">
        <v>311</v>
      </c>
      <c r="E1" s="8" t="s">
        <v>312</v>
      </c>
      <c r="F1" s="8" t="s">
        <v>313</v>
      </c>
      <c r="G1" s="8" t="s">
        <v>314</v>
      </c>
      <c r="H1" s="8" t="s">
        <v>315</v>
      </c>
      <c r="I1" s="8" t="s">
        <v>316</v>
      </c>
      <c r="J1" s="8" t="s">
        <v>317</v>
      </c>
    </row>
    <row r="2" customFormat="false" ht="28.35" hidden="false" customHeight="false" outlineLevel="0" collapsed="false">
      <c r="A2" s="32" t="n">
        <v>1</v>
      </c>
      <c r="B2" s="64" t="s">
        <v>318</v>
      </c>
      <c r="C2" s="32" t="s">
        <v>275</v>
      </c>
      <c r="D2" s="40" t="n">
        <v>0.250882922173248</v>
      </c>
      <c r="E2" s="40" t="n">
        <v>0.324214785338168</v>
      </c>
      <c r="F2" s="59" t="n">
        <v>199.831144389065</v>
      </c>
      <c r="G2" s="32" t="s">
        <v>319</v>
      </c>
      <c r="H2" s="64" t="s">
        <v>320</v>
      </c>
      <c r="I2" s="32" t="s">
        <v>281</v>
      </c>
      <c r="J2" s="32" t="s">
        <v>321</v>
      </c>
    </row>
    <row r="3" customFormat="false" ht="28.35" hidden="false" customHeight="false" outlineLevel="0" collapsed="false">
      <c r="A3" s="32" t="n">
        <v>2</v>
      </c>
      <c r="B3" s="64" t="s">
        <v>322</v>
      </c>
      <c r="C3" s="32" t="s">
        <v>275</v>
      </c>
      <c r="D3" s="40" t="n">
        <v>0.2043269818173</v>
      </c>
      <c r="E3" s="40" t="n">
        <v>0.264050769079234</v>
      </c>
      <c r="F3" s="59" t="n">
        <v>162.748800326548</v>
      </c>
      <c r="G3" s="32" t="s">
        <v>319</v>
      </c>
      <c r="H3" s="64" t="s">
        <v>320</v>
      </c>
      <c r="I3" s="32" t="s">
        <v>283</v>
      </c>
      <c r="J3" s="32" t="s">
        <v>321</v>
      </c>
    </row>
    <row r="4" customFormat="false" ht="28.35" hidden="false" customHeight="false" outlineLevel="0" collapsed="false">
      <c r="A4" s="32" t="n">
        <v>3</v>
      </c>
      <c r="B4" s="64" t="s">
        <v>323</v>
      </c>
      <c r="C4" s="32" t="s">
        <v>275</v>
      </c>
      <c r="D4" s="40" t="n">
        <v>0.203711498420339</v>
      </c>
      <c r="E4" s="40" t="n">
        <v>0.26325538286603</v>
      </c>
      <c r="F4" s="59" t="n">
        <v>162.258560694046</v>
      </c>
      <c r="G4" s="32" t="s">
        <v>319</v>
      </c>
      <c r="H4" s="64" t="s">
        <v>320</v>
      </c>
      <c r="I4" s="32" t="s">
        <v>282</v>
      </c>
      <c r="J4" s="32" t="s">
        <v>321</v>
      </c>
    </row>
    <row r="5" customFormat="false" ht="15" hidden="false" customHeight="false" outlineLevel="0" collapsed="false">
      <c r="A5" s="32" t="n">
        <v>4</v>
      </c>
      <c r="B5" s="64" t="s">
        <v>324</v>
      </c>
      <c r="C5" s="32" t="s">
        <v>276</v>
      </c>
      <c r="D5" s="40" t="n">
        <v>0.101722852363334</v>
      </c>
      <c r="E5" s="40" t="n">
        <v>0.450450868387334</v>
      </c>
      <c r="F5" s="59" t="n">
        <v>81.0234264739939</v>
      </c>
      <c r="G5" s="32" t="s">
        <v>319</v>
      </c>
      <c r="H5" s="64" t="s">
        <v>320</v>
      </c>
      <c r="I5" s="32" t="s">
        <v>284</v>
      </c>
      <c r="J5" s="32" t="s">
        <v>321</v>
      </c>
    </row>
    <row r="6" customFormat="false" ht="15" hidden="false" customHeight="false" outlineLevel="0" collapsed="false">
      <c r="A6" s="32" t="n">
        <v>5</v>
      </c>
      <c r="B6" s="64" t="s">
        <v>325</v>
      </c>
      <c r="C6" s="32" t="s">
        <v>275</v>
      </c>
      <c r="D6" s="40" t="n">
        <v>0.0758618505451446</v>
      </c>
      <c r="E6" s="40" t="n">
        <v>0.0980359020725442</v>
      </c>
      <c r="F6" s="59" t="n">
        <v>60.4248399157277</v>
      </c>
      <c r="G6" s="32" t="s">
        <v>319</v>
      </c>
      <c r="H6" s="64" t="s">
        <v>320</v>
      </c>
      <c r="I6" s="32" t="s">
        <v>285</v>
      </c>
      <c r="J6" s="32" t="s">
        <v>321</v>
      </c>
    </row>
    <row r="7" customFormat="false" ht="15" hidden="false" customHeight="false" outlineLevel="0" collapsed="false">
      <c r="A7" s="32" t="n">
        <v>6</v>
      </c>
      <c r="B7" s="64" t="s">
        <v>326</v>
      </c>
      <c r="C7" s="32" t="s">
        <v>276</v>
      </c>
      <c r="D7" s="40" t="n">
        <v>0.0751926466712194</v>
      </c>
      <c r="E7" s="40" t="n">
        <v>0.332969359416051</v>
      </c>
      <c r="F7" s="59" t="n">
        <v>59.8918113030279</v>
      </c>
      <c r="G7" s="32" t="s">
        <v>319</v>
      </c>
      <c r="H7" s="64" t="s">
        <v>320</v>
      </c>
      <c r="I7" s="32" t="s">
        <v>286</v>
      </c>
      <c r="J7" s="32" t="s">
        <v>321</v>
      </c>
    </row>
    <row r="8" customFormat="false" ht="28.35" hidden="false" customHeight="false" outlineLevel="0" collapsed="false">
      <c r="A8" s="32" t="n">
        <v>7</v>
      </c>
      <c r="B8" s="64" t="s">
        <v>327</v>
      </c>
      <c r="C8" s="32" t="s">
        <v>275</v>
      </c>
      <c r="D8" s="40" t="n">
        <v>0.0238162762290969</v>
      </c>
      <c r="E8" s="40" t="n">
        <v>0.0307776584324022</v>
      </c>
      <c r="F8" s="59" t="n">
        <v>18.9699390166542</v>
      </c>
      <c r="G8" s="32" t="s">
        <v>319</v>
      </c>
      <c r="H8" s="64" t="s">
        <v>320</v>
      </c>
      <c r="I8" s="32" t="s">
        <v>287</v>
      </c>
      <c r="J8" s="32" t="s">
        <v>321</v>
      </c>
    </row>
    <row r="9" customFormat="false" ht="15" hidden="false" customHeight="false" outlineLevel="0" collapsed="false">
      <c r="A9" s="32" t="n">
        <v>8</v>
      </c>
      <c r="B9" s="64" t="s">
        <v>328</v>
      </c>
      <c r="C9" s="32" t="s">
        <v>276</v>
      </c>
      <c r="D9" s="40" t="n">
        <v>0.0187497020379445</v>
      </c>
      <c r="E9" s="40" t="n">
        <v>0.0830277500952203</v>
      </c>
      <c r="F9" s="59" t="n">
        <v>14.9343541710228</v>
      </c>
      <c r="G9" s="32" t="s">
        <v>319</v>
      </c>
      <c r="H9" s="64" t="s">
        <v>329</v>
      </c>
      <c r="I9" s="32" t="s">
        <v>288</v>
      </c>
      <c r="J9" s="32" t="s">
        <v>330</v>
      </c>
    </row>
    <row r="10" customFormat="false" ht="15" hidden="false" customHeight="false" outlineLevel="0" collapsed="false">
      <c r="A10" s="32" t="n">
        <v>9</v>
      </c>
      <c r="B10" s="64" t="s">
        <v>331</v>
      </c>
      <c r="C10" s="32" t="s">
        <v>276</v>
      </c>
      <c r="D10" s="40" t="n">
        <v>0.010591793962294</v>
      </c>
      <c r="E10" s="40" t="n">
        <v>0.0469027625282635</v>
      </c>
      <c r="F10" s="59" t="n">
        <v>8.43648619158221</v>
      </c>
      <c r="G10" s="32" t="s">
        <v>319</v>
      </c>
      <c r="H10" s="64" t="s">
        <v>332</v>
      </c>
      <c r="I10" s="32" t="s">
        <v>289</v>
      </c>
      <c r="J10" s="32" t="s">
        <v>330</v>
      </c>
    </row>
    <row r="11" customFormat="false" ht="15" hidden="false" customHeight="false" outlineLevel="0" collapsed="false">
      <c r="A11" s="32" t="n">
        <v>10</v>
      </c>
      <c r="B11" s="64" t="s">
        <v>333</v>
      </c>
      <c r="C11" s="32" t="s">
        <v>276</v>
      </c>
      <c r="D11" s="40" t="n">
        <v>0.00921917776964854</v>
      </c>
      <c r="E11" s="40" t="n">
        <v>0.0408245201119849</v>
      </c>
      <c r="F11" s="59" t="n">
        <v>7.34318154490766</v>
      </c>
      <c r="G11" s="32" t="s">
        <v>319</v>
      </c>
      <c r="H11" s="64" t="s">
        <v>329</v>
      </c>
      <c r="I11" s="32" t="s">
        <v>290</v>
      </c>
      <c r="J11" s="32" t="s">
        <v>330</v>
      </c>
    </row>
    <row r="12" customFormat="false" ht="28.35" hidden="false" customHeight="false" outlineLevel="0" collapsed="false">
      <c r="A12" s="32" t="n">
        <v>11</v>
      </c>
      <c r="B12" s="64" t="s">
        <v>334</v>
      </c>
      <c r="C12" s="32" t="s">
        <v>276</v>
      </c>
      <c r="D12" s="40" t="n">
        <v>0.00459452929054683</v>
      </c>
      <c r="E12" s="40" t="n">
        <v>0.0203455729039688</v>
      </c>
      <c r="F12" s="59" t="n">
        <v>3.65959563172274</v>
      </c>
      <c r="G12" s="32" t="s">
        <v>319</v>
      </c>
      <c r="H12" s="64" t="s">
        <v>335</v>
      </c>
      <c r="I12" s="32" t="s">
        <v>298</v>
      </c>
      <c r="J12" s="32" t="s">
        <v>330</v>
      </c>
    </row>
    <row r="13" customFormat="false" ht="15" hidden="false" customHeight="false" outlineLevel="0" collapsed="false">
      <c r="A13" s="32" t="n">
        <v>12</v>
      </c>
      <c r="B13" s="64" t="s">
        <v>336</v>
      </c>
      <c r="C13" s="32" t="s">
        <v>275</v>
      </c>
      <c r="D13" s="40" t="n">
        <v>0.00395650159569266</v>
      </c>
      <c r="E13" s="40" t="n">
        <v>0.00511296785140204</v>
      </c>
      <c r="F13" s="59" t="n">
        <v>3.15139920563606</v>
      </c>
      <c r="G13" s="32" t="s">
        <v>319</v>
      </c>
      <c r="H13" s="64" t="s">
        <v>337</v>
      </c>
      <c r="I13" s="32" t="s">
        <v>299</v>
      </c>
      <c r="J13" s="32" t="s">
        <v>330</v>
      </c>
    </row>
    <row r="14" customFormat="false" ht="15" hidden="false" customHeight="false" outlineLevel="0" collapsed="false">
      <c r="A14" s="32" t="n">
        <v>13</v>
      </c>
      <c r="B14" s="64" t="s">
        <v>338</v>
      </c>
      <c r="C14" s="32" t="s">
        <v>275</v>
      </c>
      <c r="D14" s="40" t="n">
        <v>0.00335635853238559</v>
      </c>
      <c r="E14" s="40" t="n">
        <v>0.00433740587708826</v>
      </c>
      <c r="F14" s="59" t="n">
        <v>2.67337832602037</v>
      </c>
      <c r="G14" s="32" t="s">
        <v>319</v>
      </c>
      <c r="H14" s="64" t="s">
        <v>339</v>
      </c>
      <c r="I14" s="32" t="s">
        <v>300</v>
      </c>
      <c r="J14" s="32" t="s">
        <v>330</v>
      </c>
    </row>
    <row r="15" customFormat="false" ht="15" hidden="false" customHeight="false" outlineLevel="0" collapsed="false">
      <c r="A15" s="32" t="n">
        <v>14</v>
      </c>
      <c r="B15" s="64" t="s">
        <v>340</v>
      </c>
      <c r="C15" s="32" t="s">
        <v>276</v>
      </c>
      <c r="D15" s="40" t="n">
        <v>0.00334863306803232</v>
      </c>
      <c r="E15" s="40" t="n">
        <v>0.0148284740189748</v>
      </c>
      <c r="F15" s="59" t="n">
        <v>2.66722490445911</v>
      </c>
      <c r="G15" s="32" t="s">
        <v>319</v>
      </c>
      <c r="H15" s="64" t="s">
        <v>341</v>
      </c>
      <c r="I15" s="32" t="s">
        <v>302</v>
      </c>
      <c r="J15" s="32" t="s">
        <v>330</v>
      </c>
    </row>
    <row r="16" customFormat="false" ht="15" hidden="false" customHeight="false" outlineLevel="0" collapsed="false">
      <c r="A16" s="32" t="n">
        <v>15</v>
      </c>
      <c r="B16" s="64" t="s">
        <v>342</v>
      </c>
      <c r="C16" s="32" t="s">
        <v>276</v>
      </c>
      <c r="D16" s="40" t="n">
        <v>0.00240518755909973</v>
      </c>
      <c r="E16" s="40" t="n">
        <v>0.010650692538203</v>
      </c>
      <c r="F16" s="59" t="n">
        <v>1.91575966288108</v>
      </c>
      <c r="G16" s="32" t="s">
        <v>319</v>
      </c>
      <c r="H16" s="64" t="s">
        <v>343</v>
      </c>
      <c r="I16" s="32" t="s">
        <v>303</v>
      </c>
      <c r="J16" s="32" t="s">
        <v>330</v>
      </c>
    </row>
    <row r="17" customFormat="false" ht="28.35" hidden="false" customHeight="false" outlineLevel="0" collapsed="false">
      <c r="A17" s="32" t="n">
        <v>16</v>
      </c>
      <c r="B17" s="64" t="s">
        <v>344</v>
      </c>
      <c r="C17" s="32" t="s">
        <v>275</v>
      </c>
      <c r="D17" s="40" t="n">
        <v>0.00235654783828388</v>
      </c>
      <c r="E17" s="40" t="n">
        <v>0.00304535535902572</v>
      </c>
      <c r="F17" s="59" t="n">
        <v>1.87701756362139</v>
      </c>
      <c r="G17" s="32" t="s">
        <v>319</v>
      </c>
      <c r="H17" s="64" t="s">
        <v>345</v>
      </c>
      <c r="I17" s="32" t="s">
        <v>301</v>
      </c>
      <c r="J17" s="32" t="s">
        <v>330</v>
      </c>
    </row>
    <row r="18" customFormat="false" ht="15" hidden="false" customHeight="false" outlineLevel="0" collapsed="false">
      <c r="A18" s="32" t="n">
        <v>17</v>
      </c>
      <c r="B18" s="64" t="s">
        <v>346</v>
      </c>
      <c r="C18" s="32" t="s">
        <v>275</v>
      </c>
      <c r="D18" s="40" t="n">
        <v>0.00171051907475498</v>
      </c>
      <c r="E18" s="40" t="n">
        <v>0.00221049551653247</v>
      </c>
      <c r="F18" s="59" t="n">
        <v>1.36244819394909</v>
      </c>
      <c r="G18" s="32" t="s">
        <v>319</v>
      </c>
      <c r="H18" s="64" t="s">
        <v>343</v>
      </c>
      <c r="I18" s="32" t="s">
        <v>305</v>
      </c>
      <c r="J18" s="32" t="s">
        <v>330</v>
      </c>
    </row>
    <row r="19" customFormat="false" ht="15" hidden="false" customHeight="false" outlineLevel="0" collapsed="false">
      <c r="A19" s="32" t="n">
        <v>18</v>
      </c>
      <c r="B19" s="64" t="s">
        <v>347</v>
      </c>
      <c r="C19" s="32" t="s">
        <v>275</v>
      </c>
      <c r="D19" s="40" t="n">
        <v>0.00144130701516231</v>
      </c>
      <c r="E19" s="40" t="n">
        <v>0.00186259407567229</v>
      </c>
      <c r="F19" s="59" t="n">
        <v>1.1480176799638</v>
      </c>
      <c r="G19" s="32" t="s">
        <v>319</v>
      </c>
      <c r="H19" s="64" t="s">
        <v>343</v>
      </c>
      <c r="I19" s="32" t="s">
        <v>306</v>
      </c>
      <c r="J19" s="32" t="s">
        <v>330</v>
      </c>
    </row>
    <row r="20" customFormat="false" ht="15" hidden="false" customHeight="false" outlineLevel="0" collapsed="false">
      <c r="A20" s="32" t="n">
        <v>19</v>
      </c>
      <c r="B20" s="64" t="s">
        <v>348</v>
      </c>
      <c r="C20" s="32" t="s">
        <v>275</v>
      </c>
      <c r="D20" s="40" t="n">
        <v>0.00134316495077435</v>
      </c>
      <c r="E20" s="40" t="n">
        <v>0.00173576556115023</v>
      </c>
      <c r="F20" s="59" t="n">
        <v>1.0698463924586</v>
      </c>
      <c r="G20" s="32" t="s">
        <v>319</v>
      </c>
      <c r="H20" s="64" t="s">
        <v>343</v>
      </c>
      <c r="I20" s="32" t="s">
        <v>304</v>
      </c>
      <c r="J20" s="32" t="s">
        <v>330</v>
      </c>
    </row>
    <row r="21" customFormat="false" ht="15" hidden="false" customHeight="false" outlineLevel="0" collapsed="false">
      <c r="A21" s="32" t="n">
        <v>20</v>
      </c>
      <c r="B21" s="64" t="s">
        <v>349</v>
      </c>
      <c r="C21" s="32" t="s">
        <v>275</v>
      </c>
      <c r="D21" s="40" t="n">
        <v>0.00105310150178299</v>
      </c>
      <c r="E21" s="40" t="n">
        <v>0.00136091797075012</v>
      </c>
      <c r="F21" s="59" t="n">
        <v>0.838807506051835</v>
      </c>
      <c r="G21" s="32" t="s">
        <v>319</v>
      </c>
      <c r="H21" s="64" t="s">
        <v>343</v>
      </c>
      <c r="I21" s="32" t="s">
        <v>307</v>
      </c>
      <c r="J21" s="32" t="s">
        <v>330</v>
      </c>
    </row>
    <row r="22" customFormat="false" ht="15" hidden="false" customHeight="false" outlineLevel="0" collapsed="false">
      <c r="A22" s="32" t="n">
        <v>21</v>
      </c>
      <c r="B22" s="64" t="s">
        <v>350</v>
      </c>
      <c r="C22" s="32" t="s">
        <v>274</v>
      </c>
      <c r="D22" s="40" t="n">
        <v>0.000358447583916254</v>
      </c>
      <c r="E22" s="40" t="n">
        <v>1</v>
      </c>
      <c r="F22" s="59" t="n">
        <v>0.285507639487781</v>
      </c>
      <c r="G22" s="32" t="s">
        <v>319</v>
      </c>
      <c r="H22" s="64" t="s">
        <v>343</v>
      </c>
      <c r="I22" s="32" t="s">
        <v>308</v>
      </c>
      <c r="J22" s="32" t="s">
        <v>330</v>
      </c>
    </row>
    <row r="24" customFormat="false" ht="15" hidden="false" customHeight="false" outlineLevel="0" collapsed="false">
      <c r="B24" s="5" t="s">
        <v>351</v>
      </c>
      <c r="C24" s="49" t="s">
        <v>275</v>
      </c>
      <c r="D24" s="65" t="n">
        <f aca="false">SUMIF(C2:C22,"Historical voter data",D2:D22)</f>
        <v>0.773817029693965</v>
      </c>
      <c r="F24" s="66" t="n">
        <f aca="false">SUMIF(C2:C22,"Historical voter data",F2:F22)</f>
        <v>616.354199209743</v>
      </c>
    </row>
    <row r="25" customFormat="false" ht="15" hidden="false" customHeight="false" outlineLevel="0" collapsed="false">
      <c r="B25" s="5" t="s">
        <v>352</v>
      </c>
      <c r="C25" s="49" t="s">
        <v>276</v>
      </c>
      <c r="D25" s="65" t="n">
        <f aca="false">SUMIF(C2:C22,"Voter registration data",D2:D22)</f>
        <v>0.225824522722119</v>
      </c>
      <c r="F25" s="66" t="n">
        <f aca="false">SUMIF(C2:C22,"Voter registration data",F2:F22)</f>
        <v>179.871839883598</v>
      </c>
    </row>
    <row r="26" customFormat="false" ht="15" hidden="false" customHeight="false" outlineLevel="0" collapsed="false">
      <c r="B26" s="5" t="s">
        <v>353</v>
      </c>
      <c r="C26" s="49" t="s">
        <v>274</v>
      </c>
      <c r="D26" s="65" t="n">
        <f aca="false">SUMIF(C2:C22,"Election type",D2:D22)</f>
        <v>0.000358447583916254</v>
      </c>
      <c r="F26" s="66" t="n">
        <f aca="false">SUMIF(C2:C22,"Election type",F2:F22)</f>
        <v>0.285507639487781</v>
      </c>
    </row>
    <row r="27" customFormat="false" ht="15" hidden="false" customHeight="false" outlineLevel="0" collapsed="false">
      <c r="B27" s="5" t="s">
        <v>354</v>
      </c>
      <c r="D27" s="65" t="n">
        <f aca="false">SUM(D2:D22)</f>
        <v>1</v>
      </c>
      <c r="F27" s="66" t="n">
        <f aca="false">SUM(F2:F22)</f>
        <v>796.511546732828</v>
      </c>
    </row>
    <row r="29" customFormat="false" ht="15" hidden="false" customHeight="false" outlineLevel="0" collapsed="false">
      <c r="B29" s="5" t="s">
        <v>136</v>
      </c>
    </row>
    <row r="30" customFormat="false" ht="30" hidden="false" customHeight="true" outlineLevel="0" collapsed="false">
      <c r="B30" s="67" t="s">
        <v>355</v>
      </c>
    </row>
    <row r="31" customFormat="false" ht="45" hidden="false" customHeight="true" outlineLevel="0" collapsed="false">
      <c r="B31" s="67" t="s">
        <v>356</v>
      </c>
    </row>
    <row r="32" customFormat="false" ht="45" hidden="false" customHeight="true" outlineLevel="0" collapsed="false">
      <c r="B32" s="67" t="s">
        <v>357</v>
      </c>
    </row>
    <row r="33" customFormat="false" ht="30" hidden="false" customHeight="true" outlineLevel="0" collapsed="false">
      <c r="B33" s="67" t="s">
        <v>358</v>
      </c>
    </row>
    <row r="34" customFormat="false" ht="75" hidden="false" customHeight="true" outlineLevel="0" collapsed="false">
      <c r="B34" s="67" t="s">
        <v>359</v>
      </c>
    </row>
    <row r="35" customFormat="false" ht="30" hidden="false" customHeight="true" outlineLevel="0" collapsed="false">
      <c r="B35" s="67" t="s">
        <v>360</v>
      </c>
    </row>
    <row r="36" customFormat="false" ht="45" hidden="false" customHeight="true" outlineLevel="0" collapsed="false">
      <c r="B36" s="67" t="s">
        <v>361</v>
      </c>
    </row>
    <row r="37" customFormat="false" ht="30" hidden="false" customHeight="true" outlineLevel="0" collapsed="false">
      <c r="B37" s="67" t="s">
        <v>362</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{A3F05D46-97DD-4E00-BA90-156661CE73C7}</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3F05D46-97DD-4E00-BA90-156661CE73C7}">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309</v>
      </c>
      <c r="B1" s="8" t="s">
        <v>310</v>
      </c>
      <c r="C1" s="8" t="s">
        <v>272</v>
      </c>
      <c r="D1" s="8" t="s">
        <v>311</v>
      </c>
      <c r="E1" s="8" t="s">
        <v>312</v>
      </c>
      <c r="F1" s="8" t="s">
        <v>313</v>
      </c>
      <c r="G1" s="8" t="s">
        <v>314</v>
      </c>
      <c r="H1" s="8" t="s">
        <v>315</v>
      </c>
      <c r="I1" s="8" t="s">
        <v>316</v>
      </c>
      <c r="J1" s="8" t="s">
        <v>317</v>
      </c>
    </row>
    <row r="2" customFormat="false" ht="28.35" hidden="false" customHeight="false" outlineLevel="0" collapsed="false">
      <c r="A2" s="32" t="n">
        <v>1</v>
      </c>
      <c r="B2" s="64" t="s">
        <v>323</v>
      </c>
      <c r="C2" s="32" t="s">
        <v>275</v>
      </c>
      <c r="D2" s="40" t="n">
        <v>0.238813689881664</v>
      </c>
      <c r="E2" s="40" t="n">
        <v>0.2988547673236</v>
      </c>
      <c r="F2" s="59" t="n">
        <v>185.815555380378</v>
      </c>
      <c r="G2" s="32" t="s">
        <v>319</v>
      </c>
      <c r="H2" s="64" t="s">
        <v>320</v>
      </c>
      <c r="I2" s="32" t="s">
        <v>282</v>
      </c>
      <c r="J2" s="32" t="s">
        <v>321</v>
      </c>
    </row>
    <row r="3" customFormat="false" ht="28.35" hidden="false" customHeight="false" outlineLevel="0" collapsed="false">
      <c r="A3" s="32" t="n">
        <v>2</v>
      </c>
      <c r="B3" s="64" t="s">
        <v>318</v>
      </c>
      <c r="C3" s="32" t="s">
        <v>275</v>
      </c>
      <c r="D3" s="40" t="n">
        <v>0.238080942179594</v>
      </c>
      <c r="E3" s="40" t="n">
        <v>0.297937796675404</v>
      </c>
      <c r="F3" s="59" t="n">
        <v>185.245420890679</v>
      </c>
      <c r="G3" s="32" t="s">
        <v>319</v>
      </c>
      <c r="H3" s="64" t="s">
        <v>320</v>
      </c>
      <c r="I3" s="32" t="s">
        <v>281</v>
      </c>
      <c r="J3" s="32" t="s">
        <v>321</v>
      </c>
    </row>
    <row r="4" customFormat="false" ht="28.35" hidden="false" customHeight="false" outlineLevel="0" collapsed="false">
      <c r="A4" s="32" t="n">
        <v>3</v>
      </c>
      <c r="B4" s="64" t="s">
        <v>322</v>
      </c>
      <c r="C4" s="32" t="s">
        <v>275</v>
      </c>
      <c r="D4" s="40" t="n">
        <v>0.226981584836028</v>
      </c>
      <c r="E4" s="40" t="n">
        <v>0.284047906786777</v>
      </c>
      <c r="F4" s="59" t="n">
        <v>176.609260835608</v>
      </c>
      <c r="G4" s="32" t="s">
        <v>319</v>
      </c>
      <c r="H4" s="64" t="s">
        <v>320</v>
      </c>
      <c r="I4" s="32" t="s">
        <v>283</v>
      </c>
      <c r="J4" s="32" t="s">
        <v>321</v>
      </c>
    </row>
    <row r="5" customFormat="false" ht="15" hidden="false" customHeight="false" outlineLevel="0" collapsed="false">
      <c r="A5" s="32" t="n">
        <v>4</v>
      </c>
      <c r="B5" s="64" t="s">
        <v>324</v>
      </c>
      <c r="C5" s="32" t="s">
        <v>276</v>
      </c>
      <c r="D5" s="40" t="n">
        <v>0.129779164529997</v>
      </c>
      <c r="E5" s="40" t="n">
        <v>0.645976449316236</v>
      </c>
      <c r="F5" s="59" t="n">
        <v>100.978246037286</v>
      </c>
      <c r="G5" s="32" t="s">
        <v>319</v>
      </c>
      <c r="H5" s="64" t="s">
        <v>320</v>
      </c>
      <c r="I5" s="32" t="s">
        <v>284</v>
      </c>
      <c r="J5" s="32" t="s">
        <v>321</v>
      </c>
    </row>
    <row r="6" customFormat="false" ht="15" hidden="false" customHeight="false" outlineLevel="0" collapsed="false">
      <c r="A6" s="32" t="n">
        <v>5</v>
      </c>
      <c r="B6" s="64" t="s">
        <v>325</v>
      </c>
      <c r="C6" s="32" t="s">
        <v>275</v>
      </c>
      <c r="D6" s="40" t="n">
        <v>0.0783131794203996</v>
      </c>
      <c r="E6" s="40" t="n">
        <v>0.098002200065047</v>
      </c>
      <c r="F6" s="59" t="n">
        <v>60.9337217427334</v>
      </c>
      <c r="G6" s="32" t="s">
        <v>319</v>
      </c>
      <c r="H6" s="64" t="s">
        <v>320</v>
      </c>
      <c r="I6" s="32" t="s">
        <v>285</v>
      </c>
      <c r="J6" s="32" t="s">
        <v>321</v>
      </c>
    </row>
    <row r="7" customFormat="false" ht="15" hidden="false" customHeight="false" outlineLevel="0" collapsed="false">
      <c r="A7" s="32" t="n">
        <v>6</v>
      </c>
      <c r="B7" s="64" t="s">
        <v>326</v>
      </c>
      <c r="C7" s="32" t="s">
        <v>276</v>
      </c>
      <c r="D7" s="40" t="n">
        <v>0.0711246991748917</v>
      </c>
      <c r="E7" s="40" t="n">
        <v>0.354023550683764</v>
      </c>
      <c r="F7" s="59" t="n">
        <v>55.3405271071084</v>
      </c>
      <c r="G7" s="32" t="s">
        <v>319</v>
      </c>
      <c r="H7" s="64" t="s">
        <v>320</v>
      </c>
      <c r="I7" s="32" t="s">
        <v>286</v>
      </c>
      <c r="J7" s="32" t="s">
        <v>321</v>
      </c>
    </row>
    <row r="8" customFormat="false" ht="28.35" hidden="false" customHeight="false" outlineLevel="0" collapsed="false">
      <c r="A8" s="32" t="n">
        <v>7</v>
      </c>
      <c r="B8" s="64" t="s">
        <v>327</v>
      </c>
      <c r="C8" s="32" t="s">
        <v>275</v>
      </c>
      <c r="D8" s="40" t="n">
        <v>0.016906739977427</v>
      </c>
      <c r="E8" s="40" t="n">
        <v>0.0211573291491717</v>
      </c>
      <c r="F8" s="59" t="n">
        <v>13.1547537334812</v>
      </c>
      <c r="G8" s="32" t="s">
        <v>319</v>
      </c>
      <c r="H8" s="64" t="s">
        <v>320</v>
      </c>
      <c r="I8" s="32" t="s">
        <v>287</v>
      </c>
      <c r="J8" s="32" t="s">
        <v>321</v>
      </c>
    </row>
    <row r="10" customFormat="false" ht="15" hidden="false" customHeight="false" outlineLevel="0" collapsed="false">
      <c r="B10" s="5" t="s">
        <v>351</v>
      </c>
      <c r="C10" s="49" t="s">
        <v>275</v>
      </c>
      <c r="D10" s="65" t="n">
        <f aca="false">SUMIF(C2:C8,"Historical voter data",D2:D8)</f>
        <v>0.799096136295111</v>
      </c>
      <c r="F10" s="66" t="n">
        <f aca="false">SUMIF(C2:C8,"Historical voter data",F2:F8)</f>
        <v>621.758712582879</v>
      </c>
    </row>
    <row r="11" customFormat="false" ht="15" hidden="false" customHeight="false" outlineLevel="0" collapsed="false">
      <c r="B11" s="5" t="s">
        <v>352</v>
      </c>
      <c r="C11" s="49" t="s">
        <v>276</v>
      </c>
      <c r="D11" s="65" t="n">
        <f aca="false">SUMIF(C2:C8,"Voter registration data",D2:D8)</f>
        <v>0.200903863704889</v>
      </c>
      <c r="F11" s="66" t="n">
        <f aca="false">SUMIF(C2:C8,"Voter registration data",F2:F8)</f>
        <v>156.318773144395</v>
      </c>
    </row>
    <row r="12" customFormat="false" ht="15" hidden="false" customHeight="false" outlineLevel="0" collapsed="false">
      <c r="B12" s="5" t="s">
        <v>354</v>
      </c>
      <c r="D12" s="65" t="n">
        <f aca="false">SUM(D2:D8)</f>
        <v>1</v>
      </c>
      <c r="F12" s="66" t="n">
        <f aca="false">SUM(F2:F8)</f>
        <v>778.077485727274</v>
      </c>
    </row>
    <row r="14" customFormat="false" ht="15" hidden="false" customHeight="false" outlineLevel="0" collapsed="false">
      <c r="B14" s="5" t="s">
        <v>136</v>
      </c>
    </row>
    <row r="15" customFormat="false" ht="30" hidden="false" customHeight="true" outlineLevel="0" collapsed="false">
      <c r="B15" s="67" t="s">
        <v>355</v>
      </c>
    </row>
    <row r="16" customFormat="false" ht="45" hidden="false" customHeight="true" outlineLevel="0" collapsed="false">
      <c r="B16" s="67" t="s">
        <v>356</v>
      </c>
    </row>
    <row r="17" customFormat="false" ht="45" hidden="false" customHeight="true" outlineLevel="0" collapsed="false">
      <c r="B17" s="67" t="s">
        <v>357</v>
      </c>
    </row>
    <row r="18" customFormat="false" ht="30" hidden="false" customHeight="true" outlineLevel="0" collapsed="false">
      <c r="B18" s="67" t="s">
        <v>358</v>
      </c>
    </row>
    <row r="19" customFormat="false" ht="75" hidden="false" customHeight="true" outlineLevel="0" collapsed="false">
      <c r="B19" s="67" t="s">
        <v>359</v>
      </c>
    </row>
    <row r="20" customFormat="false" ht="45" hidden="false" customHeight="true" outlineLevel="0" collapsed="false">
      <c r="B20" s="67" t="s">
        <v>363</v>
      </c>
    </row>
    <row r="21" customFormat="false" ht="45" hidden="false" customHeight="true" outlineLevel="0" collapsed="false">
      <c r="B21" s="67" t="s">
        <v>361</v>
      </c>
    </row>
    <row r="22" customFormat="false" ht="30" hidden="false" customHeight="true" outlineLevel="0" collapsed="false">
      <c r="B22" s="67" t="s">
        <v>364</v>
      </c>
    </row>
  </sheetData>
  <conditionalFormatting sqref="D2:D8">
    <cfRule type="dataBar" priority="2">
      <dataBar showValue="1" minLength="10" maxLength="90">
        <cfvo type="num" val="0"/>
        <cfvo type="max" val="0"/>
        <color rgb="FF5B9BD5"/>
      </dataBar>
      <extLst>
        <ext xmlns:x14="http://schemas.microsoft.com/office/spreadsheetml/2009/9/main" uri="{B025F937-C7B1-47D3-B67F-A62EFF666E3E}">
          <x14:id>{1FE9CE3C-34C4-4B33-834A-5298394B3F5B}</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FE9CE3C-34C4-4B33-834A-5298394B3F5B}">
            <x14:dataBar minLength="10" maxLength="90" axisPosition="none" gradient="true">
              <x14:cfvo type="num">
                <xm:f>0</xm:f>
              </x14:cfvo>
              <x14:cfvo type="max"/>
              <x14:negativeFillColor rgb="FF5B9BD5"/>
              <x14:axisColor rgb="FF000000"/>
            </x14:dataBar>
          </x14:cfRule>
          <xm:sqref>D2:D8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309</v>
      </c>
      <c r="B1" s="8" t="s">
        <v>310</v>
      </c>
      <c r="C1" s="8" t="s">
        <v>272</v>
      </c>
      <c r="D1" s="8" t="s">
        <v>311</v>
      </c>
      <c r="E1" s="8" t="s">
        <v>312</v>
      </c>
      <c r="F1" s="8" t="s">
        <v>313</v>
      </c>
      <c r="G1" s="8" t="s">
        <v>314</v>
      </c>
      <c r="H1" s="8" t="s">
        <v>315</v>
      </c>
      <c r="I1" s="8" t="s">
        <v>316</v>
      </c>
      <c r="J1" s="8" t="s">
        <v>317</v>
      </c>
    </row>
    <row r="2" customFormat="false" ht="28.35" hidden="false" customHeight="false" outlineLevel="0" collapsed="false">
      <c r="A2" s="32" t="n">
        <v>1</v>
      </c>
      <c r="B2" s="64" t="s">
        <v>318</v>
      </c>
      <c r="C2" s="32" t="s">
        <v>275</v>
      </c>
      <c r="D2" s="40" t="n">
        <v>0.239242418859422</v>
      </c>
      <c r="E2" s="40" t="n">
        <v>0.324214785338168</v>
      </c>
      <c r="F2" s="59" t="n">
        <v>202.933213488274</v>
      </c>
      <c r="G2" s="32" t="s">
        <v>319</v>
      </c>
      <c r="H2" s="64" t="s">
        <v>320</v>
      </c>
      <c r="I2" s="32" t="s">
        <v>281</v>
      </c>
      <c r="J2" s="32" t="s">
        <v>321</v>
      </c>
    </row>
    <row r="3" customFormat="false" ht="28.35" hidden="false" customHeight="false" outlineLevel="0" collapsed="false">
      <c r="A3" s="32" t="n">
        <v>2</v>
      </c>
      <c r="B3" s="64" t="s">
        <v>322</v>
      </c>
      <c r="C3" s="32" t="s">
        <v>275</v>
      </c>
      <c r="D3" s="40" t="n">
        <v>0.194846587981223</v>
      </c>
      <c r="E3" s="40" t="n">
        <v>0.264050769079234</v>
      </c>
      <c r="F3" s="59" t="n">
        <v>165.275223452282</v>
      </c>
      <c r="G3" s="32" t="s">
        <v>319</v>
      </c>
      <c r="H3" s="64" t="s">
        <v>320</v>
      </c>
      <c r="I3" s="32" t="s">
        <v>283</v>
      </c>
      <c r="J3" s="32" t="s">
        <v>321</v>
      </c>
    </row>
    <row r="4" customFormat="false" ht="28.35" hidden="false" customHeight="false" outlineLevel="0" collapsed="false">
      <c r="A4" s="32" t="n">
        <v>3</v>
      </c>
      <c r="B4" s="64" t="s">
        <v>323</v>
      </c>
      <c r="C4" s="32" t="s">
        <v>275</v>
      </c>
      <c r="D4" s="40" t="n">
        <v>0.194259661874889</v>
      </c>
      <c r="E4" s="40" t="n">
        <v>0.26325538286603</v>
      </c>
      <c r="F4" s="59" t="n">
        <v>164.777373608569</v>
      </c>
      <c r="G4" s="32" t="s">
        <v>319</v>
      </c>
      <c r="H4" s="64" t="s">
        <v>320</v>
      </c>
      <c r="I4" s="32" t="s">
        <v>282</v>
      </c>
      <c r="J4" s="32" t="s">
        <v>321</v>
      </c>
    </row>
    <row r="5" customFormat="false" ht="15" hidden="false" customHeight="false" outlineLevel="0" collapsed="false">
      <c r="A5" s="32" t="n">
        <v>4</v>
      </c>
      <c r="B5" s="64" t="s">
        <v>324</v>
      </c>
      <c r="C5" s="32" t="s">
        <v>276</v>
      </c>
      <c r="D5" s="40" t="n">
        <v>0.117905540594891</v>
      </c>
      <c r="E5" s="40" t="n">
        <v>0.450450868387334</v>
      </c>
      <c r="F5" s="59" t="n">
        <v>100.011320547017</v>
      </c>
      <c r="G5" s="32" t="s">
        <v>319</v>
      </c>
      <c r="H5" s="64" t="s">
        <v>320</v>
      </c>
      <c r="I5" s="32" t="s">
        <v>284</v>
      </c>
      <c r="J5" s="32" t="s">
        <v>321</v>
      </c>
    </row>
    <row r="6" customFormat="false" ht="15" hidden="false" customHeight="false" outlineLevel="0" collapsed="false">
      <c r="A6" s="32" t="n">
        <v>5</v>
      </c>
      <c r="B6" s="64" t="s">
        <v>326</v>
      </c>
      <c r="C6" s="32" t="s">
        <v>276</v>
      </c>
      <c r="D6" s="40" t="n">
        <v>0.0871547488942259</v>
      </c>
      <c r="E6" s="40" t="n">
        <v>0.332969359416051</v>
      </c>
      <c r="F6" s="59" t="n">
        <v>73.9274972565023</v>
      </c>
      <c r="G6" s="32" t="s">
        <v>319</v>
      </c>
      <c r="H6" s="64" t="s">
        <v>320</v>
      </c>
      <c r="I6" s="32" t="s">
        <v>286</v>
      </c>
      <c r="J6" s="32" t="s">
        <v>321</v>
      </c>
    </row>
    <row r="7" customFormat="false" ht="15" hidden="false" customHeight="false" outlineLevel="0" collapsed="false">
      <c r="A7" s="32" t="n">
        <v>6</v>
      </c>
      <c r="B7" s="64" t="s">
        <v>325</v>
      </c>
      <c r="C7" s="32" t="s">
        <v>275</v>
      </c>
      <c r="D7" s="40" t="n">
        <v>0.0723420010670924</v>
      </c>
      <c r="E7" s="40" t="n">
        <v>0.0980359020725442</v>
      </c>
      <c r="F7" s="59" t="n">
        <v>61.3628419939338</v>
      </c>
      <c r="G7" s="32" t="s">
        <v>319</v>
      </c>
      <c r="H7" s="64" t="s">
        <v>320</v>
      </c>
      <c r="I7" s="32" t="s">
        <v>285</v>
      </c>
      <c r="J7" s="32" t="s">
        <v>321</v>
      </c>
    </row>
    <row r="8" customFormat="false" ht="28.35" hidden="false" customHeight="false" outlineLevel="0" collapsed="false">
      <c r="A8" s="32" t="n">
        <v>7</v>
      </c>
      <c r="B8" s="64" t="s">
        <v>327</v>
      </c>
      <c r="C8" s="32" t="s">
        <v>275</v>
      </c>
      <c r="D8" s="40" t="n">
        <v>0.0227112450856205</v>
      </c>
      <c r="E8" s="40" t="n">
        <v>0.0307776584324022</v>
      </c>
      <c r="F8" s="59" t="n">
        <v>19.2644179469398</v>
      </c>
      <c r="G8" s="32" t="s">
        <v>319</v>
      </c>
      <c r="H8" s="64" t="s">
        <v>320</v>
      </c>
      <c r="I8" s="32" t="s">
        <v>287</v>
      </c>
      <c r="J8" s="32" t="s">
        <v>321</v>
      </c>
    </row>
    <row r="9" customFormat="false" ht="15" hidden="false" customHeight="false" outlineLevel="0" collapsed="false">
      <c r="A9" s="32" t="n">
        <v>8</v>
      </c>
      <c r="B9" s="64" t="s">
        <v>328</v>
      </c>
      <c r="C9" s="32" t="s">
        <v>276</v>
      </c>
      <c r="D9" s="40" t="n">
        <v>0.0217325183419044</v>
      </c>
      <c r="E9" s="40" t="n">
        <v>0.0830277500952204</v>
      </c>
      <c r="F9" s="59" t="n">
        <v>18.4342300388919</v>
      </c>
      <c r="G9" s="32" t="s">
        <v>319</v>
      </c>
      <c r="H9" s="64" t="s">
        <v>329</v>
      </c>
      <c r="I9" s="32" t="s">
        <v>288</v>
      </c>
      <c r="J9" s="32" t="s">
        <v>330</v>
      </c>
    </row>
    <row r="10" customFormat="false" ht="15" hidden="false" customHeight="false" outlineLevel="0" collapsed="false">
      <c r="A10" s="32" t="n">
        <v>9</v>
      </c>
      <c r="B10" s="64" t="s">
        <v>331</v>
      </c>
      <c r="C10" s="32" t="s">
        <v>276</v>
      </c>
      <c r="D10" s="40" t="n">
        <v>0.0122768007776011</v>
      </c>
      <c r="E10" s="40" t="n">
        <v>0.0469027625282635</v>
      </c>
      <c r="F10" s="59" t="n">
        <v>10.4135823614869</v>
      </c>
      <c r="G10" s="32" t="s">
        <v>319</v>
      </c>
      <c r="H10" s="64" t="s">
        <v>332</v>
      </c>
      <c r="I10" s="32" t="s">
        <v>289</v>
      </c>
      <c r="J10" s="32" t="s">
        <v>330</v>
      </c>
    </row>
    <row r="11" customFormat="false" ht="15" hidden="false" customHeight="false" outlineLevel="0" collapsed="false">
      <c r="A11" s="32" t="n">
        <v>10</v>
      </c>
      <c r="B11" s="64" t="s">
        <v>333</v>
      </c>
      <c r="C11" s="32" t="s">
        <v>276</v>
      </c>
      <c r="D11" s="40" t="n">
        <v>0.0106858204770772</v>
      </c>
      <c r="E11" s="40" t="n">
        <v>0.0408245201119849</v>
      </c>
      <c r="F11" s="59" t="n">
        <v>9.06406104114126</v>
      </c>
      <c r="G11" s="32" t="s">
        <v>319</v>
      </c>
      <c r="H11" s="64" t="s">
        <v>329</v>
      </c>
      <c r="I11" s="32" t="s">
        <v>290</v>
      </c>
      <c r="J11" s="32" t="s">
        <v>330</v>
      </c>
    </row>
    <row r="12" customFormat="false" ht="28.35" hidden="false" customHeight="false" outlineLevel="0" collapsed="false">
      <c r="A12" s="32" t="n">
        <v>11</v>
      </c>
      <c r="B12" s="64" t="s">
        <v>334</v>
      </c>
      <c r="C12" s="32" t="s">
        <v>276</v>
      </c>
      <c r="D12" s="40" t="n">
        <v>0.00532545487267766</v>
      </c>
      <c r="E12" s="40" t="n">
        <v>0.0203455729039688</v>
      </c>
      <c r="F12" s="59" t="n">
        <v>4.51722431060308</v>
      </c>
      <c r="G12" s="32" t="s">
        <v>319</v>
      </c>
      <c r="H12" s="64" t="s">
        <v>335</v>
      </c>
      <c r="I12" s="32" t="s">
        <v>298</v>
      </c>
      <c r="J12" s="32" t="s">
        <v>330</v>
      </c>
    </row>
    <row r="13" customFormat="false" ht="15" hidden="false" customHeight="false" outlineLevel="0" collapsed="false">
      <c r="A13" s="32" t="n">
        <v>12</v>
      </c>
      <c r="B13" s="64" t="s">
        <v>340</v>
      </c>
      <c r="C13" s="32" t="s">
        <v>276</v>
      </c>
      <c r="D13" s="40" t="n">
        <v>0.00388135392360069</v>
      </c>
      <c r="E13" s="40" t="n">
        <v>0.0148284740189748</v>
      </c>
      <c r="F13" s="59" t="n">
        <v>3.29229084105037</v>
      </c>
      <c r="G13" s="32" t="s">
        <v>319</v>
      </c>
      <c r="H13" s="64" t="s">
        <v>341</v>
      </c>
      <c r="I13" s="32" t="s">
        <v>302</v>
      </c>
      <c r="J13" s="32" t="s">
        <v>330</v>
      </c>
    </row>
    <row r="14" customFormat="false" ht="15" hidden="false" customHeight="false" outlineLevel="0" collapsed="false">
      <c r="A14" s="32" t="n">
        <v>13</v>
      </c>
      <c r="B14" s="64" t="s">
        <v>336</v>
      </c>
      <c r="C14" s="32" t="s">
        <v>275</v>
      </c>
      <c r="D14" s="40" t="n">
        <v>0.00377292724341366</v>
      </c>
      <c r="E14" s="40" t="n">
        <v>0.00511296785140204</v>
      </c>
      <c r="F14" s="59" t="n">
        <v>3.20031979869458</v>
      </c>
      <c r="G14" s="32" t="s">
        <v>319</v>
      </c>
      <c r="H14" s="64" t="s">
        <v>337</v>
      </c>
      <c r="I14" s="32" t="s">
        <v>299</v>
      </c>
      <c r="J14" s="32" t="s">
        <v>330</v>
      </c>
    </row>
    <row r="15" customFormat="false" ht="15" hidden="false" customHeight="false" outlineLevel="0" collapsed="false">
      <c r="A15" s="32" t="n">
        <v>14</v>
      </c>
      <c r="B15" s="64" t="s">
        <v>338</v>
      </c>
      <c r="C15" s="32" t="s">
        <v>275</v>
      </c>
      <c r="D15" s="40" t="n">
        <v>0.00320062970764062</v>
      </c>
      <c r="E15" s="40" t="n">
        <v>0.00433740587708826</v>
      </c>
      <c r="F15" s="59" t="n">
        <v>2.71487838508772</v>
      </c>
      <c r="G15" s="32" t="s">
        <v>319</v>
      </c>
      <c r="H15" s="64" t="s">
        <v>339</v>
      </c>
      <c r="I15" s="32" t="s">
        <v>300</v>
      </c>
      <c r="J15" s="32" t="s">
        <v>330</v>
      </c>
    </row>
    <row r="16" customFormat="false" ht="15" hidden="false" customHeight="false" outlineLevel="0" collapsed="false">
      <c r="A16" s="32" t="n">
        <v>15</v>
      </c>
      <c r="B16" s="64" t="s">
        <v>342</v>
      </c>
      <c r="C16" s="32" t="s">
        <v>276</v>
      </c>
      <c r="D16" s="40" t="n">
        <v>0.00278781938177325</v>
      </c>
      <c r="E16" s="40" t="n">
        <v>0.010650692538203</v>
      </c>
      <c r="F16" s="59" t="n">
        <v>2.3647192185453</v>
      </c>
      <c r="G16" s="32" t="s">
        <v>319</v>
      </c>
      <c r="H16" s="64" t="s">
        <v>343</v>
      </c>
      <c r="I16" s="32" t="s">
        <v>303</v>
      </c>
      <c r="J16" s="32" t="s">
        <v>330</v>
      </c>
    </row>
    <row r="17" customFormat="false" ht="28.35" hidden="false" customHeight="false" outlineLevel="0" collapsed="false">
      <c r="A17" s="32" t="n">
        <v>16</v>
      </c>
      <c r="B17" s="64" t="s">
        <v>344</v>
      </c>
      <c r="C17" s="32" t="s">
        <v>275</v>
      </c>
      <c r="D17" s="40" t="n">
        <v>0.00224720837953112</v>
      </c>
      <c r="E17" s="40" t="n">
        <v>0.00304535535902572</v>
      </c>
      <c r="F17" s="59" t="n">
        <v>1.90615535493307</v>
      </c>
      <c r="G17" s="32" t="s">
        <v>319</v>
      </c>
      <c r="H17" s="64" t="s">
        <v>345</v>
      </c>
      <c r="I17" s="32" t="s">
        <v>301</v>
      </c>
      <c r="J17" s="32" t="s">
        <v>330</v>
      </c>
    </row>
    <row r="18" customFormat="false" ht="15" hidden="false" customHeight="false" outlineLevel="0" collapsed="false">
      <c r="A18" s="32" t="n">
        <v>17</v>
      </c>
      <c r="B18" s="64" t="s">
        <v>346</v>
      </c>
      <c r="C18" s="32" t="s">
        <v>275</v>
      </c>
      <c r="D18" s="40" t="n">
        <v>0.00163115415511211</v>
      </c>
      <c r="E18" s="40" t="n">
        <v>0.00221049551653246</v>
      </c>
      <c r="F18" s="59" t="n">
        <v>1.38359809255296</v>
      </c>
      <c r="G18" s="32" t="s">
        <v>319</v>
      </c>
      <c r="H18" s="64" t="s">
        <v>343</v>
      </c>
      <c r="I18" s="32" t="s">
        <v>305</v>
      </c>
      <c r="J18" s="32" t="s">
        <v>330</v>
      </c>
    </row>
    <row r="19" customFormat="false" ht="15" hidden="false" customHeight="false" outlineLevel="0" collapsed="false">
      <c r="A19" s="32" t="n">
        <v>18</v>
      </c>
      <c r="B19" s="64" t="s">
        <v>347</v>
      </c>
      <c r="C19" s="32" t="s">
        <v>275</v>
      </c>
      <c r="D19" s="40" t="n">
        <v>0.00137443303689027</v>
      </c>
      <c r="E19" s="40" t="n">
        <v>0.00186259407567229</v>
      </c>
      <c r="F19" s="59" t="n">
        <v>1.16583887686106</v>
      </c>
      <c r="G19" s="32" t="s">
        <v>319</v>
      </c>
      <c r="H19" s="64" t="s">
        <v>343</v>
      </c>
      <c r="I19" s="32" t="s">
        <v>306</v>
      </c>
      <c r="J19" s="32" t="s">
        <v>330</v>
      </c>
    </row>
    <row r="20" customFormat="false" ht="15" hidden="false" customHeight="false" outlineLevel="0" collapsed="false">
      <c r="A20" s="32" t="n">
        <v>19</v>
      </c>
      <c r="B20" s="64" t="s">
        <v>348</v>
      </c>
      <c r="C20" s="32" t="s">
        <v>275</v>
      </c>
      <c r="D20" s="40" t="n">
        <v>0.00128084458267171</v>
      </c>
      <c r="E20" s="40" t="n">
        <v>0.00173576556115023</v>
      </c>
      <c r="F20" s="59" t="n">
        <v>1.08645410115732</v>
      </c>
      <c r="G20" s="32" t="s">
        <v>319</v>
      </c>
      <c r="H20" s="64" t="s">
        <v>343</v>
      </c>
      <c r="I20" s="32" t="s">
        <v>304</v>
      </c>
      <c r="J20" s="32" t="s">
        <v>330</v>
      </c>
    </row>
    <row r="21" customFormat="false" ht="15" hidden="false" customHeight="false" outlineLevel="0" collapsed="false">
      <c r="A21" s="32" t="n">
        <v>20</v>
      </c>
      <c r="B21" s="64" t="s">
        <v>349</v>
      </c>
      <c r="C21" s="32" t="s">
        <v>275</v>
      </c>
      <c r="D21" s="40" t="n">
        <v>0.00100423954093245</v>
      </c>
      <c r="E21" s="40" t="n">
        <v>0.00136091797075011</v>
      </c>
      <c r="F21" s="59" t="n">
        <v>0.851828693778418</v>
      </c>
      <c r="G21" s="32" t="s">
        <v>319</v>
      </c>
      <c r="H21" s="64" t="s">
        <v>343</v>
      </c>
      <c r="I21" s="32" t="s">
        <v>307</v>
      </c>
      <c r="J21" s="32" t="s">
        <v>330</v>
      </c>
    </row>
    <row r="22" customFormat="false" ht="15" hidden="false" customHeight="false" outlineLevel="0" collapsed="false">
      <c r="A22" s="32" t="n">
        <v>21</v>
      </c>
      <c r="B22" s="64" t="s">
        <v>350</v>
      </c>
      <c r="C22" s="32" t="s">
        <v>274</v>
      </c>
      <c r="D22" s="40" t="n">
        <v>0.000336591221810259</v>
      </c>
      <c r="E22" s="40" t="n">
        <v>1</v>
      </c>
      <c r="F22" s="59" t="n">
        <v>0.285507639487781</v>
      </c>
      <c r="G22" s="32" t="s">
        <v>319</v>
      </c>
      <c r="H22" s="64" t="s">
        <v>343</v>
      </c>
      <c r="I22" s="32" t="s">
        <v>308</v>
      </c>
      <c r="J22" s="32" t="s">
        <v>330</v>
      </c>
    </row>
    <row r="24" customFormat="false" ht="15" hidden="false" customHeight="false" outlineLevel="0" collapsed="false">
      <c r="B24" s="5" t="s">
        <v>351</v>
      </c>
      <c r="C24" s="49" t="s">
        <v>275</v>
      </c>
      <c r="D24" s="65" t="n">
        <f aca="false">SUMIF(C2:C22,"Historical voter data",D2:D22)</f>
        <v>0.737913351514439</v>
      </c>
      <c r="F24" s="66" t="n">
        <f aca="false">SUMIF(C2:C22,"Historical voter data",F2:F22)</f>
        <v>625.922143793064</v>
      </c>
    </row>
    <row r="25" customFormat="false" ht="15" hidden="false" customHeight="false" outlineLevel="0" collapsed="false">
      <c r="B25" s="5" t="s">
        <v>352</v>
      </c>
      <c r="C25" s="49" t="s">
        <v>276</v>
      </c>
      <c r="D25" s="65" t="n">
        <f aca="false">SUMIF(C2:C22,"Voter registration data",D2:D22)</f>
        <v>0.261750057263751</v>
      </c>
      <c r="F25" s="66" t="n">
        <f aca="false">SUMIF(C2:C22,"Voter registration data",F2:F22)</f>
        <v>222.024925615238</v>
      </c>
    </row>
    <row r="26" customFormat="false" ht="15" hidden="false" customHeight="false" outlineLevel="0" collapsed="false">
      <c r="B26" s="5" t="s">
        <v>353</v>
      </c>
      <c r="C26" s="49" t="s">
        <v>274</v>
      </c>
      <c r="D26" s="65" t="n">
        <f aca="false">SUMIF(C2:C22,"Election type",D2:D22)</f>
        <v>0.000336591221810259</v>
      </c>
      <c r="F26" s="66" t="n">
        <f aca="false">SUMIF(C2:C22,"Election type",F2:F22)</f>
        <v>0.285507639487781</v>
      </c>
    </row>
    <row r="27" customFormat="false" ht="15" hidden="false" customHeight="false" outlineLevel="0" collapsed="false">
      <c r="B27" s="5" t="s">
        <v>354</v>
      </c>
      <c r="D27" s="65" t="n">
        <f aca="false">SUM(D2:D22)</f>
        <v>1</v>
      </c>
      <c r="F27" s="66" t="n">
        <f aca="false">SUM(F2:F22)</f>
        <v>848.23257704779</v>
      </c>
    </row>
    <row r="29" customFormat="false" ht="15" hidden="false" customHeight="false" outlineLevel="0" collapsed="false">
      <c r="B29" s="5" t="s">
        <v>136</v>
      </c>
    </row>
    <row r="30" customFormat="false" ht="30" hidden="false" customHeight="true" outlineLevel="0" collapsed="false">
      <c r="B30" s="67" t="s">
        <v>355</v>
      </c>
    </row>
    <row r="31" customFormat="false" ht="45" hidden="false" customHeight="true" outlineLevel="0" collapsed="false">
      <c r="B31" s="67" t="s">
        <v>356</v>
      </c>
    </row>
    <row r="32" customFormat="false" ht="45" hidden="false" customHeight="true" outlineLevel="0" collapsed="false">
      <c r="B32" s="67" t="s">
        <v>357</v>
      </c>
    </row>
    <row r="33" customFormat="false" ht="30" hidden="false" customHeight="true" outlineLevel="0" collapsed="false">
      <c r="B33" s="67" t="s">
        <v>358</v>
      </c>
    </row>
    <row r="34" customFormat="false" ht="75" hidden="false" customHeight="true" outlineLevel="0" collapsed="false">
      <c r="B34" s="67" t="s">
        <v>359</v>
      </c>
    </row>
    <row r="35" customFormat="false" ht="60" hidden="false" customHeight="true" outlineLevel="0" collapsed="false">
      <c r="B35" s="67" t="s">
        <v>365</v>
      </c>
    </row>
    <row r="36" customFormat="false" ht="45" hidden="false" customHeight="true" outlineLevel="0" collapsed="false">
      <c r="B36" s="67" t="s">
        <v>361</v>
      </c>
    </row>
    <row r="37" customFormat="false" ht="30" hidden="false" customHeight="true" outlineLevel="0" collapsed="false">
      <c r="B37" s="67" t="s">
        <v>362</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{FFB130F9-337D-469E-9591-14D66726B117}</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FFB130F9-337D-469E-9591-14D66726B117}">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369</v>
      </c>
      <c r="H1" s="8" t="s">
        <v>370</v>
      </c>
      <c r="I1" s="8" t="s">
        <v>371</v>
      </c>
      <c r="J1" s="8" t="s">
        <v>372</v>
      </c>
      <c r="K1" s="8" t="s">
        <v>373</v>
      </c>
      <c r="L1" s="8" t="s">
        <v>374</v>
      </c>
      <c r="M1" s="8" t="s">
        <v>375</v>
      </c>
      <c r="N1" s="8" t="s">
        <v>376</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148</v>
      </c>
      <c r="E2" s="59" t="n">
        <v>181</v>
      </c>
      <c r="F2" s="68" t="n">
        <f aca="false">IF(E2="","",D2-E2)</f>
        <v>-33</v>
      </c>
      <c r="G2" s="59" t="n">
        <v>290</v>
      </c>
      <c r="H2" s="59" t="n">
        <v>285</v>
      </c>
      <c r="I2" s="68" t="n">
        <f aca="false">IF(H2="","",G2-H2)</f>
        <v>5</v>
      </c>
      <c r="J2" s="40" t="n">
        <f aca="false">IF(OR(D2="",D2+G2=0),"",D2/(D2+G2))</f>
        <v>0.337899543378995</v>
      </c>
      <c r="K2" s="40" t="n">
        <f aca="false">IF(E2="","",E2/(E2+H2))</f>
        <v>0.388412017167382</v>
      </c>
      <c r="L2" s="69" t="n">
        <f aca="false">IF(OR(K2="",J2=""),"",(J2-K2)*100)</f>
        <v>-5.05124737883866</v>
      </c>
      <c r="M2" s="36" t="n">
        <v>3.85672886711819</v>
      </c>
      <c r="N2" s="36" t="n">
        <v>1.26766093362543</v>
      </c>
      <c r="O2" s="36" t="n">
        <f aca="false">SQRT(M2^2+N2^2)</f>
        <v>4.05971942344577</v>
      </c>
      <c r="P2" s="40" t="n">
        <f aca="false">IF(J2="","",MAX(0,J2-1.96*O2/100))</f>
        <v>0.258329042679458</v>
      </c>
      <c r="Q2" s="40" t="n">
        <f aca="false">IF(J2="","",MIN(1,J2+1.96*O2/100))</f>
        <v>0.417470044078533</v>
      </c>
      <c r="R2" s="32" t="str">
        <f aca="false">IF(L2="","",IF(ABS(L2)&lt;=O2,"Yes","No"))</f>
        <v>No</v>
      </c>
      <c r="S2" s="32" t="str">
        <f aca="false">IF(L2="","",IF(ABS(L2)&lt;=1.96*O2,"Yes","No"))</f>
        <v>Yes</v>
      </c>
      <c r="T2" s="59" t="n">
        <f aca="false">IF(D2="","",ROUND(SQRT(((D2+G2)*O2/100)^2+(J2*(D2+G2)*0.09173)^2),0))</f>
        <v>22</v>
      </c>
      <c r="U2" s="32"/>
    </row>
    <row r="3" customFormat="false" ht="15" hidden="false" customHeight="false" outlineLevel="0" collapsed="false">
      <c r="A3" s="32" t="s">
        <v>159</v>
      </c>
      <c r="B3" s="32" t="s">
        <v>165</v>
      </c>
      <c r="C3" s="32" t="s">
        <v>161</v>
      </c>
      <c r="D3" s="59" t="n">
        <v>100</v>
      </c>
      <c r="E3" s="59" t="n">
        <v>118</v>
      </c>
      <c r="F3" s="68" t="n">
        <f aca="false">IF(E3="","",D3-E3)</f>
        <v>-18</v>
      </c>
      <c r="G3" s="59" t="n">
        <v>304</v>
      </c>
      <c r="H3" s="59" t="n">
        <v>300</v>
      </c>
      <c r="I3" s="68" t="n">
        <f aca="false">IF(H3="","",G3-H3)</f>
        <v>4</v>
      </c>
      <c r="J3" s="40" t="n">
        <f aca="false">IF(OR(D3="",D3+G3=0),"",D3/(D3+G3))</f>
        <v>0.247524752475248</v>
      </c>
      <c r="K3" s="40" t="n">
        <f aca="false">IF(E3="","",E3/(E3+H3))</f>
        <v>0.282296650717703</v>
      </c>
      <c r="L3" s="69" t="n">
        <f aca="false">IF(OR(K3="",J3=""),"",(J3-K3)*100)</f>
        <v>-3.47718982424558</v>
      </c>
      <c r="M3" s="36" t="n">
        <v>3.85672886711819</v>
      </c>
      <c r="N3" s="36" t="n">
        <v>1.26766093362543</v>
      </c>
      <c r="O3" s="36" t="n">
        <f aca="false">SQRT(M3^2+N3^2)</f>
        <v>4.05971942344577</v>
      </c>
      <c r="P3" s="40" t="n">
        <f aca="false">IF(J3="","",MAX(0,J3-1.96*O3/100))</f>
        <v>0.16795425177571</v>
      </c>
      <c r="Q3" s="40" t="n">
        <f aca="false">IF(J3="","",MIN(1,J3+1.96*O3/100))</f>
        <v>0.327095253174785</v>
      </c>
      <c r="R3" s="32" t="str">
        <f aca="false">IF(L3="","",IF(ABS(L3)&lt;=O3,"Yes","No"))</f>
        <v>Yes</v>
      </c>
      <c r="S3" s="32" t="str">
        <f aca="false">IF(L3="","",IF(ABS(L3)&lt;=1.96*O3,"Yes","No"))</f>
        <v>Yes</v>
      </c>
      <c r="T3" s="59" t="n">
        <f aca="false">IF(D3="","",ROUND(SQRT(((D3+G3)*O3/100)^2+(J3*(D3+G3)*0.09173)^2),0))</f>
        <v>19</v>
      </c>
      <c r="U3" s="32"/>
    </row>
    <row r="4" customFormat="false" ht="15" hidden="false" customHeight="false" outlineLevel="0" collapsed="false">
      <c r="A4" s="32" t="s">
        <v>159</v>
      </c>
      <c r="B4" s="32" t="s">
        <v>166</v>
      </c>
      <c r="C4" s="32" t="s">
        <v>161</v>
      </c>
      <c r="D4" s="59" t="n">
        <v>129</v>
      </c>
      <c r="E4" s="59" t="n">
        <v>144</v>
      </c>
      <c r="F4" s="68" t="n">
        <f aca="false">IF(E4="","",D4-E4)</f>
        <v>-15</v>
      </c>
      <c r="G4" s="59" t="n">
        <v>274</v>
      </c>
      <c r="H4" s="59" t="n">
        <v>310</v>
      </c>
      <c r="I4" s="68" t="n">
        <f aca="false">IF(H4="","",G4-H4)</f>
        <v>-36</v>
      </c>
      <c r="J4" s="40" t="n">
        <f aca="false">IF(OR(D4="",D4+G4=0),"",D4/(D4+G4))</f>
        <v>0.320099255583127</v>
      </c>
      <c r="K4" s="40" t="n">
        <f aca="false">IF(E4="","",E4/(E4+H4))</f>
        <v>0.317180616740088</v>
      </c>
      <c r="L4" s="69" t="n">
        <f aca="false">IF(OR(K4="",J4=""),"",(J4-K4)*100)</f>
        <v>0.291863884303845</v>
      </c>
      <c r="M4" s="36" t="n">
        <v>3.85672886711819</v>
      </c>
      <c r="N4" s="36" t="n">
        <v>1.26766093362543</v>
      </c>
      <c r="O4" s="36" t="n">
        <f aca="false">SQRT(M4^2+N4^2)</f>
        <v>4.05971942344577</v>
      </c>
      <c r="P4" s="40" t="n">
        <f aca="false">IF(J4="","",MAX(0,J4-1.96*O4/100))</f>
        <v>0.240528754883589</v>
      </c>
      <c r="Q4" s="40" t="n">
        <f aca="false">IF(J4="","",MIN(1,J4+1.96*O4/100))</f>
        <v>0.399669756282664</v>
      </c>
      <c r="R4" s="32" t="str">
        <f aca="false">IF(L4="","",IF(ABS(L4)&lt;=O4,"Yes","No"))</f>
        <v>Yes</v>
      </c>
      <c r="S4" s="32" t="str">
        <f aca="false">IF(L4="","",IF(ABS(L4)&lt;=1.96*O4,"Yes","No"))</f>
        <v>Yes</v>
      </c>
      <c r="T4" s="59" t="n">
        <f aca="false">IF(D4="","",ROUND(SQRT(((D4+G4)*O4/100)^2+(J4*(D4+G4)*0.09173)^2),0))</f>
        <v>20</v>
      </c>
      <c r="U4" s="32"/>
    </row>
    <row r="5" customFormat="false" ht="15" hidden="false" customHeight="false" outlineLevel="0" collapsed="false">
      <c r="A5" s="32" t="s">
        <v>159</v>
      </c>
      <c r="B5" s="32" t="s">
        <v>167</v>
      </c>
      <c r="C5" s="32" t="s">
        <v>161</v>
      </c>
      <c r="D5" s="59" t="n">
        <v>397</v>
      </c>
      <c r="E5" s="59" t="n">
        <v>438</v>
      </c>
      <c r="F5" s="68" t="n">
        <f aca="false">IF(E5="","",D5-E5)</f>
        <v>-41</v>
      </c>
      <c r="G5" s="59" t="n">
        <v>1178</v>
      </c>
      <c r="H5" s="59" t="n">
        <v>1253</v>
      </c>
      <c r="I5" s="68" t="n">
        <f aca="false">IF(H5="","",G5-H5)</f>
        <v>-75</v>
      </c>
      <c r="J5" s="40" t="n">
        <f aca="false">IF(OR(D5="",D5+G5=0),"",D5/(D5+G5))</f>
        <v>0.252063492063492</v>
      </c>
      <c r="K5" s="40" t="n">
        <f aca="false">IF(E5="","",E5/(E5+H5))</f>
        <v>0.259018332347723</v>
      </c>
      <c r="L5" s="69" t="n">
        <f aca="false">IF(OR(K5="",J5=""),"",(J5-K5)*100)</f>
        <v>-0.695484028423121</v>
      </c>
      <c r="M5" s="36" t="n">
        <v>2.19828346285965</v>
      </c>
      <c r="N5" s="36" t="n">
        <v>1.26766093362543</v>
      </c>
      <c r="O5" s="36" t="n">
        <f aca="false">SQRT(M5^2+N5^2)</f>
        <v>2.53760013117164</v>
      </c>
      <c r="P5" s="40" t="n">
        <f aca="false">IF(J5="","",MAX(0,J5-1.96*O5/100))</f>
        <v>0.202326529492528</v>
      </c>
      <c r="Q5" s="40" t="n">
        <f aca="false">IF(J5="","",MIN(1,J5+1.96*O5/100))</f>
        <v>0.301800454634456</v>
      </c>
      <c r="R5" s="32" t="str">
        <f aca="false">IF(L5="","",IF(ABS(L5)&lt;=O5,"Yes","No"))</f>
        <v>Yes</v>
      </c>
      <c r="S5" s="32" t="str">
        <f aca="false">IF(L5="","",IF(ABS(L5)&lt;=1.96*O5,"Yes","No"))</f>
        <v>Yes</v>
      </c>
      <c r="T5" s="59" t="n">
        <f aca="false">IF(D5="","",ROUND(SQRT(((D5+G5)*O5/100)^2+(J5*(D5+G5)*0.07048)^2),0))</f>
        <v>49</v>
      </c>
      <c r="U5" s="32"/>
    </row>
    <row r="6" customFormat="false" ht="15" hidden="false" customHeight="false" outlineLevel="0" collapsed="false">
      <c r="A6" s="32" t="s">
        <v>159</v>
      </c>
      <c r="B6" s="32" t="s">
        <v>169</v>
      </c>
      <c r="C6" s="32" t="s">
        <v>161</v>
      </c>
      <c r="D6" s="59" t="n">
        <v>37</v>
      </c>
      <c r="E6" s="59" t="n">
        <v>38</v>
      </c>
      <c r="F6" s="68" t="n">
        <f aca="false">IF(E6="","",D6-E6)</f>
        <v>-1</v>
      </c>
      <c r="G6" s="59" t="n">
        <v>75</v>
      </c>
      <c r="H6" s="59" t="n">
        <v>78</v>
      </c>
      <c r="I6" s="68" t="n">
        <f aca="false">IF(H6="","",G6-H6)</f>
        <v>-3</v>
      </c>
      <c r="J6" s="40" t="n">
        <f aca="false">IF(OR(D6="",D6+G6=0),"",D6/(D6+G6))</f>
        <v>0.330357142857143</v>
      </c>
      <c r="K6" s="40" t="n">
        <f aca="false">IF(E6="","",E6/(E6+H6))</f>
        <v>0.327586206896552</v>
      </c>
      <c r="L6" s="69" t="n">
        <f aca="false">IF(OR(K6="",J6=""),"",(J6-K6)*100)</f>
        <v>0.277093596059114</v>
      </c>
      <c r="M6" s="36" t="n">
        <v>3.85672886711819</v>
      </c>
      <c r="N6" s="36" t="n">
        <v>1.26766093362543</v>
      </c>
      <c r="O6" s="36" t="n">
        <f aca="false">SQRT(M6^2+N6^2)</f>
        <v>4.05971942344577</v>
      </c>
      <c r="P6" s="40" t="n">
        <f aca="false">IF(J6="","",MAX(0,J6-1.96*O6/100))</f>
        <v>0.250786642157606</v>
      </c>
      <c r="Q6" s="40" t="n">
        <f aca="false">IF(J6="","",MIN(1,J6+1.96*O6/100))</f>
        <v>0.40992764355668</v>
      </c>
      <c r="R6" s="32" t="str">
        <f aca="false">IF(L6="","",IF(ABS(L6)&lt;=O6,"Yes","No"))</f>
        <v>Yes</v>
      </c>
      <c r="S6" s="32" t="str">
        <f aca="false">IF(L6="","",IF(ABS(L6)&lt;=1.96*O6,"Yes","No"))</f>
        <v>Yes</v>
      </c>
      <c r="T6" s="59" t="n">
        <f aca="false">IF(D6="","",ROUND(SQRT(((D6+G6)*O6/100)^2+(J6*(D6+G6)*0.09173)^2),0))</f>
        <v>6</v>
      </c>
      <c r="U6" s="32"/>
    </row>
    <row r="7" customFormat="false" ht="15" hidden="false" customHeight="false" outlineLevel="0" collapsed="false">
      <c r="A7" s="32" t="s">
        <v>159</v>
      </c>
      <c r="B7" s="32" t="s">
        <v>170</v>
      </c>
      <c r="C7" s="32" t="s">
        <v>161</v>
      </c>
      <c r="D7" s="59" t="n">
        <v>619</v>
      </c>
      <c r="E7" s="59" t="n">
        <v>708</v>
      </c>
      <c r="F7" s="68" t="n">
        <f aca="false">IF(E7="","",D7-E7)</f>
        <v>-89</v>
      </c>
      <c r="G7" s="59" t="n">
        <v>1813</v>
      </c>
      <c r="H7" s="59" t="n">
        <v>1846</v>
      </c>
      <c r="I7" s="68" t="n">
        <f aca="false">IF(H7="","",G7-H7)</f>
        <v>-33</v>
      </c>
      <c r="J7" s="40" t="n">
        <f aca="false">IF(OR(D7="",D7+G7=0),"",D7/(D7+G7))</f>
        <v>0.25452302631579</v>
      </c>
      <c r="K7" s="40" t="n">
        <f aca="false">IF(E7="","",E7/(E7+H7))</f>
        <v>0.277212216131558</v>
      </c>
      <c r="L7" s="69" t="n">
        <f aca="false">IF(OR(K7="",J7=""),"",(J7-K7)*100)</f>
        <v>-2.26891898157688</v>
      </c>
      <c r="M7" s="36" t="n">
        <v>2.19828346285965</v>
      </c>
      <c r="N7" s="36" t="n">
        <v>1.26766093362543</v>
      </c>
      <c r="O7" s="36" t="n">
        <f aca="false">SQRT(M7^2+N7^2)</f>
        <v>2.53760013117164</v>
      </c>
      <c r="P7" s="40" t="n">
        <f aca="false">IF(J7="","",MAX(0,J7-1.96*O7/100))</f>
        <v>0.204786063744825</v>
      </c>
      <c r="Q7" s="40" t="n">
        <f aca="false">IF(J7="","",MIN(1,J7+1.96*O7/100))</f>
        <v>0.304259988886754</v>
      </c>
      <c r="R7" s="32" t="str">
        <f aca="false">IF(L7="","",IF(ABS(L7)&lt;=O7,"Yes","No"))</f>
        <v>Yes</v>
      </c>
      <c r="S7" s="32" t="str">
        <f aca="false">IF(L7="","",IF(ABS(L7)&lt;=1.96*O7,"Yes","No"))</f>
        <v>Yes</v>
      </c>
      <c r="T7" s="59" t="n">
        <f aca="false">IF(D7="","",ROUND(SQRT(((D7+G7)*O7/100)^2+(J7*(D7+G7)*0.07048)^2),0))</f>
        <v>76</v>
      </c>
      <c r="U7" s="32"/>
    </row>
    <row r="8" customFormat="false" ht="15" hidden="false" customHeight="false" outlineLevel="0" collapsed="false">
      <c r="A8" s="32" t="s">
        <v>159</v>
      </c>
      <c r="B8" s="32" t="s">
        <v>171</v>
      </c>
      <c r="C8" s="32" t="s">
        <v>161</v>
      </c>
      <c r="D8" s="59" t="n">
        <v>1079</v>
      </c>
      <c r="E8" s="59" t="n">
        <v>1104</v>
      </c>
      <c r="F8" s="68" t="n">
        <f aca="false">IF(E8="","",D8-E8)</f>
        <v>-25</v>
      </c>
      <c r="G8" s="59" t="n">
        <v>1346</v>
      </c>
      <c r="H8" s="59" t="n">
        <v>1481</v>
      </c>
      <c r="I8" s="68" t="n">
        <f aca="false">IF(H8="","",G8-H8)</f>
        <v>-135</v>
      </c>
      <c r="J8" s="40" t="n">
        <f aca="false">IF(OR(D8="",D8+G8=0),"",D8/(D8+G8))</f>
        <v>0.444948453608247</v>
      </c>
      <c r="K8" s="40" t="n">
        <f aca="false">IF(E8="","",E8/(E8+H8))</f>
        <v>0.427079303675048</v>
      </c>
      <c r="L8" s="69" t="n">
        <f aca="false">IF(OR(K8="",J8=""),"",(J8-K8)*100)</f>
        <v>1.7869149933199</v>
      </c>
      <c r="M8" s="36" t="n">
        <v>2.19828346285965</v>
      </c>
      <c r="N8" s="36" t="n">
        <v>1.26766093362543</v>
      </c>
      <c r="O8" s="36" t="n">
        <f aca="false">SQRT(M8^2+N8^2)</f>
        <v>2.53760013117164</v>
      </c>
      <c r="P8" s="40" t="n">
        <f aca="false">IF(J8="","",MAX(0,J8-1.96*O8/100))</f>
        <v>0.395211491037283</v>
      </c>
      <c r="Q8" s="40" t="n">
        <f aca="false">IF(J8="","",MIN(1,J8+1.96*O8/100))</f>
        <v>0.494685416179211</v>
      </c>
      <c r="R8" s="32" t="str">
        <f aca="false">IF(L8="","",IF(ABS(L8)&lt;=O8,"Yes","No"))</f>
        <v>Yes</v>
      </c>
      <c r="S8" s="32" t="str">
        <f aca="false">IF(L8="","",IF(ABS(L8)&lt;=1.96*O8,"Yes","No"))</f>
        <v>Yes</v>
      </c>
      <c r="T8" s="59" t="n">
        <f aca="false">IF(D8="","",ROUND(SQRT(((D8+G8)*O8/100)^2+(J8*(D8+G8)*0.07048)^2),0))</f>
        <v>98</v>
      </c>
      <c r="U8" s="32"/>
    </row>
    <row r="9" customFormat="false" ht="15" hidden="false" customHeight="false" outlineLevel="0" collapsed="false">
      <c r="A9" s="32" t="s">
        <v>159</v>
      </c>
      <c r="B9" s="32" t="s">
        <v>172</v>
      </c>
      <c r="C9" s="32" t="s">
        <v>161</v>
      </c>
      <c r="D9" s="59" t="n">
        <v>326</v>
      </c>
      <c r="E9" s="59" t="n">
        <v>351</v>
      </c>
      <c r="F9" s="68" t="n">
        <f aca="false">IF(E9="","",D9-E9)</f>
        <v>-25</v>
      </c>
      <c r="G9" s="59" t="n">
        <v>710</v>
      </c>
      <c r="H9" s="59" t="n">
        <v>697</v>
      </c>
      <c r="I9" s="68" t="n">
        <f aca="false">IF(H9="","",G9-H9)</f>
        <v>13</v>
      </c>
      <c r="J9" s="40" t="n">
        <f aca="false">IF(OR(D9="",D9+G9=0),"",D9/(D9+G9))</f>
        <v>0.314671814671815</v>
      </c>
      <c r="K9" s="40" t="n">
        <f aca="false">IF(E9="","",E9/(E9+H9))</f>
        <v>0.334923664122137</v>
      </c>
      <c r="L9" s="69" t="n">
        <f aca="false">IF(OR(K9="",J9=""),"",(J9-K9)*100)</f>
        <v>-2.02518494503228</v>
      </c>
      <c r="M9" s="36" t="n">
        <v>3.85672886711819</v>
      </c>
      <c r="N9" s="36" t="n">
        <v>1.26766093362543</v>
      </c>
      <c r="O9" s="36" t="n">
        <f aca="false">SQRT(M9^2+N9^2)</f>
        <v>4.05971942344577</v>
      </c>
      <c r="P9" s="40" t="n">
        <f aca="false">IF(J9="","",MAX(0,J9-1.96*O9/100))</f>
        <v>0.235101313972278</v>
      </c>
      <c r="Q9" s="40" t="n">
        <f aca="false">IF(J9="","",MIN(1,J9+1.96*O9/100))</f>
        <v>0.394242315371352</v>
      </c>
      <c r="R9" s="32" t="str">
        <f aca="false">IF(L9="","",IF(ABS(L9)&lt;=O9,"Yes","No"))</f>
        <v>Yes</v>
      </c>
      <c r="S9" s="32" t="str">
        <f aca="false">IF(L9="","",IF(ABS(L9)&lt;=1.96*O9,"Yes","No"))</f>
        <v>Yes</v>
      </c>
      <c r="T9" s="59" t="n">
        <f aca="false">IF(D9="","",ROUND(SQRT(((D9+G9)*O9/100)^2+(J9*(D9+G9)*0.09173)^2),0))</f>
        <v>52</v>
      </c>
      <c r="U9" s="32"/>
    </row>
    <row r="10" customFormat="false" ht="15" hidden="false" customHeight="false" outlineLevel="0" collapsed="false">
      <c r="A10" s="32" t="s">
        <v>159</v>
      </c>
      <c r="B10" s="32" t="s">
        <v>173</v>
      </c>
      <c r="C10" s="32" t="s">
        <v>161</v>
      </c>
      <c r="D10" s="59" t="n">
        <v>557</v>
      </c>
      <c r="E10" s="59" t="n">
        <v>575</v>
      </c>
      <c r="F10" s="68" t="n">
        <f aca="false">IF(E10="","",D10-E10)</f>
        <v>-18</v>
      </c>
      <c r="G10" s="59" t="n">
        <v>852</v>
      </c>
      <c r="H10" s="59" t="n">
        <v>880</v>
      </c>
      <c r="I10" s="68" t="n">
        <f aca="false">IF(H10="","",G10-H10)</f>
        <v>-28</v>
      </c>
      <c r="J10" s="40" t="n">
        <f aca="false">IF(OR(D10="",D10+G10=0),"",D10/(D10+G10))</f>
        <v>0.395315826827537</v>
      </c>
      <c r="K10" s="40" t="n">
        <f aca="false">IF(E10="","",E10/(E10+H10))</f>
        <v>0.395189003436426</v>
      </c>
      <c r="L10" s="69" t="n">
        <f aca="false">IF(OR(K10="",J10=""),"",(J10-K10)*100)</f>
        <v>0.0126823391111142</v>
      </c>
      <c r="M10" s="36" t="n">
        <v>3.85672886711819</v>
      </c>
      <c r="N10" s="36" t="n">
        <v>1.26766093362543</v>
      </c>
      <c r="O10" s="36" t="n">
        <f aca="false">SQRT(M10^2+N10^2)</f>
        <v>4.05971942344577</v>
      </c>
      <c r="P10" s="40" t="n">
        <f aca="false">IF(J10="","",MAX(0,J10-1.96*O10/100))</f>
        <v>0.315745326128</v>
      </c>
      <c r="Q10" s="40" t="n">
        <f aca="false">IF(J10="","",MIN(1,J10+1.96*O10/100))</f>
        <v>0.474886327527074</v>
      </c>
      <c r="R10" s="32" t="str">
        <f aca="false">IF(L10="","",IF(ABS(L10)&lt;=O10,"Yes","No"))</f>
        <v>Yes</v>
      </c>
      <c r="S10" s="32" t="str">
        <f aca="false">IF(L10="","",IF(ABS(L10)&lt;=1.96*O10,"Yes","No"))</f>
        <v>Yes</v>
      </c>
      <c r="T10" s="59" t="n">
        <f aca="false">IF(D10="","",ROUND(SQRT(((D10+G10)*O10/100)^2+(J10*(D10+G10)*0.09173)^2),0))</f>
        <v>77</v>
      </c>
      <c r="U10" s="32"/>
    </row>
    <row r="11" customFormat="false" ht="15" hidden="false" customHeight="false" outlineLevel="0" collapsed="false">
      <c r="A11" s="32" t="s">
        <v>159</v>
      </c>
      <c r="B11" s="32" t="s">
        <v>174</v>
      </c>
      <c r="C11" s="32" t="s">
        <v>161</v>
      </c>
      <c r="D11" s="59" t="n">
        <v>40</v>
      </c>
      <c r="E11" s="59" t="n">
        <v>38</v>
      </c>
      <c r="F11" s="68" t="n">
        <f aca="false">IF(E11="","",D11-E11)</f>
        <v>2</v>
      </c>
      <c r="G11" s="59" t="n">
        <v>99</v>
      </c>
      <c r="H11" s="59" t="n">
        <v>107</v>
      </c>
      <c r="I11" s="68" t="n">
        <f aca="false">IF(H11="","",G11-H11)</f>
        <v>-8</v>
      </c>
      <c r="J11" s="40" t="n">
        <f aca="false">IF(OR(D11="",D11+G11=0),"",D11/(D11+G11))</f>
        <v>0.287769784172662</v>
      </c>
      <c r="K11" s="40" t="n">
        <f aca="false">IF(E11="","",E11/(E11+H11))</f>
        <v>0.262068965517241</v>
      </c>
      <c r="L11" s="69" t="n">
        <f aca="false">IF(OR(K11="",J11=""),"",(J11-K11)*100)</f>
        <v>2.57008186554205</v>
      </c>
      <c r="M11" s="36" t="n">
        <v>3.85672886711819</v>
      </c>
      <c r="N11" s="36" t="n">
        <v>1.26766093362543</v>
      </c>
      <c r="O11" s="36" t="n">
        <f aca="false">SQRT(M11^2+N11^2)</f>
        <v>4.05971942344577</v>
      </c>
      <c r="P11" s="40" t="n">
        <f aca="false">IF(J11="","",MAX(0,J11-1.96*O11/100))</f>
        <v>0.208199283473125</v>
      </c>
      <c r="Q11" s="40" t="n">
        <f aca="false">IF(J11="","",MIN(1,J11+1.96*O11/100))</f>
        <v>0.367340284872199</v>
      </c>
      <c r="R11" s="32" t="str">
        <f aca="false">IF(L11="","",IF(ABS(L11)&lt;=O11,"Yes","No"))</f>
        <v>Yes</v>
      </c>
      <c r="S11" s="32" t="str">
        <f aca="false">IF(L11="","",IF(ABS(L11)&lt;=1.96*O11,"Yes","No"))</f>
        <v>Yes</v>
      </c>
      <c r="T11" s="59" t="n">
        <f aca="false">IF(D11="","",ROUND(SQRT(((D11+G11)*O11/100)^2+(J11*(D11+G11)*0.09173)^2),0))</f>
        <v>7</v>
      </c>
      <c r="U11" s="32"/>
    </row>
    <row r="12" customFormat="false" ht="15" hidden="false" customHeight="false" outlineLevel="0" collapsed="false">
      <c r="A12" s="32" t="s">
        <v>159</v>
      </c>
      <c r="B12" s="32" t="s">
        <v>175</v>
      </c>
      <c r="C12" s="32" t="s">
        <v>161</v>
      </c>
      <c r="D12" s="59" t="n">
        <v>50</v>
      </c>
      <c r="E12" s="59" t="n">
        <v>58</v>
      </c>
      <c r="F12" s="68" t="n">
        <f aca="false">IF(E12="","",D12-E12)</f>
        <v>-8</v>
      </c>
      <c r="G12" s="59" t="n">
        <v>214</v>
      </c>
      <c r="H12" s="59" t="n">
        <v>216</v>
      </c>
      <c r="I12" s="68" t="n">
        <f aca="false">IF(H12="","",G12-H12)</f>
        <v>-2</v>
      </c>
      <c r="J12" s="40" t="n">
        <f aca="false">IF(OR(D12="",D12+G12=0),"",D12/(D12+G12))</f>
        <v>0.189393939393939</v>
      </c>
      <c r="K12" s="40" t="n">
        <f aca="false">IF(E12="","",E12/(E12+H12))</f>
        <v>0.211678832116788</v>
      </c>
      <c r="L12" s="69" t="n">
        <f aca="false">IF(OR(K12="",J12=""),"",(J12-K12)*100)</f>
        <v>-2.22848927228489</v>
      </c>
      <c r="M12" s="36" t="n">
        <v>3.85672886711819</v>
      </c>
      <c r="N12" s="36" t="n">
        <v>1.26766093362543</v>
      </c>
      <c r="O12" s="36" t="n">
        <f aca="false">SQRT(M12^2+N12^2)</f>
        <v>4.05971942344577</v>
      </c>
      <c r="P12" s="40" t="n">
        <f aca="false">IF(J12="","",MAX(0,J12-1.96*O12/100))</f>
        <v>0.109823438694402</v>
      </c>
      <c r="Q12" s="40" t="n">
        <f aca="false">IF(J12="","",MIN(1,J12+1.96*O12/100))</f>
        <v>0.268964440093477</v>
      </c>
      <c r="R12" s="32" t="str">
        <f aca="false">IF(L12="","",IF(ABS(L12)&lt;=O12,"Yes","No"))</f>
        <v>Yes</v>
      </c>
      <c r="S12" s="32" t="str">
        <f aca="false">IF(L12="","",IF(ABS(L12)&lt;=1.96*O12,"Yes","No"))</f>
        <v>Yes</v>
      </c>
      <c r="T12" s="59" t="n">
        <f aca="false">IF(D12="","",ROUND(SQRT(((D12+G12)*O12/100)^2+(J12*(D12+G12)*0.09173)^2),0))</f>
        <v>12</v>
      </c>
      <c r="U12" s="32"/>
    </row>
    <row r="13" customFormat="false" ht="15" hidden="false" customHeight="false" outlineLevel="0" collapsed="false">
      <c r="A13" s="32" t="s">
        <v>159</v>
      </c>
      <c r="B13" s="32" t="s">
        <v>176</v>
      </c>
      <c r="C13" s="32" t="s">
        <v>161</v>
      </c>
      <c r="D13" s="59" t="n">
        <v>879</v>
      </c>
      <c r="E13" s="59" t="n">
        <v>944</v>
      </c>
      <c r="F13" s="68" t="n">
        <f aca="false">IF(E13="","",D13-E13)</f>
        <v>-65</v>
      </c>
      <c r="G13" s="59" t="n">
        <v>1385</v>
      </c>
      <c r="H13" s="59" t="n">
        <v>1486</v>
      </c>
      <c r="I13" s="68" t="n">
        <f aca="false">IF(H13="","",G13-H13)</f>
        <v>-101</v>
      </c>
      <c r="J13" s="40" t="n">
        <f aca="false">IF(OR(D13="",D13+G13=0),"",D13/(D13+G13))</f>
        <v>0.388250883392226</v>
      </c>
      <c r="K13" s="40" t="n">
        <f aca="false">IF(E13="","",E13/(E13+H13))</f>
        <v>0.388477366255144</v>
      </c>
      <c r="L13" s="69" t="n">
        <f aca="false">IF(OR(K13="",J13=""),"",(J13-K13)*100)</f>
        <v>-0.0226482862917876</v>
      </c>
      <c r="M13" s="36" t="n">
        <v>2.19828346285965</v>
      </c>
      <c r="N13" s="36" t="n">
        <v>1.26766093362543</v>
      </c>
      <c r="O13" s="36" t="n">
        <f aca="false">SQRT(M13^2+N13^2)</f>
        <v>2.53760013117164</v>
      </c>
      <c r="P13" s="40" t="n">
        <f aca="false">IF(J13="","",MAX(0,J13-1.96*O13/100))</f>
        <v>0.338513920821262</v>
      </c>
      <c r="Q13" s="40" t="n">
        <f aca="false">IF(J13="","",MIN(1,J13+1.96*O13/100))</f>
        <v>0.43798784596319</v>
      </c>
      <c r="R13" s="32" t="str">
        <f aca="false">IF(L13="","",IF(ABS(L13)&lt;=O13,"Yes","No"))</f>
        <v>Yes</v>
      </c>
      <c r="S13" s="32" t="str">
        <f aca="false">IF(L13="","",IF(ABS(L13)&lt;=1.96*O13,"Yes","No"))</f>
        <v>Yes</v>
      </c>
      <c r="T13" s="59" t="n">
        <f aca="false">IF(D13="","",ROUND(SQRT(((D13+G13)*O13/100)^2+(J13*(D13+G13)*0.07048)^2),0))</f>
        <v>84</v>
      </c>
      <c r="U13" s="32"/>
    </row>
    <row r="14" customFormat="false" ht="15" hidden="false" customHeight="false" outlineLevel="0" collapsed="false">
      <c r="A14" s="32" t="s">
        <v>159</v>
      </c>
      <c r="B14" s="32" t="s">
        <v>177</v>
      </c>
      <c r="C14" s="32" t="s">
        <v>161</v>
      </c>
      <c r="D14" s="59" t="n">
        <v>485</v>
      </c>
      <c r="E14" s="59" t="n">
        <v>515</v>
      </c>
      <c r="F14" s="68" t="n">
        <f aca="false">IF(E14="","",D14-E14)</f>
        <v>-30</v>
      </c>
      <c r="G14" s="59" t="n">
        <v>1196</v>
      </c>
      <c r="H14" s="59" t="n">
        <v>1293</v>
      </c>
      <c r="I14" s="68" t="n">
        <f aca="false">IF(H14="","",G14-H14)</f>
        <v>-97</v>
      </c>
      <c r="J14" s="40" t="n">
        <f aca="false">IF(OR(D14="",D14+G14=0),"",D14/(D14+G14))</f>
        <v>0.288518738845925</v>
      </c>
      <c r="K14" s="40" t="n">
        <f aca="false">IF(E14="","",E14/(E14+H14))</f>
        <v>0.284845132743363</v>
      </c>
      <c r="L14" s="69" t="n">
        <f aca="false">IF(OR(K14="",J14=""),"",(J14-K14)*100)</f>
        <v>0.367360610256223</v>
      </c>
      <c r="M14" s="36" t="n">
        <v>2.19828346285965</v>
      </c>
      <c r="N14" s="36" t="n">
        <v>1.26766093362543</v>
      </c>
      <c r="O14" s="36" t="n">
        <f aca="false">SQRT(M14^2+N14^2)</f>
        <v>2.53760013117164</v>
      </c>
      <c r="P14" s="40" t="n">
        <f aca="false">IF(J14="","",MAX(0,J14-1.96*O14/100))</f>
        <v>0.238781776274961</v>
      </c>
      <c r="Q14" s="40" t="n">
        <f aca="false">IF(J14="","",MIN(1,J14+1.96*O14/100))</f>
        <v>0.338255701416889</v>
      </c>
      <c r="R14" s="32" t="str">
        <f aca="false">IF(L14="","",IF(ABS(L14)&lt;=O14,"Yes","No"))</f>
        <v>Yes</v>
      </c>
      <c r="S14" s="32" t="str">
        <f aca="false">IF(L14="","",IF(ABS(L14)&lt;=1.96*O14,"Yes","No"))</f>
        <v>Yes</v>
      </c>
      <c r="T14" s="59" t="n">
        <f aca="false">IF(D14="","",ROUND(SQRT(((D14+G14)*O14/100)^2+(J14*(D14+G14)*0.07048)^2),0))</f>
        <v>55</v>
      </c>
      <c r="U14" s="32"/>
    </row>
    <row r="15" customFormat="false" ht="15" hidden="false" customHeight="false" outlineLevel="0" collapsed="false">
      <c r="A15" s="32" t="s">
        <v>159</v>
      </c>
      <c r="B15" s="32" t="s">
        <v>178</v>
      </c>
      <c r="C15" s="32" t="s">
        <v>161</v>
      </c>
      <c r="D15" s="59" t="n">
        <v>608</v>
      </c>
      <c r="E15" s="59" t="n">
        <v>694</v>
      </c>
      <c r="F15" s="68" t="n">
        <f aca="false">IF(E15="","",D15-E15)</f>
        <v>-86</v>
      </c>
      <c r="G15" s="59" t="n">
        <v>1581</v>
      </c>
      <c r="H15" s="59" t="n">
        <v>1695</v>
      </c>
      <c r="I15" s="68" t="n">
        <f aca="false">IF(H15="","",G15-H15)</f>
        <v>-114</v>
      </c>
      <c r="J15" s="40" t="n">
        <f aca="false">IF(OR(D15="",D15+G15=0),"",D15/(D15+G15))</f>
        <v>0.277752398355413</v>
      </c>
      <c r="K15" s="40" t="n">
        <f aca="false">IF(E15="","",E15/(E15+H15))</f>
        <v>0.290498116366681</v>
      </c>
      <c r="L15" s="69" t="n">
        <f aca="false">IF(OR(K15="",J15=""),"",(J15-K15)*100)</f>
        <v>-1.27457180112672</v>
      </c>
      <c r="M15" s="36" t="n">
        <v>2.19828346285965</v>
      </c>
      <c r="N15" s="36" t="n">
        <v>1.26766093362543</v>
      </c>
      <c r="O15" s="36" t="n">
        <f aca="false">SQRT(M15^2+N15^2)</f>
        <v>2.53760013117164</v>
      </c>
      <c r="P15" s="40" t="n">
        <f aca="false">IF(J15="","",MAX(0,J15-1.96*O15/100))</f>
        <v>0.228015435784449</v>
      </c>
      <c r="Q15" s="40" t="n">
        <f aca="false">IF(J15="","",MIN(1,J15+1.96*O15/100))</f>
        <v>0.327489360926378</v>
      </c>
      <c r="R15" s="32" t="str">
        <f aca="false">IF(L15="","",IF(ABS(L15)&lt;=O15,"Yes","No"))</f>
        <v>Yes</v>
      </c>
      <c r="S15" s="32" t="str">
        <f aca="false">IF(L15="","",IF(ABS(L15)&lt;=1.96*O15,"Yes","No"))</f>
        <v>Yes</v>
      </c>
      <c r="T15" s="59" t="n">
        <f aca="false">IF(D15="","",ROUND(SQRT(((D15+G15)*O15/100)^2+(J15*(D15+G15)*0.07048)^2),0))</f>
        <v>70</v>
      </c>
      <c r="U15" s="32"/>
    </row>
    <row r="16" customFormat="false" ht="15" hidden="false" customHeight="false" outlineLevel="0" collapsed="false">
      <c r="A16" s="32" t="s">
        <v>159</v>
      </c>
      <c r="B16" s="32" t="s">
        <v>179</v>
      </c>
      <c r="C16" s="32" t="s">
        <v>161</v>
      </c>
      <c r="D16" s="59" t="n">
        <v>558</v>
      </c>
      <c r="E16" s="59" t="n">
        <v>601</v>
      </c>
      <c r="F16" s="68" t="n">
        <f aca="false">IF(E16="","",D16-E16)</f>
        <v>-43</v>
      </c>
      <c r="G16" s="59" t="n">
        <v>898</v>
      </c>
      <c r="H16" s="59" t="n">
        <v>955</v>
      </c>
      <c r="I16" s="68" t="n">
        <f aca="false">IF(H16="","",G16-H16)</f>
        <v>-57</v>
      </c>
      <c r="J16" s="40" t="n">
        <f aca="false">IF(OR(D16="",D16+G16=0),"",D16/(D16+G16))</f>
        <v>0.383241758241758</v>
      </c>
      <c r="K16" s="40" t="n">
        <f aca="false">IF(E16="","",E16/(E16+H16))</f>
        <v>0.386246786632391</v>
      </c>
      <c r="L16" s="69" t="n">
        <f aca="false">IF(OR(K16="",J16=""),"",(J16-K16)*100)</f>
        <v>-0.300502839063249</v>
      </c>
      <c r="M16" s="36" t="n">
        <v>3.85672886711819</v>
      </c>
      <c r="N16" s="36" t="n">
        <v>1.26766093362543</v>
      </c>
      <c r="O16" s="36" t="n">
        <f aca="false">SQRT(M16^2+N16^2)</f>
        <v>4.05971942344577</v>
      </c>
      <c r="P16" s="40" t="n">
        <f aca="false">IF(J16="","",MAX(0,J16-1.96*O16/100))</f>
        <v>0.303671257542221</v>
      </c>
      <c r="Q16" s="40" t="n">
        <f aca="false">IF(J16="","",MIN(1,J16+1.96*O16/100))</f>
        <v>0.462812258941295</v>
      </c>
      <c r="R16" s="32" t="str">
        <f aca="false">IF(L16="","",IF(ABS(L16)&lt;=O16,"Yes","No"))</f>
        <v>Yes</v>
      </c>
      <c r="S16" s="32" t="str">
        <f aca="false">IF(L16="","",IF(ABS(L16)&lt;=1.96*O16,"Yes","No"))</f>
        <v>Yes</v>
      </c>
      <c r="T16" s="59" t="n">
        <f aca="false">IF(D16="","",ROUND(SQRT(((D16+G16)*O16/100)^2+(J16*(D16+G16)*0.09173)^2),0))</f>
        <v>78</v>
      </c>
      <c r="U16" s="32"/>
    </row>
    <row r="17" customFormat="false" ht="15" hidden="false" customHeight="false" outlineLevel="0" collapsed="false">
      <c r="A17" s="32" t="s">
        <v>159</v>
      </c>
      <c r="B17" s="32" t="s">
        <v>180</v>
      </c>
      <c r="C17" s="32" t="s">
        <v>161</v>
      </c>
      <c r="D17" s="59" t="n">
        <v>111</v>
      </c>
      <c r="E17" s="59" t="n">
        <v>134</v>
      </c>
      <c r="F17" s="68" t="n">
        <f aca="false">IF(E17="","",D17-E17)</f>
        <v>-23</v>
      </c>
      <c r="G17" s="59" t="n">
        <v>484</v>
      </c>
      <c r="H17" s="59" t="n">
        <v>505</v>
      </c>
      <c r="I17" s="68" t="n">
        <f aca="false">IF(H17="","",G17-H17)</f>
        <v>-21</v>
      </c>
      <c r="J17" s="40" t="n">
        <f aca="false">IF(OR(D17="",D17+G17=0),"",D17/(D17+G17))</f>
        <v>0.18655462184874</v>
      </c>
      <c r="K17" s="40" t="n">
        <f aca="false">IF(E17="","",E17/(E17+H17))</f>
        <v>0.209702660406886</v>
      </c>
      <c r="L17" s="69" t="n">
        <f aca="false">IF(OR(K17="",J17=""),"",(J17-K17)*100)</f>
        <v>-2.31480385581463</v>
      </c>
      <c r="M17" s="36" t="n">
        <v>3.85672886711819</v>
      </c>
      <c r="N17" s="36" t="n">
        <v>1.26766093362543</v>
      </c>
      <c r="O17" s="36" t="n">
        <f aca="false">SQRT(M17^2+N17^2)</f>
        <v>4.05971942344577</v>
      </c>
      <c r="P17" s="40" t="n">
        <f aca="false">IF(J17="","",MAX(0,J17-1.96*O17/100))</f>
        <v>0.106984121149202</v>
      </c>
      <c r="Q17" s="40" t="n">
        <f aca="false">IF(J17="","",MIN(1,J17+1.96*O17/100))</f>
        <v>0.266125122548277</v>
      </c>
      <c r="R17" s="32" t="str">
        <f aca="false">IF(L17="","",IF(ABS(L17)&lt;=O17,"Yes","No"))</f>
        <v>Yes</v>
      </c>
      <c r="S17" s="32" t="str">
        <f aca="false">IF(L17="","",IF(ABS(L17)&lt;=1.96*O17,"Yes","No"))</f>
        <v>Yes</v>
      </c>
      <c r="T17" s="59" t="n">
        <f aca="false">IF(D17="","",ROUND(SQRT(((D17+G17)*O17/100)^2+(J17*(D17+G17)*0.09173)^2),0))</f>
        <v>26</v>
      </c>
      <c r="U17" s="32"/>
    </row>
    <row r="18" customFormat="false" ht="15" hidden="false" customHeight="false" outlineLevel="0" collapsed="false">
      <c r="A18" s="32" t="s">
        <v>159</v>
      </c>
      <c r="B18" s="32" t="s">
        <v>181</v>
      </c>
      <c r="C18" s="32" t="s">
        <v>161</v>
      </c>
      <c r="D18" s="59" t="n">
        <v>887</v>
      </c>
      <c r="E18" s="59" t="n">
        <v>981</v>
      </c>
      <c r="F18" s="68" t="n">
        <f aca="false">IF(E18="","",D18-E18)</f>
        <v>-94</v>
      </c>
      <c r="G18" s="59" t="n">
        <v>1673</v>
      </c>
      <c r="H18" s="59" t="n">
        <v>1740</v>
      </c>
      <c r="I18" s="68" t="n">
        <f aca="false">IF(H18="","",G18-H18)</f>
        <v>-67</v>
      </c>
      <c r="J18" s="40" t="n">
        <f aca="false">IF(OR(D18="",D18+G18=0),"",D18/(D18+G18))</f>
        <v>0.346484375</v>
      </c>
      <c r="K18" s="40" t="n">
        <f aca="false">IF(E18="","",E18/(E18+H18))</f>
        <v>0.360529217199559</v>
      </c>
      <c r="L18" s="69" t="n">
        <f aca="false">IF(OR(K18="",J18=""),"",(J18-K18)*100)</f>
        <v>-1.4044842199559</v>
      </c>
      <c r="M18" s="36" t="n">
        <v>2.19828346285965</v>
      </c>
      <c r="N18" s="36" t="n">
        <v>1.26766093362543</v>
      </c>
      <c r="O18" s="36" t="n">
        <f aca="false">SQRT(M18^2+N18^2)</f>
        <v>2.53760013117164</v>
      </c>
      <c r="P18" s="40" t="n">
        <f aca="false">IF(J18="","",MAX(0,J18-1.96*O18/100))</f>
        <v>0.296747412429036</v>
      </c>
      <c r="Q18" s="40" t="n">
        <f aca="false">IF(J18="","",MIN(1,J18+1.96*O18/100))</f>
        <v>0.396221337570964</v>
      </c>
      <c r="R18" s="32" t="str">
        <f aca="false">IF(L18="","",IF(ABS(L18)&lt;=O18,"Yes","No"))</f>
        <v>Yes</v>
      </c>
      <c r="S18" s="32" t="str">
        <f aca="false">IF(L18="","",IF(ABS(L18)&lt;=1.96*O18,"Yes","No"))</f>
        <v>Yes</v>
      </c>
      <c r="T18" s="59" t="n">
        <f aca="false">IF(D18="","",ROUND(SQRT(((D18+G18)*O18/100)^2+(J18*(D18+G18)*0.07048)^2),0))</f>
        <v>90</v>
      </c>
      <c r="U18" s="32"/>
    </row>
    <row r="19" customFormat="false" ht="15" hidden="false" customHeight="false" outlineLevel="0" collapsed="false">
      <c r="A19" s="32" t="s">
        <v>159</v>
      </c>
      <c r="B19" s="32" t="s">
        <v>182</v>
      </c>
      <c r="C19" s="32" t="s">
        <v>161</v>
      </c>
      <c r="D19" s="59" t="n">
        <v>53</v>
      </c>
      <c r="E19" s="59" t="n">
        <v>74</v>
      </c>
      <c r="F19" s="68" t="n">
        <f aca="false">IF(E19="","",D19-E19)</f>
        <v>-21</v>
      </c>
      <c r="G19" s="59" t="n">
        <v>162</v>
      </c>
      <c r="H19" s="59" t="n">
        <v>162</v>
      </c>
      <c r="I19" s="68" t="n">
        <f aca="false">IF(H19="","",G19-H19)</f>
        <v>0</v>
      </c>
      <c r="J19" s="40" t="n">
        <f aca="false">IF(OR(D19="",D19+G19=0),"",D19/(D19+G19))</f>
        <v>0.246511627906977</v>
      </c>
      <c r="K19" s="40" t="n">
        <f aca="false">IF(E19="","",E19/(E19+H19))</f>
        <v>0.313559322033898</v>
      </c>
      <c r="L19" s="69" t="n">
        <f aca="false">IF(OR(K19="",J19=""),"",(J19-K19)*100)</f>
        <v>-6.70476941269216</v>
      </c>
      <c r="M19" s="36" t="n">
        <v>3.85672886711819</v>
      </c>
      <c r="N19" s="36" t="n">
        <v>1.26766093362543</v>
      </c>
      <c r="O19" s="36" t="n">
        <f aca="false">SQRT(M19^2+N19^2)</f>
        <v>4.05971942344577</v>
      </c>
      <c r="P19" s="40" t="n">
        <f aca="false">IF(J19="","",MAX(0,J19-1.96*O19/100))</f>
        <v>0.16694112720744</v>
      </c>
      <c r="Q19" s="40" t="n">
        <f aca="false">IF(J19="","",MIN(1,J19+1.96*O19/100))</f>
        <v>0.326082128606514</v>
      </c>
      <c r="R19" s="32" t="str">
        <f aca="false">IF(L19="","",IF(ABS(L19)&lt;=O19,"Yes","No"))</f>
        <v>No</v>
      </c>
      <c r="S19" s="32" t="str">
        <f aca="false">IF(L19="","",IF(ABS(L19)&lt;=1.96*O19,"Yes","No"))</f>
        <v>Yes</v>
      </c>
      <c r="T19" s="59" t="n">
        <f aca="false">IF(D19="","",ROUND(SQRT(((D19+G19)*O19/100)^2+(J19*(D19+G19)*0.09173)^2),0))</f>
        <v>10</v>
      </c>
      <c r="U19" s="32"/>
    </row>
    <row r="20" customFormat="false" ht="15" hidden="false" customHeight="false" outlineLevel="0" collapsed="false">
      <c r="A20" s="32" t="s">
        <v>159</v>
      </c>
      <c r="B20" s="32" t="s">
        <v>183</v>
      </c>
      <c r="C20" s="32" t="s">
        <v>161</v>
      </c>
      <c r="D20" s="59" t="n">
        <v>1775</v>
      </c>
      <c r="E20" s="59" t="n">
        <v>2047</v>
      </c>
      <c r="F20" s="68" t="n">
        <f aca="false">IF(E20="","",D20-E20)</f>
        <v>-272</v>
      </c>
      <c r="G20" s="59" t="n">
        <v>3458</v>
      </c>
      <c r="H20" s="59" t="n">
        <v>3702</v>
      </c>
      <c r="I20" s="68" t="n">
        <f aca="false">IF(H20="","",G20-H20)</f>
        <v>-244</v>
      </c>
      <c r="J20" s="40" t="n">
        <f aca="false">IF(OR(D20="",D20+G20=0),"",D20/(D20+G20))</f>
        <v>0.339193579208867</v>
      </c>
      <c r="K20" s="40" t="n">
        <f aca="false">IF(E20="","",E20/(E20+H20))</f>
        <v>0.356061923812837</v>
      </c>
      <c r="L20" s="69" t="n">
        <f aca="false">IF(OR(K20="",J20=""),"",(J20-K20)*100)</f>
        <v>-1.68683446039702</v>
      </c>
      <c r="M20" s="36" t="n">
        <v>2.07591246963779</v>
      </c>
      <c r="N20" s="36" t="n">
        <v>1.26766093362543</v>
      </c>
      <c r="O20" s="36" t="n">
        <f aca="false">SQRT(M20^2+N20^2)</f>
        <v>2.43236034013009</v>
      </c>
      <c r="P20" s="40" t="n">
        <f aca="false">IF(J20="","",MAX(0,J20-1.96*O20/100))</f>
        <v>0.291519316542317</v>
      </c>
      <c r="Q20" s="40" t="n">
        <f aca="false">IF(J20="","",MIN(1,J20+1.96*O20/100))</f>
        <v>0.386867841875416</v>
      </c>
      <c r="R20" s="32" t="str">
        <f aca="false">IF(L20="","",IF(ABS(L20)&lt;=O20,"Yes","No"))</f>
        <v>Yes</v>
      </c>
      <c r="S20" s="32" t="str">
        <f aca="false">IF(L20="","",IF(ABS(L20)&lt;=1.96*O20,"Yes","No"))</f>
        <v>Yes</v>
      </c>
      <c r="T20" s="59" t="n">
        <f aca="false">IF(D20="","",ROUND(SQRT(((D20+G20)*O20/100)^2+(J20*(D20+G20)*0.06406)^2),0))</f>
        <v>171</v>
      </c>
      <c r="U20" s="32"/>
    </row>
    <row r="21" customFormat="false" ht="15" hidden="false" customHeight="false" outlineLevel="0" collapsed="false">
      <c r="A21" s="32" t="s">
        <v>159</v>
      </c>
      <c r="B21" s="32" t="s">
        <v>185</v>
      </c>
      <c r="C21" s="32" t="s">
        <v>161</v>
      </c>
      <c r="D21" s="59" t="n">
        <v>633</v>
      </c>
      <c r="E21" s="59" t="n">
        <v>660</v>
      </c>
      <c r="F21" s="68" t="n">
        <f aca="false">IF(E21="","",D21-E21)</f>
        <v>-27</v>
      </c>
      <c r="G21" s="59" t="n">
        <v>905</v>
      </c>
      <c r="H21" s="59" t="n">
        <v>913</v>
      </c>
      <c r="I21" s="68" t="n">
        <f aca="false">IF(H21="","",G21-H21)</f>
        <v>-8</v>
      </c>
      <c r="J21" s="40" t="n">
        <f aca="false">IF(OR(D21="",D21+G21=0),"",D21/(D21+G21))</f>
        <v>0.411573472041613</v>
      </c>
      <c r="K21" s="40" t="n">
        <f aca="false">IF(E21="","",E21/(E21+H21))</f>
        <v>0.41958041958042</v>
      </c>
      <c r="L21" s="69" t="n">
        <f aca="false">IF(OR(K21="",J21=""),"",(J21-K21)*100)</f>
        <v>-0.80069475388071</v>
      </c>
      <c r="M21" s="36" t="n">
        <v>3.85672886711819</v>
      </c>
      <c r="N21" s="36" t="n">
        <v>1.26766093362543</v>
      </c>
      <c r="O21" s="36" t="n">
        <f aca="false">SQRT(M21^2+N21^2)</f>
        <v>4.05971942344577</v>
      </c>
      <c r="P21" s="40" t="n">
        <f aca="false">IF(J21="","",MAX(0,J21-1.96*O21/100))</f>
        <v>0.332002971342075</v>
      </c>
      <c r="Q21" s="40" t="n">
        <f aca="false">IF(J21="","",MIN(1,J21+1.96*O21/100))</f>
        <v>0.49114397274115</v>
      </c>
      <c r="R21" s="32" t="str">
        <f aca="false">IF(L21="","",IF(ABS(L21)&lt;=O21,"Yes","No"))</f>
        <v>Yes</v>
      </c>
      <c r="S21" s="32" t="str">
        <f aca="false">IF(L21="","",IF(ABS(L21)&lt;=1.96*O21,"Yes","No"))</f>
        <v>Yes</v>
      </c>
      <c r="T21" s="59" t="n">
        <f aca="false">IF(D21="","",ROUND(SQRT(((D21+G21)*O21/100)^2+(J21*(D21+G21)*0.09173)^2),0))</f>
        <v>85</v>
      </c>
      <c r="U21" s="32"/>
    </row>
    <row r="22" customFormat="false" ht="15" hidden="false" customHeight="false" outlineLevel="0" collapsed="false">
      <c r="A22" s="32" t="s">
        <v>159</v>
      </c>
      <c r="B22" s="32" t="s">
        <v>186</v>
      </c>
      <c r="C22" s="32" t="s">
        <v>161</v>
      </c>
      <c r="D22" s="59" t="n">
        <v>676</v>
      </c>
      <c r="E22" s="59" t="n">
        <v>802</v>
      </c>
      <c r="F22" s="68" t="n">
        <f aca="false">IF(E22="","",D22-E22)</f>
        <v>-126</v>
      </c>
      <c r="G22" s="59" t="n">
        <v>1968</v>
      </c>
      <c r="H22" s="59" t="n">
        <v>1955</v>
      </c>
      <c r="I22" s="68" t="n">
        <f aca="false">IF(H22="","",G22-H22)</f>
        <v>13</v>
      </c>
      <c r="J22" s="40" t="n">
        <f aca="false">IF(OR(D22="",D22+G22=0),"",D22/(D22+G22))</f>
        <v>0.255673222390318</v>
      </c>
      <c r="K22" s="40" t="n">
        <f aca="false">IF(E22="","",E22/(E22+H22))</f>
        <v>0.290895901342038</v>
      </c>
      <c r="L22" s="69" t="n">
        <f aca="false">IF(OR(K22="",J22=""),"",(J22-K22)*100)</f>
        <v>-3.52226789517208</v>
      </c>
      <c r="M22" s="36" t="n">
        <v>2.19828346285965</v>
      </c>
      <c r="N22" s="36" t="n">
        <v>1.26766093362543</v>
      </c>
      <c r="O22" s="36" t="n">
        <f aca="false">SQRT(M22^2+N22^2)</f>
        <v>2.53760013117164</v>
      </c>
      <c r="P22" s="40" t="n">
        <f aca="false">IF(J22="","",MAX(0,J22-1.96*O22/100))</f>
        <v>0.205936259819354</v>
      </c>
      <c r="Q22" s="40" t="n">
        <f aca="false">IF(J22="","",MIN(1,J22+1.96*O22/100))</f>
        <v>0.305410184961282</v>
      </c>
      <c r="R22" s="32" t="str">
        <f aca="false">IF(L22="","",IF(ABS(L22)&lt;=O22,"Yes","No"))</f>
        <v>No</v>
      </c>
      <c r="S22" s="32" t="str">
        <f aca="false">IF(L22="","",IF(ABS(L22)&lt;=1.96*O22,"Yes","No"))</f>
        <v>Yes</v>
      </c>
      <c r="T22" s="59" t="n">
        <f aca="false">IF(D22="","",ROUND(SQRT(((D22+G22)*O22/100)^2+(J22*(D22+G22)*0.07048)^2),0))</f>
        <v>82</v>
      </c>
      <c r="U22" s="32"/>
    </row>
    <row r="23" customFormat="false" ht="15" hidden="false" customHeight="false" outlineLevel="0" collapsed="false">
      <c r="A23" s="32" t="s">
        <v>159</v>
      </c>
      <c r="B23" s="32" t="s">
        <v>187</v>
      </c>
      <c r="C23" s="32" t="s">
        <v>161</v>
      </c>
      <c r="D23" s="59" t="n">
        <v>309</v>
      </c>
      <c r="E23" s="59" t="n">
        <v>351</v>
      </c>
      <c r="F23" s="68" t="n">
        <f aca="false">IF(E23="","",D23-E23)</f>
        <v>-42</v>
      </c>
      <c r="G23" s="59" t="n">
        <v>880</v>
      </c>
      <c r="H23" s="59" t="n">
        <v>849</v>
      </c>
      <c r="I23" s="68" t="n">
        <f aca="false">IF(H23="","",G23-H23)</f>
        <v>31</v>
      </c>
      <c r="J23" s="40" t="n">
        <f aca="false">IF(OR(D23="",D23+G23=0),"",D23/(D23+G23))</f>
        <v>0.259882253994954</v>
      </c>
      <c r="K23" s="40" t="n">
        <f aca="false">IF(E23="","",E23/(E23+H23))</f>
        <v>0.2925</v>
      </c>
      <c r="L23" s="69" t="n">
        <f aca="false">IF(OR(K23="",J23=""),"",(J23-K23)*100)</f>
        <v>-3.26177460050462</v>
      </c>
      <c r="M23" s="36" t="n">
        <v>3.85672886711819</v>
      </c>
      <c r="N23" s="36" t="n">
        <v>1.26766093362543</v>
      </c>
      <c r="O23" s="36" t="n">
        <f aca="false">SQRT(M23^2+N23^2)</f>
        <v>4.05971942344577</v>
      </c>
      <c r="P23" s="40" t="n">
        <f aca="false">IF(J23="","",MAX(0,J23-1.96*O23/100))</f>
        <v>0.180311753295417</v>
      </c>
      <c r="Q23" s="40" t="n">
        <f aca="false">IF(J23="","",MIN(1,J23+1.96*O23/100))</f>
        <v>0.339452754694491</v>
      </c>
      <c r="R23" s="32" t="str">
        <f aca="false">IF(L23="","",IF(ABS(L23)&lt;=O23,"Yes","No"))</f>
        <v>Yes</v>
      </c>
      <c r="S23" s="32" t="str">
        <f aca="false">IF(L23="","",IF(ABS(L23)&lt;=1.96*O23,"Yes","No"))</f>
        <v>Yes</v>
      </c>
      <c r="T23" s="59" t="n">
        <f aca="false">IF(D23="","",ROUND(SQRT(((D23+G23)*O23/100)^2+(J23*(D23+G23)*0.09173)^2),0))</f>
        <v>56</v>
      </c>
      <c r="U23" s="32"/>
    </row>
    <row r="24" customFormat="false" ht="15" hidden="false" customHeight="false" outlineLevel="0" collapsed="false">
      <c r="A24" s="32" t="s">
        <v>159</v>
      </c>
      <c r="B24" s="32" t="s">
        <v>188</v>
      </c>
      <c r="C24" s="32" t="s">
        <v>161</v>
      </c>
      <c r="D24" s="59" t="n">
        <v>55</v>
      </c>
      <c r="E24" s="59" t="n">
        <v>58</v>
      </c>
      <c r="F24" s="68" t="n">
        <f aca="false">IF(E24="","",D24-E24)</f>
        <v>-3</v>
      </c>
      <c r="G24" s="59" t="n">
        <v>88</v>
      </c>
      <c r="H24" s="59" t="n">
        <v>105</v>
      </c>
      <c r="I24" s="68" t="n">
        <f aca="false">IF(H24="","",G24-H24)</f>
        <v>-17</v>
      </c>
      <c r="J24" s="40" t="n">
        <f aca="false">IF(OR(D24="",D24+G24=0),"",D24/(D24+G24))</f>
        <v>0.384615384615385</v>
      </c>
      <c r="K24" s="40" t="n">
        <f aca="false">IF(E24="","",E24/(E24+H24))</f>
        <v>0.355828220858896</v>
      </c>
      <c r="L24" s="69" t="n">
        <f aca="false">IF(OR(K24="",J24=""),"",(J24-K24)*100)</f>
        <v>2.87871637564889</v>
      </c>
      <c r="M24" s="36" t="n">
        <v>3.85672886711819</v>
      </c>
      <c r="N24" s="36" t="n">
        <v>1.26766093362543</v>
      </c>
      <c r="O24" s="36" t="n">
        <f aca="false">SQRT(M24^2+N24^2)</f>
        <v>4.05971942344577</v>
      </c>
      <c r="P24" s="40" t="n">
        <f aca="false">IF(J24="","",MAX(0,J24-1.96*O24/100))</f>
        <v>0.305044883915848</v>
      </c>
      <c r="Q24" s="40" t="n">
        <f aca="false">IF(J24="","",MIN(1,J24+1.96*O24/100))</f>
        <v>0.464185885314922</v>
      </c>
      <c r="R24" s="32" t="str">
        <f aca="false">IF(L24="","",IF(ABS(L24)&lt;=O24,"Yes","No"))</f>
        <v>Yes</v>
      </c>
      <c r="S24" s="32" t="str">
        <f aca="false">IF(L24="","",IF(ABS(L24)&lt;=1.96*O24,"Yes","No"))</f>
        <v>Yes</v>
      </c>
      <c r="T24" s="59" t="n">
        <f aca="false">IF(D24="","",ROUND(SQRT(((D24+G24)*O24/100)^2+(J24*(D24+G24)*0.09173)^2),0))</f>
        <v>8</v>
      </c>
      <c r="U24" s="32"/>
    </row>
    <row r="25" customFormat="false" ht="15" hidden="false" customHeight="false" outlineLevel="0" collapsed="false">
      <c r="A25" s="32" t="s">
        <v>189</v>
      </c>
      <c r="B25" s="32" t="s">
        <v>190</v>
      </c>
      <c r="C25" s="32" t="s">
        <v>161</v>
      </c>
      <c r="D25" s="59" t="n">
        <v>655</v>
      </c>
      <c r="E25" s="59" t="n">
        <v>601</v>
      </c>
      <c r="F25" s="68" t="n">
        <f aca="false">IF(E25="","",D25-E25)</f>
        <v>54</v>
      </c>
      <c r="G25" s="59" t="n">
        <v>759</v>
      </c>
      <c r="H25" s="59" t="n">
        <v>766</v>
      </c>
      <c r="I25" s="68" t="n">
        <f aca="false">IF(H25="","",G25-H25)</f>
        <v>-7</v>
      </c>
      <c r="J25" s="40" t="n">
        <f aca="false">IF(OR(D25="",D25+G25=0),"",D25/(D25+G25))</f>
        <v>0.463224893917963</v>
      </c>
      <c r="K25" s="40" t="n">
        <f aca="false">IF(E25="","",E25/(E25+H25))</f>
        <v>0.439648866130212</v>
      </c>
      <c r="L25" s="69" t="n">
        <f aca="false">IF(OR(K25="",J25=""),"",(J25-K25)*100)</f>
        <v>2.35760277877511</v>
      </c>
      <c r="M25" s="36" t="n">
        <v>3.85672886711819</v>
      </c>
      <c r="N25" s="36" t="n">
        <v>1.26766093362543</v>
      </c>
      <c r="O25" s="36" t="n">
        <f aca="false">SQRT(M25^2+N25^2)</f>
        <v>4.05971942344577</v>
      </c>
      <c r="P25" s="40" t="n">
        <f aca="false">IF(J25="","",MAX(0,J25-1.96*O25/100))</f>
        <v>0.383654393218426</v>
      </c>
      <c r="Q25" s="40" t="n">
        <f aca="false">IF(J25="","",MIN(1,J25+1.96*O25/100))</f>
        <v>0.5427953946175</v>
      </c>
      <c r="R25" s="32" t="str">
        <f aca="false">IF(L25="","",IF(ABS(L25)&lt;=O25,"Yes","No"))</f>
        <v>Yes</v>
      </c>
      <c r="S25" s="32" t="str">
        <f aca="false">IF(L25="","",IF(ABS(L25)&lt;=1.96*O25,"Yes","No"))</f>
        <v>Yes</v>
      </c>
      <c r="T25" s="59" t="n">
        <f aca="false">IF(D25="","",ROUND(SQRT(((D25+G25)*O25/100)^2+(J25*(D25+G25)*0.09173)^2),0))</f>
        <v>83</v>
      </c>
      <c r="U25" s="32"/>
    </row>
    <row r="26" customFormat="false" ht="15" hidden="false" customHeight="false" outlineLevel="0" collapsed="false">
      <c r="A26" s="32" t="s">
        <v>189</v>
      </c>
      <c r="B26" s="32" t="s">
        <v>191</v>
      </c>
      <c r="C26" s="32" t="s">
        <v>161</v>
      </c>
      <c r="D26" s="59" t="n">
        <v>27232</v>
      </c>
      <c r="E26" s="59" t="n">
        <v>26568</v>
      </c>
      <c r="F26" s="68" t="n">
        <f aca="false">IF(E26="","",D26-E26)</f>
        <v>664</v>
      </c>
      <c r="G26" s="59" t="n">
        <v>14453</v>
      </c>
      <c r="H26" s="59" t="n">
        <v>14583</v>
      </c>
      <c r="I26" s="68" t="n">
        <f aca="false">IF(H26="","",G26-H26)</f>
        <v>-130</v>
      </c>
      <c r="J26" s="40" t="n">
        <f aca="false">IF(OR(D26="",D26+G26=0),"",D26/(D26+G26))</f>
        <v>0.653280556555116</v>
      </c>
      <c r="K26" s="40" t="n">
        <f aca="false">IF(E26="","",E26/(E26+H26))</f>
        <v>0.645622220602172</v>
      </c>
      <c r="L26" s="69" t="n">
        <f aca="false">IF(OR(K26="",J26=""),"",(J26-K26)*100)</f>
        <v>0.76583359529433</v>
      </c>
      <c r="M26" s="36" t="n">
        <v>2.07591246963779</v>
      </c>
      <c r="N26" s="36" t="n">
        <v>1.26766093362543</v>
      </c>
      <c r="O26" s="36" t="n">
        <f aca="false">SQRT(M26^2+N26^2)</f>
        <v>2.43236034013009</v>
      </c>
      <c r="P26" s="40" t="n">
        <f aca="false">IF(J26="","",MAX(0,J26-1.96*O26/100))</f>
        <v>0.605606293888566</v>
      </c>
      <c r="Q26" s="40" t="n">
        <f aca="false">IF(J26="","",MIN(1,J26+1.96*O26/100))</f>
        <v>0.700954819221666</v>
      </c>
      <c r="R26" s="32" t="str">
        <f aca="false">IF(L26="","",IF(ABS(L26)&lt;=O26,"Yes","No"))</f>
        <v>Yes</v>
      </c>
      <c r="S26" s="32" t="str">
        <f aca="false">IF(L26="","",IF(ABS(L26)&lt;=1.96*O26,"Yes","No"))</f>
        <v>Yes</v>
      </c>
      <c r="T26" s="59" t="n">
        <f aca="false">IF(D26="","",ROUND(SQRT(((D26+G26)*O26/100)^2+(J26*(D26+G26)*0.06406)^2),0))</f>
        <v>2018</v>
      </c>
      <c r="U26" s="32"/>
    </row>
    <row r="27" customFormat="false" ht="15" hidden="false" customHeight="false" outlineLevel="0" collapsed="false">
      <c r="A27" s="32" t="s">
        <v>189</v>
      </c>
      <c r="B27" s="32" t="s">
        <v>192</v>
      </c>
      <c r="C27" s="32" t="s">
        <v>161</v>
      </c>
      <c r="D27" s="59" t="n">
        <v>6622</v>
      </c>
      <c r="E27" s="59" t="n">
        <v>6612</v>
      </c>
      <c r="F27" s="68" t="n">
        <f aca="false">IF(E27="","",D27-E27)</f>
        <v>10</v>
      </c>
      <c r="G27" s="59" t="n">
        <v>4018</v>
      </c>
      <c r="H27" s="59" t="n">
        <v>3834</v>
      </c>
      <c r="I27" s="68" t="n">
        <f aca="false">IF(H27="","",G27-H27)</f>
        <v>184</v>
      </c>
      <c r="J27" s="40" t="n">
        <f aca="false">IF(OR(D27="",D27+G27=0),"",D27/(D27+G27))</f>
        <v>0.622368421052632</v>
      </c>
      <c r="K27" s="40" t="n">
        <f aca="false">IF(E27="","",E27/(E27+H27))</f>
        <v>0.632969557725445</v>
      </c>
      <c r="L27" s="69" t="n">
        <f aca="false">IF(OR(K27="",J27=""),"",(J27-K27)*100)</f>
        <v>-1.06011366728136</v>
      </c>
      <c r="M27" s="36" t="n">
        <v>2.07591246963779</v>
      </c>
      <c r="N27" s="36" t="n">
        <v>1.26766093362543</v>
      </c>
      <c r="O27" s="36" t="n">
        <f aca="false">SQRT(M27^2+N27^2)</f>
        <v>2.43236034013009</v>
      </c>
      <c r="P27" s="40" t="n">
        <f aca="false">IF(J27="","",MAX(0,J27-1.96*O27/100))</f>
        <v>0.574694158386082</v>
      </c>
      <c r="Q27" s="40" t="n">
        <f aca="false">IF(J27="","",MIN(1,J27+1.96*O27/100))</f>
        <v>0.670042683719181</v>
      </c>
      <c r="R27" s="32" t="str">
        <f aca="false">IF(L27="","",IF(ABS(L27)&lt;=O27,"Yes","No"))</f>
        <v>Yes</v>
      </c>
      <c r="S27" s="32" t="str">
        <f aca="false">IF(L27="","",IF(ABS(L27)&lt;=1.96*O27,"Yes","No"))</f>
        <v>Yes</v>
      </c>
      <c r="T27" s="59" t="n">
        <f aca="false">IF(D27="","",ROUND(SQRT(((D27+G27)*O27/100)^2+(J27*(D27+G27)*0.06406)^2),0))</f>
        <v>497</v>
      </c>
      <c r="U27" s="32"/>
    </row>
    <row r="28" customFormat="false" ht="15" hidden="false" customHeight="false" outlineLevel="0" collapsed="false">
      <c r="A28" s="32" t="s">
        <v>189</v>
      </c>
      <c r="B28" s="32" t="s">
        <v>193</v>
      </c>
      <c r="C28" s="32" t="s">
        <v>161</v>
      </c>
      <c r="D28" s="59" t="n">
        <v>1566</v>
      </c>
      <c r="E28" s="59" t="n">
        <v>1560</v>
      </c>
      <c r="F28" s="68" t="n">
        <f aca="false">IF(E28="","",D28-E28)</f>
        <v>6</v>
      </c>
      <c r="G28" s="59" t="n">
        <v>1520</v>
      </c>
      <c r="H28" s="59" t="n">
        <v>1491</v>
      </c>
      <c r="I28" s="68" t="n">
        <f aca="false">IF(H28="","",G28-H28)</f>
        <v>29</v>
      </c>
      <c r="J28" s="40" t="n">
        <f aca="false">IF(OR(D28="",D28+G28=0),"",D28/(D28+G28))</f>
        <v>0.507453013609851</v>
      </c>
      <c r="K28" s="40" t="n">
        <f aca="false">IF(E28="","",E28/(E28+H28))</f>
        <v>0.511307767944936</v>
      </c>
      <c r="L28" s="69" t="n">
        <f aca="false">IF(OR(K28="",J28=""),"",(J28-K28)*100)</f>
        <v>-0.385475433508509</v>
      </c>
      <c r="M28" s="36" t="n">
        <v>2.19828346285965</v>
      </c>
      <c r="N28" s="36" t="n">
        <v>1.26766093362543</v>
      </c>
      <c r="O28" s="36" t="n">
        <f aca="false">SQRT(M28^2+N28^2)</f>
        <v>2.53760013117164</v>
      </c>
      <c r="P28" s="40" t="n">
        <f aca="false">IF(J28="","",MAX(0,J28-1.96*O28/100))</f>
        <v>0.457716051038887</v>
      </c>
      <c r="Q28" s="40" t="n">
        <f aca="false">IF(J28="","",MIN(1,J28+1.96*O28/100))</f>
        <v>0.557189976180815</v>
      </c>
      <c r="R28" s="32" t="str">
        <f aca="false">IF(L28="","",IF(ABS(L28)&lt;=O28,"Yes","No"))</f>
        <v>Yes</v>
      </c>
      <c r="S28" s="32" t="str">
        <f aca="false">IF(L28="","",IF(ABS(L28)&lt;=1.96*O28,"Yes","No"))</f>
        <v>Yes</v>
      </c>
      <c r="T28" s="59" t="n">
        <f aca="false">IF(D28="","",ROUND(SQRT(((D28+G28)*O28/100)^2+(J28*(D28+G28)*0.07048)^2),0))</f>
        <v>135</v>
      </c>
      <c r="U28" s="32"/>
    </row>
    <row r="29" customFormat="false" ht="15" hidden="false" customHeight="false" outlineLevel="0" collapsed="false">
      <c r="A29" s="32" t="s">
        <v>189</v>
      </c>
      <c r="B29" s="32" t="s">
        <v>194</v>
      </c>
      <c r="C29" s="32" t="s">
        <v>161</v>
      </c>
      <c r="D29" s="59" t="n">
        <v>730</v>
      </c>
      <c r="E29" s="59" t="n">
        <v>735</v>
      </c>
      <c r="F29" s="68" t="n">
        <f aca="false">IF(E29="","",D29-E29)</f>
        <v>-5</v>
      </c>
      <c r="G29" s="59" t="n">
        <v>841</v>
      </c>
      <c r="H29" s="59" t="n">
        <v>804</v>
      </c>
      <c r="I29" s="68" t="n">
        <f aca="false">IF(H29="","",G29-H29)</f>
        <v>37</v>
      </c>
      <c r="J29" s="40" t="n">
        <f aca="false">IF(OR(D29="",D29+G29=0),"",D29/(D29+G29))</f>
        <v>0.464672183322724</v>
      </c>
      <c r="K29" s="40" t="n">
        <f aca="false">IF(E29="","",E29/(E29+H29))</f>
        <v>0.477582846003899</v>
      </c>
      <c r="L29" s="69" t="n">
        <f aca="false">IF(OR(K29="",J29=""),"",(J29-K29)*100)</f>
        <v>-1.29106626811742</v>
      </c>
      <c r="M29" s="36" t="n">
        <v>2.19828346285965</v>
      </c>
      <c r="N29" s="36" t="n">
        <v>1.26766093362543</v>
      </c>
      <c r="O29" s="36" t="n">
        <f aca="false">SQRT(M29^2+N29^2)</f>
        <v>2.53760013117164</v>
      </c>
      <c r="P29" s="40" t="n">
        <f aca="false">IF(J29="","",MAX(0,J29-1.96*O29/100))</f>
        <v>0.41493522075176</v>
      </c>
      <c r="Q29" s="40" t="n">
        <f aca="false">IF(J29="","",MIN(1,J29+1.96*O29/100))</f>
        <v>0.514409145893689</v>
      </c>
      <c r="R29" s="32" t="str">
        <f aca="false">IF(L29="","",IF(ABS(L29)&lt;=O29,"Yes","No"))</f>
        <v>Yes</v>
      </c>
      <c r="S29" s="32" t="str">
        <f aca="false">IF(L29="","",IF(ABS(L29)&lt;=1.96*O29,"Yes","No"))</f>
        <v>Yes</v>
      </c>
      <c r="T29" s="59" t="n">
        <f aca="false">IF(D29="","",ROUND(SQRT(((D29+G29)*O29/100)^2+(J29*(D29+G29)*0.07048)^2),0))</f>
        <v>65</v>
      </c>
      <c r="U29" s="32"/>
    </row>
    <row r="30" customFormat="false" ht="15" hidden="false" customHeight="false" outlineLevel="0" collapsed="false">
      <c r="A30" s="32" t="s">
        <v>189</v>
      </c>
      <c r="B30" s="32" t="s">
        <v>195</v>
      </c>
      <c r="C30" s="32" t="s">
        <v>161</v>
      </c>
      <c r="D30" s="59" t="n">
        <v>927</v>
      </c>
      <c r="E30" s="59" t="n">
        <v>899</v>
      </c>
      <c r="F30" s="68" t="n">
        <f aca="false">IF(E30="","",D30-E30)</f>
        <v>28</v>
      </c>
      <c r="G30" s="59" t="n">
        <v>910</v>
      </c>
      <c r="H30" s="59" t="n">
        <v>898</v>
      </c>
      <c r="I30" s="68" t="n">
        <f aca="false">IF(H30="","",G30-H30)</f>
        <v>12</v>
      </c>
      <c r="J30" s="40" t="n">
        <f aca="false">IF(OR(D30="",D30+G30=0),"",D30/(D30+G30))</f>
        <v>0.504627109417529</v>
      </c>
      <c r="K30" s="40" t="n">
        <f aca="false">IF(E30="","",E30/(E30+H30))</f>
        <v>0.500278241513634</v>
      </c>
      <c r="L30" s="69" t="n">
        <f aca="false">IF(OR(K30="",J30=""),"",(J30-K30)*100)</f>
        <v>0.434886790389466</v>
      </c>
      <c r="M30" s="36" t="n">
        <v>2.19828346285965</v>
      </c>
      <c r="N30" s="36" t="n">
        <v>1.26766093362543</v>
      </c>
      <c r="O30" s="36" t="n">
        <f aca="false">SQRT(M30^2+N30^2)</f>
        <v>2.53760013117164</v>
      </c>
      <c r="P30" s="40" t="n">
        <f aca="false">IF(J30="","",MAX(0,J30-1.96*O30/100))</f>
        <v>0.454890146846565</v>
      </c>
      <c r="Q30" s="40" t="n">
        <f aca="false">IF(J30="","",MIN(1,J30+1.96*O30/100))</f>
        <v>0.554364071988493</v>
      </c>
      <c r="R30" s="32" t="str">
        <f aca="false">IF(L30="","",IF(ABS(L30)&lt;=O30,"Yes","No"))</f>
        <v>Yes</v>
      </c>
      <c r="S30" s="32" t="str">
        <f aca="false">IF(L30="","",IF(ABS(L30)&lt;=1.96*O30,"Yes","No"))</f>
        <v>Yes</v>
      </c>
      <c r="T30" s="59" t="n">
        <f aca="false">IF(D30="","",ROUND(SQRT(((D30+G30)*O30/100)^2+(J30*(D30+G30)*0.07048)^2),0))</f>
        <v>80</v>
      </c>
      <c r="U30" s="32"/>
    </row>
    <row r="31" customFormat="false" ht="15" hidden="false" customHeight="false" outlineLevel="0" collapsed="false">
      <c r="A31" s="32" t="s">
        <v>189</v>
      </c>
      <c r="B31" s="32" t="s">
        <v>196</v>
      </c>
      <c r="C31" s="32" t="s">
        <v>161</v>
      </c>
      <c r="D31" s="59" t="n">
        <v>3539</v>
      </c>
      <c r="E31" s="59" t="n">
        <v>3663</v>
      </c>
      <c r="F31" s="68" t="n">
        <f aca="false">IF(E31="","",D31-E31)</f>
        <v>-124</v>
      </c>
      <c r="G31" s="59" t="n">
        <v>3319</v>
      </c>
      <c r="H31" s="59" t="n">
        <v>3236</v>
      </c>
      <c r="I31" s="68" t="n">
        <f aca="false">IF(H31="","",G31-H31)</f>
        <v>83</v>
      </c>
      <c r="J31" s="40" t="n">
        <f aca="false">IF(OR(D31="",D31+G31=0),"",D31/(D31+G31))</f>
        <v>0.516039661708953</v>
      </c>
      <c r="K31" s="40" t="n">
        <f aca="false">IF(E31="","",E31/(E31+H31))</f>
        <v>0.530946513987535</v>
      </c>
      <c r="L31" s="69" t="n">
        <f aca="false">IF(OR(K31="",J31=""),"",(J31-K31)*100)</f>
        <v>-1.49068522785814</v>
      </c>
      <c r="M31" s="36" t="n">
        <v>2.07591246963779</v>
      </c>
      <c r="N31" s="36" t="n">
        <v>1.26766093362543</v>
      </c>
      <c r="O31" s="36" t="n">
        <f aca="false">SQRT(M31^2+N31^2)</f>
        <v>2.43236034013009</v>
      </c>
      <c r="P31" s="40" t="n">
        <f aca="false">IF(J31="","",MAX(0,J31-1.96*O31/100))</f>
        <v>0.468365399042403</v>
      </c>
      <c r="Q31" s="40" t="n">
        <f aca="false">IF(J31="","",MIN(1,J31+1.96*O31/100))</f>
        <v>0.563713924375503</v>
      </c>
      <c r="R31" s="32" t="str">
        <f aca="false">IF(L31="","",IF(ABS(L31)&lt;=O31,"Yes","No"))</f>
        <v>Yes</v>
      </c>
      <c r="S31" s="32" t="str">
        <f aca="false">IF(L31="","",IF(ABS(L31)&lt;=1.96*O31,"Yes","No"))</f>
        <v>Yes</v>
      </c>
      <c r="T31" s="59" t="n">
        <f aca="false">IF(D31="","",ROUND(SQRT(((D31+G31)*O31/100)^2+(J31*(D31+G31)*0.06406)^2),0))</f>
        <v>281</v>
      </c>
      <c r="U31" s="32"/>
    </row>
    <row r="32" customFormat="false" ht="15" hidden="false" customHeight="false" outlineLevel="0" collapsed="false">
      <c r="A32" s="32" t="s">
        <v>189</v>
      </c>
      <c r="B32" s="32" t="s">
        <v>197</v>
      </c>
      <c r="C32" s="32" t="s">
        <v>161</v>
      </c>
      <c r="D32" s="59" t="n">
        <v>1524</v>
      </c>
      <c r="E32" s="59" t="n">
        <v>1433</v>
      </c>
      <c r="F32" s="68" t="n">
        <f aca="false">IF(E32="","",D32-E32)</f>
        <v>91</v>
      </c>
      <c r="G32" s="59" t="n">
        <v>817</v>
      </c>
      <c r="H32" s="59" t="n">
        <v>793</v>
      </c>
      <c r="I32" s="68" t="n">
        <f aca="false">IF(H32="","",G32-H32)</f>
        <v>24</v>
      </c>
      <c r="J32" s="40" t="n">
        <f aca="false">IF(OR(D32="",D32+G32=0),"",D32/(D32+G32))</f>
        <v>0.651003844510893</v>
      </c>
      <c r="K32" s="40" t="n">
        <f aca="false">IF(E32="","",E32/(E32+H32))</f>
        <v>0.643755615453729</v>
      </c>
      <c r="L32" s="69" t="n">
        <f aca="false">IF(OR(K32="",J32=""),"",(J32-K32)*100)</f>
        <v>0.724822905716416</v>
      </c>
      <c r="M32" s="36" t="n">
        <v>2.19828346285965</v>
      </c>
      <c r="N32" s="36" t="n">
        <v>1.26766093362543</v>
      </c>
      <c r="O32" s="36" t="n">
        <f aca="false">SQRT(M32^2+N32^2)</f>
        <v>2.53760013117164</v>
      </c>
      <c r="P32" s="40" t="n">
        <f aca="false">IF(J32="","",MAX(0,J32-1.96*O32/100))</f>
        <v>0.601266881939929</v>
      </c>
      <c r="Q32" s="40" t="n">
        <f aca="false">IF(J32="","",MIN(1,J32+1.96*O32/100))</f>
        <v>0.700740807081857</v>
      </c>
      <c r="R32" s="32" t="str">
        <f aca="false">IF(L32="","",IF(ABS(L32)&lt;=O32,"Yes","No"))</f>
        <v>Yes</v>
      </c>
      <c r="S32" s="32" t="str">
        <f aca="false">IF(L32="","",IF(ABS(L32)&lt;=1.96*O32,"Yes","No"))</f>
        <v>Yes</v>
      </c>
      <c r="T32" s="59" t="n">
        <f aca="false">IF(D32="","",ROUND(SQRT(((D32+G32)*O32/100)^2+(J32*(D32+G32)*0.07048)^2),0))</f>
        <v>123</v>
      </c>
      <c r="U32" s="32"/>
    </row>
    <row r="33" customFormat="false" ht="15" hidden="false" customHeight="false" outlineLevel="0" collapsed="false">
      <c r="A33" s="32" t="s">
        <v>189</v>
      </c>
      <c r="B33" s="32" t="s">
        <v>198</v>
      </c>
      <c r="C33" s="32" t="s">
        <v>161</v>
      </c>
      <c r="D33" s="59" t="n">
        <v>389</v>
      </c>
      <c r="E33" s="59" t="n">
        <v>379</v>
      </c>
      <c r="F33" s="68" t="n">
        <f aca="false">IF(E33="","",D33-E33)</f>
        <v>10</v>
      </c>
      <c r="G33" s="59" t="n">
        <v>350</v>
      </c>
      <c r="H33" s="59" t="n">
        <v>330</v>
      </c>
      <c r="I33" s="68" t="n">
        <f aca="false">IF(H33="","",G33-H33)</f>
        <v>20</v>
      </c>
      <c r="J33" s="40" t="n">
        <f aca="false">IF(OR(D33="",D33+G33=0),"",D33/(D33+G33))</f>
        <v>0.52638700947226</v>
      </c>
      <c r="K33" s="40" t="n">
        <f aca="false">IF(E33="","",E33/(E33+H33))</f>
        <v>0.534555712270804</v>
      </c>
      <c r="L33" s="69" t="n">
        <f aca="false">IF(OR(K33="",J33=""),"",(J33-K33)*100)</f>
        <v>-0.816870279854409</v>
      </c>
      <c r="M33" s="36" t="n">
        <v>3.85672886711819</v>
      </c>
      <c r="N33" s="36" t="n">
        <v>1.26766093362543</v>
      </c>
      <c r="O33" s="36" t="n">
        <f aca="false">SQRT(M33^2+N33^2)</f>
        <v>4.05971942344577</v>
      </c>
      <c r="P33" s="40" t="n">
        <f aca="false">IF(J33="","",MAX(0,J33-1.96*O33/100))</f>
        <v>0.446816508772723</v>
      </c>
      <c r="Q33" s="40" t="n">
        <f aca="false">IF(J33="","",MIN(1,J33+1.96*O33/100))</f>
        <v>0.605957510171797</v>
      </c>
      <c r="R33" s="32" t="str">
        <f aca="false">IF(L33="","",IF(ABS(L33)&lt;=O33,"Yes","No"))</f>
        <v>Yes</v>
      </c>
      <c r="S33" s="32" t="str">
        <f aca="false">IF(L33="","",IF(ABS(L33)&lt;=1.96*O33,"Yes","No"))</f>
        <v>Yes</v>
      </c>
      <c r="T33" s="59" t="n">
        <f aca="false">IF(D33="","",ROUND(SQRT(((D33+G33)*O33/100)^2+(J33*(D33+G33)*0.09173)^2),0))</f>
        <v>47</v>
      </c>
      <c r="U33" s="32"/>
    </row>
    <row r="34" customFormat="false" ht="15" hidden="false" customHeight="false" outlineLevel="0" collapsed="false">
      <c r="A34" s="32" t="s">
        <v>189</v>
      </c>
      <c r="B34" s="32" t="s">
        <v>199</v>
      </c>
      <c r="C34" s="32" t="s">
        <v>161</v>
      </c>
      <c r="D34" s="59" t="n">
        <v>601</v>
      </c>
      <c r="E34" s="59" t="n">
        <v>654</v>
      </c>
      <c r="F34" s="68" t="n">
        <f aca="false">IF(E34="","",D34-E34)</f>
        <v>-53</v>
      </c>
      <c r="G34" s="59" t="n">
        <v>1453</v>
      </c>
      <c r="H34" s="59" t="n">
        <v>1439</v>
      </c>
      <c r="I34" s="68" t="n">
        <f aca="false">IF(H34="","",G34-H34)</f>
        <v>14</v>
      </c>
      <c r="J34" s="40" t="n">
        <f aca="false">IF(OR(D34="",D34+G34=0),"",D34/(D34+G34))</f>
        <v>0.292599805258033</v>
      </c>
      <c r="K34" s="40" t="n">
        <f aca="false">IF(E34="","",E34/(E34+H34))</f>
        <v>0.312470138557095</v>
      </c>
      <c r="L34" s="69" t="n">
        <f aca="false">IF(OR(K34="",J34=""),"",(J34-K34)*100)</f>
        <v>-1.9870333299062</v>
      </c>
      <c r="M34" s="36" t="n">
        <v>2.19828346285965</v>
      </c>
      <c r="N34" s="36" t="n">
        <v>1.26766093362543</v>
      </c>
      <c r="O34" s="36" t="n">
        <f aca="false">SQRT(M34^2+N34^2)</f>
        <v>2.53760013117164</v>
      </c>
      <c r="P34" s="40" t="n">
        <f aca="false">IF(J34="","",MAX(0,J34-1.96*O34/100))</f>
        <v>0.242862842687069</v>
      </c>
      <c r="Q34" s="40" t="n">
        <f aca="false">IF(J34="","",MIN(1,J34+1.96*O34/100))</f>
        <v>0.342336767828997</v>
      </c>
      <c r="R34" s="32" t="str">
        <f aca="false">IF(L34="","",IF(ABS(L34)&lt;=O34,"Yes","No"))</f>
        <v>Yes</v>
      </c>
      <c r="S34" s="32" t="str">
        <f aca="false">IF(L34="","",IF(ABS(L34)&lt;=1.96*O34,"Yes","No"))</f>
        <v>Yes</v>
      </c>
      <c r="T34" s="59" t="n">
        <f aca="false">IF(D34="","",ROUND(SQRT(((D34+G34)*O34/100)^2+(J34*(D34+G34)*0.07048)^2),0))</f>
        <v>67</v>
      </c>
      <c r="U34" s="32"/>
    </row>
    <row r="35" customFormat="false" ht="15" hidden="false" customHeight="false" outlineLevel="0" collapsed="false">
      <c r="A35" s="32" t="s">
        <v>189</v>
      </c>
      <c r="B35" s="32" t="s">
        <v>200</v>
      </c>
      <c r="C35" s="32" t="s">
        <v>161</v>
      </c>
      <c r="D35" s="59" t="n">
        <v>9999</v>
      </c>
      <c r="E35" s="59" t="n">
        <v>10021</v>
      </c>
      <c r="F35" s="68" t="n">
        <f aca="false">IF(E35="","",D35-E35)</f>
        <v>-22</v>
      </c>
      <c r="G35" s="59" t="n">
        <v>10437</v>
      </c>
      <c r="H35" s="59" t="n">
        <v>10199</v>
      </c>
      <c r="I35" s="68" t="n">
        <f aca="false">IF(H35="","",G35-H35)</f>
        <v>238</v>
      </c>
      <c r="J35" s="40" t="n">
        <f aca="false">IF(OR(D35="",D35+G35=0),"",D35/(D35+G35))</f>
        <v>0.489283617146213</v>
      </c>
      <c r="K35" s="40" t="n">
        <f aca="false">IF(E35="","",E35/(E35+H35))</f>
        <v>0.495598417408506</v>
      </c>
      <c r="L35" s="69" t="n">
        <f aca="false">IF(OR(K35="",J35=""),"",(J35-K35)*100)</f>
        <v>-0.631480026229386</v>
      </c>
      <c r="M35" s="36" t="n">
        <v>2.07591246963779</v>
      </c>
      <c r="N35" s="36" t="n">
        <v>1.26766093362543</v>
      </c>
      <c r="O35" s="36" t="n">
        <f aca="false">SQRT(M35^2+N35^2)</f>
        <v>2.43236034013009</v>
      </c>
      <c r="P35" s="40" t="n">
        <f aca="false">IF(J35="","",MAX(0,J35-1.96*O35/100))</f>
        <v>0.441609354479663</v>
      </c>
      <c r="Q35" s="40" t="n">
        <f aca="false">IF(J35="","",MIN(1,J35+1.96*O35/100))</f>
        <v>0.536957879812762</v>
      </c>
      <c r="R35" s="32" t="str">
        <f aca="false">IF(L35="","",IF(ABS(L35)&lt;=O35,"Yes","No"))</f>
        <v>Yes</v>
      </c>
      <c r="S35" s="32" t="str">
        <f aca="false">IF(L35="","",IF(ABS(L35)&lt;=1.96*O35,"Yes","No"))</f>
        <v>Yes</v>
      </c>
      <c r="T35" s="59" t="n">
        <f aca="false">IF(D35="","",ROUND(SQRT(((D35+G35)*O35/100)^2+(J35*(D35+G35)*0.06406)^2),0))</f>
        <v>811</v>
      </c>
      <c r="U35" s="32"/>
    </row>
    <row r="36" customFormat="false" ht="15" hidden="false" customHeight="false" outlineLevel="0" collapsed="false">
      <c r="A36" s="32" t="s">
        <v>189</v>
      </c>
      <c r="B36" s="32" t="s">
        <v>201</v>
      </c>
      <c r="C36" s="32" t="s">
        <v>161</v>
      </c>
      <c r="D36" s="59" t="n">
        <v>896</v>
      </c>
      <c r="E36" s="59" t="n">
        <v>985</v>
      </c>
      <c r="F36" s="68" t="n">
        <f aca="false">IF(E36="","",D36-E36)</f>
        <v>-89</v>
      </c>
      <c r="G36" s="59" t="n">
        <v>1705</v>
      </c>
      <c r="H36" s="59" t="n">
        <v>1586</v>
      </c>
      <c r="I36" s="68" t="n">
        <f aca="false">IF(H36="","",G36-H36)</f>
        <v>119</v>
      </c>
      <c r="J36" s="40" t="n">
        <f aca="false">IF(OR(D36="",D36+G36=0),"",D36/(D36+G36))</f>
        <v>0.344482891195694</v>
      </c>
      <c r="K36" s="40" t="n">
        <f aca="false">IF(E36="","",E36/(E36+H36))</f>
        <v>0.383119408790354</v>
      </c>
      <c r="L36" s="69" t="n">
        <f aca="false">IF(OR(K36="",J36=""),"",(J36-K36)*100)</f>
        <v>-3.863651759466</v>
      </c>
      <c r="M36" s="36" t="n">
        <v>2.19828346285965</v>
      </c>
      <c r="N36" s="36" t="n">
        <v>1.26766093362543</v>
      </c>
      <c r="O36" s="36" t="n">
        <f aca="false">SQRT(M36^2+N36^2)</f>
        <v>2.53760013117164</v>
      </c>
      <c r="P36" s="40" t="n">
        <f aca="false">IF(J36="","",MAX(0,J36-1.96*O36/100))</f>
        <v>0.29474592862473</v>
      </c>
      <c r="Q36" s="40" t="n">
        <f aca="false">IF(J36="","",MIN(1,J36+1.96*O36/100))</f>
        <v>0.394219853766658</v>
      </c>
      <c r="R36" s="32" t="str">
        <f aca="false">IF(L36="","",IF(ABS(L36)&lt;=O36,"Yes","No"))</f>
        <v>No</v>
      </c>
      <c r="S36" s="32" t="str">
        <f aca="false">IF(L36="","",IF(ABS(L36)&lt;=1.96*O36,"Yes","No"))</f>
        <v>Yes</v>
      </c>
      <c r="T36" s="59" t="n">
        <f aca="false">IF(D36="","",ROUND(SQRT(((D36+G36)*O36/100)^2+(J36*(D36+G36)*0.07048)^2),0))</f>
        <v>91</v>
      </c>
      <c r="U36" s="32"/>
    </row>
    <row r="37" customFormat="false" ht="15" hidden="false" customHeight="false" outlineLevel="0" collapsed="false">
      <c r="A37" s="32" t="s">
        <v>189</v>
      </c>
      <c r="B37" s="32" t="s">
        <v>202</v>
      </c>
      <c r="C37" s="32" t="s">
        <v>161</v>
      </c>
      <c r="D37" s="59" t="n">
        <v>516</v>
      </c>
      <c r="E37" s="59" t="n">
        <v>543</v>
      </c>
      <c r="F37" s="68" t="n">
        <f aca="false">IF(E37="","",D37-E37)</f>
        <v>-27</v>
      </c>
      <c r="G37" s="59" t="n">
        <v>1047</v>
      </c>
      <c r="H37" s="59" t="n">
        <v>990</v>
      </c>
      <c r="I37" s="68" t="n">
        <f aca="false">IF(H37="","",G37-H37)</f>
        <v>57</v>
      </c>
      <c r="J37" s="40" t="n">
        <f aca="false">IF(OR(D37="",D37+G37=0),"",D37/(D37+G37))</f>
        <v>0.330134357005758</v>
      </c>
      <c r="K37" s="40" t="n">
        <f aca="false">IF(E37="","",E37/(E37+H37))</f>
        <v>0.354207436399217</v>
      </c>
      <c r="L37" s="69" t="n">
        <f aca="false">IF(OR(K37="",J37=""),"",(J37-K37)*100)</f>
        <v>-2.4073079393459</v>
      </c>
      <c r="M37" s="36" t="n">
        <v>2.19828346285965</v>
      </c>
      <c r="N37" s="36" t="n">
        <v>1.26766093362543</v>
      </c>
      <c r="O37" s="36" t="n">
        <f aca="false">SQRT(M37^2+N37^2)</f>
        <v>2.53760013117164</v>
      </c>
      <c r="P37" s="40" t="n">
        <f aca="false">IF(J37="","",MAX(0,J37-1.96*O37/100))</f>
        <v>0.280397394434794</v>
      </c>
      <c r="Q37" s="40" t="n">
        <f aca="false">IF(J37="","",MIN(1,J37+1.96*O37/100))</f>
        <v>0.379871319576722</v>
      </c>
      <c r="R37" s="32" t="str">
        <f aca="false">IF(L37="","",IF(ABS(L37)&lt;=O37,"Yes","No"))</f>
        <v>Yes</v>
      </c>
      <c r="S37" s="32" t="str">
        <f aca="false">IF(L37="","",IF(ABS(L37)&lt;=1.96*O37,"Yes","No"))</f>
        <v>Yes</v>
      </c>
      <c r="T37" s="59" t="n">
        <f aca="false">IF(D37="","",ROUND(SQRT(((D37+G37)*O37/100)^2+(J37*(D37+G37)*0.07048)^2),0))</f>
        <v>54</v>
      </c>
      <c r="U37" s="32"/>
    </row>
    <row r="38" customFormat="false" ht="15" hidden="false" customHeight="false" outlineLevel="0" collapsed="false">
      <c r="A38" s="32" t="s">
        <v>189</v>
      </c>
      <c r="B38" s="32" t="s">
        <v>203</v>
      </c>
      <c r="C38" s="32" t="s">
        <v>161</v>
      </c>
      <c r="D38" s="59" t="n">
        <v>801</v>
      </c>
      <c r="E38" s="59" t="n">
        <v>850</v>
      </c>
      <c r="F38" s="68" t="n">
        <f aca="false">IF(E38="","",D38-E38)</f>
        <v>-49</v>
      </c>
      <c r="G38" s="59" t="n">
        <v>1898</v>
      </c>
      <c r="H38" s="59" t="n">
        <v>1856</v>
      </c>
      <c r="I38" s="68" t="n">
        <f aca="false">IF(H38="","",G38-H38)</f>
        <v>42</v>
      </c>
      <c r="J38" s="40" t="n">
        <f aca="false">IF(OR(D38="",D38+G38=0),"",D38/(D38+G38))</f>
        <v>0.29677658391997</v>
      </c>
      <c r="K38" s="40" t="n">
        <f aca="false">IF(E38="","",E38/(E38+H38))</f>
        <v>0.314116777531412</v>
      </c>
      <c r="L38" s="69" t="n">
        <f aca="false">IF(OR(K38="",J38=""),"",(J38-K38)*100)</f>
        <v>-1.73401936114413</v>
      </c>
      <c r="M38" s="36" t="n">
        <v>2.19828346285965</v>
      </c>
      <c r="N38" s="36" t="n">
        <v>1.26766093362543</v>
      </c>
      <c r="O38" s="36" t="n">
        <f aca="false">SQRT(M38^2+N38^2)</f>
        <v>2.53760013117164</v>
      </c>
      <c r="P38" s="40" t="n">
        <f aca="false">IF(J38="","",MAX(0,J38-1.96*O38/100))</f>
        <v>0.247039621349006</v>
      </c>
      <c r="Q38" s="40" t="n">
        <f aca="false">IF(J38="","",MIN(1,J38+1.96*O38/100))</f>
        <v>0.346513546490934</v>
      </c>
      <c r="R38" s="32" t="str">
        <f aca="false">IF(L38="","",IF(ABS(L38)&lt;=O38,"Yes","No"))</f>
        <v>Yes</v>
      </c>
      <c r="S38" s="32" t="str">
        <f aca="false">IF(L38="","",IF(ABS(L38)&lt;=1.96*O38,"Yes","No"))</f>
        <v>Yes</v>
      </c>
      <c r="T38" s="59" t="n">
        <f aca="false">IF(D38="","",ROUND(SQRT(((D38+G38)*O38/100)^2+(J38*(D38+G38)*0.07048)^2),0))</f>
        <v>89</v>
      </c>
      <c r="U38" s="32"/>
    </row>
    <row r="39" customFormat="false" ht="15" hidden="false" customHeight="false" outlineLevel="0" collapsed="false">
      <c r="A39" s="32" t="s">
        <v>189</v>
      </c>
      <c r="B39" s="32" t="s">
        <v>204</v>
      </c>
      <c r="C39" s="32" t="s">
        <v>161</v>
      </c>
      <c r="D39" s="59" t="n">
        <v>964</v>
      </c>
      <c r="E39" s="59" t="n">
        <v>980</v>
      </c>
      <c r="F39" s="68" t="n">
        <f aca="false">IF(E39="","",D39-E39)</f>
        <v>-16</v>
      </c>
      <c r="G39" s="59" t="n">
        <v>929</v>
      </c>
      <c r="H39" s="59" t="n">
        <v>872</v>
      </c>
      <c r="I39" s="68" t="n">
        <f aca="false">IF(H39="","",G39-H39)</f>
        <v>57</v>
      </c>
      <c r="J39" s="40" t="n">
        <f aca="false">IF(OR(D39="",D39+G39=0),"",D39/(D39+G39))</f>
        <v>0.509244585314316</v>
      </c>
      <c r="K39" s="40" t="n">
        <f aca="false">IF(E39="","",E39/(E39+H39))</f>
        <v>0.529157667386609</v>
      </c>
      <c r="L39" s="69" t="n">
        <f aca="false">IF(OR(K39="",J39=""),"",(J39-K39)*100)</f>
        <v>-1.99130820722931</v>
      </c>
      <c r="M39" s="36" t="n">
        <v>2.19828346285965</v>
      </c>
      <c r="N39" s="36" t="n">
        <v>1.26766093362543</v>
      </c>
      <c r="O39" s="36" t="n">
        <f aca="false">SQRT(M39^2+N39^2)</f>
        <v>2.53760013117164</v>
      </c>
      <c r="P39" s="40" t="n">
        <f aca="false">IF(J39="","",MAX(0,J39-1.96*O39/100))</f>
        <v>0.459507622743352</v>
      </c>
      <c r="Q39" s="40" t="n">
        <f aca="false">IF(J39="","",MIN(1,J39+1.96*O39/100))</f>
        <v>0.55898154788528</v>
      </c>
      <c r="R39" s="32" t="str">
        <f aca="false">IF(L39="","",IF(ABS(L39)&lt;=O39,"Yes","No"))</f>
        <v>Yes</v>
      </c>
      <c r="S39" s="32" t="str">
        <f aca="false">IF(L39="","",IF(ABS(L39)&lt;=1.96*O39,"Yes","No"))</f>
        <v>Yes</v>
      </c>
      <c r="T39" s="59" t="n">
        <f aca="false">IF(D39="","",ROUND(SQRT(((D39+G39)*O39/100)^2+(J39*(D39+G39)*0.07048)^2),0))</f>
        <v>83</v>
      </c>
      <c r="U39" s="32"/>
    </row>
    <row r="40" customFormat="false" ht="15" hidden="false" customHeight="false" outlineLevel="0" collapsed="false">
      <c r="A40" s="32" t="s">
        <v>189</v>
      </c>
      <c r="B40" s="32" t="s">
        <v>205</v>
      </c>
      <c r="C40" s="32" t="s">
        <v>161</v>
      </c>
      <c r="D40" s="59" t="n">
        <v>3900</v>
      </c>
      <c r="E40" s="59" t="n">
        <v>4022</v>
      </c>
      <c r="F40" s="68" t="n">
        <f aca="false">IF(E40="","",D40-E40)</f>
        <v>-122</v>
      </c>
      <c r="G40" s="59" t="n">
        <v>6137</v>
      </c>
      <c r="H40" s="59" t="n">
        <v>5915</v>
      </c>
      <c r="I40" s="68" t="n">
        <f aca="false">IF(H40="","",G40-H40)</f>
        <v>222</v>
      </c>
      <c r="J40" s="40" t="n">
        <f aca="false">IF(OR(D40="",D40+G40=0),"",D40/(D40+G40))</f>
        <v>0.388562319418153</v>
      </c>
      <c r="K40" s="40" t="n">
        <f aca="false">IF(E40="","",E40/(E40+H40))</f>
        <v>0.404749924524504</v>
      </c>
      <c r="L40" s="69" t="n">
        <f aca="false">IF(OR(K40="",J40=""),"",(J40-K40)*100)</f>
        <v>-1.61876051063515</v>
      </c>
      <c r="M40" s="36" t="n">
        <v>2.07591246963779</v>
      </c>
      <c r="N40" s="36" t="n">
        <v>1.26766093362543</v>
      </c>
      <c r="O40" s="36" t="n">
        <f aca="false">SQRT(M40^2+N40^2)</f>
        <v>2.43236034013009</v>
      </c>
      <c r="P40" s="40" t="n">
        <f aca="false">IF(J40="","",MAX(0,J40-1.96*O40/100))</f>
        <v>0.340888056751603</v>
      </c>
      <c r="Q40" s="40" t="n">
        <f aca="false">IF(J40="","",MIN(1,J40+1.96*O40/100))</f>
        <v>0.436236582084703</v>
      </c>
      <c r="R40" s="32" t="str">
        <f aca="false">IF(L40="","",IF(ABS(L40)&lt;=O40,"Yes","No"))</f>
        <v>Yes</v>
      </c>
      <c r="S40" s="32" t="str">
        <f aca="false">IF(L40="","",IF(ABS(L40)&lt;=1.96*O40,"Yes","No"))</f>
        <v>Yes</v>
      </c>
      <c r="T40" s="59" t="n">
        <f aca="false">IF(D40="","",ROUND(SQRT(((D40+G40)*O40/100)^2+(J40*(D40+G40)*0.06406)^2),0))</f>
        <v>349</v>
      </c>
      <c r="U40" s="32"/>
    </row>
    <row r="41" customFormat="false" ht="15" hidden="false" customHeight="false" outlineLevel="0" collapsed="false">
      <c r="A41" s="32" t="s">
        <v>189</v>
      </c>
      <c r="B41" s="32" t="s">
        <v>206</v>
      </c>
      <c r="C41" s="32" t="s">
        <v>161</v>
      </c>
      <c r="D41" s="59" t="n">
        <v>3914</v>
      </c>
      <c r="E41" s="59" t="n">
        <v>4010</v>
      </c>
      <c r="F41" s="68" t="n">
        <f aca="false">IF(E41="","",D41-E41)</f>
        <v>-96</v>
      </c>
      <c r="G41" s="59" t="n">
        <v>4252</v>
      </c>
      <c r="H41" s="59" t="n">
        <v>4104</v>
      </c>
      <c r="I41" s="68" t="n">
        <f aca="false">IF(H41="","",G41-H41)</f>
        <v>148</v>
      </c>
      <c r="J41" s="40" t="n">
        <f aca="false">IF(OR(D41="",D41+G41=0),"",D41/(D41+G41))</f>
        <v>0.47930443301494</v>
      </c>
      <c r="K41" s="40" t="n">
        <f aca="false">IF(E41="","",E41/(E41+H41))</f>
        <v>0.494207542519103</v>
      </c>
      <c r="L41" s="69" t="n">
        <f aca="false">IF(OR(K41="",J41=""),"",(J41-K41)*100)</f>
        <v>-1.49031095041628</v>
      </c>
      <c r="M41" s="36" t="n">
        <v>2.07591246963779</v>
      </c>
      <c r="N41" s="36" t="n">
        <v>1.26766093362543</v>
      </c>
      <c r="O41" s="36" t="n">
        <f aca="false">SQRT(M41^2+N41^2)</f>
        <v>2.43236034013009</v>
      </c>
      <c r="P41" s="40" t="n">
        <f aca="false">IF(J41="","",MAX(0,J41-1.96*O41/100))</f>
        <v>0.43163017034839</v>
      </c>
      <c r="Q41" s="40" t="n">
        <f aca="false">IF(J41="","",MIN(1,J41+1.96*O41/100))</f>
        <v>0.52697869568149</v>
      </c>
      <c r="R41" s="32" t="str">
        <f aca="false">IF(L41="","",IF(ABS(L41)&lt;=O41,"Yes","No"))</f>
        <v>Yes</v>
      </c>
      <c r="S41" s="32" t="str">
        <f aca="false">IF(L41="","",IF(ABS(L41)&lt;=1.96*O41,"Yes","No"))</f>
        <v>Yes</v>
      </c>
      <c r="T41" s="59" t="n">
        <f aca="false">IF(D41="","",ROUND(SQRT(((D41+G41)*O41/100)^2+(J41*(D41+G41)*0.06406)^2),0))</f>
        <v>320</v>
      </c>
      <c r="U41" s="32"/>
    </row>
    <row r="42" customFormat="false" ht="15" hidden="false" customHeight="false" outlineLevel="0" collapsed="false">
      <c r="A42" s="32" t="s">
        <v>189</v>
      </c>
      <c r="B42" s="32" t="s">
        <v>207</v>
      </c>
      <c r="C42" s="32" t="s">
        <v>161</v>
      </c>
      <c r="D42" s="59" t="n">
        <v>804</v>
      </c>
      <c r="E42" s="59" t="n">
        <v>800</v>
      </c>
      <c r="F42" s="68" t="n">
        <f aca="false">IF(E42="","",D42-E42)</f>
        <v>4</v>
      </c>
      <c r="G42" s="59" t="n">
        <v>1194</v>
      </c>
      <c r="H42" s="59" t="n">
        <v>1156</v>
      </c>
      <c r="I42" s="68" t="n">
        <f aca="false">IF(H42="","",G42-H42)</f>
        <v>38</v>
      </c>
      <c r="J42" s="40" t="n">
        <f aca="false">IF(OR(D42="",D42+G42=0),"",D42/(D42+G42))</f>
        <v>0.402402402402402</v>
      </c>
      <c r="K42" s="40" t="n">
        <f aca="false">IF(E42="","",E42/(E42+H42))</f>
        <v>0.408997955010225</v>
      </c>
      <c r="L42" s="69" t="n">
        <f aca="false">IF(OR(K42="",J42=""),"",(J42-K42)*100)</f>
        <v>-0.659555260782258</v>
      </c>
      <c r="M42" s="36" t="n">
        <v>2.19828346285965</v>
      </c>
      <c r="N42" s="36" t="n">
        <v>1.26766093362543</v>
      </c>
      <c r="O42" s="36" t="n">
        <f aca="false">SQRT(M42^2+N42^2)</f>
        <v>2.53760013117164</v>
      </c>
      <c r="P42" s="40" t="n">
        <f aca="false">IF(J42="","",MAX(0,J42-1.96*O42/100))</f>
        <v>0.352665439831438</v>
      </c>
      <c r="Q42" s="40" t="n">
        <f aca="false">IF(J42="","",MIN(1,J42+1.96*O42/100))</f>
        <v>0.452139364973367</v>
      </c>
      <c r="R42" s="32" t="str">
        <f aca="false">IF(L42="","",IF(ABS(L42)&lt;=O42,"Yes","No"))</f>
        <v>Yes</v>
      </c>
      <c r="S42" s="32" t="str">
        <f aca="false">IF(L42="","",IF(ABS(L42)&lt;=1.96*O42,"Yes","No"))</f>
        <v>Yes</v>
      </c>
      <c r="T42" s="59" t="n">
        <f aca="false">IF(D42="","",ROUND(SQRT(((D42+G42)*O42/100)^2+(J42*(D42+G42)*0.07048)^2),0))</f>
        <v>76</v>
      </c>
      <c r="U42" s="32"/>
    </row>
    <row r="43" customFormat="false" ht="15" hidden="false" customHeight="false" outlineLevel="0" collapsed="false">
      <c r="A43" s="32" t="s">
        <v>189</v>
      </c>
      <c r="B43" s="32" t="s">
        <v>208</v>
      </c>
      <c r="C43" s="32" t="s">
        <v>161</v>
      </c>
      <c r="D43" s="59" t="n">
        <v>6782</v>
      </c>
      <c r="E43" s="59" t="n">
        <v>7019</v>
      </c>
      <c r="F43" s="68" t="n">
        <f aca="false">IF(E43="","",D43-E43)</f>
        <v>-237</v>
      </c>
      <c r="G43" s="59" t="n">
        <v>6416</v>
      </c>
      <c r="H43" s="59" t="n">
        <v>6110</v>
      </c>
      <c r="I43" s="68" t="n">
        <f aca="false">IF(H43="","",G43-H43)</f>
        <v>306</v>
      </c>
      <c r="J43" s="40" t="n">
        <f aca="false">IF(OR(D43="",D43+G43=0),"",D43/(D43+G43))</f>
        <v>0.513865737232914</v>
      </c>
      <c r="K43" s="40" t="n">
        <f aca="false">IF(E43="","",E43/(E43+H43))</f>
        <v>0.534618021174499</v>
      </c>
      <c r="L43" s="69" t="n">
        <f aca="false">IF(OR(K43="",J43=""),"",(J43-K43)*100)</f>
        <v>-2.07522839415851</v>
      </c>
      <c r="M43" s="36" t="n">
        <v>2.07591246963779</v>
      </c>
      <c r="N43" s="36" t="n">
        <v>1.26766093362543</v>
      </c>
      <c r="O43" s="36" t="n">
        <f aca="false">SQRT(M43^2+N43^2)</f>
        <v>2.43236034013009</v>
      </c>
      <c r="P43" s="40" t="n">
        <f aca="false">IF(J43="","",MAX(0,J43-1.96*O43/100))</f>
        <v>0.466191474566364</v>
      </c>
      <c r="Q43" s="40" t="n">
        <f aca="false">IF(J43="","",MIN(1,J43+1.96*O43/100))</f>
        <v>0.561539999899464</v>
      </c>
      <c r="R43" s="32" t="str">
        <f aca="false">IF(L43="","",IF(ABS(L43)&lt;=O43,"Yes","No"))</f>
        <v>Yes</v>
      </c>
      <c r="S43" s="32" t="str">
        <f aca="false">IF(L43="","",IF(ABS(L43)&lt;=1.96*O43,"Yes","No"))</f>
        <v>Yes</v>
      </c>
      <c r="T43" s="59" t="n">
        <f aca="false">IF(D43="","",ROUND(SQRT(((D43+G43)*O43/100)^2+(J43*(D43+G43)*0.06406)^2),0))</f>
        <v>540</v>
      </c>
      <c r="U43" s="32"/>
    </row>
    <row r="44" customFormat="false" ht="15" hidden="false" customHeight="false" outlineLevel="0" collapsed="false">
      <c r="A44" s="32" t="s">
        <v>189</v>
      </c>
      <c r="B44" s="32" t="s">
        <v>209</v>
      </c>
      <c r="C44" s="32" t="s">
        <v>161</v>
      </c>
      <c r="D44" s="59" t="n">
        <v>8049</v>
      </c>
      <c r="E44" s="59" t="n">
        <v>8020</v>
      </c>
      <c r="F44" s="68" t="n">
        <f aca="false">IF(E44="","",D44-E44)</f>
        <v>29</v>
      </c>
      <c r="G44" s="59" t="n">
        <v>7911</v>
      </c>
      <c r="H44" s="59" t="n">
        <v>7607</v>
      </c>
      <c r="I44" s="68" t="n">
        <f aca="false">IF(H44="","",G44-H44)</f>
        <v>304</v>
      </c>
      <c r="J44" s="40" t="n">
        <f aca="false">IF(OR(D44="",D44+G44=0),"",D44/(D44+G44))</f>
        <v>0.504323308270677</v>
      </c>
      <c r="K44" s="40" t="n">
        <f aca="false">IF(E44="","",E44/(E44+H44))</f>
        <v>0.513214308568503</v>
      </c>
      <c r="L44" s="69" t="n">
        <f aca="false">IF(OR(K44="",J44=""),"",(J44-K44)*100)</f>
        <v>-0.889100029782652</v>
      </c>
      <c r="M44" s="36" t="n">
        <v>2.07591246963779</v>
      </c>
      <c r="N44" s="36" t="n">
        <v>1.26766093362543</v>
      </c>
      <c r="O44" s="36" t="n">
        <f aca="false">SQRT(M44^2+N44^2)</f>
        <v>2.43236034013009</v>
      </c>
      <c r="P44" s="40" t="n">
        <f aca="false">IF(J44="","",MAX(0,J44-1.96*O44/100))</f>
        <v>0.456649045604127</v>
      </c>
      <c r="Q44" s="40" t="n">
        <f aca="false">IF(J44="","",MIN(1,J44+1.96*O44/100))</f>
        <v>0.551997570937227</v>
      </c>
      <c r="R44" s="32" t="str">
        <f aca="false">IF(L44="","",IF(ABS(L44)&lt;=O44,"Yes","No"))</f>
        <v>Yes</v>
      </c>
      <c r="S44" s="32" t="str">
        <f aca="false">IF(L44="","",IF(ABS(L44)&lt;=1.96*O44,"Yes","No"))</f>
        <v>Yes</v>
      </c>
      <c r="T44" s="59" t="n">
        <f aca="false">IF(D44="","",ROUND(SQRT(((D44+G44)*O44/100)^2+(J44*(D44+G44)*0.06406)^2),0))</f>
        <v>645</v>
      </c>
      <c r="U44" s="32"/>
    </row>
    <row r="45" customFormat="false" ht="15" hidden="false" customHeight="false" outlineLevel="0" collapsed="false">
      <c r="A45" s="32" t="s">
        <v>189</v>
      </c>
      <c r="B45" s="32" t="s">
        <v>210</v>
      </c>
      <c r="C45" s="32" t="s">
        <v>161</v>
      </c>
      <c r="D45" s="59" t="n">
        <v>2220</v>
      </c>
      <c r="E45" s="59" t="n">
        <v>2380</v>
      </c>
      <c r="F45" s="68" t="n">
        <f aca="false">IF(E45="","",D45-E45)</f>
        <v>-160</v>
      </c>
      <c r="G45" s="59" t="n">
        <v>3234</v>
      </c>
      <c r="H45" s="59" t="n">
        <v>3135</v>
      </c>
      <c r="I45" s="68" t="n">
        <f aca="false">IF(H45="","",G45-H45)</f>
        <v>99</v>
      </c>
      <c r="J45" s="40" t="n">
        <f aca="false">IF(OR(D45="",D45+G45=0),"",D45/(D45+G45))</f>
        <v>0.407040704070407</v>
      </c>
      <c r="K45" s="40" t="n">
        <f aca="false">IF(E45="","",E45/(E45+H45))</f>
        <v>0.43155031731641</v>
      </c>
      <c r="L45" s="69" t="n">
        <f aca="false">IF(OR(K45="",J45=""),"",(J45-K45)*100)</f>
        <v>-2.45096132460028</v>
      </c>
      <c r="M45" s="36" t="n">
        <v>2.07591246963779</v>
      </c>
      <c r="N45" s="36" t="n">
        <v>1.26766093362543</v>
      </c>
      <c r="O45" s="36" t="n">
        <f aca="false">SQRT(M45^2+N45^2)</f>
        <v>2.43236034013009</v>
      </c>
      <c r="P45" s="40" t="n">
        <f aca="false">IF(J45="","",MAX(0,J45-1.96*O45/100))</f>
        <v>0.359366441403857</v>
      </c>
      <c r="Q45" s="40" t="n">
        <f aca="false">IF(J45="","",MIN(1,J45+1.96*O45/100))</f>
        <v>0.454714966736957</v>
      </c>
      <c r="R45" s="32" t="str">
        <f aca="false">IF(L45="","",IF(ABS(L45)&lt;=O45,"Yes","No"))</f>
        <v>No</v>
      </c>
      <c r="S45" s="32" t="str">
        <f aca="false">IF(L45="","",IF(ABS(L45)&lt;=1.96*O45,"Yes","No"))</f>
        <v>Yes</v>
      </c>
      <c r="T45" s="59" t="n">
        <f aca="false">IF(D45="","",ROUND(SQRT(((D45+G45)*O45/100)^2+(J45*(D45+G45)*0.06406)^2),0))</f>
        <v>194</v>
      </c>
      <c r="U45" s="32"/>
    </row>
    <row r="46" customFormat="false" ht="15" hidden="false" customHeight="false" outlineLevel="0" collapsed="false">
      <c r="A46" s="32" t="s">
        <v>189</v>
      </c>
      <c r="B46" s="32" t="s">
        <v>211</v>
      </c>
      <c r="C46" s="32" t="s">
        <v>161</v>
      </c>
      <c r="D46" s="59" t="n">
        <v>5179</v>
      </c>
      <c r="E46" s="59" t="n">
        <v>5462</v>
      </c>
      <c r="F46" s="68" t="n">
        <f aca="false">IF(E46="","",D46-E46)</f>
        <v>-283</v>
      </c>
      <c r="G46" s="59" t="n">
        <v>6007</v>
      </c>
      <c r="H46" s="59" t="n">
        <v>5740</v>
      </c>
      <c r="I46" s="68" t="n">
        <f aca="false">IF(H46="","",G46-H46)</f>
        <v>267</v>
      </c>
      <c r="J46" s="40" t="n">
        <f aca="false">IF(OR(D46="",D46+G46=0),"",D46/(D46+G46))</f>
        <v>0.462989451099589</v>
      </c>
      <c r="K46" s="40" t="n">
        <f aca="false">IF(E46="","",E46/(E46+H46))</f>
        <v>0.487591501517586</v>
      </c>
      <c r="L46" s="69" t="n">
        <f aca="false">IF(OR(K46="",J46=""),"",(J46-K46)*100)</f>
        <v>-2.46020504179973</v>
      </c>
      <c r="M46" s="36" t="n">
        <v>2.07591246963779</v>
      </c>
      <c r="N46" s="36" t="n">
        <v>1.26766093362543</v>
      </c>
      <c r="O46" s="36" t="n">
        <f aca="false">SQRT(M46^2+N46^2)</f>
        <v>2.43236034013009</v>
      </c>
      <c r="P46" s="40" t="n">
        <f aca="false">IF(J46="","",MAX(0,J46-1.96*O46/100))</f>
        <v>0.415315188433039</v>
      </c>
      <c r="Q46" s="40" t="n">
        <f aca="false">IF(J46="","",MIN(1,J46+1.96*O46/100))</f>
        <v>0.510663713766139</v>
      </c>
      <c r="R46" s="32" t="str">
        <f aca="false">IF(L46="","",IF(ABS(L46)&lt;=O46,"Yes","No"))</f>
        <v>No</v>
      </c>
      <c r="S46" s="32" t="str">
        <f aca="false">IF(L46="","",IF(ABS(L46)&lt;=1.96*O46,"Yes","No"))</f>
        <v>Yes</v>
      </c>
      <c r="T46" s="59" t="n">
        <f aca="false">IF(D46="","",ROUND(SQRT(((D46+G46)*O46/100)^2+(J46*(D46+G46)*0.06406)^2),0))</f>
        <v>429</v>
      </c>
      <c r="U46" s="32"/>
    </row>
    <row r="47" customFormat="false" ht="15" hidden="false" customHeight="false" outlineLevel="0" collapsed="false">
      <c r="A47" s="32" t="s">
        <v>189</v>
      </c>
      <c r="B47" s="32" t="s">
        <v>212</v>
      </c>
      <c r="C47" s="32" t="s">
        <v>161</v>
      </c>
      <c r="D47" s="59" t="n">
        <v>1247</v>
      </c>
      <c r="E47" s="59" t="n">
        <v>1266</v>
      </c>
      <c r="F47" s="68" t="n">
        <f aca="false">IF(E47="","",D47-E47)</f>
        <v>-19</v>
      </c>
      <c r="G47" s="59" t="n">
        <v>2686</v>
      </c>
      <c r="H47" s="59" t="n">
        <v>2669</v>
      </c>
      <c r="I47" s="68" t="n">
        <f aca="false">IF(H47="","",G47-H47)</f>
        <v>17</v>
      </c>
      <c r="J47" s="40" t="n">
        <f aca="false">IF(OR(D47="",D47+G47=0),"",D47/(D47+G47))</f>
        <v>0.317060767861683</v>
      </c>
      <c r="K47" s="40" t="n">
        <f aca="false">IF(E47="","",E47/(E47+H47))</f>
        <v>0.321728081321474</v>
      </c>
      <c r="L47" s="69" t="n">
        <f aca="false">IF(OR(K47="",J47=""),"",(J47-K47)*100)</f>
        <v>-0.466731345979077</v>
      </c>
      <c r="M47" s="36" t="n">
        <v>2.07591246963779</v>
      </c>
      <c r="N47" s="36" t="n">
        <v>1.26766093362543</v>
      </c>
      <c r="O47" s="36" t="n">
        <f aca="false">SQRT(M47^2+N47^2)</f>
        <v>2.43236034013009</v>
      </c>
      <c r="P47" s="40" t="n">
        <f aca="false">IF(J47="","",MAX(0,J47-1.96*O47/100))</f>
        <v>0.269386505195134</v>
      </c>
      <c r="Q47" s="40" t="n">
        <f aca="false">IF(J47="","",MIN(1,J47+1.96*O47/100))</f>
        <v>0.364735030528233</v>
      </c>
      <c r="R47" s="32" t="str">
        <f aca="false">IF(L47="","",IF(ABS(L47)&lt;=O47,"Yes","No"))</f>
        <v>Yes</v>
      </c>
      <c r="S47" s="32" t="str">
        <f aca="false">IF(L47="","",IF(ABS(L47)&lt;=1.96*O47,"Yes","No"))</f>
        <v>Yes</v>
      </c>
      <c r="T47" s="59" t="n">
        <f aca="false">IF(D47="","",ROUND(SQRT(((D47+G47)*O47/100)^2+(J47*(D47+G47)*0.06406)^2),0))</f>
        <v>125</v>
      </c>
      <c r="U47" s="32"/>
    </row>
    <row r="48" customFormat="false" ht="15" hidden="false" customHeight="false" outlineLevel="0" collapsed="false">
      <c r="A48" s="32" t="s">
        <v>189</v>
      </c>
      <c r="B48" s="32" t="s">
        <v>213</v>
      </c>
      <c r="C48" s="32" t="s">
        <v>161</v>
      </c>
      <c r="D48" s="59" t="n">
        <v>1119</v>
      </c>
      <c r="E48" s="59" t="n">
        <v>1172</v>
      </c>
      <c r="F48" s="68" t="n">
        <f aca="false">IF(E48="","",D48-E48)</f>
        <v>-53</v>
      </c>
      <c r="G48" s="59" t="n">
        <v>2259</v>
      </c>
      <c r="H48" s="59" t="n">
        <v>2201</v>
      </c>
      <c r="I48" s="68" t="n">
        <f aca="false">IF(H48="","",G48-H48)</f>
        <v>58</v>
      </c>
      <c r="J48" s="40" t="n">
        <f aca="false">IF(OR(D48="",D48+G48=0),"",D48/(D48+G48))</f>
        <v>0.331261101243339</v>
      </c>
      <c r="K48" s="40" t="n">
        <f aca="false">IF(E48="","",E48/(E48+H48))</f>
        <v>0.347465164541951</v>
      </c>
      <c r="L48" s="69" t="n">
        <f aca="false">IF(OR(K48="",J48=""),"",(J48-K48)*100)</f>
        <v>-1.62040632986116</v>
      </c>
      <c r="M48" s="36" t="n">
        <v>2.19828346285965</v>
      </c>
      <c r="N48" s="36" t="n">
        <v>1.26766093362543</v>
      </c>
      <c r="O48" s="36" t="n">
        <f aca="false">SQRT(M48^2+N48^2)</f>
        <v>2.53760013117164</v>
      </c>
      <c r="P48" s="40" t="n">
        <f aca="false">IF(J48="","",MAX(0,J48-1.96*O48/100))</f>
        <v>0.281524138672375</v>
      </c>
      <c r="Q48" s="40" t="n">
        <f aca="false">IF(J48="","",MIN(1,J48+1.96*O48/100))</f>
        <v>0.380998063814303</v>
      </c>
      <c r="R48" s="32" t="str">
        <f aca="false">IF(L48="","",IF(ABS(L48)&lt;=O48,"Yes","No"))</f>
        <v>Yes</v>
      </c>
      <c r="S48" s="32" t="str">
        <f aca="false">IF(L48="","",IF(ABS(L48)&lt;=1.96*O48,"Yes","No"))</f>
        <v>Yes</v>
      </c>
      <c r="T48" s="59" t="n">
        <f aca="false">IF(D48="","",ROUND(SQRT(((D48+G48)*O48/100)^2+(J48*(D48+G48)*0.07048)^2),0))</f>
        <v>116</v>
      </c>
      <c r="U48" s="32"/>
    </row>
    <row r="49" customFormat="false" ht="15" hidden="false" customHeight="false" outlineLevel="0" collapsed="false">
      <c r="A49" s="32" t="s">
        <v>189</v>
      </c>
      <c r="B49" s="32" t="s">
        <v>214</v>
      </c>
      <c r="C49" s="32" t="s">
        <v>161</v>
      </c>
      <c r="D49" s="59" t="n">
        <v>7317</v>
      </c>
      <c r="E49" s="59" t="n">
        <v>7383</v>
      </c>
      <c r="F49" s="68" t="n">
        <f aca="false">IF(E49="","",D49-E49)</f>
        <v>-66</v>
      </c>
      <c r="G49" s="59" t="n">
        <v>7163</v>
      </c>
      <c r="H49" s="59" t="n">
        <v>7036</v>
      </c>
      <c r="I49" s="68" t="n">
        <f aca="false">IF(H49="","",G49-H49)</f>
        <v>127</v>
      </c>
      <c r="J49" s="40" t="n">
        <f aca="false">IF(OR(D49="",D49+G49=0),"",D49/(D49+G49))</f>
        <v>0.505317679558011</v>
      </c>
      <c r="K49" s="40" t="n">
        <f aca="false">IF(E49="","",E49/(E49+H49))</f>
        <v>0.51203273458631</v>
      </c>
      <c r="L49" s="69" t="n">
        <f aca="false">IF(OR(K49="",J49=""),"",(J49-K49)*100)</f>
        <v>-0.671505502829861</v>
      </c>
      <c r="M49" s="36" t="n">
        <v>2.07591246963779</v>
      </c>
      <c r="N49" s="36" t="n">
        <v>1.26766093362543</v>
      </c>
      <c r="O49" s="36" t="n">
        <f aca="false">SQRT(M49^2+N49^2)</f>
        <v>2.43236034013009</v>
      </c>
      <c r="P49" s="40" t="n">
        <f aca="false">IF(J49="","",MAX(0,J49-1.96*O49/100))</f>
        <v>0.457643416891461</v>
      </c>
      <c r="Q49" s="40" t="n">
        <f aca="false">IF(J49="","",MIN(1,J49+1.96*O49/100))</f>
        <v>0.552991942224561</v>
      </c>
      <c r="R49" s="32" t="str">
        <f aca="false">IF(L49="","",IF(ABS(L49)&lt;=O49,"Yes","No"))</f>
        <v>Yes</v>
      </c>
      <c r="S49" s="32" t="str">
        <f aca="false">IF(L49="","",IF(ABS(L49)&lt;=1.96*O49,"Yes","No"))</f>
        <v>Yes</v>
      </c>
      <c r="T49" s="59" t="n">
        <f aca="false">IF(D49="","",ROUND(SQRT(((D49+G49)*O49/100)^2+(J49*(D49+G49)*0.06406)^2),0))</f>
        <v>586</v>
      </c>
      <c r="U49" s="32"/>
    </row>
    <row r="50" customFormat="false" ht="15" hidden="false" customHeight="false" outlineLevel="0" collapsed="false">
      <c r="A50" s="32" t="s">
        <v>215</v>
      </c>
      <c r="B50" s="32" t="s">
        <v>216</v>
      </c>
      <c r="C50" s="32" t="s">
        <v>161</v>
      </c>
      <c r="D50" s="59" t="n">
        <v>416</v>
      </c>
      <c r="E50" s="59" t="n">
        <v>471</v>
      </c>
      <c r="F50" s="68" t="n">
        <f aca="false">IF(E50="","",D50-E50)</f>
        <v>-55</v>
      </c>
      <c r="G50" s="59" t="n">
        <v>1128</v>
      </c>
      <c r="H50" s="59" t="n">
        <v>1124</v>
      </c>
      <c r="I50" s="68" t="n">
        <f aca="false">IF(H50="","",G50-H50)</f>
        <v>4</v>
      </c>
      <c r="J50" s="40" t="n">
        <f aca="false">IF(OR(D50="",D50+G50=0),"",D50/(D50+G50))</f>
        <v>0.269430051813472</v>
      </c>
      <c r="K50" s="40" t="n">
        <f aca="false">IF(E50="","",E50/(E50+H50))</f>
        <v>0.295297805642633</v>
      </c>
      <c r="L50" s="69" t="n">
        <f aca="false">IF(OR(K50="",J50=""),"",(J50-K50)*100)</f>
        <v>-2.58677538291617</v>
      </c>
      <c r="M50" s="36" t="n">
        <v>3.85672886711819</v>
      </c>
      <c r="N50" s="36" t="n">
        <v>1.26766093362543</v>
      </c>
      <c r="O50" s="36" t="n">
        <f aca="false">SQRT(M50^2+N50^2)</f>
        <v>4.05971942344577</v>
      </c>
      <c r="P50" s="40" t="n">
        <f aca="false">IF(J50="","",MAX(0,J50-1.96*O50/100))</f>
        <v>0.189859551113934</v>
      </c>
      <c r="Q50" s="40" t="n">
        <f aca="false">IF(J50="","",MIN(1,J50+1.96*O50/100))</f>
        <v>0.349000552513009</v>
      </c>
      <c r="R50" s="32" t="str">
        <f aca="false">IF(L50="","",IF(ABS(L50)&lt;=O50,"Yes","No"))</f>
        <v>Yes</v>
      </c>
      <c r="S50" s="32" t="str">
        <f aca="false">IF(L50="","",IF(ABS(L50)&lt;=1.96*O50,"Yes","No"))</f>
        <v>Yes</v>
      </c>
      <c r="T50" s="59" t="n">
        <f aca="false">IF(D50="","",ROUND(SQRT(((D50+G50)*O50/100)^2+(J50*(D50+G50)*0.09173)^2),0))</f>
        <v>73</v>
      </c>
      <c r="U50" s="32"/>
    </row>
    <row r="51" customFormat="false" ht="15" hidden="false" customHeight="false" outlineLevel="0" collapsed="false">
      <c r="A51" s="32" t="s">
        <v>215</v>
      </c>
      <c r="B51" s="32" t="s">
        <v>218</v>
      </c>
      <c r="C51" s="32" t="s">
        <v>161</v>
      </c>
      <c r="D51" s="59" t="n">
        <v>1303</v>
      </c>
      <c r="E51" s="59" t="n">
        <v>1414</v>
      </c>
      <c r="F51" s="68" t="n">
        <f aca="false">IF(E51="","",D51-E51)</f>
        <v>-111</v>
      </c>
      <c r="G51" s="59" t="n">
        <v>2866</v>
      </c>
      <c r="H51" s="59" t="n">
        <v>2894</v>
      </c>
      <c r="I51" s="68" t="n">
        <f aca="false">IF(H51="","",G51-H51)</f>
        <v>-28</v>
      </c>
      <c r="J51" s="40" t="n">
        <f aca="false">IF(OR(D51="",D51+G51=0),"",D51/(D51+G51))</f>
        <v>0.312544974814104</v>
      </c>
      <c r="K51" s="40" t="n">
        <f aca="false">IF(E51="","",E51/(E51+H51))</f>
        <v>0.328226555246054</v>
      </c>
      <c r="L51" s="69" t="n">
        <f aca="false">IF(OR(K51="",J51=""),"",(J51-K51)*100)</f>
        <v>-1.56815804319498</v>
      </c>
      <c r="M51" s="36" t="n">
        <v>2.07591246963779</v>
      </c>
      <c r="N51" s="36" t="n">
        <v>1.26766093362543</v>
      </c>
      <c r="O51" s="36" t="n">
        <f aca="false">SQRT(M51^2+N51^2)</f>
        <v>2.43236034013009</v>
      </c>
      <c r="P51" s="40" t="n">
        <f aca="false">IF(J51="","",MAX(0,J51-1.96*O51/100))</f>
        <v>0.264870712147554</v>
      </c>
      <c r="Q51" s="40" t="n">
        <f aca="false">IF(J51="","",MIN(1,J51+1.96*O51/100))</f>
        <v>0.360219237480654</v>
      </c>
      <c r="R51" s="32" t="str">
        <f aca="false">IF(L51="","",IF(ABS(L51)&lt;=O51,"Yes","No"))</f>
        <v>Yes</v>
      </c>
      <c r="S51" s="32" t="str">
        <f aca="false">IF(L51="","",IF(ABS(L51)&lt;=1.96*O51,"Yes","No"))</f>
        <v>Yes</v>
      </c>
      <c r="T51" s="59" t="n">
        <f aca="false">IF(D51="","",ROUND(SQRT(((D51+G51)*O51/100)^2+(J51*(D51+G51)*0.06406)^2),0))</f>
        <v>131</v>
      </c>
      <c r="U51" s="32"/>
    </row>
    <row r="52" customFormat="false" ht="15" hidden="false" customHeight="false" outlineLevel="0" collapsed="false">
      <c r="A52" s="32" t="s">
        <v>215</v>
      </c>
      <c r="B52" s="32" t="s">
        <v>219</v>
      </c>
      <c r="C52" s="32" t="s">
        <v>161</v>
      </c>
      <c r="D52" s="59" t="n">
        <v>420</v>
      </c>
      <c r="E52" s="59" t="n">
        <v>521</v>
      </c>
      <c r="F52" s="68" t="n">
        <f aca="false">IF(E52="","",D52-E52)</f>
        <v>-101</v>
      </c>
      <c r="G52" s="59" t="n">
        <v>890</v>
      </c>
      <c r="H52" s="59" t="n">
        <v>997</v>
      </c>
      <c r="I52" s="68" t="n">
        <f aca="false">IF(H52="","",G52-H52)</f>
        <v>-107</v>
      </c>
      <c r="J52" s="40" t="n">
        <f aca="false">IF(OR(D52="",D52+G52=0),"",D52/(D52+G52))</f>
        <v>0.320610687022901</v>
      </c>
      <c r="K52" s="40" t="n">
        <f aca="false">IF(E52="","",E52/(E52+H52))</f>
        <v>0.343214756258235</v>
      </c>
      <c r="L52" s="69" t="n">
        <f aca="false">IF(OR(K52="",J52=""),"",(J52-K52)*100)</f>
        <v>-2.26040692353338</v>
      </c>
      <c r="M52" s="36" t="n">
        <v>3.85672886711819</v>
      </c>
      <c r="N52" s="36" t="n">
        <v>1.26766093362543</v>
      </c>
      <c r="O52" s="36" t="n">
        <f aca="false">SQRT(M52^2+N52^2)</f>
        <v>4.05971942344577</v>
      </c>
      <c r="P52" s="40" t="n">
        <f aca="false">IF(J52="","",MAX(0,J52-1.96*O52/100))</f>
        <v>0.241040186323364</v>
      </c>
      <c r="Q52" s="40" t="n">
        <f aca="false">IF(J52="","",MIN(1,J52+1.96*O52/100))</f>
        <v>0.400181187722438</v>
      </c>
      <c r="R52" s="32" t="str">
        <f aca="false">IF(L52="","",IF(ABS(L52)&lt;=O52,"Yes","No"))</f>
        <v>Yes</v>
      </c>
      <c r="S52" s="32" t="str">
        <f aca="false">IF(L52="","",IF(ABS(L52)&lt;=1.96*O52,"Yes","No"))</f>
        <v>Yes</v>
      </c>
      <c r="T52" s="59" t="n">
        <f aca="false">IF(D52="","",ROUND(SQRT(((D52+G52)*O52/100)^2+(J52*(D52+G52)*0.09173)^2),0))</f>
        <v>66</v>
      </c>
      <c r="U52" s="32"/>
    </row>
    <row r="53" customFormat="false" ht="15" hidden="false" customHeight="false" outlineLevel="0" collapsed="false">
      <c r="A53" s="32" t="s">
        <v>220</v>
      </c>
      <c r="B53" s="32" t="s">
        <v>221</v>
      </c>
      <c r="C53" s="32" t="s">
        <v>161</v>
      </c>
      <c r="D53" s="59" t="n">
        <v>1417</v>
      </c>
      <c r="E53" s="59" t="n">
        <v>1511</v>
      </c>
      <c r="F53" s="68" t="n">
        <f aca="false">IF(E53="","",D53-E53)</f>
        <v>-94</v>
      </c>
      <c r="G53" s="59" t="n">
        <v>2047</v>
      </c>
      <c r="H53" s="59" t="n">
        <v>2018</v>
      </c>
      <c r="I53" s="68" t="n">
        <f aca="false">IF(H53="","",G53-H53)</f>
        <v>29</v>
      </c>
      <c r="J53" s="40" t="n">
        <f aca="false">IF(OR(D53="",D53+G53=0),"",D53/(D53+G53))</f>
        <v>0.409064665127021</v>
      </c>
      <c r="K53" s="40" t="n">
        <f aca="false">IF(E53="","",E53/(E53+H53))</f>
        <v>0.428166619438935</v>
      </c>
      <c r="L53" s="69" t="n">
        <f aca="false">IF(OR(K53="",J53=""),"",(J53-K53)*100)</f>
        <v>-1.91019543119138</v>
      </c>
      <c r="M53" s="36" t="n">
        <v>2.19828346285965</v>
      </c>
      <c r="N53" s="36" t="n">
        <v>1.26766093362543</v>
      </c>
      <c r="O53" s="36" t="n">
        <f aca="false">SQRT(M53^2+N53^2)</f>
        <v>2.53760013117164</v>
      </c>
      <c r="P53" s="40" t="n">
        <f aca="false">IF(J53="","",MAX(0,J53-1.96*O53/100))</f>
        <v>0.359327702556057</v>
      </c>
      <c r="Q53" s="40" t="n">
        <f aca="false">IF(J53="","",MIN(1,J53+1.96*O53/100))</f>
        <v>0.458801627697985</v>
      </c>
      <c r="R53" s="32" t="str">
        <f aca="false">IF(L53="","",IF(ABS(L53)&lt;=O53,"Yes","No"))</f>
        <v>Yes</v>
      </c>
      <c r="S53" s="32" t="str">
        <f aca="false">IF(L53="","",IF(ABS(L53)&lt;=1.96*O53,"Yes","No"))</f>
        <v>Yes</v>
      </c>
      <c r="T53" s="59" t="n">
        <f aca="false">IF(D53="","",ROUND(SQRT(((D53+G53)*O53/100)^2+(J53*(D53+G53)*0.07048)^2),0))</f>
        <v>133</v>
      </c>
      <c r="U53" s="32"/>
    </row>
    <row r="54" customFormat="false" ht="15" hidden="false" customHeight="false" outlineLevel="0" collapsed="false">
      <c r="A54" s="32" t="s">
        <v>220</v>
      </c>
      <c r="B54" s="32" t="s">
        <v>222</v>
      </c>
      <c r="C54" s="32" t="s">
        <v>161</v>
      </c>
      <c r="D54" s="59" t="n">
        <v>927</v>
      </c>
      <c r="E54" s="59" t="n">
        <v>959</v>
      </c>
      <c r="F54" s="68" t="n">
        <f aca="false">IF(E54="","",D54-E54)</f>
        <v>-32</v>
      </c>
      <c r="G54" s="59" t="n">
        <v>1409</v>
      </c>
      <c r="H54" s="59" t="n">
        <v>1364</v>
      </c>
      <c r="I54" s="68" t="n">
        <f aca="false">IF(H54="","",G54-H54)</f>
        <v>45</v>
      </c>
      <c r="J54" s="40" t="n">
        <f aca="false">IF(OR(D54="",D54+G54=0),"",D54/(D54+G54))</f>
        <v>0.396832191780822</v>
      </c>
      <c r="K54" s="40" t="n">
        <f aca="false">IF(E54="","",E54/(E54+H54))</f>
        <v>0.412828239345674</v>
      </c>
      <c r="L54" s="69" t="n">
        <f aca="false">IF(OR(K54="",J54=""),"",(J54-K54)*100)</f>
        <v>-1.59960475648518</v>
      </c>
      <c r="M54" s="36" t="n">
        <v>2.19828346285965</v>
      </c>
      <c r="N54" s="36" t="n">
        <v>1.26766093362543</v>
      </c>
      <c r="O54" s="36" t="n">
        <f aca="false">SQRT(M54^2+N54^2)</f>
        <v>2.53760013117164</v>
      </c>
      <c r="P54" s="40" t="n">
        <f aca="false">IF(J54="","",MAX(0,J54-1.96*O54/100))</f>
        <v>0.347095229209858</v>
      </c>
      <c r="Q54" s="40" t="n">
        <f aca="false">IF(J54="","",MIN(1,J54+1.96*O54/100))</f>
        <v>0.446569154351786</v>
      </c>
      <c r="R54" s="32" t="str">
        <f aca="false">IF(L54="","",IF(ABS(L54)&lt;=O54,"Yes","No"))</f>
        <v>Yes</v>
      </c>
      <c r="S54" s="32" t="str">
        <f aca="false">IF(L54="","",IF(ABS(L54)&lt;=1.96*O54,"Yes","No"))</f>
        <v>Yes</v>
      </c>
      <c r="T54" s="59" t="n">
        <f aca="false">IF(D54="","",ROUND(SQRT(((D54+G54)*O54/100)^2+(J54*(D54+G54)*0.07048)^2),0))</f>
        <v>88</v>
      </c>
      <c r="U54" s="32"/>
    </row>
    <row r="55" customFormat="false" ht="15" hidden="false" customHeight="false" outlineLevel="0" collapsed="false">
      <c r="A55" s="32" t="s">
        <v>220</v>
      </c>
      <c r="B55" s="32" t="s">
        <v>223</v>
      </c>
      <c r="C55" s="32" t="s">
        <v>161</v>
      </c>
      <c r="D55" s="59" t="n">
        <v>585</v>
      </c>
      <c r="E55" s="59" t="n">
        <v>623</v>
      </c>
      <c r="F55" s="68" t="n">
        <f aca="false">IF(E55="","",D55-E55)</f>
        <v>-38</v>
      </c>
      <c r="G55" s="59" t="n">
        <v>785</v>
      </c>
      <c r="H55" s="59" t="n">
        <v>726</v>
      </c>
      <c r="I55" s="68" t="n">
        <f aca="false">IF(H55="","",G55-H55)</f>
        <v>59</v>
      </c>
      <c r="J55" s="40" t="n">
        <f aca="false">IF(OR(D55="",D55+G55=0),"",D55/(D55+G55))</f>
        <v>0.427007299270073</v>
      </c>
      <c r="K55" s="40" t="n">
        <f aca="false">IF(E55="","",E55/(E55+H55))</f>
        <v>0.46182357301705</v>
      </c>
      <c r="L55" s="69" t="n">
        <f aca="false">IF(OR(K55="",J55=""),"",(J55-K55)*100)</f>
        <v>-3.48162737469767</v>
      </c>
      <c r="M55" s="36" t="n">
        <v>3.85672886711819</v>
      </c>
      <c r="N55" s="36" t="n">
        <v>1.26766093362543</v>
      </c>
      <c r="O55" s="36" t="n">
        <f aca="false">SQRT(M55^2+N55^2)</f>
        <v>4.05971942344577</v>
      </c>
      <c r="P55" s="40" t="n">
        <f aca="false">IF(J55="","",MAX(0,J55-1.96*O55/100))</f>
        <v>0.347436798570536</v>
      </c>
      <c r="Q55" s="40" t="n">
        <f aca="false">IF(J55="","",MIN(1,J55+1.96*O55/100))</f>
        <v>0.50657779996961</v>
      </c>
      <c r="R55" s="32" t="str">
        <f aca="false">IF(L55="","",IF(ABS(L55)&lt;=O55,"Yes","No"))</f>
        <v>Yes</v>
      </c>
      <c r="S55" s="32" t="str">
        <f aca="false">IF(L55="","",IF(ABS(L55)&lt;=1.96*O55,"Yes","No"))</f>
        <v>Yes</v>
      </c>
      <c r="T55" s="59" t="n">
        <f aca="false">IF(D55="","",ROUND(SQRT(((D55+G55)*O55/100)^2+(J55*(D55+G55)*0.09173)^2),0))</f>
        <v>77</v>
      </c>
      <c r="U55" s="32"/>
    </row>
    <row r="56" customFormat="false" ht="15" hidden="false" customHeight="false" outlineLevel="0" collapsed="false">
      <c r="A56" s="32" t="s">
        <v>220</v>
      </c>
      <c r="B56" s="32" t="s">
        <v>192</v>
      </c>
      <c r="C56" s="32" t="s">
        <v>161</v>
      </c>
      <c r="D56" s="59" t="n">
        <v>16661</v>
      </c>
      <c r="E56" s="59" t="n">
        <v>17416</v>
      </c>
      <c r="F56" s="68" t="n">
        <f aca="false">IF(E56="","",D56-E56)</f>
        <v>-755</v>
      </c>
      <c r="G56" s="59" t="n">
        <v>8922</v>
      </c>
      <c r="H56" s="59" t="n">
        <v>8640</v>
      </c>
      <c r="I56" s="68" t="n">
        <f aca="false">IF(H56="","",G56-H56)</f>
        <v>282</v>
      </c>
      <c r="J56" s="40" t="n">
        <f aca="false">IF(OR(D56="",D56+G56=0),"",D56/(D56+G56))</f>
        <v>0.651252785052574</v>
      </c>
      <c r="K56" s="40" t="n">
        <f aca="false">IF(E56="","",E56/(E56+H56))</f>
        <v>0.668406509057415</v>
      </c>
      <c r="L56" s="69" t="n">
        <f aca="false">IF(OR(K56="",J56=""),"",(J56-K56)*100)</f>
        <v>-1.71537240048408</v>
      </c>
      <c r="M56" s="36" t="n">
        <v>2.07591246963779</v>
      </c>
      <c r="N56" s="36" t="n">
        <v>1.26766093362543</v>
      </c>
      <c r="O56" s="36" t="n">
        <f aca="false">SQRT(M56^2+N56^2)</f>
        <v>2.43236034013009</v>
      </c>
      <c r="P56" s="40" t="n">
        <f aca="false">IF(J56="","",MAX(0,J56-1.96*O56/100))</f>
        <v>0.603578522386024</v>
      </c>
      <c r="Q56" s="40" t="n">
        <f aca="false">IF(J56="","",MIN(1,J56+1.96*O56/100))</f>
        <v>0.698927047719124</v>
      </c>
      <c r="R56" s="32" t="str">
        <f aca="false">IF(L56="","",IF(ABS(L56)&lt;=O56,"Yes","No"))</f>
        <v>Yes</v>
      </c>
      <c r="S56" s="32" t="str">
        <f aca="false">IF(L56="","",IF(ABS(L56)&lt;=1.96*O56,"Yes","No"))</f>
        <v>Yes</v>
      </c>
      <c r="T56" s="59" t="n">
        <f aca="false">IF(D56="","",ROUND(SQRT(((D56+G56)*O56/100)^2+(J56*(D56+G56)*0.06406)^2),0))</f>
        <v>1235</v>
      </c>
      <c r="U56" s="32"/>
    </row>
    <row r="57" customFormat="false" ht="15" hidden="false" customHeight="false" outlineLevel="0" collapsed="false">
      <c r="A57" s="32" t="s">
        <v>220</v>
      </c>
      <c r="B57" s="32" t="s">
        <v>224</v>
      </c>
      <c r="C57" s="32" t="s">
        <v>161</v>
      </c>
      <c r="D57" s="59" t="n">
        <v>8053</v>
      </c>
      <c r="E57" s="59" t="n">
        <v>8595</v>
      </c>
      <c r="F57" s="68" t="n">
        <f aca="false">IF(E57="","",D57-E57)</f>
        <v>-542</v>
      </c>
      <c r="G57" s="59" t="n">
        <v>7880</v>
      </c>
      <c r="H57" s="59" t="n">
        <v>7440</v>
      </c>
      <c r="I57" s="68" t="n">
        <f aca="false">IF(H57="","",G57-H57)</f>
        <v>440</v>
      </c>
      <c r="J57" s="40" t="n">
        <f aca="false">IF(OR(D57="",D57+G57=0),"",D57/(D57+G57))</f>
        <v>0.505428983869955</v>
      </c>
      <c r="K57" s="40" t="n">
        <f aca="false">IF(E57="","",E57/(E57+H57))</f>
        <v>0.536014967259121</v>
      </c>
      <c r="L57" s="69" t="n">
        <f aca="false">IF(OR(K57="",J57=""),"",(J57-K57)*100)</f>
        <v>-3.05859833891653</v>
      </c>
      <c r="M57" s="36" t="n">
        <v>2.07591246963779</v>
      </c>
      <c r="N57" s="36" t="n">
        <v>1.26766093362543</v>
      </c>
      <c r="O57" s="36" t="n">
        <f aca="false">SQRT(M57^2+N57^2)</f>
        <v>2.43236034013009</v>
      </c>
      <c r="P57" s="40" t="n">
        <f aca="false">IF(J57="","",MAX(0,J57-1.96*O57/100))</f>
        <v>0.457754721203406</v>
      </c>
      <c r="Q57" s="40" t="n">
        <f aca="false">IF(J57="","",MIN(1,J57+1.96*O57/100))</f>
        <v>0.553103246536505</v>
      </c>
      <c r="R57" s="32" t="str">
        <f aca="false">IF(L57="","",IF(ABS(L57)&lt;=O57,"Yes","No"))</f>
        <v>No</v>
      </c>
      <c r="S57" s="32" t="str">
        <f aca="false">IF(L57="","",IF(ABS(L57)&lt;=1.96*O57,"Yes","No"))</f>
        <v>Yes</v>
      </c>
      <c r="T57" s="59" t="n">
        <f aca="false">IF(D57="","",ROUND(SQRT(((D57+G57)*O57/100)^2+(J57*(D57+G57)*0.06406)^2),0))</f>
        <v>645</v>
      </c>
      <c r="U57" s="32"/>
    </row>
    <row r="58" customFormat="false" ht="15" hidden="false" customHeight="false" outlineLevel="0" collapsed="false">
      <c r="A58" s="32" t="s">
        <v>220</v>
      </c>
      <c r="B58" s="32" t="s">
        <v>225</v>
      </c>
      <c r="C58" s="32" t="s">
        <v>161</v>
      </c>
      <c r="D58" s="59" t="n">
        <v>1964</v>
      </c>
      <c r="E58" s="59" t="n">
        <v>2169</v>
      </c>
      <c r="F58" s="68" t="n">
        <f aca="false">IF(E58="","",D58-E58)</f>
        <v>-205</v>
      </c>
      <c r="G58" s="59" t="n">
        <v>3651</v>
      </c>
      <c r="H58" s="59" t="n">
        <v>3459</v>
      </c>
      <c r="I58" s="68" t="n">
        <f aca="false">IF(H58="","",G58-H58)</f>
        <v>192</v>
      </c>
      <c r="J58" s="40" t="n">
        <f aca="false">IF(OR(D58="",D58+G58=0),"",D58/(D58+G58))</f>
        <v>0.349777382012467</v>
      </c>
      <c r="K58" s="40" t="n">
        <f aca="false">IF(E58="","",E58/(E58+H58))</f>
        <v>0.385394456289979</v>
      </c>
      <c r="L58" s="69" t="n">
        <f aca="false">IF(OR(K58="",J58=""),"",(J58-K58)*100)</f>
        <v>-3.56170742775121</v>
      </c>
      <c r="M58" s="36" t="n">
        <v>2.07591246963779</v>
      </c>
      <c r="N58" s="36" t="n">
        <v>1.26766093362543</v>
      </c>
      <c r="O58" s="36" t="n">
        <f aca="false">SQRT(M58^2+N58^2)</f>
        <v>2.43236034013009</v>
      </c>
      <c r="P58" s="40" t="n">
        <f aca="false">IF(J58="","",MAX(0,J58-1.96*O58/100))</f>
        <v>0.302103119345917</v>
      </c>
      <c r="Q58" s="40" t="n">
        <f aca="false">IF(J58="","",MIN(1,J58+1.96*O58/100))</f>
        <v>0.397451644679016</v>
      </c>
      <c r="R58" s="32" t="str">
        <f aca="false">IF(L58="","",IF(ABS(L58)&lt;=O58,"Yes","No"))</f>
        <v>No</v>
      </c>
      <c r="S58" s="32" t="str">
        <f aca="false">IF(L58="","",IF(ABS(L58)&lt;=1.96*O58,"Yes","No"))</f>
        <v>Yes</v>
      </c>
      <c r="T58" s="59" t="n">
        <f aca="false">IF(D58="","",ROUND(SQRT(((D58+G58)*O58/100)^2+(J58*(D58+G58)*0.06406)^2),0))</f>
        <v>186</v>
      </c>
      <c r="U58" s="32"/>
    </row>
    <row r="59" customFormat="false" ht="15" hidden="false" customHeight="false" outlineLevel="0" collapsed="false">
      <c r="A59" s="32" t="s">
        <v>220</v>
      </c>
      <c r="B59" s="32" t="s">
        <v>226</v>
      </c>
      <c r="C59" s="32" t="s">
        <v>161</v>
      </c>
      <c r="D59" s="59" t="n">
        <v>41</v>
      </c>
      <c r="E59" s="59" t="n">
        <v>40</v>
      </c>
      <c r="F59" s="68" t="n">
        <f aca="false">IF(E59="","",D59-E59)</f>
        <v>1</v>
      </c>
      <c r="G59" s="59" t="n">
        <v>80</v>
      </c>
      <c r="H59" s="59" t="n">
        <v>83</v>
      </c>
      <c r="I59" s="68" t="n">
        <f aca="false">IF(H59="","",G59-H59)</f>
        <v>-3</v>
      </c>
      <c r="J59" s="40" t="n">
        <f aca="false">IF(OR(D59="",D59+G59=0),"",D59/(D59+G59))</f>
        <v>0.338842975206612</v>
      </c>
      <c r="K59" s="40" t="n">
        <f aca="false">IF(E59="","",E59/(E59+H59))</f>
        <v>0.32520325203252</v>
      </c>
      <c r="L59" s="69" t="n">
        <f aca="false">IF(OR(K59="",J59=""),"",(J59-K59)*100)</f>
        <v>1.36397231740912</v>
      </c>
      <c r="M59" s="36" t="n">
        <v>3.85672886711819</v>
      </c>
      <c r="N59" s="36" t="n">
        <v>1.26766093362543</v>
      </c>
      <c r="O59" s="36" t="n">
        <f aca="false">SQRT(M59^2+N59^2)</f>
        <v>4.05971942344577</v>
      </c>
      <c r="P59" s="40" t="n">
        <f aca="false">IF(J59="","",MAX(0,J59-1.96*O59/100))</f>
        <v>0.259272474507074</v>
      </c>
      <c r="Q59" s="40" t="n">
        <f aca="false">IF(J59="","",MIN(1,J59+1.96*O59/100))</f>
        <v>0.418413475906149</v>
      </c>
      <c r="R59" s="32" t="str">
        <f aca="false">IF(L59="","",IF(ABS(L59)&lt;=O59,"Yes","No"))</f>
        <v>Yes</v>
      </c>
      <c r="S59" s="32" t="str">
        <f aca="false">IF(L59="","",IF(ABS(L59)&lt;=1.96*O59,"Yes","No"))</f>
        <v>Yes</v>
      </c>
      <c r="T59" s="59" t="n">
        <f aca="false">IF(D59="","",ROUND(SQRT(((D59+G59)*O59/100)^2+(J59*(D59+G59)*0.09173)^2),0))</f>
        <v>6</v>
      </c>
      <c r="U59" s="32"/>
    </row>
    <row r="60" customFormat="false" ht="15" hidden="false" customHeight="false" outlineLevel="0" collapsed="false">
      <c r="A60" s="32" t="s">
        <v>220</v>
      </c>
      <c r="B60" s="32" t="s">
        <v>227</v>
      </c>
      <c r="C60" s="32" t="s">
        <v>161</v>
      </c>
      <c r="D60" s="59" t="n">
        <v>1377</v>
      </c>
      <c r="E60" s="59" t="n">
        <v>1484</v>
      </c>
      <c r="F60" s="68" t="n">
        <f aca="false">IF(E60="","",D60-E60)</f>
        <v>-107</v>
      </c>
      <c r="G60" s="59" t="n">
        <v>1992</v>
      </c>
      <c r="H60" s="59" t="n">
        <v>1959</v>
      </c>
      <c r="I60" s="68" t="n">
        <f aca="false">IF(H60="","",G60-H60)</f>
        <v>33</v>
      </c>
      <c r="J60" s="40" t="n">
        <f aca="false">IF(OR(D60="",D60+G60=0),"",D60/(D60+G60))</f>
        <v>0.408726625111309</v>
      </c>
      <c r="K60" s="40" t="n">
        <f aca="false">IF(E60="","",E60/(E60+H60))</f>
        <v>0.431019459773453</v>
      </c>
      <c r="L60" s="69" t="n">
        <f aca="false">IF(OR(K60="",J60=""),"",(J60-K60)*100)</f>
        <v>-2.22928346621444</v>
      </c>
      <c r="M60" s="36" t="n">
        <v>2.19828346285965</v>
      </c>
      <c r="N60" s="36" t="n">
        <v>1.26766093362543</v>
      </c>
      <c r="O60" s="36" t="n">
        <f aca="false">SQRT(M60^2+N60^2)</f>
        <v>2.53760013117164</v>
      </c>
      <c r="P60" s="40" t="n">
        <f aca="false">IF(J60="","",MAX(0,J60-1.96*O60/100))</f>
        <v>0.358989662540345</v>
      </c>
      <c r="Q60" s="40" t="n">
        <f aca="false">IF(J60="","",MIN(1,J60+1.96*O60/100))</f>
        <v>0.458463587682273</v>
      </c>
      <c r="R60" s="32" t="str">
        <f aca="false">IF(L60="","",IF(ABS(L60)&lt;=O60,"Yes","No"))</f>
        <v>Yes</v>
      </c>
      <c r="S60" s="32" t="str">
        <f aca="false">IF(L60="","",IF(ABS(L60)&lt;=1.96*O60,"Yes","No"))</f>
        <v>Yes</v>
      </c>
      <c r="T60" s="59" t="n">
        <f aca="false">IF(D60="","",ROUND(SQRT(((D60+G60)*O60/100)^2+(J60*(D60+G60)*0.07048)^2),0))</f>
        <v>129</v>
      </c>
      <c r="U60" s="32"/>
    </row>
    <row r="61" customFormat="false" ht="15" hidden="false" customHeight="false" outlineLevel="0" collapsed="false">
      <c r="A61" s="32" t="s">
        <v>220</v>
      </c>
      <c r="B61" s="32" t="s">
        <v>228</v>
      </c>
      <c r="C61" s="32" t="s">
        <v>161</v>
      </c>
      <c r="D61" s="59" t="n">
        <v>179</v>
      </c>
      <c r="E61" s="59" t="n">
        <v>217</v>
      </c>
      <c r="F61" s="68" t="n">
        <f aca="false">IF(E61="","",D61-E61)</f>
        <v>-38</v>
      </c>
      <c r="G61" s="59" t="n">
        <v>332</v>
      </c>
      <c r="H61" s="59" t="n">
        <v>309</v>
      </c>
      <c r="I61" s="68" t="n">
        <f aca="false">IF(H61="","",G61-H61)</f>
        <v>23</v>
      </c>
      <c r="J61" s="40" t="n">
        <f aca="false">IF(OR(D61="",D61+G61=0),"",D61/(D61+G61))</f>
        <v>0.350293542074364</v>
      </c>
      <c r="K61" s="40" t="n">
        <f aca="false">IF(E61="","",E61/(E61+H61))</f>
        <v>0.41254752851711</v>
      </c>
      <c r="L61" s="69" t="n">
        <f aca="false">IF(OR(K61="",J61=""),"",(J61-K61)*100)</f>
        <v>-6.22539864427463</v>
      </c>
      <c r="M61" s="36" t="n">
        <v>3.85672886711819</v>
      </c>
      <c r="N61" s="36" t="n">
        <v>1.26766093362543</v>
      </c>
      <c r="O61" s="36" t="n">
        <f aca="false">SQRT(M61^2+N61^2)</f>
        <v>4.05971942344577</v>
      </c>
      <c r="P61" s="40" t="n">
        <f aca="false">IF(J61="","",MAX(0,J61-1.96*O61/100))</f>
        <v>0.270723041374827</v>
      </c>
      <c r="Q61" s="40" t="n">
        <f aca="false">IF(J61="","",MIN(1,J61+1.96*O61/100))</f>
        <v>0.429864042773901</v>
      </c>
      <c r="R61" s="32" t="str">
        <f aca="false">IF(L61="","",IF(ABS(L61)&lt;=O61,"Yes","No"))</f>
        <v>No</v>
      </c>
      <c r="S61" s="32" t="str">
        <f aca="false">IF(L61="","",IF(ABS(L61)&lt;=1.96*O61,"Yes","No"))</f>
        <v>Yes</v>
      </c>
      <c r="T61" s="59" t="n">
        <f aca="false">IF(D61="","",ROUND(SQRT(((D61+G61)*O61/100)^2+(J61*(D61+G61)*0.09173)^2),0))</f>
        <v>26</v>
      </c>
      <c r="U61" s="32"/>
    </row>
    <row r="62" customFormat="false" ht="15" hidden="false" customHeight="false" outlineLevel="0" collapsed="false">
      <c r="A62" s="32" t="s">
        <v>220</v>
      </c>
      <c r="B62" s="32" t="s">
        <v>229</v>
      </c>
      <c r="C62" s="32" t="s">
        <v>161</v>
      </c>
      <c r="D62" s="59" t="n">
        <v>6968</v>
      </c>
      <c r="E62" s="59" t="n">
        <v>7604</v>
      </c>
      <c r="F62" s="68" t="n">
        <f aca="false">IF(E62="","",D62-E62)</f>
        <v>-636</v>
      </c>
      <c r="G62" s="59" t="n">
        <v>3563</v>
      </c>
      <c r="H62" s="59" t="n">
        <v>3303</v>
      </c>
      <c r="I62" s="68" t="n">
        <f aca="false">IF(H62="","",G62-H62)</f>
        <v>260</v>
      </c>
      <c r="J62" s="40" t="n">
        <f aca="false">IF(OR(D62="",D62+G62=0),"",D62/(D62+G62))</f>
        <v>0.661665558826322</v>
      </c>
      <c r="K62" s="40" t="n">
        <f aca="false">IF(E62="","",E62/(E62+H62))</f>
        <v>0.697166957000092</v>
      </c>
      <c r="L62" s="69" t="n">
        <f aca="false">IF(OR(K62="",J62=""),"",(J62-K62)*100)</f>
        <v>-3.55013981737694</v>
      </c>
      <c r="M62" s="36" t="n">
        <v>2.07591246963779</v>
      </c>
      <c r="N62" s="36" t="n">
        <v>1.26766093362543</v>
      </c>
      <c r="O62" s="36" t="n">
        <f aca="false">SQRT(M62^2+N62^2)</f>
        <v>2.43236034013009</v>
      </c>
      <c r="P62" s="40" t="n">
        <f aca="false">IF(J62="","",MAX(0,J62-1.96*O62/100))</f>
        <v>0.613991296159773</v>
      </c>
      <c r="Q62" s="40" t="n">
        <f aca="false">IF(J62="","",MIN(1,J62+1.96*O62/100))</f>
        <v>0.709339821492872</v>
      </c>
      <c r="R62" s="32" t="str">
        <f aca="false">IF(L62="","",IF(ABS(L62)&lt;=O62,"Yes","No"))</f>
        <v>No</v>
      </c>
      <c r="S62" s="32" t="str">
        <f aca="false">IF(L62="","",IF(ABS(L62)&lt;=1.96*O62,"Yes","No"))</f>
        <v>Yes</v>
      </c>
      <c r="T62" s="59" t="n">
        <f aca="false">IF(D62="","",ROUND(SQRT(((D62+G62)*O62/100)^2+(J62*(D62+G62)*0.06406)^2),0))</f>
        <v>515</v>
      </c>
      <c r="U62" s="32"/>
    </row>
    <row r="63" customFormat="false" ht="15" hidden="false" customHeight="false" outlineLevel="0" collapsed="false">
      <c r="A63" s="32" t="s">
        <v>220</v>
      </c>
      <c r="B63" s="32" t="s">
        <v>230</v>
      </c>
      <c r="C63" s="32" t="s">
        <v>161</v>
      </c>
      <c r="D63" s="59" t="n">
        <v>5156</v>
      </c>
      <c r="E63" s="59" t="n">
        <v>5358</v>
      </c>
      <c r="F63" s="68" t="n">
        <f aca="false">IF(E63="","",D63-E63)</f>
        <v>-202</v>
      </c>
      <c r="G63" s="59" t="n">
        <v>5123</v>
      </c>
      <c r="H63" s="59" t="n">
        <v>5027</v>
      </c>
      <c r="I63" s="68" t="n">
        <f aca="false">IF(H63="","",G63-H63)</f>
        <v>96</v>
      </c>
      <c r="J63" s="40" t="n">
        <f aca="false">IF(OR(D63="",D63+G63=0),"",D63/(D63+G63))</f>
        <v>0.501605214515031</v>
      </c>
      <c r="K63" s="40" t="n">
        <f aca="false">IF(E63="","",E63/(E63+H63))</f>
        <v>0.515936446798267</v>
      </c>
      <c r="L63" s="69" t="n">
        <f aca="false">IF(OR(K63="",J63=""),"",(J63-K63)*100)</f>
        <v>-1.43312322832362</v>
      </c>
      <c r="M63" s="36" t="n">
        <v>2.07591246963779</v>
      </c>
      <c r="N63" s="36" t="n">
        <v>1.26766093362543</v>
      </c>
      <c r="O63" s="36" t="n">
        <f aca="false">SQRT(M63^2+N63^2)</f>
        <v>2.43236034013009</v>
      </c>
      <c r="P63" s="40" t="n">
        <f aca="false">IF(J63="","",MAX(0,J63-1.96*O63/100))</f>
        <v>0.453930951848481</v>
      </c>
      <c r="Q63" s="40" t="n">
        <f aca="false">IF(J63="","",MIN(1,J63+1.96*O63/100))</f>
        <v>0.54927947718158</v>
      </c>
      <c r="R63" s="32" t="str">
        <f aca="false">IF(L63="","",IF(ABS(L63)&lt;=O63,"Yes","No"))</f>
        <v>Yes</v>
      </c>
      <c r="S63" s="32" t="str">
        <f aca="false">IF(L63="","",IF(ABS(L63)&lt;=1.96*O63,"Yes","No"))</f>
        <v>Yes</v>
      </c>
      <c r="T63" s="59" t="n">
        <f aca="false">IF(D63="","",ROUND(SQRT(((D63+G63)*O63/100)^2+(J63*(D63+G63)*0.06406)^2),0))</f>
        <v>414</v>
      </c>
      <c r="U63" s="32"/>
    </row>
    <row r="64" customFormat="false" ht="15" hidden="false" customHeight="false" outlineLevel="0" collapsed="false">
      <c r="A64" s="32" t="s">
        <v>220</v>
      </c>
      <c r="B64" s="32" t="s">
        <v>231</v>
      </c>
      <c r="C64" s="32" t="s">
        <v>161</v>
      </c>
      <c r="D64" s="59" t="n">
        <v>719</v>
      </c>
      <c r="E64" s="59" t="n">
        <v>714</v>
      </c>
      <c r="F64" s="68" t="n">
        <f aca="false">IF(E64="","",D64-E64)</f>
        <v>5</v>
      </c>
      <c r="G64" s="59" t="n">
        <v>546</v>
      </c>
      <c r="H64" s="59" t="n">
        <v>484</v>
      </c>
      <c r="I64" s="68" t="n">
        <f aca="false">IF(H64="","",G64-H64)</f>
        <v>62</v>
      </c>
      <c r="J64" s="40" t="n">
        <f aca="false">IF(OR(D64="",D64+G64=0),"",D64/(D64+G64))</f>
        <v>0.568379446640316</v>
      </c>
      <c r="K64" s="40" t="n">
        <f aca="false">IF(E64="","",E64/(E64+H64))</f>
        <v>0.595993322203673</v>
      </c>
      <c r="L64" s="69" t="n">
        <f aca="false">IF(OR(K64="",J64=""),"",(J64-K64)*100)</f>
        <v>-2.76138755633565</v>
      </c>
      <c r="M64" s="36" t="n">
        <v>3.85672886711819</v>
      </c>
      <c r="N64" s="36" t="n">
        <v>1.26766093362543</v>
      </c>
      <c r="O64" s="36" t="n">
        <f aca="false">SQRT(M64^2+N64^2)</f>
        <v>4.05971942344577</v>
      </c>
      <c r="P64" s="40" t="n">
        <f aca="false">IF(J64="","",MAX(0,J64-1.96*O64/100))</f>
        <v>0.488808945940779</v>
      </c>
      <c r="Q64" s="40" t="n">
        <f aca="false">IF(J64="","",MIN(1,J64+1.96*O64/100))</f>
        <v>0.647949947339853</v>
      </c>
      <c r="R64" s="32" t="str">
        <f aca="false">IF(L64="","",IF(ABS(L64)&lt;=O64,"Yes","No"))</f>
        <v>Yes</v>
      </c>
      <c r="S64" s="32" t="str">
        <f aca="false">IF(L64="","",IF(ABS(L64)&lt;=1.96*O64,"Yes","No"))</f>
        <v>Yes</v>
      </c>
      <c r="T64" s="59" t="n">
        <f aca="false">IF(D64="","",ROUND(SQRT(((D64+G64)*O64/100)^2+(J64*(D64+G64)*0.09173)^2),0))</f>
        <v>84</v>
      </c>
      <c r="U64" s="32"/>
    </row>
    <row r="65" customFormat="false" ht="15" hidden="false" customHeight="false" outlineLevel="0" collapsed="false">
      <c r="A65" s="32" t="s">
        <v>220</v>
      </c>
      <c r="B65" s="32" t="s">
        <v>232</v>
      </c>
      <c r="C65" s="32" t="s">
        <v>161</v>
      </c>
      <c r="D65" s="59" t="n">
        <v>99</v>
      </c>
      <c r="E65" s="59" t="n">
        <v>109</v>
      </c>
      <c r="F65" s="68" t="n">
        <f aca="false">IF(E65="","",D65-E65)</f>
        <v>-10</v>
      </c>
      <c r="G65" s="59" t="n">
        <v>106</v>
      </c>
      <c r="H65" s="59" t="n">
        <v>97</v>
      </c>
      <c r="I65" s="68" t="n">
        <f aca="false">IF(H65="","",G65-H65)</f>
        <v>9</v>
      </c>
      <c r="J65" s="40" t="n">
        <f aca="false">IF(OR(D65="",D65+G65=0),"",D65/(D65+G65))</f>
        <v>0.482926829268293</v>
      </c>
      <c r="K65" s="40" t="n">
        <f aca="false">IF(E65="","",E65/(E65+H65))</f>
        <v>0.529126213592233</v>
      </c>
      <c r="L65" s="69" t="n">
        <f aca="false">IF(OR(K65="",J65=""),"",(J65-K65)*100)</f>
        <v>-4.61993843239403</v>
      </c>
      <c r="M65" s="36" t="n">
        <v>3.85672886711819</v>
      </c>
      <c r="N65" s="36" t="n">
        <v>1.26766093362543</v>
      </c>
      <c r="O65" s="36" t="n">
        <f aca="false">SQRT(M65^2+N65^2)</f>
        <v>4.05971942344577</v>
      </c>
      <c r="P65" s="40" t="n">
        <f aca="false">IF(J65="","",MAX(0,J65-1.96*O65/100))</f>
        <v>0.403356328568756</v>
      </c>
      <c r="Q65" s="40" t="n">
        <f aca="false">IF(J65="","",MIN(1,J65+1.96*O65/100))</f>
        <v>0.56249732996783</v>
      </c>
      <c r="R65" s="32" t="str">
        <f aca="false">IF(L65="","",IF(ABS(L65)&lt;=O65,"Yes","No"))</f>
        <v>No</v>
      </c>
      <c r="S65" s="32" t="str">
        <f aca="false">IF(L65="","",IF(ABS(L65)&lt;=1.96*O65,"Yes","No"))</f>
        <v>Yes</v>
      </c>
      <c r="T65" s="59" t="n">
        <f aca="false">IF(D65="","",ROUND(SQRT(((D65+G65)*O65/100)^2+(J65*(D65+G65)*0.09173)^2),0))</f>
        <v>12</v>
      </c>
      <c r="U65" s="32"/>
    </row>
    <row r="66" customFormat="false" ht="15" hidden="false" customHeight="false" outlineLevel="0" collapsed="false">
      <c r="A66" s="32" t="s">
        <v>220</v>
      </c>
      <c r="B66" s="32" t="s">
        <v>198</v>
      </c>
      <c r="C66" s="32" t="s">
        <v>161</v>
      </c>
      <c r="D66" s="59" t="n">
        <v>4055</v>
      </c>
      <c r="E66" s="59" t="n">
        <v>4341</v>
      </c>
      <c r="F66" s="68" t="n">
        <f aca="false">IF(E66="","",D66-E66)</f>
        <v>-286</v>
      </c>
      <c r="G66" s="59" t="n">
        <v>3894</v>
      </c>
      <c r="H66" s="59" t="n">
        <v>3620</v>
      </c>
      <c r="I66" s="68" t="n">
        <f aca="false">IF(H66="","",G66-H66)</f>
        <v>274</v>
      </c>
      <c r="J66" s="40" t="n">
        <f aca="false">IF(OR(D66="",D66+G66=0),"",D66/(D66+G66))</f>
        <v>0.510127060007548</v>
      </c>
      <c r="K66" s="40" t="n">
        <f aca="false">IF(E66="","",E66/(E66+H66))</f>
        <v>0.545283255872378</v>
      </c>
      <c r="L66" s="69" t="n">
        <f aca="false">IF(OR(K66="",J66=""),"",(J66-K66)*100)</f>
        <v>-3.51561958648297</v>
      </c>
      <c r="M66" s="36" t="n">
        <v>2.07591246963779</v>
      </c>
      <c r="N66" s="36" t="n">
        <v>1.26766093362543</v>
      </c>
      <c r="O66" s="36" t="n">
        <f aca="false">SQRT(M66^2+N66^2)</f>
        <v>2.43236034013009</v>
      </c>
      <c r="P66" s="40" t="n">
        <f aca="false">IF(J66="","",MAX(0,J66-1.96*O66/100))</f>
        <v>0.462452797340998</v>
      </c>
      <c r="Q66" s="40" t="n">
        <f aca="false">IF(J66="","",MIN(1,J66+1.96*O66/100))</f>
        <v>0.557801322674098</v>
      </c>
      <c r="R66" s="32" t="str">
        <f aca="false">IF(L66="","",IF(ABS(L66)&lt;=O66,"Yes","No"))</f>
        <v>No</v>
      </c>
      <c r="S66" s="32" t="str">
        <f aca="false">IF(L66="","",IF(ABS(L66)&lt;=1.96*O66,"Yes","No"))</f>
        <v>Yes</v>
      </c>
      <c r="T66" s="59" t="n">
        <f aca="false">IF(D66="","",ROUND(SQRT(((D66+G66)*O66/100)^2+(J66*(D66+G66)*0.06406)^2),0))</f>
        <v>324</v>
      </c>
      <c r="U66" s="32"/>
    </row>
    <row r="67" customFormat="false" ht="15" hidden="false" customHeight="false" outlineLevel="0" collapsed="false">
      <c r="A67" s="32" t="s">
        <v>220</v>
      </c>
      <c r="B67" s="32" t="s">
        <v>233</v>
      </c>
      <c r="C67" s="32" t="s">
        <v>161</v>
      </c>
      <c r="D67" s="59" t="n">
        <v>1685</v>
      </c>
      <c r="E67" s="59" t="n">
        <v>1726</v>
      </c>
      <c r="F67" s="68" t="n">
        <f aca="false">IF(E67="","",D67-E67)</f>
        <v>-41</v>
      </c>
      <c r="G67" s="59" t="n">
        <v>1674</v>
      </c>
      <c r="H67" s="59" t="n">
        <v>1685</v>
      </c>
      <c r="I67" s="68" t="n">
        <f aca="false">IF(H67="","",G67-H67)</f>
        <v>-11</v>
      </c>
      <c r="J67" s="40" t="n">
        <f aca="false">IF(OR(D67="",D67+G67=0),"",D67/(D67+G67))</f>
        <v>0.501637392080977</v>
      </c>
      <c r="K67" s="40" t="n">
        <f aca="false">IF(E67="","",E67/(E67+H67))</f>
        <v>0.506009967751393</v>
      </c>
      <c r="L67" s="69" t="n">
        <f aca="false">IF(OR(K67="",J67=""),"",(J67-K67)*100)</f>
        <v>-0.437257567041605</v>
      </c>
      <c r="M67" s="36" t="n">
        <v>2.19828346285965</v>
      </c>
      <c r="N67" s="36" t="n">
        <v>1.26766093362543</v>
      </c>
      <c r="O67" s="36" t="n">
        <f aca="false">SQRT(M67^2+N67^2)</f>
        <v>2.53760013117164</v>
      </c>
      <c r="P67" s="40" t="n">
        <f aca="false">IF(J67="","",MAX(0,J67-1.96*O67/100))</f>
        <v>0.451900429510012</v>
      </c>
      <c r="Q67" s="40" t="n">
        <f aca="false">IF(J67="","",MIN(1,J67+1.96*O67/100))</f>
        <v>0.551374354651941</v>
      </c>
      <c r="R67" s="32" t="str">
        <f aca="false">IF(L67="","",IF(ABS(L67)&lt;=O67,"Yes","No"))</f>
        <v>Yes</v>
      </c>
      <c r="S67" s="32" t="str">
        <f aca="false">IF(L67="","",IF(ABS(L67)&lt;=1.96*O67,"Yes","No"))</f>
        <v>Yes</v>
      </c>
      <c r="T67" s="59" t="n">
        <f aca="false">IF(D67="","",ROUND(SQRT(((D67+G67)*O67/100)^2+(J67*(D67+G67)*0.07048)^2),0))</f>
        <v>146</v>
      </c>
      <c r="U67" s="32"/>
    </row>
    <row r="68" customFormat="false" ht="15" hidden="false" customHeight="false" outlineLevel="0" collapsed="false">
      <c r="A68" s="32" t="s">
        <v>220</v>
      </c>
      <c r="B68" s="32" t="s">
        <v>234</v>
      </c>
      <c r="C68" s="32" t="s">
        <v>161</v>
      </c>
      <c r="D68" s="59" t="n">
        <v>2139</v>
      </c>
      <c r="E68" s="59" t="n">
        <v>2244</v>
      </c>
      <c r="F68" s="68" t="n">
        <f aca="false">IF(E68="","",D68-E68)</f>
        <v>-105</v>
      </c>
      <c r="G68" s="59" t="n">
        <v>4510</v>
      </c>
      <c r="H68" s="59" t="n">
        <v>4439</v>
      </c>
      <c r="I68" s="68" t="n">
        <f aca="false">IF(H68="","",G68-H68)</f>
        <v>71</v>
      </c>
      <c r="J68" s="40" t="n">
        <f aca="false">IF(OR(D68="",D68+G68=0),"",D68/(D68+G68))</f>
        <v>0.321702511655888</v>
      </c>
      <c r="K68" s="40" t="n">
        <f aca="false">IF(E68="","",E68/(E68+H68))</f>
        <v>0.335777345503516</v>
      </c>
      <c r="L68" s="69" t="n">
        <f aca="false">IF(OR(K68="",J68=""),"",(J68-K68)*100)</f>
        <v>-1.40748338476283</v>
      </c>
      <c r="M68" s="36" t="n">
        <v>2.07591246963779</v>
      </c>
      <c r="N68" s="36" t="n">
        <v>1.26766093362543</v>
      </c>
      <c r="O68" s="36" t="n">
        <f aca="false">SQRT(M68^2+N68^2)</f>
        <v>2.43236034013009</v>
      </c>
      <c r="P68" s="40" t="n">
        <f aca="false">IF(J68="","",MAX(0,J68-1.96*O68/100))</f>
        <v>0.274028248989338</v>
      </c>
      <c r="Q68" s="40" t="n">
        <f aca="false">IF(J68="","",MIN(1,J68+1.96*O68/100))</f>
        <v>0.369376774322438</v>
      </c>
      <c r="R68" s="32" t="str">
        <f aca="false">IF(L68="","",IF(ABS(L68)&lt;=O68,"Yes","No"))</f>
        <v>Yes</v>
      </c>
      <c r="S68" s="32" t="str">
        <f aca="false">IF(L68="","",IF(ABS(L68)&lt;=1.96*O68,"Yes","No"))</f>
        <v>Yes</v>
      </c>
      <c r="T68" s="59" t="n">
        <f aca="false">IF(D68="","",ROUND(SQRT(((D68+G68)*O68/100)^2+(J68*(D68+G68)*0.06406)^2),0))</f>
        <v>212</v>
      </c>
      <c r="U68" s="32"/>
    </row>
    <row r="69" customFormat="false" ht="15" hidden="false" customHeight="false" outlineLevel="0" collapsed="false">
      <c r="A69" s="32" t="s">
        <v>220</v>
      </c>
      <c r="B69" s="32" t="s">
        <v>235</v>
      </c>
      <c r="C69" s="32" t="s">
        <v>161</v>
      </c>
      <c r="D69" s="59" t="n">
        <v>576</v>
      </c>
      <c r="E69" s="59" t="n">
        <v>625</v>
      </c>
      <c r="F69" s="68" t="n">
        <f aca="false">IF(E69="","",D69-E69)</f>
        <v>-49</v>
      </c>
      <c r="G69" s="59" t="n">
        <v>1215</v>
      </c>
      <c r="H69" s="59" t="n">
        <v>1214</v>
      </c>
      <c r="I69" s="68" t="n">
        <f aca="false">IF(H69="","",G69-H69)</f>
        <v>1</v>
      </c>
      <c r="J69" s="40" t="n">
        <f aca="false">IF(OR(D69="",D69+G69=0),"",D69/(D69+G69))</f>
        <v>0.321608040201005</v>
      </c>
      <c r="K69" s="40" t="n">
        <f aca="false">IF(E69="","",E69/(E69+H69))</f>
        <v>0.339858618814573</v>
      </c>
      <c r="L69" s="69" t="n">
        <f aca="false">IF(OR(K69="",J69=""),"",(J69-K69)*100)</f>
        <v>-1.82505786135681</v>
      </c>
      <c r="M69" s="36" t="n">
        <v>2.19828346285965</v>
      </c>
      <c r="N69" s="36" t="n">
        <v>1.26766093362543</v>
      </c>
      <c r="O69" s="36" t="n">
        <f aca="false">SQRT(M69^2+N69^2)</f>
        <v>2.53760013117164</v>
      </c>
      <c r="P69" s="40" t="n">
        <f aca="false">IF(J69="","",MAX(0,J69-1.96*O69/100))</f>
        <v>0.271871077630041</v>
      </c>
      <c r="Q69" s="40" t="n">
        <f aca="false">IF(J69="","",MIN(1,J69+1.96*O69/100))</f>
        <v>0.371345002771969</v>
      </c>
      <c r="R69" s="32" t="str">
        <f aca="false">IF(L69="","",IF(ABS(L69)&lt;=O69,"Yes","No"))</f>
        <v>Yes</v>
      </c>
      <c r="S69" s="32" t="str">
        <f aca="false">IF(L69="","",IF(ABS(L69)&lt;=1.96*O69,"Yes","No"))</f>
        <v>Yes</v>
      </c>
      <c r="T69" s="59" t="n">
        <f aca="false">IF(D69="","",ROUND(SQRT(((D69+G69)*O69/100)^2+(J69*(D69+G69)*0.07048)^2),0))</f>
        <v>61</v>
      </c>
      <c r="U69" s="32"/>
    </row>
    <row r="70" customFormat="false" ht="15" hidden="false" customHeight="false" outlineLevel="0" collapsed="false">
      <c r="A70" s="32" t="s">
        <v>220</v>
      </c>
      <c r="B70" s="32" t="s">
        <v>236</v>
      </c>
      <c r="C70" s="32" t="s">
        <v>161</v>
      </c>
      <c r="D70" s="59" t="n">
        <v>1854</v>
      </c>
      <c r="E70" s="59" t="n">
        <v>2047</v>
      </c>
      <c r="F70" s="68" t="n">
        <f aca="false">IF(E70="","",D70-E70)</f>
        <v>-193</v>
      </c>
      <c r="G70" s="59" t="n">
        <v>2701</v>
      </c>
      <c r="H70" s="59" t="n">
        <v>2499</v>
      </c>
      <c r="I70" s="68" t="n">
        <f aca="false">IF(H70="","",G70-H70)</f>
        <v>202</v>
      </c>
      <c r="J70" s="40" t="n">
        <f aca="false">IF(OR(D70="",D70+G70=0),"",D70/(D70+G70))</f>
        <v>0.407025246981339</v>
      </c>
      <c r="K70" s="40" t="n">
        <f aca="false">IF(E70="","",E70/(E70+H70))</f>
        <v>0.450285965684118</v>
      </c>
      <c r="L70" s="69" t="n">
        <f aca="false">IF(OR(K70="",J70=""),"",(J70-K70)*100)</f>
        <v>-4.32607187027787</v>
      </c>
      <c r="M70" s="36" t="n">
        <v>2.07591246963779</v>
      </c>
      <c r="N70" s="36" t="n">
        <v>1.26766093362543</v>
      </c>
      <c r="O70" s="36" t="n">
        <f aca="false">SQRT(M70^2+N70^2)</f>
        <v>2.43236034013009</v>
      </c>
      <c r="P70" s="40" t="n">
        <f aca="false">IF(J70="","",MAX(0,J70-1.96*O70/100))</f>
        <v>0.35935098431479</v>
      </c>
      <c r="Q70" s="40" t="n">
        <f aca="false">IF(J70="","",MIN(1,J70+1.96*O70/100))</f>
        <v>0.454699509647889</v>
      </c>
      <c r="R70" s="32" t="str">
        <f aca="false">IF(L70="","",IF(ABS(L70)&lt;=O70,"Yes","No"))</f>
        <v>No</v>
      </c>
      <c r="S70" s="32" t="str">
        <f aca="false">IF(L70="","",IF(ABS(L70)&lt;=1.96*O70,"Yes","No"))</f>
        <v>Yes</v>
      </c>
      <c r="T70" s="59" t="n">
        <f aca="false">IF(D70="","",ROUND(SQRT(((D70+G70)*O70/100)^2+(J70*(D70+G70)*0.06406)^2),0))</f>
        <v>162</v>
      </c>
      <c r="U70" s="32"/>
    </row>
    <row r="71" customFormat="false" ht="15" hidden="false" customHeight="false" outlineLevel="0" collapsed="false">
      <c r="A71" s="32" t="s">
        <v>220</v>
      </c>
      <c r="B71" s="32" t="s">
        <v>237</v>
      </c>
      <c r="C71" s="32" t="s">
        <v>161</v>
      </c>
      <c r="D71" s="59" t="n">
        <v>3335</v>
      </c>
      <c r="E71" s="59" t="n">
        <v>3457</v>
      </c>
      <c r="F71" s="68" t="n">
        <f aca="false">IF(E71="","",D71-E71)</f>
        <v>-122</v>
      </c>
      <c r="G71" s="59" t="n">
        <v>3888</v>
      </c>
      <c r="H71" s="59" t="n">
        <v>3805</v>
      </c>
      <c r="I71" s="68" t="n">
        <f aca="false">IF(H71="","",G71-H71)</f>
        <v>83</v>
      </c>
      <c r="J71" s="40" t="n">
        <f aca="false">IF(OR(D71="",D71+G71=0),"",D71/(D71+G71))</f>
        <v>0.461719507130001</v>
      </c>
      <c r="K71" s="40" t="n">
        <f aca="false">IF(E71="","",E71/(E71+H71))</f>
        <v>0.476039658496282</v>
      </c>
      <c r="L71" s="69" t="n">
        <f aca="false">IF(OR(K71="",J71=""),"",(J71-K71)*100)</f>
        <v>-1.43201513662806</v>
      </c>
      <c r="M71" s="36" t="n">
        <v>2.07591246963779</v>
      </c>
      <c r="N71" s="36" t="n">
        <v>1.26766093362543</v>
      </c>
      <c r="O71" s="36" t="n">
        <f aca="false">SQRT(M71^2+N71^2)</f>
        <v>2.43236034013009</v>
      </c>
      <c r="P71" s="40" t="n">
        <f aca="false">IF(J71="","",MAX(0,J71-1.96*O71/100))</f>
        <v>0.414045244463452</v>
      </c>
      <c r="Q71" s="40" t="n">
        <f aca="false">IF(J71="","",MIN(1,J71+1.96*O71/100))</f>
        <v>0.509393769796551</v>
      </c>
      <c r="R71" s="32" t="str">
        <f aca="false">IF(L71="","",IF(ABS(L71)&lt;=O71,"Yes","No"))</f>
        <v>Yes</v>
      </c>
      <c r="S71" s="32" t="str">
        <f aca="false">IF(L71="","",IF(ABS(L71)&lt;=1.96*O71,"Yes","No"))</f>
        <v>Yes</v>
      </c>
      <c r="T71" s="59" t="n">
        <f aca="false">IF(D71="","",ROUND(SQRT(((D71+G71)*O71/100)^2+(J71*(D71+G71)*0.06406)^2),0))</f>
        <v>277</v>
      </c>
      <c r="U71" s="32"/>
    </row>
    <row r="72" customFormat="false" ht="15" hidden="false" customHeight="false" outlineLevel="0" collapsed="false">
      <c r="A72" s="32" t="s">
        <v>220</v>
      </c>
      <c r="B72" s="32" t="s">
        <v>238</v>
      </c>
      <c r="C72" s="32" t="s">
        <v>161</v>
      </c>
      <c r="D72" s="59" t="n">
        <v>1888</v>
      </c>
      <c r="E72" s="59" t="n">
        <v>2006</v>
      </c>
      <c r="F72" s="68" t="n">
        <f aca="false">IF(E72="","",D72-E72)</f>
        <v>-118</v>
      </c>
      <c r="G72" s="59" t="n">
        <v>4059</v>
      </c>
      <c r="H72" s="59" t="n">
        <v>4057</v>
      </c>
      <c r="I72" s="68" t="n">
        <f aca="false">IF(H72="","",G72-H72)</f>
        <v>2</v>
      </c>
      <c r="J72" s="40" t="n">
        <f aca="false">IF(OR(D72="",D72+G72=0),"",D72/(D72+G72))</f>
        <v>0.317470993778376</v>
      </c>
      <c r="K72" s="40" t="n">
        <f aca="false">IF(E72="","",E72/(E72+H72))</f>
        <v>0.330859310572324</v>
      </c>
      <c r="L72" s="69" t="n">
        <f aca="false">IF(OR(K72="",J72=""),"",(J72-K72)*100)</f>
        <v>-1.33883167939483</v>
      </c>
      <c r="M72" s="36" t="n">
        <v>2.07591246963779</v>
      </c>
      <c r="N72" s="36" t="n">
        <v>1.26766093362543</v>
      </c>
      <c r="O72" s="36" t="n">
        <f aca="false">SQRT(M72^2+N72^2)</f>
        <v>2.43236034013009</v>
      </c>
      <c r="P72" s="40" t="n">
        <f aca="false">IF(J72="","",MAX(0,J72-1.96*O72/100))</f>
        <v>0.269796731111826</v>
      </c>
      <c r="Q72" s="40" t="n">
        <f aca="false">IF(J72="","",MIN(1,J72+1.96*O72/100))</f>
        <v>0.365145256444925</v>
      </c>
      <c r="R72" s="32" t="str">
        <f aca="false">IF(L72="","",IF(ABS(L72)&lt;=O72,"Yes","No"))</f>
        <v>Yes</v>
      </c>
      <c r="S72" s="32" t="str">
        <f aca="false">IF(L72="","",IF(ABS(L72)&lt;=1.96*O72,"Yes","No"))</f>
        <v>Yes</v>
      </c>
      <c r="T72" s="59" t="n">
        <f aca="false">IF(D72="","",ROUND(SQRT(((D72+G72)*O72/100)^2+(J72*(D72+G72)*0.06406)^2),0))</f>
        <v>189</v>
      </c>
      <c r="U72" s="32"/>
    </row>
    <row r="73" customFormat="false" ht="15" hidden="false" customHeight="false" outlineLevel="0" collapsed="false">
      <c r="A73" s="32" t="s">
        <v>220</v>
      </c>
      <c r="B73" s="32" t="s">
        <v>239</v>
      </c>
      <c r="C73" s="32" t="s">
        <v>161</v>
      </c>
      <c r="D73" s="59" t="n">
        <v>1538</v>
      </c>
      <c r="E73" s="59" t="n">
        <v>1596</v>
      </c>
      <c r="F73" s="68" t="n">
        <f aca="false">IF(E73="","",D73-E73)</f>
        <v>-58</v>
      </c>
      <c r="G73" s="59" t="n">
        <v>1629</v>
      </c>
      <c r="H73" s="59" t="n">
        <v>1664</v>
      </c>
      <c r="I73" s="68" t="n">
        <f aca="false">IF(H73="","",G73-H73)</f>
        <v>-35</v>
      </c>
      <c r="J73" s="40" t="n">
        <f aca="false">IF(OR(D73="",D73+G73=0),"",D73/(D73+G73))</f>
        <v>0.485633091253552</v>
      </c>
      <c r="K73" s="40" t="n">
        <f aca="false">IF(E73="","",E73/(E73+H73))</f>
        <v>0.489570552147239</v>
      </c>
      <c r="L73" s="69" t="n">
        <f aca="false">IF(OR(K73="",J73=""),"",(J73-K73)*100)</f>
        <v>-0.393746089368702</v>
      </c>
      <c r="M73" s="36" t="n">
        <v>2.19828346285965</v>
      </c>
      <c r="N73" s="36" t="n">
        <v>1.26766093362543</v>
      </c>
      <c r="O73" s="36" t="n">
        <f aca="false">SQRT(M73^2+N73^2)</f>
        <v>2.53760013117164</v>
      </c>
      <c r="P73" s="40" t="n">
        <f aca="false">IF(J73="","",MAX(0,J73-1.96*O73/100))</f>
        <v>0.435896128682588</v>
      </c>
      <c r="Q73" s="40" t="n">
        <f aca="false">IF(J73="","",MIN(1,J73+1.96*O73/100))</f>
        <v>0.535370053824516</v>
      </c>
      <c r="R73" s="32" t="str">
        <f aca="false">IF(L73="","",IF(ABS(L73)&lt;=O73,"Yes","No"))</f>
        <v>Yes</v>
      </c>
      <c r="S73" s="32" t="str">
        <f aca="false">IF(L73="","",IF(ABS(L73)&lt;=1.96*O73,"Yes","No"))</f>
        <v>Yes</v>
      </c>
      <c r="T73" s="59" t="n">
        <f aca="false">IF(D73="","",ROUND(SQRT(((D73+G73)*O73/100)^2+(J73*(D73+G73)*0.07048)^2),0))</f>
        <v>135</v>
      </c>
      <c r="U73" s="32"/>
    </row>
    <row r="74" customFormat="false" ht="15" hidden="false" customHeight="false" outlineLevel="0" collapsed="false">
      <c r="A74" s="32" t="s">
        <v>220</v>
      </c>
      <c r="B74" s="32" t="s">
        <v>240</v>
      </c>
      <c r="C74" s="32" t="s">
        <v>161</v>
      </c>
      <c r="D74" s="59" t="n">
        <v>843</v>
      </c>
      <c r="E74" s="59" t="n">
        <v>847</v>
      </c>
      <c r="F74" s="68" t="n">
        <f aca="false">IF(E74="","",D74-E74)</f>
        <v>-4</v>
      </c>
      <c r="G74" s="59" t="n">
        <v>932</v>
      </c>
      <c r="H74" s="59" t="n">
        <v>889</v>
      </c>
      <c r="I74" s="68" t="n">
        <f aca="false">IF(H74="","",G74-H74)</f>
        <v>43</v>
      </c>
      <c r="J74" s="40" t="n">
        <f aca="false">IF(OR(D74="",D74+G74=0),"",D74/(D74+G74))</f>
        <v>0.474929577464789</v>
      </c>
      <c r="K74" s="40" t="n">
        <f aca="false">IF(E74="","",E74/(E74+H74))</f>
        <v>0.487903225806452</v>
      </c>
      <c r="L74" s="69" t="n">
        <f aca="false">IF(OR(K74="",J74=""),"",(J74-K74)*100)</f>
        <v>-1.29736483416629</v>
      </c>
      <c r="M74" s="36" t="n">
        <v>2.19828346285965</v>
      </c>
      <c r="N74" s="36" t="n">
        <v>1.26766093362543</v>
      </c>
      <c r="O74" s="36" t="n">
        <f aca="false">SQRT(M74^2+N74^2)</f>
        <v>2.53760013117164</v>
      </c>
      <c r="P74" s="40" t="n">
        <f aca="false">IF(J74="","",MAX(0,J74-1.96*O74/100))</f>
        <v>0.425192614893825</v>
      </c>
      <c r="Q74" s="40" t="n">
        <f aca="false">IF(J74="","",MIN(1,J74+1.96*O74/100))</f>
        <v>0.524666540035753</v>
      </c>
      <c r="R74" s="32" t="str">
        <f aca="false">IF(L74="","",IF(ABS(L74)&lt;=O74,"Yes","No"))</f>
        <v>Yes</v>
      </c>
      <c r="S74" s="32" t="str">
        <f aca="false">IF(L74="","",IF(ABS(L74)&lt;=1.96*O74,"Yes","No"))</f>
        <v>Yes</v>
      </c>
      <c r="T74" s="59" t="n">
        <f aca="false">IF(D74="","",ROUND(SQRT(((D74+G74)*O74/100)^2+(J74*(D74+G74)*0.07048)^2),0))</f>
        <v>75</v>
      </c>
      <c r="U74" s="32"/>
    </row>
    <row r="75" customFormat="false" ht="15" hidden="false" customHeight="false" outlineLevel="0" collapsed="false">
      <c r="A75" s="32" t="s">
        <v>220</v>
      </c>
      <c r="B75" s="32" t="s">
        <v>241</v>
      </c>
      <c r="C75" s="32" t="s">
        <v>161</v>
      </c>
      <c r="D75" s="59" t="n">
        <v>2659</v>
      </c>
      <c r="E75" s="59" t="n">
        <v>2573</v>
      </c>
      <c r="F75" s="68" t="n">
        <f aca="false">IF(E75="","",D75-E75)</f>
        <v>86</v>
      </c>
      <c r="G75" s="59" t="n">
        <v>3045</v>
      </c>
      <c r="H75" s="59" t="n">
        <v>3023</v>
      </c>
      <c r="I75" s="68" t="n">
        <f aca="false">IF(H75="","",G75-H75)</f>
        <v>22</v>
      </c>
      <c r="J75" s="40" t="n">
        <f aca="false">IF(OR(D75="",D75+G75=0),"",D75/(D75+G75))</f>
        <v>0.466164095371669</v>
      </c>
      <c r="K75" s="40" t="n">
        <f aca="false">IF(E75="","",E75/(E75+H75))</f>
        <v>0.459792709077913</v>
      </c>
      <c r="L75" s="69" t="n">
        <f aca="false">IF(OR(K75="",J75=""),"",(J75-K75)*100)</f>
        <v>0.637138629375622</v>
      </c>
      <c r="M75" s="36" t="n">
        <v>2.07591246963779</v>
      </c>
      <c r="N75" s="36" t="n">
        <v>1.26766093362543</v>
      </c>
      <c r="O75" s="36" t="n">
        <f aca="false">SQRT(M75^2+N75^2)</f>
        <v>2.43236034013009</v>
      </c>
      <c r="P75" s="40" t="n">
        <f aca="false">IF(J75="","",MAX(0,J75-1.96*O75/100))</f>
        <v>0.418489832705119</v>
      </c>
      <c r="Q75" s="40" t="n">
        <f aca="false">IF(J75="","",MIN(1,J75+1.96*O75/100))</f>
        <v>0.513838358038219</v>
      </c>
      <c r="R75" s="32" t="str">
        <f aca="false">IF(L75="","",IF(ABS(L75)&lt;=O75,"Yes","No"))</f>
        <v>Yes</v>
      </c>
      <c r="S75" s="32" t="str">
        <f aca="false">IF(L75="","",IF(ABS(L75)&lt;=1.96*O75,"Yes","No"))</f>
        <v>Yes</v>
      </c>
      <c r="T75" s="59" t="n">
        <f aca="false">IF(D75="","",ROUND(SQRT(((D75+G75)*O75/100)^2+(J75*(D75+G75)*0.06406)^2),0))</f>
        <v>220</v>
      </c>
      <c r="U75" s="32"/>
    </row>
    <row r="76" customFormat="false" ht="15" hidden="false" customHeight="false" outlineLevel="0" collapsed="false">
      <c r="A76" s="32" t="s">
        <v>220</v>
      </c>
      <c r="B76" s="32" t="s">
        <v>242</v>
      </c>
      <c r="C76" s="32" t="s">
        <v>161</v>
      </c>
      <c r="D76" s="59" t="n">
        <v>6856</v>
      </c>
      <c r="E76" s="59" t="n">
        <v>6974</v>
      </c>
      <c r="F76" s="68" t="n">
        <f aca="false">IF(E76="","",D76-E76)</f>
        <v>-118</v>
      </c>
      <c r="G76" s="59" t="n">
        <v>6938</v>
      </c>
      <c r="H76" s="59" t="n">
        <v>6736</v>
      </c>
      <c r="I76" s="68" t="n">
        <f aca="false">IF(H76="","",G76-H76)</f>
        <v>202</v>
      </c>
      <c r="J76" s="40" t="n">
        <f aca="false">IF(OR(D76="",D76+G76=0),"",D76/(D76+G76))</f>
        <v>0.497027693199942</v>
      </c>
      <c r="K76" s="40" t="n">
        <f aca="false">IF(E76="","",E76/(E76+H76))</f>
        <v>0.508679795769511</v>
      </c>
      <c r="L76" s="69" t="n">
        <f aca="false">IF(OR(K76="",J76=""),"",(J76-K76)*100)</f>
        <v>-1.16521025695693</v>
      </c>
      <c r="M76" s="36" t="n">
        <v>2.07591246963779</v>
      </c>
      <c r="N76" s="36" t="n">
        <v>1.26766093362543</v>
      </c>
      <c r="O76" s="36" t="n">
        <f aca="false">SQRT(M76^2+N76^2)</f>
        <v>2.43236034013009</v>
      </c>
      <c r="P76" s="40" t="n">
        <f aca="false">IF(J76="","",MAX(0,J76-1.96*O76/100))</f>
        <v>0.449353430533392</v>
      </c>
      <c r="Q76" s="40" t="n">
        <f aca="false">IF(J76="","",MIN(1,J76+1.96*O76/100))</f>
        <v>0.544701955866492</v>
      </c>
      <c r="R76" s="32" t="str">
        <f aca="false">IF(L76="","",IF(ABS(L76)&lt;=O76,"Yes","No"))</f>
        <v>Yes</v>
      </c>
      <c r="S76" s="32" t="str">
        <f aca="false">IF(L76="","",IF(ABS(L76)&lt;=1.96*O76,"Yes","No"))</f>
        <v>Yes</v>
      </c>
      <c r="T76" s="59" t="n">
        <f aca="false">IF(D76="","",ROUND(SQRT(((D76+G76)*O76/100)^2+(J76*(D76+G76)*0.06406)^2),0))</f>
        <v>553</v>
      </c>
      <c r="U76" s="32"/>
    </row>
    <row r="77" customFormat="false" ht="15" hidden="false" customHeight="false" outlineLevel="0" collapsed="false">
      <c r="A77" s="32" t="s">
        <v>220</v>
      </c>
      <c r="B77" s="32" t="s">
        <v>243</v>
      </c>
      <c r="C77" s="32" t="s">
        <v>161</v>
      </c>
      <c r="D77" s="59" t="n">
        <v>660</v>
      </c>
      <c r="E77" s="59" t="n">
        <v>703</v>
      </c>
      <c r="F77" s="68" t="n">
        <f aca="false">IF(E77="","",D77-E77)</f>
        <v>-43</v>
      </c>
      <c r="G77" s="59" t="n">
        <v>1185</v>
      </c>
      <c r="H77" s="59" t="n">
        <v>1180</v>
      </c>
      <c r="I77" s="68" t="n">
        <f aca="false">IF(H77="","",G77-H77)</f>
        <v>5</v>
      </c>
      <c r="J77" s="40" t="n">
        <f aca="false">IF(OR(D77="",D77+G77=0),"",D77/(D77+G77))</f>
        <v>0.357723577235772</v>
      </c>
      <c r="K77" s="40" t="n">
        <f aca="false">IF(E77="","",E77/(E77+H77))</f>
        <v>0.373340414232608</v>
      </c>
      <c r="L77" s="69" t="n">
        <f aca="false">IF(OR(K77="",J77=""),"",(J77-K77)*100)</f>
        <v>-1.56168369968352</v>
      </c>
      <c r="M77" s="36" t="n">
        <v>2.19828346285965</v>
      </c>
      <c r="N77" s="36" t="n">
        <v>1.26766093362543</v>
      </c>
      <c r="O77" s="36" t="n">
        <f aca="false">SQRT(M77^2+N77^2)</f>
        <v>2.53760013117164</v>
      </c>
      <c r="P77" s="40" t="n">
        <f aca="false">IF(J77="","",MAX(0,J77-1.96*O77/100))</f>
        <v>0.307986614664808</v>
      </c>
      <c r="Q77" s="40" t="n">
        <f aca="false">IF(J77="","",MIN(1,J77+1.96*O77/100))</f>
        <v>0.407460539806736</v>
      </c>
      <c r="R77" s="32" t="str">
        <f aca="false">IF(L77="","",IF(ABS(L77)&lt;=O77,"Yes","No"))</f>
        <v>Yes</v>
      </c>
      <c r="S77" s="32" t="str">
        <f aca="false">IF(L77="","",IF(ABS(L77)&lt;=1.96*O77,"Yes","No"))</f>
        <v>Yes</v>
      </c>
      <c r="T77" s="59" t="n">
        <f aca="false">IF(D77="","",ROUND(SQRT(((D77+G77)*O77/100)^2+(J77*(D77+G77)*0.07048)^2),0))</f>
        <v>66</v>
      </c>
      <c r="U77" s="32"/>
    </row>
    <row r="78" customFormat="false" ht="15" hidden="false" customHeight="false" outlineLevel="0" collapsed="false">
      <c r="A78" s="32" t="s">
        <v>220</v>
      </c>
      <c r="B78" s="32" t="s">
        <v>244</v>
      </c>
      <c r="C78" s="32" t="s">
        <v>161</v>
      </c>
      <c r="D78" s="59" t="n">
        <v>1255</v>
      </c>
      <c r="E78" s="59" t="n">
        <v>1361</v>
      </c>
      <c r="F78" s="68" t="n">
        <f aca="false">IF(E78="","",D78-E78)</f>
        <v>-106</v>
      </c>
      <c r="G78" s="59" t="n">
        <v>2695</v>
      </c>
      <c r="H78" s="59" t="n">
        <v>2561</v>
      </c>
      <c r="I78" s="68" t="n">
        <f aca="false">IF(H78="","",G78-H78)</f>
        <v>134</v>
      </c>
      <c r="J78" s="40" t="n">
        <f aca="false">IF(OR(D78="",D78+G78=0),"",D78/(D78+G78))</f>
        <v>0.317721518987342</v>
      </c>
      <c r="K78" s="40" t="n">
        <f aca="false">IF(E78="","",E78/(E78+H78))</f>
        <v>0.347016828148904</v>
      </c>
      <c r="L78" s="69" t="n">
        <f aca="false">IF(OR(K78="",J78=""),"",(J78-K78)*100)</f>
        <v>-2.92953091615619</v>
      </c>
      <c r="M78" s="36" t="n">
        <v>2.07591246963779</v>
      </c>
      <c r="N78" s="36" t="n">
        <v>1.26766093362543</v>
      </c>
      <c r="O78" s="36" t="n">
        <f aca="false">SQRT(M78^2+N78^2)</f>
        <v>2.43236034013009</v>
      </c>
      <c r="P78" s="40" t="n">
        <f aca="false">IF(J78="","",MAX(0,J78-1.96*O78/100))</f>
        <v>0.270047256320792</v>
      </c>
      <c r="Q78" s="40" t="n">
        <f aca="false">IF(J78="","",MIN(1,J78+1.96*O78/100))</f>
        <v>0.365395781653891</v>
      </c>
      <c r="R78" s="32" t="str">
        <f aca="false">IF(L78="","",IF(ABS(L78)&lt;=O78,"Yes","No"))</f>
        <v>No</v>
      </c>
      <c r="S78" s="32" t="str">
        <f aca="false">IF(L78="","",IF(ABS(L78)&lt;=1.96*O78,"Yes","No"))</f>
        <v>Yes</v>
      </c>
      <c r="T78" s="59" t="n">
        <f aca="false">IF(D78="","",ROUND(SQRT(((D78+G78)*O78/100)^2+(J78*(D78+G78)*0.06406)^2),0))</f>
        <v>125</v>
      </c>
      <c r="U78" s="32"/>
    </row>
    <row r="79" customFormat="false" ht="15" hidden="false" customHeight="false" outlineLevel="0" collapsed="false">
      <c r="A79" s="32" t="s">
        <v>220</v>
      </c>
      <c r="B79" s="32" t="s">
        <v>245</v>
      </c>
      <c r="C79" s="32" t="s">
        <v>161</v>
      </c>
      <c r="D79" s="59" t="n">
        <v>76</v>
      </c>
      <c r="E79" s="59" t="n">
        <v>92</v>
      </c>
      <c r="F79" s="68" t="n">
        <f aca="false">IF(E79="","",D79-E79)</f>
        <v>-16</v>
      </c>
      <c r="G79" s="59" t="n">
        <v>173</v>
      </c>
      <c r="H79" s="59" t="n">
        <v>167</v>
      </c>
      <c r="I79" s="68" t="n">
        <f aca="false">IF(H79="","",G79-H79)</f>
        <v>6</v>
      </c>
      <c r="J79" s="40" t="n">
        <f aca="false">IF(OR(D79="",D79+G79=0),"",D79/(D79+G79))</f>
        <v>0.305220883534137</v>
      </c>
      <c r="K79" s="40" t="n">
        <f aca="false">IF(E79="","",E79/(E79+H79))</f>
        <v>0.355212355212355</v>
      </c>
      <c r="L79" s="69" t="n">
        <f aca="false">IF(OR(K79="",J79=""),"",(J79-K79)*100)</f>
        <v>-4.99914716782187</v>
      </c>
      <c r="M79" s="36" t="n">
        <v>3.85672886711819</v>
      </c>
      <c r="N79" s="36" t="n">
        <v>1.26766093362543</v>
      </c>
      <c r="O79" s="36" t="n">
        <f aca="false">SQRT(M79^2+N79^2)</f>
        <v>4.05971942344577</v>
      </c>
      <c r="P79" s="40" t="n">
        <f aca="false">IF(J79="","",MAX(0,J79-1.96*O79/100))</f>
        <v>0.225650382834599</v>
      </c>
      <c r="Q79" s="40" t="n">
        <f aca="false">IF(J79="","",MIN(1,J79+1.96*O79/100))</f>
        <v>0.384791384233674</v>
      </c>
      <c r="R79" s="32" t="str">
        <f aca="false">IF(L79="","",IF(ABS(L79)&lt;=O79,"Yes","No"))</f>
        <v>No</v>
      </c>
      <c r="S79" s="32" t="str">
        <f aca="false">IF(L79="","",IF(ABS(L79)&lt;=1.96*O79,"Yes","No"))</f>
        <v>Yes</v>
      </c>
      <c r="T79" s="59" t="n">
        <f aca="false">IF(D79="","",ROUND(SQRT(((D79+G79)*O79/100)^2+(J79*(D79+G79)*0.09173)^2),0))</f>
        <v>12</v>
      </c>
      <c r="U79" s="32"/>
    </row>
    <row r="80" customFormat="false" ht="15" hidden="false" customHeight="false" outlineLevel="0" collapsed="false">
      <c r="A80" s="32" t="s">
        <v>220</v>
      </c>
      <c r="B80" s="32" t="s">
        <v>246</v>
      </c>
      <c r="C80" s="32" t="s">
        <v>161</v>
      </c>
      <c r="D80" s="59" t="n">
        <v>323</v>
      </c>
      <c r="E80" s="59" t="n">
        <v>335</v>
      </c>
      <c r="F80" s="68" t="n">
        <f aca="false">IF(E80="","",D80-E80)</f>
        <v>-12</v>
      </c>
      <c r="G80" s="59" t="n">
        <v>609</v>
      </c>
      <c r="H80" s="59" t="n">
        <v>581</v>
      </c>
      <c r="I80" s="68" t="n">
        <f aca="false">IF(H80="","",G80-H80)</f>
        <v>28</v>
      </c>
      <c r="J80" s="40" t="n">
        <f aca="false">IF(OR(D80="",D80+G80=0),"",D80/(D80+G80))</f>
        <v>0.34656652360515</v>
      </c>
      <c r="K80" s="40" t="n">
        <f aca="false">IF(E80="","",E80/(E80+H80))</f>
        <v>0.365720524017467</v>
      </c>
      <c r="L80" s="69" t="n">
        <f aca="false">IF(OR(K80="",J80=""),"",(J80-K80)*100)</f>
        <v>-1.9154000412317</v>
      </c>
      <c r="M80" s="36" t="n">
        <v>3.85672886711819</v>
      </c>
      <c r="N80" s="36" t="n">
        <v>1.26766093362543</v>
      </c>
      <c r="O80" s="36" t="n">
        <f aca="false">SQRT(M80^2+N80^2)</f>
        <v>4.05971942344577</v>
      </c>
      <c r="P80" s="40" t="n">
        <f aca="false">IF(J80="","",MAX(0,J80-1.96*O80/100))</f>
        <v>0.266996022905613</v>
      </c>
      <c r="Q80" s="40" t="n">
        <f aca="false">IF(J80="","",MIN(1,J80+1.96*O80/100))</f>
        <v>0.426137024304687</v>
      </c>
      <c r="R80" s="32" t="str">
        <f aca="false">IF(L80="","",IF(ABS(L80)&lt;=O80,"Yes","No"))</f>
        <v>Yes</v>
      </c>
      <c r="S80" s="32" t="str">
        <f aca="false">IF(L80="","",IF(ABS(L80)&lt;=1.96*O80,"Yes","No"))</f>
        <v>Yes</v>
      </c>
      <c r="T80" s="59" t="n">
        <f aca="false">IF(D80="","",ROUND(SQRT(((D80+G80)*O80/100)^2+(J80*(D80+G80)*0.09173)^2),0))</f>
        <v>48</v>
      </c>
      <c r="U80" s="32"/>
    </row>
    <row r="81" customFormat="false" ht="15" hidden="false" customHeight="false" outlineLevel="0" collapsed="false">
      <c r="A81" s="32" t="s">
        <v>220</v>
      </c>
      <c r="B81" s="32" t="s">
        <v>247</v>
      </c>
      <c r="C81" s="32" t="s">
        <v>161</v>
      </c>
      <c r="D81" s="59" t="n">
        <v>201</v>
      </c>
      <c r="E81" s="59" t="n">
        <v>210</v>
      </c>
      <c r="F81" s="68" t="n">
        <f aca="false">IF(E81="","",D81-E81)</f>
        <v>-9</v>
      </c>
      <c r="G81" s="59" t="n">
        <v>313</v>
      </c>
      <c r="H81" s="59" t="n">
        <v>309</v>
      </c>
      <c r="I81" s="68" t="n">
        <f aca="false">IF(H81="","",G81-H81)</f>
        <v>4</v>
      </c>
      <c r="J81" s="40" t="n">
        <f aca="false">IF(OR(D81="",D81+G81=0),"",D81/(D81+G81))</f>
        <v>0.391050583657588</v>
      </c>
      <c r="K81" s="40" t="n">
        <f aca="false">IF(E81="","",E81/(E81+H81))</f>
        <v>0.404624277456647</v>
      </c>
      <c r="L81" s="69" t="n">
        <f aca="false">IF(OR(K81="",J81=""),"",(J81-K81)*100)</f>
        <v>-1.35736937990599</v>
      </c>
      <c r="M81" s="36" t="n">
        <v>3.85672886711819</v>
      </c>
      <c r="N81" s="36" t="n">
        <v>1.26766093362543</v>
      </c>
      <c r="O81" s="36" t="n">
        <f aca="false">SQRT(M81^2+N81^2)</f>
        <v>4.05971942344577</v>
      </c>
      <c r="P81" s="40" t="n">
        <f aca="false">IF(J81="","",MAX(0,J81-1.96*O81/100))</f>
        <v>0.31148008295805</v>
      </c>
      <c r="Q81" s="40" t="n">
        <f aca="false">IF(J81="","",MIN(1,J81+1.96*O81/100))</f>
        <v>0.470621084357125</v>
      </c>
      <c r="R81" s="32" t="str">
        <f aca="false">IF(L81="","",IF(ABS(L81)&lt;=O81,"Yes","No"))</f>
        <v>Yes</v>
      </c>
      <c r="S81" s="32" t="str">
        <f aca="false">IF(L81="","",IF(ABS(L81)&lt;=1.96*O81,"Yes","No"))</f>
        <v>Yes</v>
      </c>
      <c r="T81" s="59" t="n">
        <f aca="false">IF(D81="","",ROUND(SQRT(((D81+G81)*O81/100)^2+(J81*(D81+G81)*0.09173)^2),0))</f>
        <v>28</v>
      </c>
      <c r="U81" s="32"/>
    </row>
    <row r="82" customFormat="false" ht="15" hidden="false" customHeight="false" outlineLevel="0" collapsed="false">
      <c r="A82" s="32" t="s">
        <v>220</v>
      </c>
      <c r="B82" s="32" t="s">
        <v>248</v>
      </c>
      <c r="C82" s="32" t="s">
        <v>161</v>
      </c>
      <c r="D82" s="59" t="n">
        <v>308</v>
      </c>
      <c r="E82" s="59" t="n">
        <v>331</v>
      </c>
      <c r="F82" s="68" t="n">
        <f aca="false">IF(E82="","",D82-E82)</f>
        <v>-23</v>
      </c>
      <c r="G82" s="59" t="n">
        <v>464</v>
      </c>
      <c r="H82" s="59" t="n">
        <v>458</v>
      </c>
      <c r="I82" s="68" t="n">
        <f aca="false">IF(H82="","",G82-H82)</f>
        <v>6</v>
      </c>
      <c r="J82" s="40" t="n">
        <f aca="false">IF(OR(D82="",D82+G82=0),"",D82/(D82+G82))</f>
        <v>0.398963730569948</v>
      </c>
      <c r="K82" s="40" t="n">
        <f aca="false">IF(E82="","",E82/(E82+H82))</f>
        <v>0.419518377693283</v>
      </c>
      <c r="L82" s="69" t="n">
        <f aca="false">IF(OR(K82="",J82=""),"",(J82-K82)*100)</f>
        <v>-2.05546471233345</v>
      </c>
      <c r="M82" s="36" t="n">
        <v>3.85672886711819</v>
      </c>
      <c r="N82" s="36" t="n">
        <v>1.26766093362543</v>
      </c>
      <c r="O82" s="36" t="n">
        <f aca="false">SQRT(M82^2+N82^2)</f>
        <v>4.05971942344577</v>
      </c>
      <c r="P82" s="40" t="n">
        <f aca="false">IF(J82="","",MAX(0,J82-1.96*O82/100))</f>
        <v>0.319393229870411</v>
      </c>
      <c r="Q82" s="40" t="n">
        <f aca="false">IF(J82="","",MIN(1,J82+1.96*O82/100))</f>
        <v>0.478534231269485</v>
      </c>
      <c r="R82" s="32" t="str">
        <f aca="false">IF(L82="","",IF(ABS(L82)&lt;=O82,"Yes","No"))</f>
        <v>Yes</v>
      </c>
      <c r="S82" s="32" t="str">
        <f aca="false">IF(L82="","",IF(ABS(L82)&lt;=1.96*O82,"Yes","No"))</f>
        <v>Yes</v>
      </c>
      <c r="T82" s="59" t="n">
        <f aca="false">IF(D82="","",ROUND(SQRT(((D82+G82)*O82/100)^2+(J82*(D82+G82)*0.09173)^2),0))</f>
        <v>42</v>
      </c>
      <c r="U82" s="32"/>
    </row>
    <row r="83" customFormat="false" ht="15" hidden="false" customHeight="false" outlineLevel="0" collapsed="false">
      <c r="A83" s="32" t="s">
        <v>220</v>
      </c>
      <c r="B83" s="32" t="s">
        <v>249</v>
      </c>
      <c r="C83" s="32" t="s">
        <v>161</v>
      </c>
      <c r="D83" s="59" t="n">
        <v>1128</v>
      </c>
      <c r="E83" s="59" t="n">
        <v>1242</v>
      </c>
      <c r="F83" s="68" t="n">
        <f aca="false">IF(E83="","",D83-E83)</f>
        <v>-114</v>
      </c>
      <c r="G83" s="59" t="n">
        <v>2730</v>
      </c>
      <c r="H83" s="59" t="n">
        <v>2716</v>
      </c>
      <c r="I83" s="68" t="n">
        <f aca="false">IF(H83="","",G83-H83)</f>
        <v>14</v>
      </c>
      <c r="J83" s="40" t="n">
        <f aca="false">IF(OR(D83="",D83+G83=0),"",D83/(D83+G83))</f>
        <v>0.292379471228616</v>
      </c>
      <c r="K83" s="40" t="n">
        <f aca="false">IF(E83="","",E83/(E83+H83))</f>
        <v>0.313794845881759</v>
      </c>
      <c r="L83" s="69" t="n">
        <f aca="false">IF(OR(K83="",J83=""),"",(J83-K83)*100)</f>
        <v>-2.14153746531426</v>
      </c>
      <c r="M83" s="36" t="n">
        <v>2.07591246963779</v>
      </c>
      <c r="N83" s="36" t="n">
        <v>1.26766093362543</v>
      </c>
      <c r="O83" s="36" t="n">
        <f aca="false">SQRT(M83^2+N83^2)</f>
        <v>2.43236034013009</v>
      </c>
      <c r="P83" s="40" t="n">
        <f aca="false">IF(J83="","",MAX(0,J83-1.96*O83/100))</f>
        <v>0.244705208562066</v>
      </c>
      <c r="Q83" s="40" t="n">
        <f aca="false">IF(J83="","",MIN(1,J83+1.96*O83/100))</f>
        <v>0.340053733895166</v>
      </c>
      <c r="R83" s="32" t="str">
        <f aca="false">IF(L83="","",IF(ABS(L83)&lt;=O83,"Yes","No"))</f>
        <v>Yes</v>
      </c>
      <c r="S83" s="32" t="str">
        <f aca="false">IF(L83="","",IF(ABS(L83)&lt;=1.96*O83,"Yes","No"))</f>
        <v>Yes</v>
      </c>
      <c r="T83" s="59" t="n">
        <f aca="false">IF(D83="","",ROUND(SQRT(((D83+G83)*O83/100)^2+(J83*(D83+G83)*0.06406)^2),0))</f>
        <v>118</v>
      </c>
      <c r="U83" s="32"/>
    </row>
    <row r="84" customFormat="false" ht="15" hidden="false" customHeight="false" outlineLevel="0" collapsed="false">
      <c r="A84" s="32" t="s">
        <v>220</v>
      </c>
      <c r="B84" s="32" t="s">
        <v>250</v>
      </c>
      <c r="C84" s="32" t="s">
        <v>161</v>
      </c>
      <c r="D84" s="59" t="n">
        <v>1874</v>
      </c>
      <c r="E84" s="59" t="n">
        <v>1964</v>
      </c>
      <c r="F84" s="68" t="n">
        <f aca="false">IF(E84="","",D84-E84)</f>
        <v>-90</v>
      </c>
      <c r="G84" s="59" t="n">
        <v>2195</v>
      </c>
      <c r="H84" s="59" t="n">
        <v>2147</v>
      </c>
      <c r="I84" s="68" t="n">
        <f aca="false">IF(H84="","",G84-H84)</f>
        <v>48</v>
      </c>
      <c r="J84" s="40" t="n">
        <f aca="false">IF(OR(D84="",D84+G84=0),"",D84/(D84+G84))</f>
        <v>0.460555419021873</v>
      </c>
      <c r="K84" s="40" t="n">
        <f aca="false">IF(E84="","",E84/(E84+H84))</f>
        <v>0.477742641693019</v>
      </c>
      <c r="L84" s="69" t="n">
        <f aca="false">IF(OR(K84="",J84=""),"",(J84-K84)*100)</f>
        <v>-1.7187222671146</v>
      </c>
      <c r="M84" s="36" t="n">
        <v>2.07591246963779</v>
      </c>
      <c r="N84" s="36" t="n">
        <v>1.26766093362543</v>
      </c>
      <c r="O84" s="36" t="n">
        <f aca="false">SQRT(M84^2+N84^2)</f>
        <v>2.43236034013009</v>
      </c>
      <c r="P84" s="40" t="n">
        <f aca="false">IF(J84="","",MAX(0,J84-1.96*O84/100))</f>
        <v>0.412881156355323</v>
      </c>
      <c r="Q84" s="40" t="n">
        <f aca="false">IF(J84="","",MIN(1,J84+1.96*O84/100))</f>
        <v>0.508229681688422</v>
      </c>
      <c r="R84" s="32" t="str">
        <f aca="false">IF(L84="","",IF(ABS(L84)&lt;=O84,"Yes","No"))</f>
        <v>Yes</v>
      </c>
      <c r="S84" s="32" t="str">
        <f aca="false">IF(L84="","",IF(ABS(L84)&lt;=1.96*O84,"Yes","No"))</f>
        <v>Yes</v>
      </c>
      <c r="T84" s="59" t="n">
        <f aca="false">IF(D84="","",ROUND(SQRT(((D84+G84)*O84/100)^2+(J84*(D84+G84)*0.06406)^2),0))</f>
        <v>156</v>
      </c>
      <c r="U84" s="32"/>
    </row>
    <row r="85" customFormat="false" ht="15" hidden="false" customHeight="false" outlineLevel="0" collapsed="false">
      <c r="A85" s="32" t="s">
        <v>220</v>
      </c>
      <c r="B85" s="32" t="s">
        <v>251</v>
      </c>
      <c r="C85" s="32" t="s">
        <v>161</v>
      </c>
      <c r="D85" s="59" t="n">
        <v>411</v>
      </c>
      <c r="E85" s="59" t="n">
        <v>416</v>
      </c>
      <c r="F85" s="68" t="n">
        <f aca="false">IF(E85="","",D85-E85)</f>
        <v>-5</v>
      </c>
      <c r="G85" s="59" t="n">
        <v>650</v>
      </c>
      <c r="H85" s="59" t="n">
        <v>658</v>
      </c>
      <c r="I85" s="68" t="n">
        <f aca="false">IF(H85="","",G85-H85)</f>
        <v>-8</v>
      </c>
      <c r="J85" s="40" t="n">
        <f aca="false">IF(OR(D85="",D85+G85=0),"",D85/(D85+G85))</f>
        <v>0.38737040527804</v>
      </c>
      <c r="K85" s="40" t="n">
        <f aca="false">IF(E85="","",E85/(E85+H85))</f>
        <v>0.387337057728119</v>
      </c>
      <c r="L85" s="69" t="n">
        <f aca="false">IF(OR(K85="",J85=""),"",(J85-K85)*100)</f>
        <v>0.00333475499204039</v>
      </c>
      <c r="M85" s="36" t="n">
        <v>3.85672886711819</v>
      </c>
      <c r="N85" s="36" t="n">
        <v>1.26766093362543</v>
      </c>
      <c r="O85" s="36" t="n">
        <f aca="false">SQRT(M85^2+N85^2)</f>
        <v>4.05971942344577</v>
      </c>
      <c r="P85" s="40" t="n">
        <f aca="false">IF(J85="","",MAX(0,J85-1.96*O85/100))</f>
        <v>0.307799904578502</v>
      </c>
      <c r="Q85" s="40" t="n">
        <f aca="false">IF(J85="","",MIN(1,J85+1.96*O85/100))</f>
        <v>0.466940905977577</v>
      </c>
      <c r="R85" s="32" t="str">
        <f aca="false">IF(L85="","",IF(ABS(L85)&lt;=O85,"Yes","No"))</f>
        <v>Yes</v>
      </c>
      <c r="S85" s="32" t="str">
        <f aca="false">IF(L85="","",IF(ABS(L85)&lt;=1.96*O85,"Yes","No"))</f>
        <v>Yes</v>
      </c>
      <c r="T85" s="59" t="n">
        <f aca="false">IF(D85="","",ROUND(SQRT(((D85+G85)*O85/100)^2+(J85*(D85+G85)*0.09173)^2),0))</f>
        <v>57</v>
      </c>
      <c r="U85" s="32"/>
    </row>
    <row r="86" customFormat="false" ht="15" hidden="false" customHeight="false" outlineLevel="0" collapsed="false">
      <c r="A86" s="32" t="s">
        <v>220</v>
      </c>
      <c r="B86" s="32" t="s">
        <v>212</v>
      </c>
      <c r="C86" s="32" t="s">
        <v>161</v>
      </c>
      <c r="D86" s="59" t="n">
        <v>989</v>
      </c>
      <c r="E86" s="59" t="n">
        <v>1041</v>
      </c>
      <c r="F86" s="68" t="n">
        <f aca="false">IF(E86="","",D86-E86)</f>
        <v>-52</v>
      </c>
      <c r="G86" s="59" t="n">
        <v>2087</v>
      </c>
      <c r="H86" s="59" t="n">
        <v>2088</v>
      </c>
      <c r="I86" s="68" t="n">
        <f aca="false">IF(H86="","",G86-H86)</f>
        <v>-1</v>
      </c>
      <c r="J86" s="40" t="n">
        <f aca="false">IF(OR(D86="",D86+G86=0),"",D86/(D86+G86))</f>
        <v>0.321521456436931</v>
      </c>
      <c r="K86" s="40" t="n">
        <f aca="false">IF(E86="","",E86/(E86+H86))</f>
        <v>0.332694151486098</v>
      </c>
      <c r="L86" s="69" t="n">
        <f aca="false">IF(OR(K86="",J86=""),"",(J86-K86)*100)</f>
        <v>-1.11726950491667</v>
      </c>
      <c r="M86" s="36" t="n">
        <v>2.19828346285965</v>
      </c>
      <c r="N86" s="36" t="n">
        <v>1.26766093362543</v>
      </c>
      <c r="O86" s="36" t="n">
        <f aca="false">SQRT(M86^2+N86^2)</f>
        <v>2.53760013117164</v>
      </c>
      <c r="P86" s="40" t="n">
        <f aca="false">IF(J86="","",MAX(0,J86-1.96*O86/100))</f>
        <v>0.271784493865967</v>
      </c>
      <c r="Q86" s="40" t="n">
        <f aca="false">IF(J86="","",MIN(1,J86+1.96*O86/100))</f>
        <v>0.371258419007895</v>
      </c>
      <c r="R86" s="32" t="str">
        <f aca="false">IF(L86="","",IF(ABS(L86)&lt;=O86,"Yes","No"))</f>
        <v>Yes</v>
      </c>
      <c r="S86" s="32" t="str">
        <f aca="false">IF(L86="","",IF(ABS(L86)&lt;=1.96*O86,"Yes","No"))</f>
        <v>Yes</v>
      </c>
      <c r="T86" s="59" t="n">
        <f aca="false">IF(D86="","",ROUND(SQRT(((D86+G86)*O86/100)^2+(J86*(D86+G86)*0.07048)^2),0))</f>
        <v>105</v>
      </c>
      <c r="U86" s="32"/>
    </row>
    <row r="87" customFormat="false" ht="15" hidden="false" customHeight="false" outlineLevel="0" collapsed="false">
      <c r="A87" s="32" t="s">
        <v>220</v>
      </c>
      <c r="B87" s="32" t="s">
        <v>252</v>
      </c>
      <c r="C87" s="32" t="s">
        <v>161</v>
      </c>
      <c r="D87" s="59" t="n">
        <v>251</v>
      </c>
      <c r="E87" s="59" t="n">
        <v>281</v>
      </c>
      <c r="F87" s="68" t="n">
        <f aca="false">IF(E87="","",D87-E87)</f>
        <v>-30</v>
      </c>
      <c r="G87" s="59" t="n">
        <v>356</v>
      </c>
      <c r="H87" s="59" t="n">
        <v>310</v>
      </c>
      <c r="I87" s="68" t="n">
        <f aca="false">IF(H87="","",G87-H87)</f>
        <v>46</v>
      </c>
      <c r="J87" s="40" t="n">
        <f aca="false">IF(OR(D87="",D87+G87=0),"",D87/(D87+G87))</f>
        <v>0.413509060955519</v>
      </c>
      <c r="K87" s="40" t="n">
        <f aca="false">IF(E87="","",E87/(E87+H87))</f>
        <v>0.475465313028765</v>
      </c>
      <c r="L87" s="69" t="n">
        <f aca="false">IF(OR(K87="",J87=""),"",(J87-K87)*100)</f>
        <v>-6.19562520732459</v>
      </c>
      <c r="M87" s="36" t="n">
        <v>3.85672886711819</v>
      </c>
      <c r="N87" s="36" t="n">
        <v>1.26766093362543</v>
      </c>
      <c r="O87" s="36" t="n">
        <f aca="false">SQRT(M87^2+N87^2)</f>
        <v>4.05971942344577</v>
      </c>
      <c r="P87" s="40" t="n">
        <f aca="false">IF(J87="","",MAX(0,J87-1.96*O87/100))</f>
        <v>0.333938560255982</v>
      </c>
      <c r="Q87" s="40" t="n">
        <f aca="false">IF(J87="","",MIN(1,J87+1.96*O87/100))</f>
        <v>0.493079561655056</v>
      </c>
      <c r="R87" s="32" t="str">
        <f aca="false">IF(L87="","",IF(ABS(L87)&lt;=O87,"Yes","No"))</f>
        <v>No</v>
      </c>
      <c r="S87" s="32" t="str">
        <f aca="false">IF(L87="","",IF(ABS(L87)&lt;=1.96*O87,"Yes","No"))</f>
        <v>Yes</v>
      </c>
      <c r="T87" s="59" t="n">
        <f aca="false">IF(D87="","",ROUND(SQRT(((D87+G87)*O87/100)^2+(J87*(D87+G87)*0.09173)^2),0))</f>
        <v>34</v>
      </c>
      <c r="U87" s="32"/>
    </row>
    <row r="88" customFormat="false" ht="15" hidden="false" customHeight="false" outlineLevel="0" collapsed="false">
      <c r="A88" s="32" t="s">
        <v>220</v>
      </c>
      <c r="B88" s="32" t="s">
        <v>253</v>
      </c>
      <c r="C88" s="32" t="s">
        <v>161</v>
      </c>
      <c r="D88" s="59" t="n">
        <v>1710</v>
      </c>
      <c r="E88" s="59" t="n">
        <v>1847</v>
      </c>
      <c r="F88" s="68" t="n">
        <f aca="false">IF(E88="","",D88-E88)</f>
        <v>-137</v>
      </c>
      <c r="G88" s="59" t="n">
        <v>2479</v>
      </c>
      <c r="H88" s="59" t="n">
        <v>2401</v>
      </c>
      <c r="I88" s="68" t="n">
        <f aca="false">IF(H88="","",G88-H88)</f>
        <v>78</v>
      </c>
      <c r="J88" s="40" t="n">
        <f aca="false">IF(OR(D88="",D88+G88=0),"",D88/(D88+G88))</f>
        <v>0.408211983767009</v>
      </c>
      <c r="K88" s="40" t="n">
        <f aca="false">IF(E88="","",E88/(E88+H88))</f>
        <v>0.434792843691149</v>
      </c>
      <c r="L88" s="69" t="n">
        <f aca="false">IF(OR(K88="",J88=""),"",(J88-K88)*100)</f>
        <v>-2.65808599241399</v>
      </c>
      <c r="M88" s="36" t="n">
        <v>2.07591246963779</v>
      </c>
      <c r="N88" s="36" t="n">
        <v>1.26766093362543</v>
      </c>
      <c r="O88" s="36" t="n">
        <f aca="false">SQRT(M88^2+N88^2)</f>
        <v>2.43236034013009</v>
      </c>
      <c r="P88" s="40" t="n">
        <f aca="false">IF(J88="","",MAX(0,J88-1.96*O88/100))</f>
        <v>0.360537721100459</v>
      </c>
      <c r="Q88" s="40" t="n">
        <f aca="false">IF(J88="","",MIN(1,J88+1.96*O88/100))</f>
        <v>0.455886246433559</v>
      </c>
      <c r="R88" s="32" t="str">
        <f aca="false">IF(L88="","",IF(ABS(L88)&lt;=O88,"Yes","No"))</f>
        <v>No</v>
      </c>
      <c r="S88" s="32" t="str">
        <f aca="false">IF(L88="","",IF(ABS(L88)&lt;=1.96*O88,"Yes","No"))</f>
        <v>Yes</v>
      </c>
      <c r="T88" s="59" t="n">
        <f aca="false">IF(D88="","",ROUND(SQRT(((D88+G88)*O88/100)^2+(J88*(D88+G88)*0.06406)^2),0))</f>
        <v>150</v>
      </c>
      <c r="U88" s="32"/>
    </row>
    <row r="89" customFormat="false" ht="15" hidden="false" customHeight="false" outlineLevel="0" collapsed="false">
      <c r="A89" s="32" t="s">
        <v>220</v>
      </c>
      <c r="B89" s="32" t="s">
        <v>254</v>
      </c>
      <c r="C89" s="32" t="s">
        <v>161</v>
      </c>
      <c r="D89" s="59" t="n">
        <v>1830</v>
      </c>
      <c r="E89" s="59" t="n">
        <v>1897</v>
      </c>
      <c r="F89" s="68" t="n">
        <f aca="false">IF(E89="","",D89-E89)</f>
        <v>-67</v>
      </c>
      <c r="G89" s="59" t="n">
        <v>1576</v>
      </c>
      <c r="H89" s="59" t="n">
        <v>1538</v>
      </c>
      <c r="I89" s="68" t="n">
        <f aca="false">IF(H89="","",G89-H89)</f>
        <v>38</v>
      </c>
      <c r="J89" s="40" t="n">
        <f aca="false">IF(OR(D89="",D89+G89=0),"",D89/(D89+G89))</f>
        <v>0.537287140340576</v>
      </c>
      <c r="K89" s="40" t="n">
        <f aca="false">IF(E89="","",E89/(E89+H89))</f>
        <v>0.552256186317322</v>
      </c>
      <c r="L89" s="69" t="n">
        <f aca="false">IF(OR(K89="",J89=""),"",(J89-K89)*100)</f>
        <v>-1.49690459767462</v>
      </c>
      <c r="M89" s="36" t="n">
        <v>2.19828346285965</v>
      </c>
      <c r="N89" s="36" t="n">
        <v>1.26766093362543</v>
      </c>
      <c r="O89" s="36" t="n">
        <f aca="false">SQRT(M89^2+N89^2)</f>
        <v>2.53760013117164</v>
      </c>
      <c r="P89" s="40" t="n">
        <f aca="false">IF(J89="","",MAX(0,J89-1.96*O89/100))</f>
        <v>0.487550177769611</v>
      </c>
      <c r="Q89" s="40" t="n">
        <f aca="false">IF(J89="","",MIN(1,J89+1.96*O89/100))</f>
        <v>0.58702410291154</v>
      </c>
      <c r="R89" s="32" t="str">
        <f aca="false">IF(L89="","",IF(ABS(L89)&lt;=O89,"Yes","No"))</f>
        <v>Yes</v>
      </c>
      <c r="S89" s="32" t="str">
        <f aca="false">IF(L89="","",IF(ABS(L89)&lt;=1.96*O89,"Yes","No"))</f>
        <v>Yes</v>
      </c>
      <c r="T89" s="59" t="n">
        <f aca="false">IF(D89="","",ROUND(SQRT(((D89+G89)*O89/100)^2+(J89*(D89+G89)*0.07048)^2),0))</f>
        <v>155</v>
      </c>
      <c r="U89" s="32"/>
    </row>
    <row r="90" customFormat="false" ht="15" hidden="false" customHeight="false" outlineLevel="0" collapsed="false">
      <c r="A90" s="32" t="s">
        <v>220</v>
      </c>
      <c r="B90" s="32" t="s">
        <v>255</v>
      </c>
      <c r="C90" s="32" t="s">
        <v>161</v>
      </c>
      <c r="D90" s="59" t="n">
        <v>607</v>
      </c>
      <c r="E90" s="59" t="n">
        <v>634</v>
      </c>
      <c r="F90" s="68" t="n">
        <f aca="false">IF(E90="","",D90-E90)</f>
        <v>-27</v>
      </c>
      <c r="G90" s="59" t="n">
        <v>919</v>
      </c>
      <c r="H90" s="59" t="n">
        <v>856</v>
      </c>
      <c r="I90" s="68" t="n">
        <f aca="false">IF(H90="","",G90-H90)</f>
        <v>63</v>
      </c>
      <c r="J90" s="40" t="n">
        <f aca="false">IF(OR(D90="",D90+G90=0),"",D90/(D90+G90))</f>
        <v>0.397771952817824</v>
      </c>
      <c r="K90" s="40" t="n">
        <f aca="false">IF(E90="","",E90/(E90+H90))</f>
        <v>0.425503355704698</v>
      </c>
      <c r="L90" s="69" t="n">
        <f aca="false">IF(OR(K90="",J90=""),"",(J90-K90)*100)</f>
        <v>-2.77314028868736</v>
      </c>
      <c r="M90" s="36" t="n">
        <v>3.85672886711819</v>
      </c>
      <c r="N90" s="36" t="n">
        <v>1.26766093362543</v>
      </c>
      <c r="O90" s="36" t="n">
        <f aca="false">SQRT(M90^2+N90^2)</f>
        <v>4.05971942344577</v>
      </c>
      <c r="P90" s="40" t="n">
        <f aca="false">IF(J90="","",MAX(0,J90-1.96*O90/100))</f>
        <v>0.318201452118287</v>
      </c>
      <c r="Q90" s="40" t="n">
        <f aca="false">IF(J90="","",MIN(1,J90+1.96*O90/100))</f>
        <v>0.477342453517362</v>
      </c>
      <c r="R90" s="32" t="str">
        <f aca="false">IF(L90="","",IF(ABS(L90)&lt;=O90,"Yes","No"))</f>
        <v>Yes</v>
      </c>
      <c r="S90" s="32" t="str">
        <f aca="false">IF(L90="","",IF(ABS(L90)&lt;=1.96*O90,"Yes","No"))</f>
        <v>Yes</v>
      </c>
      <c r="T90" s="59" t="n">
        <f aca="false">IF(D90="","",ROUND(SQRT(((D90+G90)*O90/100)^2+(J90*(D90+G90)*0.09173)^2),0))</f>
        <v>83</v>
      </c>
      <c r="U90" s="32"/>
    </row>
    <row r="92" customFormat="false" ht="15" hidden="false" customHeight="false" outlineLevel="0" collapsed="false">
      <c r="A92" s="20" t="s">
        <v>383</v>
      </c>
      <c r="B92" s="70"/>
      <c r="C92" s="70"/>
      <c r="D92" s="71" t="n">
        <f aca="false">SUMIF(E2:E90,"&lt;&gt;",D2:D90)</f>
        <v>193339</v>
      </c>
      <c r="E92" s="71" t="n">
        <f aca="false">SUM(E2:E90)</f>
        <v>199626</v>
      </c>
      <c r="F92" s="72" t="n">
        <f aca="false">D92-E92</f>
        <v>-6287</v>
      </c>
      <c r="G92" s="71" t="n">
        <f aca="false">SUMIF(H2:H90,"&lt;&gt;",G2:G90)</f>
        <v>207784</v>
      </c>
      <c r="H92" s="71" t="n">
        <f aca="false">SUM(H2:H90)</f>
        <v>203688</v>
      </c>
      <c r="I92" s="72" t="n">
        <f aca="false">G92-H92</f>
        <v>4096</v>
      </c>
      <c r="J92" s="73" t="n">
        <f aca="false">D92/(D92+G92)</f>
        <v>0.481994300999943</v>
      </c>
      <c r="K92" s="73" t="n">
        <f aca="false">E92/(E92+H92)</f>
        <v>0.49496422142549</v>
      </c>
      <c r="L92" s="74" t="n">
        <f aca="false">(J92-K92)*100</f>
        <v>-1.29699204255471</v>
      </c>
      <c r="M92" s="75" t="n">
        <v>0</v>
      </c>
      <c r="N92" s="75" t="n">
        <v>1.26766093362543</v>
      </c>
      <c r="O92" s="75" t="n">
        <f aca="false">SQRT(M92^2+N92^2)</f>
        <v>1.26766093362543</v>
      </c>
      <c r="P92" s="73" t="n">
        <f aca="false">J92-1.96*O92/100</f>
        <v>0.457148146700884</v>
      </c>
      <c r="Q92" s="73" t="n">
        <f aca="false">J92+1.96*O92/100</f>
        <v>0.506840455299001</v>
      </c>
      <c r="R92" s="70" t="str">
        <f aca="false">IF(ABS(L92)&lt;=O92,"Yes","No")</f>
        <v>No</v>
      </c>
      <c r="S92" s="70" t="str">
        <f aca="false">IF(ABS(L92)&lt;=1.96*O92,"Yes","No")</f>
        <v>Yes</v>
      </c>
      <c r="T92" s="71" t="n">
        <f aca="false">ROUND(SQRT(((D92+G92)*O92/100)^2+(J92*(D92+G92)*0.05028)^2),0)</f>
        <v>10971</v>
      </c>
    </row>
    <row r="93" customFormat="false" ht="15" hidden="false" customHeight="false" outlineLevel="0" collapsed="false">
      <c r="A93" s="20" t="s">
        <v>384</v>
      </c>
      <c r="B93" s="70"/>
      <c r="C93" s="70"/>
      <c r="D93" s="71" t="n">
        <f aca="false">SUM(D2:D90)</f>
        <v>193339</v>
      </c>
      <c r="E93" s="71"/>
      <c r="F93" s="72"/>
      <c r="G93" s="71" t="n">
        <f aca="false">SUM(G2:G90)</f>
        <v>207784</v>
      </c>
      <c r="H93" s="71"/>
      <c r="I93" s="72"/>
      <c r="J93" s="73" t="n">
        <f aca="false">D93/(D93+G93)</f>
        <v>0.481994300999943</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92.8876404494382</v>
      </c>
    </row>
    <row r="96" customFormat="false" ht="15" hidden="false" customHeight="false" outlineLevel="0" collapsed="false">
      <c r="A96" s="2" t="s">
        <v>386</v>
      </c>
      <c r="F96" s="76" t="n">
        <f aca="false">(SUMIF(I2:I90,"&gt;0")-SUMIF(I2:I90,"&lt;0"))/COUNT(I2:I90)</f>
        <v>76.9438202247191</v>
      </c>
    </row>
    <row r="97" customFormat="false" ht="15" hidden="false" customHeight="false" outlineLevel="0" collapsed="false">
      <c r="A97" s="2" t="s">
        <v>387</v>
      </c>
      <c r="F97" s="77" t="n">
        <f aca="false">(SUMIF(L2:L90,"&gt;0")-SUMIF(L2:L90,"&lt;0"))/COUNT(L2:L90)</f>
        <v>1.97971016756612</v>
      </c>
    </row>
    <row r="98" customFormat="false" ht="15" hidden="false" customHeight="false" outlineLevel="0" collapsed="false">
      <c r="A98" s="5" t="s">
        <v>388</v>
      </c>
      <c r="F98" s="78" t="n">
        <f aca="false">SQRT(SUMSQ(L2:L90)/COUNT(L2:L90))</f>
        <v>2.42274884281816</v>
      </c>
    </row>
    <row r="99" customFormat="false" ht="15" hidden="false" customHeight="false" outlineLevel="0" collapsed="false">
      <c r="A99" s="5" t="s">
        <v>389</v>
      </c>
      <c r="F99" s="79" t="n">
        <f aca="false">L92</f>
        <v>-1.29699204255471</v>
      </c>
    </row>
    <row r="100" customFormat="false" ht="15" hidden="false" customHeight="false" outlineLevel="0" collapsed="false">
      <c r="A100" s="5" t="s">
        <v>390</v>
      </c>
      <c r="F100" s="78" t="n">
        <f aca="false">SQRT((SUMSQ(L2:L90)-2*L92*SUM(L2:L90)+COUNT(L2:L90)*L92^2)/COUNT(L2:L90))</f>
        <v>1.80559686807259</v>
      </c>
    </row>
    <row r="101" customFormat="false" ht="15" hidden="false" customHeight="false" outlineLevel="0" collapsed="false">
      <c r="A101" s="2" t="s">
        <v>391</v>
      </c>
      <c r="F101" s="80" t="n">
        <f aca="false">D92/E92-1</f>
        <v>-0.0314938935809964</v>
      </c>
    </row>
    <row r="102" customFormat="false" ht="15" hidden="false" customHeight="false" outlineLevel="0" collapsed="false">
      <c r="A102" s="5" t="s">
        <v>392</v>
      </c>
      <c r="F102" s="81" t="n">
        <f aca="false">G92/H92-1</f>
        <v>0.0201091865991123</v>
      </c>
    </row>
    <row r="103" customFormat="false" ht="15" hidden="false" customHeight="false" outlineLevel="0" collapsed="false">
      <c r="A103" s="2" t="s">
        <v>393</v>
      </c>
      <c r="F103" s="80" t="n">
        <f aca="false">(D92+G92)/(E92+H92)-1</f>
        <v>-0.00543249180539229</v>
      </c>
    </row>
    <row r="104" customFormat="false" ht="15" hidden="false" customHeight="false" outlineLevel="0" collapsed="false">
      <c r="A104" s="2" t="s">
        <v>394</v>
      </c>
      <c r="F104" s="77" t="n">
        <f aca="false">AVERAGE(O2:O90)</f>
        <v>3.01519996304779</v>
      </c>
    </row>
    <row r="105" customFormat="false" ht="15" hidden="false" customHeight="false" outlineLevel="0" collapsed="false">
      <c r="A105" s="5" t="s">
        <v>395</v>
      </c>
      <c r="F105" s="82" t="n">
        <f aca="false">COUNTIF(R2:R90,"Yes")/(COUNTIF(R2:R90,"Yes")+COUNTIF(R2:R90,"No"))</f>
        <v>0.808988764044944</v>
      </c>
    </row>
    <row r="106" customFormat="false" ht="15" hidden="false" customHeight="false" outlineLevel="0" collapsed="false">
      <c r="A106" s="5" t="s">
        <v>396</v>
      </c>
      <c r="F106" s="82" t="n">
        <f aca="false">COUNTIF(S2:S90,"Yes")/(COUNTIF(S2:S90,"Yes")+COUNTIF(S2:S90,"No"))</f>
        <v>1</v>
      </c>
    </row>
    <row r="107" customFormat="false" ht="15" hidden="false" customHeight="false" outlineLevel="0" collapsed="false">
      <c r="A107" s="2" t="s">
        <v>397</v>
      </c>
      <c r="F107" s="83" t="n">
        <f aca="false">COUNTIFS(L2:L90,"&gt;=-3",L2:L90,"&lt;=3")/COUNT(L2:L90)</f>
        <v>0.820224719101124</v>
      </c>
    </row>
    <row r="108" customFormat="false" ht="15" hidden="false" customHeight="false" outlineLevel="0" collapsed="false">
      <c r="A108" s="2" t="s">
        <v>398</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-1084.46660914325</v>
      </c>
    </row>
    <row r="112" customFormat="false" ht="15" hidden="false" customHeight="false" outlineLevel="0" collapsed="false">
      <c r="A112" s="2" t="s">
        <v>402</v>
      </c>
      <c r="F112" s="85" t="n">
        <f aca="false">F92-((D92+G92)-(E92+H92))*K92</f>
        <v>-5202.53339085675</v>
      </c>
    </row>
    <row r="113" customFormat="false" ht="15" hidden="false" customHeight="false" outlineLevel="0" collapsed="false">
      <c r="A113" s="2" t="s">
        <v>403</v>
      </c>
      <c r="F113" s="85" t="n">
        <f aca="false">((D92+G92)-(E92+H92))*(1-K92)</f>
        <v>-1106.53339085675</v>
      </c>
    </row>
    <row r="114" customFormat="false" ht="15" hidden="false" customHeight="false" outlineLevel="0" collapsed="false">
      <c r="A114" s="2" t="s">
        <v>404</v>
      </c>
      <c r="F114" s="85" t="n">
        <f aca="false">I92-((D92+G92)-(E92+H92))*(1-K92)</f>
        <v>5202.53339085675</v>
      </c>
    </row>
    <row r="115" customFormat="false" ht="15" hidden="false" customHeight="false" outlineLevel="0" collapsed="false">
      <c r="A115" s="2" t="s">
        <v>405</v>
      </c>
      <c r="F115" s="80" t="n">
        <f aca="false">(F92-((D92+G92)-(E92+H92))*K92)/E92</f>
        <v>-0.0260614017756041</v>
      </c>
    </row>
    <row r="116" customFormat="false" ht="15" hidden="false" customHeight="false" outlineLevel="0" collapsed="false">
      <c r="A116" s="2" t="s">
        <v>406</v>
      </c>
      <c r="F116" s="80" t="n">
        <f aca="false">(I92-((D92+G92)-(E92+H92))*(1-K92))/H92</f>
        <v>0.0255416784045047</v>
      </c>
    </row>
    <row r="118" customFormat="false" ht="15" hidden="false" customHeight="false" outlineLevel="0" collapsed="false">
      <c r="U118" s="5" t="s">
        <v>136</v>
      </c>
    </row>
    <row r="119" customFormat="false" ht="28.35" hidden="false" customHeight="false" outlineLevel="0" collapsed="false">
      <c r="U119" s="67" t="s">
        <v>407</v>
      </c>
    </row>
    <row r="120" customFormat="false" ht="15" hidden="false" customHeight="false" outlineLevel="0" collapsed="false">
      <c r="U120" s="67" t="s">
        <v>408</v>
      </c>
    </row>
    <row r="121" customFormat="false" ht="15" hidden="false" customHeight="false" outlineLevel="0" collapsed="false">
      <c r="U121" s="67" t="s">
        <v>409</v>
      </c>
    </row>
    <row r="122" customFormat="false" ht="15" hidden="false" customHeight="false" outlineLevel="0" collapsed="false">
      <c r="U122" s="67" t="s">
        <v>410</v>
      </c>
    </row>
    <row r="123" customFormat="false" ht="41.75" hidden="false" customHeight="false" outlineLevel="0" collapsed="false">
      <c r="U123" s="67" t="s">
        <v>411</v>
      </c>
    </row>
    <row r="124" customFormat="false" ht="28.35" hidden="false" customHeight="false" outlineLevel="0" collapsed="false">
      <c r="U124" s="67" t="s">
        <v>412</v>
      </c>
    </row>
    <row r="125" customFormat="false" ht="28.35" hidden="false" customHeight="false" outlineLevel="0" collapsed="false">
      <c r="U125" s="67" t="s">
        <v>413</v>
      </c>
    </row>
    <row r="126" customFormat="false" ht="41.75" hidden="false" customHeight="false" outlineLevel="0" collapsed="false">
      <c r="U126" s="67" t="s">
        <v>414</v>
      </c>
    </row>
    <row r="127" customFormat="false" ht="15" hidden="false" customHeight="false" outlineLevel="0" collapsed="false">
      <c r="U127" s="67" t="s">
        <v>415</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369</v>
      </c>
      <c r="H1" s="8" t="s">
        <v>370</v>
      </c>
      <c r="I1" s="8" t="s">
        <v>371</v>
      </c>
      <c r="J1" s="8" t="s">
        <v>372</v>
      </c>
      <c r="K1" s="8" t="s">
        <v>373</v>
      </c>
      <c r="L1" s="8" t="s">
        <v>374</v>
      </c>
      <c r="M1" s="8" t="s">
        <v>375</v>
      </c>
      <c r="N1" s="8" t="s">
        <v>376</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148</v>
      </c>
      <c r="E2" s="59" t="n">
        <v>181</v>
      </c>
      <c r="F2" s="68" t="n">
        <f aca="false">IF(E2="","",D2-E2)</f>
        <v>-33</v>
      </c>
      <c r="G2" s="59" t="n">
        <v>290</v>
      </c>
      <c r="H2" s="59" t="n">
        <v>285</v>
      </c>
      <c r="I2" s="68" t="n">
        <f aca="false">IF(H2="","",G2-H2)</f>
        <v>5</v>
      </c>
      <c r="J2" s="40" t="n">
        <f aca="false">IF(OR(D2="",D2+G2=0),"",D2/(D2+G2))</f>
        <v>0.337899543378995</v>
      </c>
      <c r="K2" s="40" t="n">
        <f aca="false">IF(E2="","",E2/(E2+H2))</f>
        <v>0.388412017167382</v>
      </c>
      <c r="L2" s="69" t="n">
        <f aca="false">IF(OR(K2="",J2=""),"",(J2-K2)*100)</f>
        <v>-5.05124737883866</v>
      </c>
      <c r="M2" s="36" t="n">
        <v>3.65244811615435</v>
      </c>
      <c r="N2" s="36" t="n">
        <v>1.26676233227734</v>
      </c>
      <c r="O2" s="36" t="n">
        <f aca="false">SQRT(M2^2+N2^2)</f>
        <v>3.86588463972688</v>
      </c>
      <c r="P2" s="40" t="n">
        <f aca="false">IF(J2="","",MAX(0,J2-1.96*O2/100))</f>
        <v>0.262128204440349</v>
      </c>
      <c r="Q2" s="40" t="n">
        <f aca="false">IF(J2="","",MIN(1,J2+1.96*O2/100))</f>
        <v>0.413670882317642</v>
      </c>
      <c r="R2" s="32" t="str">
        <f aca="false">IF(L2="","",IF(ABS(L2)&lt;=O2,"Yes","No"))</f>
        <v>No</v>
      </c>
      <c r="S2" s="32" t="str">
        <f aca="false">IF(L2="","",IF(ABS(L2)&lt;=1.96*O2,"Yes","No"))</f>
        <v>Yes</v>
      </c>
      <c r="T2" s="59" t="n">
        <f aca="false">IF(D2="","",ROUND(SQRT(((D2+G2)*O2/100)^2+(J2*(D2+G2)*0.09173)^2),0))</f>
        <v>22</v>
      </c>
      <c r="U2" s="32"/>
    </row>
    <row r="3" customFormat="false" ht="15" hidden="false" customHeight="false" outlineLevel="0" collapsed="false">
      <c r="A3" s="32" t="s">
        <v>159</v>
      </c>
      <c r="B3" s="32" t="s">
        <v>165</v>
      </c>
      <c r="C3" s="32" t="s">
        <v>161</v>
      </c>
      <c r="D3" s="59" t="n">
        <v>100</v>
      </c>
      <c r="E3" s="59" t="n">
        <v>118</v>
      </c>
      <c r="F3" s="68" t="n">
        <f aca="false">IF(E3="","",D3-E3)</f>
        <v>-18</v>
      </c>
      <c r="G3" s="59" t="n">
        <v>304</v>
      </c>
      <c r="H3" s="59" t="n">
        <v>300</v>
      </c>
      <c r="I3" s="68" t="n">
        <f aca="false">IF(H3="","",G3-H3)</f>
        <v>4</v>
      </c>
      <c r="J3" s="40" t="n">
        <f aca="false">IF(OR(D3="",D3+G3=0),"",D3/(D3+G3))</f>
        <v>0.247524752475248</v>
      </c>
      <c r="K3" s="40" t="n">
        <f aca="false">IF(E3="","",E3/(E3+H3))</f>
        <v>0.282296650717703</v>
      </c>
      <c r="L3" s="69" t="n">
        <f aca="false">IF(OR(K3="",J3=""),"",(J3-K3)*100)</f>
        <v>-3.47718982424558</v>
      </c>
      <c r="M3" s="36" t="n">
        <v>3.65244811615435</v>
      </c>
      <c r="N3" s="36" t="n">
        <v>1.26676233227734</v>
      </c>
      <c r="O3" s="36" t="n">
        <f aca="false">SQRT(M3^2+N3^2)</f>
        <v>3.86588463972688</v>
      </c>
      <c r="P3" s="40" t="n">
        <f aca="false">IF(J3="","",MAX(0,J3-1.96*O3/100))</f>
        <v>0.171753413536601</v>
      </c>
      <c r="Q3" s="40" t="n">
        <f aca="false">IF(J3="","",MIN(1,J3+1.96*O3/100))</f>
        <v>0.323296091413894</v>
      </c>
      <c r="R3" s="32" t="str">
        <f aca="false">IF(L3="","",IF(ABS(L3)&lt;=O3,"Yes","No"))</f>
        <v>Yes</v>
      </c>
      <c r="S3" s="32" t="str">
        <f aca="false">IF(L3="","",IF(ABS(L3)&lt;=1.96*O3,"Yes","No"))</f>
        <v>Yes</v>
      </c>
      <c r="T3" s="59" t="n">
        <f aca="false">IF(D3="","",ROUND(SQRT(((D3+G3)*O3/100)^2+(J3*(D3+G3)*0.09173)^2),0))</f>
        <v>18</v>
      </c>
      <c r="U3" s="32"/>
    </row>
    <row r="4" customFormat="false" ht="15" hidden="false" customHeight="false" outlineLevel="0" collapsed="false">
      <c r="A4" s="32" t="s">
        <v>159</v>
      </c>
      <c r="B4" s="32" t="s">
        <v>166</v>
      </c>
      <c r="C4" s="32" t="s">
        <v>161</v>
      </c>
      <c r="D4" s="59" t="n">
        <v>127</v>
      </c>
      <c r="E4" s="59" t="n">
        <v>144</v>
      </c>
      <c r="F4" s="68" t="n">
        <f aca="false">IF(E4="","",D4-E4)</f>
        <v>-17</v>
      </c>
      <c r="G4" s="59" t="n">
        <v>276</v>
      </c>
      <c r="H4" s="59" t="n">
        <v>310</v>
      </c>
      <c r="I4" s="68" t="n">
        <f aca="false">IF(H4="","",G4-H4)</f>
        <v>-34</v>
      </c>
      <c r="J4" s="40" t="n">
        <f aca="false">IF(OR(D4="",D4+G4=0),"",D4/(D4+G4))</f>
        <v>0.315136476426799</v>
      </c>
      <c r="K4" s="40" t="n">
        <f aca="false">IF(E4="","",E4/(E4+H4))</f>
        <v>0.317180616740088</v>
      </c>
      <c r="L4" s="69" t="n">
        <f aca="false">IF(OR(K4="",J4=""),"",(J4-K4)*100)</f>
        <v>-0.204414031328914</v>
      </c>
      <c r="M4" s="36" t="n">
        <v>3.65244811615435</v>
      </c>
      <c r="N4" s="36" t="n">
        <v>1.26676233227734</v>
      </c>
      <c r="O4" s="36" t="n">
        <f aca="false">SQRT(M4^2+N4^2)</f>
        <v>3.86588463972688</v>
      </c>
      <c r="P4" s="40" t="n">
        <f aca="false">IF(J4="","",MAX(0,J4-1.96*O4/100))</f>
        <v>0.239365137488152</v>
      </c>
      <c r="Q4" s="40" t="n">
        <f aca="false">IF(J4="","",MIN(1,J4+1.96*O4/100))</f>
        <v>0.390907815365446</v>
      </c>
      <c r="R4" s="32" t="str">
        <f aca="false">IF(L4="","",IF(ABS(L4)&lt;=O4,"Yes","No"))</f>
        <v>Yes</v>
      </c>
      <c r="S4" s="32" t="str">
        <f aca="false">IF(L4="","",IF(ABS(L4)&lt;=1.96*O4,"Yes","No"))</f>
        <v>Yes</v>
      </c>
      <c r="T4" s="59" t="n">
        <f aca="false">IF(D4="","",ROUND(SQRT(((D4+G4)*O4/100)^2+(J4*(D4+G4)*0.09173)^2),0))</f>
        <v>19</v>
      </c>
      <c r="U4" s="32"/>
    </row>
    <row r="5" customFormat="false" ht="15" hidden="false" customHeight="false" outlineLevel="0" collapsed="false">
      <c r="A5" s="32" t="s">
        <v>159</v>
      </c>
      <c r="B5" s="32" t="s">
        <v>167</v>
      </c>
      <c r="C5" s="32" t="s">
        <v>161</v>
      </c>
      <c r="D5" s="59" t="n">
        <v>401</v>
      </c>
      <c r="E5" s="59" t="n">
        <v>438</v>
      </c>
      <c r="F5" s="68" t="n">
        <f aca="false">IF(E5="","",D5-E5)</f>
        <v>-37</v>
      </c>
      <c r="G5" s="59" t="n">
        <v>1174</v>
      </c>
      <c r="H5" s="59" t="n">
        <v>1253</v>
      </c>
      <c r="I5" s="68" t="n">
        <f aca="false">IF(H5="","",G5-H5)</f>
        <v>-79</v>
      </c>
      <c r="J5" s="40" t="n">
        <f aca="false">IF(OR(D5="",D5+G5=0),"",D5/(D5+G5))</f>
        <v>0.254603174603175</v>
      </c>
      <c r="K5" s="40" t="n">
        <f aca="false">IF(E5="","",E5/(E5+H5))</f>
        <v>0.259018332347723</v>
      </c>
      <c r="L5" s="69" t="n">
        <f aca="false">IF(OR(K5="",J5=""),"",(J5-K5)*100)</f>
        <v>-0.441515774454865</v>
      </c>
      <c r="M5" s="36" t="n">
        <v>2.36962244366372</v>
      </c>
      <c r="N5" s="36" t="n">
        <v>1.26676233227734</v>
      </c>
      <c r="O5" s="36" t="n">
        <f aca="false">SQRT(M5^2+N5^2)</f>
        <v>2.68696805563288</v>
      </c>
      <c r="P5" s="40" t="n">
        <f aca="false">IF(J5="","",MAX(0,J5-1.96*O5/100))</f>
        <v>0.20193860071277</v>
      </c>
      <c r="Q5" s="40" t="n">
        <f aca="false">IF(J5="","",MIN(1,J5+1.96*O5/100))</f>
        <v>0.307267748493579</v>
      </c>
      <c r="R5" s="32" t="str">
        <f aca="false">IF(L5="","",IF(ABS(L5)&lt;=O5,"Yes","No"))</f>
        <v>Yes</v>
      </c>
      <c r="S5" s="32" t="str">
        <f aca="false">IF(L5="","",IF(ABS(L5)&lt;=1.96*O5,"Yes","No"))</f>
        <v>Yes</v>
      </c>
      <c r="T5" s="59" t="n">
        <f aca="false">IF(D5="","",ROUND(SQRT(((D5+G5)*O5/100)^2+(J5*(D5+G5)*0.07048)^2),0))</f>
        <v>51</v>
      </c>
      <c r="U5" s="32"/>
    </row>
    <row r="6" customFormat="false" ht="15" hidden="false" customHeight="false" outlineLevel="0" collapsed="false">
      <c r="A6" s="32" t="s">
        <v>159</v>
      </c>
      <c r="B6" s="32" t="s">
        <v>169</v>
      </c>
      <c r="C6" s="32" t="s">
        <v>161</v>
      </c>
      <c r="D6" s="59" t="n">
        <v>37</v>
      </c>
      <c r="E6" s="59" t="n">
        <v>38</v>
      </c>
      <c r="F6" s="68" t="n">
        <f aca="false">IF(E6="","",D6-E6)</f>
        <v>-1</v>
      </c>
      <c r="G6" s="59" t="n">
        <v>75</v>
      </c>
      <c r="H6" s="59" t="n">
        <v>78</v>
      </c>
      <c r="I6" s="68" t="n">
        <f aca="false">IF(H6="","",G6-H6)</f>
        <v>-3</v>
      </c>
      <c r="J6" s="40" t="n">
        <f aca="false">IF(OR(D6="",D6+G6=0),"",D6/(D6+G6))</f>
        <v>0.330357142857143</v>
      </c>
      <c r="K6" s="40" t="n">
        <f aca="false">IF(E6="","",E6/(E6+H6))</f>
        <v>0.327586206896552</v>
      </c>
      <c r="L6" s="69" t="n">
        <f aca="false">IF(OR(K6="",J6=""),"",(J6-K6)*100)</f>
        <v>0.277093596059114</v>
      </c>
      <c r="M6" s="36" t="n">
        <v>3.65244811615435</v>
      </c>
      <c r="N6" s="36" t="n">
        <v>1.26676233227734</v>
      </c>
      <c r="O6" s="36" t="n">
        <f aca="false">SQRT(M6^2+N6^2)</f>
        <v>3.86588463972688</v>
      </c>
      <c r="P6" s="40" t="n">
        <f aca="false">IF(J6="","",MAX(0,J6-1.96*O6/100))</f>
        <v>0.254585803918496</v>
      </c>
      <c r="Q6" s="40" t="n">
        <f aca="false">IF(J6="","",MIN(1,J6+1.96*O6/100))</f>
        <v>0.40612848179579</v>
      </c>
      <c r="R6" s="32" t="str">
        <f aca="false">IF(L6="","",IF(ABS(L6)&lt;=O6,"Yes","No"))</f>
        <v>Yes</v>
      </c>
      <c r="S6" s="32" t="str">
        <f aca="false">IF(L6="","",IF(ABS(L6)&lt;=1.96*O6,"Yes","No"))</f>
        <v>Yes</v>
      </c>
      <c r="T6" s="59" t="n">
        <f aca="false">IF(D6="","",ROUND(SQRT(((D6+G6)*O6/100)^2+(J6*(D6+G6)*0.09173)^2),0))</f>
        <v>6</v>
      </c>
      <c r="U6" s="32"/>
    </row>
    <row r="7" customFormat="false" ht="15" hidden="false" customHeight="false" outlineLevel="0" collapsed="false">
      <c r="A7" s="32" t="s">
        <v>159</v>
      </c>
      <c r="B7" s="32" t="s">
        <v>170</v>
      </c>
      <c r="C7" s="32" t="s">
        <v>161</v>
      </c>
      <c r="D7" s="59" t="n">
        <v>620</v>
      </c>
      <c r="E7" s="59" t="n">
        <v>708</v>
      </c>
      <c r="F7" s="68" t="n">
        <f aca="false">IF(E7="","",D7-E7)</f>
        <v>-88</v>
      </c>
      <c r="G7" s="59" t="n">
        <v>1812</v>
      </c>
      <c r="H7" s="59" t="n">
        <v>1846</v>
      </c>
      <c r="I7" s="68" t="n">
        <f aca="false">IF(H7="","",G7-H7)</f>
        <v>-34</v>
      </c>
      <c r="J7" s="40" t="n">
        <f aca="false">IF(OR(D7="",D7+G7=0),"",D7/(D7+G7))</f>
        <v>0.254934210526316</v>
      </c>
      <c r="K7" s="40" t="n">
        <f aca="false">IF(E7="","",E7/(E7+H7))</f>
        <v>0.277212216131558</v>
      </c>
      <c r="L7" s="69" t="n">
        <f aca="false">IF(OR(K7="",J7=""),"",(J7-K7)*100)</f>
        <v>-2.22780056052426</v>
      </c>
      <c r="M7" s="36" t="n">
        <v>2.36962244366372</v>
      </c>
      <c r="N7" s="36" t="n">
        <v>1.26676233227734</v>
      </c>
      <c r="O7" s="36" t="n">
        <f aca="false">SQRT(M7^2+N7^2)</f>
        <v>2.68696805563288</v>
      </c>
      <c r="P7" s="40" t="n">
        <f aca="false">IF(J7="","",MAX(0,J7-1.96*O7/100))</f>
        <v>0.202269636635911</v>
      </c>
      <c r="Q7" s="40" t="n">
        <f aca="false">IF(J7="","",MIN(1,J7+1.96*O7/100))</f>
        <v>0.30759878441672</v>
      </c>
      <c r="R7" s="32" t="str">
        <f aca="false">IF(L7="","",IF(ABS(L7)&lt;=O7,"Yes","No"))</f>
        <v>Yes</v>
      </c>
      <c r="S7" s="32" t="str">
        <f aca="false">IF(L7="","",IF(ABS(L7)&lt;=1.96*O7,"Yes","No"))</f>
        <v>Yes</v>
      </c>
      <c r="T7" s="59" t="n">
        <f aca="false">IF(D7="","",ROUND(SQRT(((D7+G7)*O7/100)^2+(J7*(D7+G7)*0.07048)^2),0))</f>
        <v>79</v>
      </c>
      <c r="U7" s="32"/>
    </row>
    <row r="8" customFormat="false" ht="15" hidden="false" customHeight="false" outlineLevel="0" collapsed="false">
      <c r="A8" s="32" t="s">
        <v>159</v>
      </c>
      <c r="B8" s="32" t="s">
        <v>171</v>
      </c>
      <c r="C8" s="32" t="s">
        <v>161</v>
      </c>
      <c r="D8" s="59" t="n">
        <v>1082</v>
      </c>
      <c r="E8" s="59" t="n">
        <v>1104</v>
      </c>
      <c r="F8" s="68" t="n">
        <f aca="false">IF(E8="","",D8-E8)</f>
        <v>-22</v>
      </c>
      <c r="G8" s="59" t="n">
        <v>1343</v>
      </c>
      <c r="H8" s="59" t="n">
        <v>1481</v>
      </c>
      <c r="I8" s="68" t="n">
        <f aca="false">IF(H8="","",G8-H8)</f>
        <v>-138</v>
      </c>
      <c r="J8" s="40" t="n">
        <f aca="false">IF(OR(D8="",D8+G8=0),"",D8/(D8+G8))</f>
        <v>0.446185567010309</v>
      </c>
      <c r="K8" s="40" t="n">
        <f aca="false">IF(E8="","",E8/(E8+H8))</f>
        <v>0.427079303675048</v>
      </c>
      <c r="L8" s="69" t="n">
        <f aca="false">IF(OR(K8="",J8=""),"",(J8-K8)*100)</f>
        <v>1.91062633352609</v>
      </c>
      <c r="M8" s="36" t="n">
        <v>2.36962244366372</v>
      </c>
      <c r="N8" s="36" t="n">
        <v>1.26676233227734</v>
      </c>
      <c r="O8" s="36" t="n">
        <f aca="false">SQRT(M8^2+N8^2)</f>
        <v>2.68696805563288</v>
      </c>
      <c r="P8" s="40" t="n">
        <f aca="false">IF(J8="","",MAX(0,J8-1.96*O8/100))</f>
        <v>0.393520993119905</v>
      </c>
      <c r="Q8" s="40" t="n">
        <f aca="false">IF(J8="","",MIN(1,J8+1.96*O8/100))</f>
        <v>0.498850140900714</v>
      </c>
      <c r="R8" s="32" t="str">
        <f aca="false">IF(L8="","",IF(ABS(L8)&lt;=O8,"Yes","No"))</f>
        <v>Yes</v>
      </c>
      <c r="S8" s="32" t="str">
        <f aca="false">IF(L8="","",IF(ABS(L8)&lt;=1.96*O8,"Yes","No"))</f>
        <v>Yes</v>
      </c>
      <c r="T8" s="59" t="n">
        <f aca="false">IF(D8="","",ROUND(SQRT(((D8+G8)*O8/100)^2+(J8*(D8+G8)*0.07048)^2),0))</f>
        <v>100</v>
      </c>
      <c r="U8" s="32"/>
    </row>
    <row r="9" customFormat="false" ht="15" hidden="false" customHeight="false" outlineLevel="0" collapsed="false">
      <c r="A9" s="32" t="s">
        <v>159</v>
      </c>
      <c r="B9" s="32" t="s">
        <v>172</v>
      </c>
      <c r="C9" s="32" t="s">
        <v>161</v>
      </c>
      <c r="D9" s="59" t="n">
        <v>330</v>
      </c>
      <c r="E9" s="59" t="n">
        <v>351</v>
      </c>
      <c r="F9" s="68" t="n">
        <f aca="false">IF(E9="","",D9-E9)</f>
        <v>-21</v>
      </c>
      <c r="G9" s="59" t="n">
        <v>706</v>
      </c>
      <c r="H9" s="59" t="n">
        <v>697</v>
      </c>
      <c r="I9" s="68" t="n">
        <f aca="false">IF(H9="","",G9-H9)</f>
        <v>9</v>
      </c>
      <c r="J9" s="40" t="n">
        <f aca="false">IF(OR(D9="",D9+G9=0),"",D9/(D9+G9))</f>
        <v>0.318532818532819</v>
      </c>
      <c r="K9" s="40" t="n">
        <f aca="false">IF(E9="","",E9/(E9+H9))</f>
        <v>0.334923664122137</v>
      </c>
      <c r="L9" s="69" t="n">
        <f aca="false">IF(OR(K9="",J9=""),"",(J9-K9)*100)</f>
        <v>-1.63908455893189</v>
      </c>
      <c r="M9" s="36" t="n">
        <v>3.65244811615435</v>
      </c>
      <c r="N9" s="36" t="n">
        <v>1.26676233227734</v>
      </c>
      <c r="O9" s="36" t="n">
        <f aca="false">SQRT(M9^2+N9^2)</f>
        <v>3.86588463972688</v>
      </c>
      <c r="P9" s="40" t="n">
        <f aca="false">IF(J9="","",MAX(0,J9-1.96*O9/100))</f>
        <v>0.242761479594172</v>
      </c>
      <c r="Q9" s="40" t="n">
        <f aca="false">IF(J9="","",MIN(1,J9+1.96*O9/100))</f>
        <v>0.394304157471465</v>
      </c>
      <c r="R9" s="32" t="str">
        <f aca="false">IF(L9="","",IF(ABS(L9)&lt;=O9,"Yes","No"))</f>
        <v>Yes</v>
      </c>
      <c r="S9" s="32" t="str">
        <f aca="false">IF(L9="","",IF(ABS(L9)&lt;=1.96*O9,"Yes","No"))</f>
        <v>Yes</v>
      </c>
      <c r="T9" s="59" t="n">
        <f aca="false">IF(D9="","",ROUND(SQRT(((D9+G9)*O9/100)^2+(J9*(D9+G9)*0.09173)^2),0))</f>
        <v>50</v>
      </c>
      <c r="U9" s="32"/>
    </row>
    <row r="10" customFormat="false" ht="15" hidden="false" customHeight="false" outlineLevel="0" collapsed="false">
      <c r="A10" s="32" t="s">
        <v>159</v>
      </c>
      <c r="B10" s="32" t="s">
        <v>173</v>
      </c>
      <c r="C10" s="32" t="s">
        <v>161</v>
      </c>
      <c r="D10" s="59" t="n">
        <v>573</v>
      </c>
      <c r="E10" s="59" t="n">
        <v>575</v>
      </c>
      <c r="F10" s="68" t="n">
        <f aca="false">IF(E10="","",D10-E10)</f>
        <v>-2</v>
      </c>
      <c r="G10" s="59" t="n">
        <v>836</v>
      </c>
      <c r="H10" s="59" t="n">
        <v>880</v>
      </c>
      <c r="I10" s="68" t="n">
        <f aca="false">IF(H10="","",G10-H10)</f>
        <v>-44</v>
      </c>
      <c r="J10" s="40" t="n">
        <f aca="false">IF(OR(D10="",D10+G10=0),"",D10/(D10+G10))</f>
        <v>0.40667139815472</v>
      </c>
      <c r="K10" s="40" t="n">
        <f aca="false">IF(E10="","",E10/(E10+H10))</f>
        <v>0.395189003436426</v>
      </c>
      <c r="L10" s="69" t="n">
        <f aca="false">IF(OR(K10="",J10=""),"",(J10-K10)*100)</f>
        <v>1.14823947182935</v>
      </c>
      <c r="M10" s="36" t="n">
        <v>3.65244811615435</v>
      </c>
      <c r="N10" s="36" t="n">
        <v>1.26676233227734</v>
      </c>
      <c r="O10" s="36" t="n">
        <f aca="false">SQRT(M10^2+N10^2)</f>
        <v>3.86588463972688</v>
      </c>
      <c r="P10" s="40" t="n">
        <f aca="false">IF(J10="","",MAX(0,J10-1.96*O10/100))</f>
        <v>0.330900059216073</v>
      </c>
      <c r="Q10" s="40" t="n">
        <f aca="false">IF(J10="","",MIN(1,J10+1.96*O10/100))</f>
        <v>0.482442737093366</v>
      </c>
      <c r="R10" s="32" t="str">
        <f aca="false">IF(L10="","",IF(ABS(L10)&lt;=O10,"Yes","No"))</f>
        <v>Yes</v>
      </c>
      <c r="S10" s="32" t="str">
        <f aca="false">IF(L10="","",IF(ABS(L10)&lt;=1.96*O10,"Yes","No"))</f>
        <v>Yes</v>
      </c>
      <c r="T10" s="59" t="n">
        <f aca="false">IF(D10="","",ROUND(SQRT(((D10+G10)*O10/100)^2+(J10*(D10+G10)*0.09173)^2),0))</f>
        <v>76</v>
      </c>
      <c r="U10" s="32"/>
    </row>
    <row r="11" customFormat="false" ht="15" hidden="false" customHeight="false" outlineLevel="0" collapsed="false">
      <c r="A11" s="32" t="s">
        <v>159</v>
      </c>
      <c r="B11" s="32" t="s">
        <v>174</v>
      </c>
      <c r="C11" s="32" t="s">
        <v>161</v>
      </c>
      <c r="D11" s="59" t="n">
        <v>42</v>
      </c>
      <c r="E11" s="59" t="n">
        <v>38</v>
      </c>
      <c r="F11" s="68" t="n">
        <f aca="false">IF(E11="","",D11-E11)</f>
        <v>4</v>
      </c>
      <c r="G11" s="59" t="n">
        <v>97</v>
      </c>
      <c r="H11" s="59" t="n">
        <v>107</v>
      </c>
      <c r="I11" s="68" t="n">
        <f aca="false">IF(H11="","",G11-H11)</f>
        <v>-10</v>
      </c>
      <c r="J11" s="40" t="n">
        <f aca="false">IF(OR(D11="",D11+G11=0),"",D11/(D11+G11))</f>
        <v>0.302158273381295</v>
      </c>
      <c r="K11" s="40" t="n">
        <f aca="false">IF(E11="","",E11/(E11+H11))</f>
        <v>0.262068965517241</v>
      </c>
      <c r="L11" s="69" t="n">
        <f aca="false">IF(OR(K11="",J11=""),"",(J11-K11)*100)</f>
        <v>4.00893078640536</v>
      </c>
      <c r="M11" s="36" t="n">
        <v>3.65244811615435</v>
      </c>
      <c r="N11" s="36" t="n">
        <v>1.26676233227734</v>
      </c>
      <c r="O11" s="36" t="n">
        <f aca="false">SQRT(M11^2+N11^2)</f>
        <v>3.86588463972688</v>
      </c>
      <c r="P11" s="40" t="n">
        <f aca="false">IF(J11="","",MAX(0,J11-1.96*O11/100))</f>
        <v>0.226386934442648</v>
      </c>
      <c r="Q11" s="40" t="n">
        <f aca="false">IF(J11="","",MIN(1,J11+1.96*O11/100))</f>
        <v>0.377929612319942</v>
      </c>
      <c r="R11" s="32" t="str">
        <f aca="false">IF(L11="","",IF(ABS(L11)&lt;=O11,"Yes","No"))</f>
        <v>No</v>
      </c>
      <c r="S11" s="32" t="str">
        <f aca="false">IF(L11="","",IF(ABS(L11)&lt;=1.96*O11,"Yes","No"))</f>
        <v>Yes</v>
      </c>
      <c r="T11" s="59" t="n">
        <f aca="false">IF(D11="","",ROUND(SQRT(((D11+G11)*O11/100)^2+(J11*(D11+G11)*0.09173)^2),0))</f>
        <v>7</v>
      </c>
      <c r="U11" s="32"/>
    </row>
    <row r="12" customFormat="false" ht="15" hidden="false" customHeight="false" outlineLevel="0" collapsed="false">
      <c r="A12" s="32" t="s">
        <v>159</v>
      </c>
      <c r="B12" s="32" t="s">
        <v>175</v>
      </c>
      <c r="C12" s="32" t="s">
        <v>161</v>
      </c>
      <c r="D12" s="59" t="n">
        <v>45</v>
      </c>
      <c r="E12" s="59" t="n">
        <v>58</v>
      </c>
      <c r="F12" s="68" t="n">
        <f aca="false">IF(E12="","",D12-E12)</f>
        <v>-13</v>
      </c>
      <c r="G12" s="59" t="n">
        <v>219</v>
      </c>
      <c r="H12" s="59" t="n">
        <v>216</v>
      </c>
      <c r="I12" s="68" t="n">
        <f aca="false">IF(H12="","",G12-H12)</f>
        <v>3</v>
      </c>
      <c r="J12" s="40" t="n">
        <f aca="false">IF(OR(D12="",D12+G12=0),"",D12/(D12+G12))</f>
        <v>0.170454545454545</v>
      </c>
      <c r="K12" s="40" t="n">
        <f aca="false">IF(E12="","",E12/(E12+H12))</f>
        <v>0.211678832116788</v>
      </c>
      <c r="L12" s="69" t="n">
        <f aca="false">IF(OR(K12="",J12=""),"",(J12-K12)*100)</f>
        <v>-4.12242866622429</v>
      </c>
      <c r="M12" s="36" t="n">
        <v>3.65244811615435</v>
      </c>
      <c r="N12" s="36" t="n">
        <v>1.26676233227734</v>
      </c>
      <c r="O12" s="36" t="n">
        <f aca="false">SQRT(M12^2+N12^2)</f>
        <v>3.86588463972688</v>
      </c>
      <c r="P12" s="40" t="n">
        <f aca="false">IF(J12="","",MAX(0,J12-1.96*O12/100))</f>
        <v>0.0946832065158987</v>
      </c>
      <c r="Q12" s="40" t="n">
        <f aca="false">IF(J12="","",MIN(1,J12+1.96*O12/100))</f>
        <v>0.246225884393192</v>
      </c>
      <c r="R12" s="32" t="str">
        <f aca="false">IF(L12="","",IF(ABS(L12)&lt;=O12,"Yes","No"))</f>
        <v>No</v>
      </c>
      <c r="S12" s="32" t="str">
        <f aca="false">IF(L12="","",IF(ABS(L12)&lt;=1.96*O12,"Yes","No"))</f>
        <v>Yes</v>
      </c>
      <c r="T12" s="59" t="n">
        <f aca="false">IF(D12="","",ROUND(SQRT(((D12+G12)*O12/100)^2+(J12*(D12+G12)*0.09173)^2),0))</f>
        <v>11</v>
      </c>
      <c r="U12" s="32"/>
    </row>
    <row r="13" customFormat="false" ht="15" hidden="false" customHeight="false" outlineLevel="0" collapsed="false">
      <c r="A13" s="32" t="s">
        <v>159</v>
      </c>
      <c r="B13" s="32" t="s">
        <v>176</v>
      </c>
      <c r="C13" s="32" t="s">
        <v>161</v>
      </c>
      <c r="D13" s="59" t="n">
        <v>888</v>
      </c>
      <c r="E13" s="59" t="n">
        <v>944</v>
      </c>
      <c r="F13" s="68" t="n">
        <f aca="false">IF(E13="","",D13-E13)</f>
        <v>-56</v>
      </c>
      <c r="G13" s="59" t="n">
        <v>1376</v>
      </c>
      <c r="H13" s="59" t="n">
        <v>1486</v>
      </c>
      <c r="I13" s="68" t="n">
        <f aca="false">IF(H13="","",G13-H13)</f>
        <v>-110</v>
      </c>
      <c r="J13" s="40" t="n">
        <f aca="false">IF(OR(D13="",D13+G13=0),"",D13/(D13+G13))</f>
        <v>0.392226148409894</v>
      </c>
      <c r="K13" s="40" t="n">
        <f aca="false">IF(E13="","",E13/(E13+H13))</f>
        <v>0.388477366255144</v>
      </c>
      <c r="L13" s="69" t="n">
        <f aca="false">IF(OR(K13="",J13=""),"",(J13-K13)*100)</f>
        <v>0.374878215475</v>
      </c>
      <c r="M13" s="36" t="n">
        <v>2.36962244366372</v>
      </c>
      <c r="N13" s="36" t="n">
        <v>1.26676233227734</v>
      </c>
      <c r="O13" s="36" t="n">
        <f aca="false">SQRT(M13^2+N13^2)</f>
        <v>2.68696805563288</v>
      </c>
      <c r="P13" s="40" t="n">
        <f aca="false">IF(J13="","",MAX(0,J13-1.96*O13/100))</f>
        <v>0.33956157451949</v>
      </c>
      <c r="Q13" s="40" t="n">
        <f aca="false">IF(J13="","",MIN(1,J13+1.96*O13/100))</f>
        <v>0.444890722300298</v>
      </c>
      <c r="R13" s="32" t="str">
        <f aca="false">IF(L13="","",IF(ABS(L13)&lt;=O13,"Yes","No"))</f>
        <v>Yes</v>
      </c>
      <c r="S13" s="32" t="str">
        <f aca="false">IF(L13="","",IF(ABS(L13)&lt;=1.96*O13,"Yes","No"))</f>
        <v>Yes</v>
      </c>
      <c r="T13" s="59" t="n">
        <f aca="false">IF(D13="","",ROUND(SQRT(((D13+G13)*O13/100)^2+(J13*(D13+G13)*0.07048)^2),0))</f>
        <v>87</v>
      </c>
      <c r="U13" s="32"/>
    </row>
    <row r="14" customFormat="false" ht="15" hidden="false" customHeight="false" outlineLevel="0" collapsed="false">
      <c r="A14" s="32" t="s">
        <v>159</v>
      </c>
      <c r="B14" s="32" t="s">
        <v>177</v>
      </c>
      <c r="C14" s="32" t="s">
        <v>161</v>
      </c>
      <c r="D14" s="59" t="n">
        <v>490</v>
      </c>
      <c r="E14" s="59" t="n">
        <v>515</v>
      </c>
      <c r="F14" s="68" t="n">
        <f aca="false">IF(E14="","",D14-E14)</f>
        <v>-25</v>
      </c>
      <c r="G14" s="59" t="n">
        <v>1191</v>
      </c>
      <c r="H14" s="59" t="n">
        <v>1293</v>
      </c>
      <c r="I14" s="68" t="n">
        <f aca="false">IF(H14="","",G14-H14)</f>
        <v>-102</v>
      </c>
      <c r="J14" s="40" t="n">
        <f aca="false">IF(OR(D14="",D14+G14=0),"",D14/(D14+G14))</f>
        <v>0.291493158834027</v>
      </c>
      <c r="K14" s="40" t="n">
        <f aca="false">IF(E14="","",E14/(E14+H14))</f>
        <v>0.284845132743363</v>
      </c>
      <c r="L14" s="69" t="n">
        <f aca="false">IF(OR(K14="",J14=""),"",(J14-K14)*100)</f>
        <v>0.664802609066456</v>
      </c>
      <c r="M14" s="36" t="n">
        <v>2.36962244366372</v>
      </c>
      <c r="N14" s="36" t="n">
        <v>1.26676233227734</v>
      </c>
      <c r="O14" s="36" t="n">
        <f aca="false">SQRT(M14^2+N14^2)</f>
        <v>2.68696805563288</v>
      </c>
      <c r="P14" s="40" t="n">
        <f aca="false">IF(J14="","",MAX(0,J14-1.96*O14/100))</f>
        <v>0.238828584943623</v>
      </c>
      <c r="Q14" s="40" t="n">
        <f aca="false">IF(J14="","",MIN(1,J14+1.96*O14/100))</f>
        <v>0.344157732724432</v>
      </c>
      <c r="R14" s="32" t="str">
        <f aca="false">IF(L14="","",IF(ABS(L14)&lt;=O14,"Yes","No"))</f>
        <v>Yes</v>
      </c>
      <c r="S14" s="32" t="str">
        <f aca="false">IF(L14="","",IF(ABS(L14)&lt;=1.96*O14,"Yes","No"))</f>
        <v>Yes</v>
      </c>
      <c r="T14" s="59" t="n">
        <f aca="false">IF(D14="","",ROUND(SQRT(((D14+G14)*O14/100)^2+(J14*(D14+G14)*0.07048)^2),0))</f>
        <v>57</v>
      </c>
      <c r="U14" s="32"/>
    </row>
    <row r="15" customFormat="false" ht="15" hidden="false" customHeight="false" outlineLevel="0" collapsed="false">
      <c r="A15" s="32" t="s">
        <v>159</v>
      </c>
      <c r="B15" s="32" t="s">
        <v>178</v>
      </c>
      <c r="C15" s="32" t="s">
        <v>161</v>
      </c>
      <c r="D15" s="59" t="n">
        <v>606</v>
      </c>
      <c r="E15" s="59" t="n">
        <v>694</v>
      </c>
      <c r="F15" s="68" t="n">
        <f aca="false">IF(E15="","",D15-E15)</f>
        <v>-88</v>
      </c>
      <c r="G15" s="59" t="n">
        <v>1583</v>
      </c>
      <c r="H15" s="59" t="n">
        <v>1695</v>
      </c>
      <c r="I15" s="68" t="n">
        <f aca="false">IF(H15="","",G15-H15)</f>
        <v>-112</v>
      </c>
      <c r="J15" s="40" t="n">
        <f aca="false">IF(OR(D15="",D15+G15=0),"",D15/(D15+G15))</f>
        <v>0.276838739150297</v>
      </c>
      <c r="K15" s="40" t="n">
        <f aca="false">IF(E15="","",E15/(E15+H15))</f>
        <v>0.290498116366681</v>
      </c>
      <c r="L15" s="69" t="n">
        <f aca="false">IF(OR(K15="",J15=""),"",(J15-K15)*100)</f>
        <v>-1.36593772163837</v>
      </c>
      <c r="M15" s="36" t="n">
        <v>2.36962244366372</v>
      </c>
      <c r="N15" s="36" t="n">
        <v>1.26676233227734</v>
      </c>
      <c r="O15" s="36" t="n">
        <f aca="false">SQRT(M15^2+N15^2)</f>
        <v>2.68696805563288</v>
      </c>
      <c r="P15" s="40" t="n">
        <f aca="false">IF(J15="","",MAX(0,J15-1.96*O15/100))</f>
        <v>0.224174165259892</v>
      </c>
      <c r="Q15" s="40" t="n">
        <f aca="false">IF(J15="","",MIN(1,J15+1.96*O15/100))</f>
        <v>0.329503313040701</v>
      </c>
      <c r="R15" s="32" t="str">
        <f aca="false">IF(L15="","",IF(ABS(L15)&lt;=O15,"Yes","No"))</f>
        <v>Yes</v>
      </c>
      <c r="S15" s="32" t="str">
        <f aca="false">IF(L15="","",IF(ABS(L15)&lt;=1.96*O15,"Yes","No"))</f>
        <v>Yes</v>
      </c>
      <c r="T15" s="59" t="n">
        <f aca="false">IF(D15="","",ROUND(SQRT(((D15+G15)*O15/100)^2+(J15*(D15+G15)*0.07048)^2),0))</f>
        <v>73</v>
      </c>
      <c r="U15" s="32"/>
    </row>
    <row r="16" customFormat="false" ht="15" hidden="false" customHeight="false" outlineLevel="0" collapsed="false">
      <c r="A16" s="32" t="s">
        <v>159</v>
      </c>
      <c r="B16" s="32" t="s">
        <v>179</v>
      </c>
      <c r="C16" s="32" t="s">
        <v>161</v>
      </c>
      <c r="D16" s="59" t="n">
        <v>565</v>
      </c>
      <c r="E16" s="59" t="n">
        <v>601</v>
      </c>
      <c r="F16" s="68" t="n">
        <f aca="false">IF(E16="","",D16-E16)</f>
        <v>-36</v>
      </c>
      <c r="G16" s="59" t="n">
        <v>891</v>
      </c>
      <c r="H16" s="59" t="n">
        <v>955</v>
      </c>
      <c r="I16" s="68" t="n">
        <f aca="false">IF(H16="","",G16-H16)</f>
        <v>-64</v>
      </c>
      <c r="J16" s="40" t="n">
        <f aca="false">IF(OR(D16="",D16+G16=0),"",D16/(D16+G16))</f>
        <v>0.388049450549451</v>
      </c>
      <c r="K16" s="40" t="n">
        <f aca="false">IF(E16="","",E16/(E16+H16))</f>
        <v>0.386246786632391</v>
      </c>
      <c r="L16" s="69" t="n">
        <f aca="false">IF(OR(K16="",J16=""),"",(J16-K16)*100)</f>
        <v>0.18026639170598</v>
      </c>
      <c r="M16" s="36" t="n">
        <v>3.65244811615435</v>
      </c>
      <c r="N16" s="36" t="n">
        <v>1.26676233227734</v>
      </c>
      <c r="O16" s="36" t="n">
        <f aca="false">SQRT(M16^2+N16^2)</f>
        <v>3.86588463972688</v>
      </c>
      <c r="P16" s="40" t="n">
        <f aca="false">IF(J16="","",MAX(0,J16-1.96*O16/100))</f>
        <v>0.312278111610804</v>
      </c>
      <c r="Q16" s="40" t="n">
        <f aca="false">IF(J16="","",MIN(1,J16+1.96*O16/100))</f>
        <v>0.463820789488097</v>
      </c>
      <c r="R16" s="32" t="str">
        <f aca="false">IF(L16="","",IF(ABS(L16)&lt;=O16,"Yes","No"))</f>
        <v>Yes</v>
      </c>
      <c r="S16" s="32" t="str">
        <f aca="false">IF(L16="","",IF(ABS(L16)&lt;=1.96*O16,"Yes","No"))</f>
        <v>Yes</v>
      </c>
      <c r="T16" s="59" t="n">
        <f aca="false">IF(D16="","",ROUND(SQRT(((D16+G16)*O16/100)^2+(J16*(D16+G16)*0.09173)^2),0))</f>
        <v>77</v>
      </c>
      <c r="U16" s="32"/>
    </row>
    <row r="17" customFormat="false" ht="15" hidden="false" customHeight="false" outlineLevel="0" collapsed="false">
      <c r="A17" s="32" t="s">
        <v>159</v>
      </c>
      <c r="B17" s="32" t="s">
        <v>180</v>
      </c>
      <c r="C17" s="32" t="s">
        <v>161</v>
      </c>
      <c r="D17" s="59" t="n">
        <v>99</v>
      </c>
      <c r="E17" s="59" t="n">
        <v>134</v>
      </c>
      <c r="F17" s="68" t="n">
        <f aca="false">IF(E17="","",D17-E17)</f>
        <v>-35</v>
      </c>
      <c r="G17" s="59" t="n">
        <v>496</v>
      </c>
      <c r="H17" s="59" t="n">
        <v>505</v>
      </c>
      <c r="I17" s="68" t="n">
        <f aca="false">IF(H17="","",G17-H17)</f>
        <v>-9</v>
      </c>
      <c r="J17" s="40" t="n">
        <f aca="false">IF(OR(D17="",D17+G17=0),"",D17/(D17+G17))</f>
        <v>0.166386554621849</v>
      </c>
      <c r="K17" s="40" t="n">
        <f aca="false">IF(E17="","",E17/(E17+H17))</f>
        <v>0.209702660406886</v>
      </c>
      <c r="L17" s="69" t="n">
        <f aca="false">IF(OR(K17="",J17=""),"",(J17-K17)*100)</f>
        <v>-4.3316105785037</v>
      </c>
      <c r="M17" s="36" t="n">
        <v>3.65244811615435</v>
      </c>
      <c r="N17" s="36" t="n">
        <v>1.26676233227734</v>
      </c>
      <c r="O17" s="36" t="n">
        <f aca="false">SQRT(M17^2+N17^2)</f>
        <v>3.86588463972688</v>
      </c>
      <c r="P17" s="40" t="n">
        <f aca="false">IF(J17="","",MAX(0,J17-1.96*O17/100))</f>
        <v>0.090615215683202</v>
      </c>
      <c r="Q17" s="40" t="n">
        <f aca="false">IF(J17="","",MIN(1,J17+1.96*O17/100))</f>
        <v>0.242157893560496</v>
      </c>
      <c r="R17" s="32" t="str">
        <f aca="false">IF(L17="","",IF(ABS(L17)&lt;=O17,"Yes","No"))</f>
        <v>No</v>
      </c>
      <c r="S17" s="32" t="str">
        <f aca="false">IF(L17="","",IF(ABS(L17)&lt;=1.96*O17,"Yes","No"))</f>
        <v>Yes</v>
      </c>
      <c r="T17" s="59" t="n">
        <f aca="false">IF(D17="","",ROUND(SQRT(((D17+G17)*O17/100)^2+(J17*(D17+G17)*0.09173)^2),0))</f>
        <v>25</v>
      </c>
      <c r="U17" s="32"/>
    </row>
    <row r="18" customFormat="false" ht="15" hidden="false" customHeight="false" outlineLevel="0" collapsed="false">
      <c r="A18" s="32" t="s">
        <v>159</v>
      </c>
      <c r="B18" s="32" t="s">
        <v>181</v>
      </c>
      <c r="C18" s="32" t="s">
        <v>161</v>
      </c>
      <c r="D18" s="59" t="n">
        <v>886</v>
      </c>
      <c r="E18" s="59" t="n">
        <v>981</v>
      </c>
      <c r="F18" s="68" t="n">
        <f aca="false">IF(E18="","",D18-E18)</f>
        <v>-95</v>
      </c>
      <c r="G18" s="59" t="n">
        <v>1674</v>
      </c>
      <c r="H18" s="59" t="n">
        <v>1740</v>
      </c>
      <c r="I18" s="68" t="n">
        <f aca="false">IF(H18="","",G18-H18)</f>
        <v>-66</v>
      </c>
      <c r="J18" s="40" t="n">
        <f aca="false">IF(OR(D18="",D18+G18=0),"",D18/(D18+G18))</f>
        <v>0.34609375</v>
      </c>
      <c r="K18" s="40" t="n">
        <f aca="false">IF(E18="","",E18/(E18+H18))</f>
        <v>0.360529217199559</v>
      </c>
      <c r="L18" s="69" t="n">
        <f aca="false">IF(OR(K18="",J18=""),"",(J18-K18)*100)</f>
        <v>-1.4435467199559</v>
      </c>
      <c r="M18" s="36" t="n">
        <v>2.36962244366372</v>
      </c>
      <c r="N18" s="36" t="n">
        <v>1.26676233227734</v>
      </c>
      <c r="O18" s="36" t="n">
        <f aca="false">SQRT(M18^2+N18^2)</f>
        <v>2.68696805563288</v>
      </c>
      <c r="P18" s="40" t="n">
        <f aca="false">IF(J18="","",MAX(0,J18-1.96*O18/100))</f>
        <v>0.293429176109596</v>
      </c>
      <c r="Q18" s="40" t="n">
        <f aca="false">IF(J18="","",MIN(1,J18+1.96*O18/100))</f>
        <v>0.398758323890404</v>
      </c>
      <c r="R18" s="32" t="str">
        <f aca="false">IF(L18="","",IF(ABS(L18)&lt;=O18,"Yes","No"))</f>
        <v>Yes</v>
      </c>
      <c r="S18" s="32" t="str">
        <f aca="false">IF(L18="","",IF(ABS(L18)&lt;=1.96*O18,"Yes","No"))</f>
        <v>Yes</v>
      </c>
      <c r="T18" s="59" t="n">
        <f aca="false">IF(D18="","",ROUND(SQRT(((D18+G18)*O18/100)^2+(J18*(D18+G18)*0.07048)^2),0))</f>
        <v>93</v>
      </c>
      <c r="U18" s="32"/>
    </row>
    <row r="19" customFormat="false" ht="15" hidden="false" customHeight="false" outlineLevel="0" collapsed="false">
      <c r="A19" s="32" t="s">
        <v>159</v>
      </c>
      <c r="B19" s="32" t="s">
        <v>182</v>
      </c>
      <c r="C19" s="32" t="s">
        <v>161</v>
      </c>
      <c r="D19" s="59" t="n">
        <v>53</v>
      </c>
      <c r="E19" s="59" t="n">
        <v>74</v>
      </c>
      <c r="F19" s="68" t="n">
        <f aca="false">IF(E19="","",D19-E19)</f>
        <v>-21</v>
      </c>
      <c r="G19" s="59" t="n">
        <v>162</v>
      </c>
      <c r="H19" s="59" t="n">
        <v>162</v>
      </c>
      <c r="I19" s="68" t="n">
        <f aca="false">IF(H19="","",G19-H19)</f>
        <v>0</v>
      </c>
      <c r="J19" s="40" t="n">
        <f aca="false">IF(OR(D19="",D19+G19=0),"",D19/(D19+G19))</f>
        <v>0.246511627906977</v>
      </c>
      <c r="K19" s="40" t="n">
        <f aca="false">IF(E19="","",E19/(E19+H19))</f>
        <v>0.313559322033898</v>
      </c>
      <c r="L19" s="69" t="n">
        <f aca="false">IF(OR(K19="",J19=""),"",(J19-K19)*100)</f>
        <v>-6.70476941269216</v>
      </c>
      <c r="M19" s="36" t="n">
        <v>3.65244811615435</v>
      </c>
      <c r="N19" s="36" t="n">
        <v>1.26676233227734</v>
      </c>
      <c r="O19" s="36" t="n">
        <f aca="false">SQRT(M19^2+N19^2)</f>
        <v>3.86588463972688</v>
      </c>
      <c r="P19" s="40" t="n">
        <f aca="false">IF(J19="","",MAX(0,J19-1.96*O19/100))</f>
        <v>0.17074028896833</v>
      </c>
      <c r="Q19" s="40" t="n">
        <f aca="false">IF(J19="","",MIN(1,J19+1.96*O19/100))</f>
        <v>0.322282966845624</v>
      </c>
      <c r="R19" s="32" t="str">
        <f aca="false">IF(L19="","",IF(ABS(L19)&lt;=O19,"Yes","No"))</f>
        <v>No</v>
      </c>
      <c r="S19" s="32" t="str">
        <f aca="false">IF(L19="","",IF(ABS(L19)&lt;=1.96*O19,"Yes","No"))</f>
        <v>Yes</v>
      </c>
      <c r="T19" s="59" t="n">
        <f aca="false">IF(D19="","",ROUND(SQRT(((D19+G19)*O19/100)^2+(J19*(D19+G19)*0.09173)^2),0))</f>
        <v>10</v>
      </c>
      <c r="U19" s="32"/>
    </row>
    <row r="20" customFormat="false" ht="15" hidden="false" customHeight="false" outlineLevel="0" collapsed="false">
      <c r="A20" s="32" t="s">
        <v>159</v>
      </c>
      <c r="B20" s="32" t="s">
        <v>183</v>
      </c>
      <c r="C20" s="32" t="s">
        <v>161</v>
      </c>
      <c r="D20" s="59" t="n">
        <v>1755</v>
      </c>
      <c r="E20" s="59" t="n">
        <v>2047</v>
      </c>
      <c r="F20" s="68" t="n">
        <f aca="false">IF(E20="","",D20-E20)</f>
        <v>-292</v>
      </c>
      <c r="G20" s="59" t="n">
        <v>3478</v>
      </c>
      <c r="H20" s="59" t="n">
        <v>3702</v>
      </c>
      <c r="I20" s="68" t="n">
        <f aca="false">IF(H20="","",G20-H20)</f>
        <v>-224</v>
      </c>
      <c r="J20" s="40" t="n">
        <f aca="false">IF(OR(D20="",D20+G20=0),"",D20/(D20+G20))</f>
        <v>0.335371679724823</v>
      </c>
      <c r="K20" s="40" t="n">
        <f aca="false">IF(E20="","",E20/(E20+H20))</f>
        <v>0.356061923812837</v>
      </c>
      <c r="L20" s="69" t="n">
        <f aca="false">IF(OR(K20="",J20=""),"",(J20-K20)*100)</f>
        <v>-2.06902440880138</v>
      </c>
      <c r="M20" s="36" t="n">
        <v>1.86778932532988</v>
      </c>
      <c r="N20" s="36" t="n">
        <v>1.26676233227734</v>
      </c>
      <c r="O20" s="36" t="n">
        <f aca="false">SQRT(M20^2+N20^2)</f>
        <v>2.2568393319625</v>
      </c>
      <c r="P20" s="40" t="n">
        <f aca="false">IF(J20="","",MAX(0,J20-1.96*O20/100))</f>
        <v>0.291137628818358</v>
      </c>
      <c r="Q20" s="40" t="n">
        <f aca="false">IF(J20="","",MIN(1,J20+1.96*O20/100))</f>
        <v>0.379605730631288</v>
      </c>
      <c r="R20" s="32" t="str">
        <f aca="false">IF(L20="","",IF(ABS(L20)&lt;=O20,"Yes","No"))</f>
        <v>Yes</v>
      </c>
      <c r="S20" s="32" t="str">
        <f aca="false">IF(L20="","",IF(ABS(L20)&lt;=1.96*O20,"Yes","No"))</f>
        <v>Yes</v>
      </c>
      <c r="T20" s="59" t="n">
        <f aca="false">IF(D20="","",ROUND(SQRT(((D20+G20)*O20/100)^2+(J20*(D20+G20)*0.06406)^2),0))</f>
        <v>163</v>
      </c>
      <c r="U20" s="32"/>
    </row>
    <row r="21" customFormat="false" ht="15" hidden="false" customHeight="false" outlineLevel="0" collapsed="false">
      <c r="A21" s="32" t="s">
        <v>159</v>
      </c>
      <c r="B21" s="32" t="s">
        <v>185</v>
      </c>
      <c r="C21" s="32" t="s">
        <v>161</v>
      </c>
      <c r="D21" s="59" t="n">
        <v>632</v>
      </c>
      <c r="E21" s="59" t="n">
        <v>660</v>
      </c>
      <c r="F21" s="68" t="n">
        <f aca="false">IF(E21="","",D21-E21)</f>
        <v>-28</v>
      </c>
      <c r="G21" s="59" t="n">
        <v>906</v>
      </c>
      <c r="H21" s="59" t="n">
        <v>913</v>
      </c>
      <c r="I21" s="68" t="n">
        <f aca="false">IF(H21="","",G21-H21)</f>
        <v>-7</v>
      </c>
      <c r="J21" s="40" t="n">
        <f aca="false">IF(OR(D21="",D21+G21=0),"",D21/(D21+G21))</f>
        <v>0.410923276983095</v>
      </c>
      <c r="K21" s="40" t="n">
        <f aca="false">IF(E21="","",E21/(E21+H21))</f>
        <v>0.41958041958042</v>
      </c>
      <c r="L21" s="69" t="n">
        <f aca="false">IF(OR(K21="",J21=""),"",(J21-K21)*100)</f>
        <v>-0.865714259732464</v>
      </c>
      <c r="M21" s="36" t="n">
        <v>3.65244811615435</v>
      </c>
      <c r="N21" s="36" t="n">
        <v>1.26676233227734</v>
      </c>
      <c r="O21" s="36" t="n">
        <f aca="false">SQRT(M21^2+N21^2)</f>
        <v>3.86588463972688</v>
      </c>
      <c r="P21" s="40" t="n">
        <f aca="false">IF(J21="","",MAX(0,J21-1.96*O21/100))</f>
        <v>0.335151938044448</v>
      </c>
      <c r="Q21" s="40" t="n">
        <f aca="false">IF(J21="","",MIN(1,J21+1.96*O21/100))</f>
        <v>0.486694615921742</v>
      </c>
      <c r="R21" s="32" t="str">
        <f aca="false">IF(L21="","",IF(ABS(L21)&lt;=O21,"Yes","No"))</f>
        <v>Yes</v>
      </c>
      <c r="S21" s="32" t="str">
        <f aca="false">IF(L21="","",IF(ABS(L21)&lt;=1.96*O21,"Yes","No"))</f>
        <v>Yes</v>
      </c>
      <c r="T21" s="59" t="n">
        <f aca="false">IF(D21="","",ROUND(SQRT(((D21+G21)*O21/100)^2+(J21*(D21+G21)*0.09173)^2),0))</f>
        <v>83</v>
      </c>
      <c r="U21" s="32"/>
    </row>
    <row r="22" customFormat="false" ht="15" hidden="false" customHeight="false" outlineLevel="0" collapsed="false">
      <c r="A22" s="32" t="s">
        <v>159</v>
      </c>
      <c r="B22" s="32" t="s">
        <v>186</v>
      </c>
      <c r="C22" s="32" t="s">
        <v>161</v>
      </c>
      <c r="D22" s="59" t="n">
        <v>677</v>
      </c>
      <c r="E22" s="59" t="n">
        <v>802</v>
      </c>
      <c r="F22" s="68" t="n">
        <f aca="false">IF(E22="","",D22-E22)</f>
        <v>-125</v>
      </c>
      <c r="G22" s="59" t="n">
        <v>1967</v>
      </c>
      <c r="H22" s="59" t="n">
        <v>1955</v>
      </c>
      <c r="I22" s="68" t="n">
        <f aca="false">IF(H22="","",G22-H22)</f>
        <v>12</v>
      </c>
      <c r="J22" s="40" t="n">
        <f aca="false">IF(OR(D22="",D22+G22=0),"",D22/(D22+G22))</f>
        <v>0.256051437216339</v>
      </c>
      <c r="K22" s="40" t="n">
        <f aca="false">IF(E22="","",E22/(E22+H22))</f>
        <v>0.290895901342038</v>
      </c>
      <c r="L22" s="69" t="n">
        <f aca="false">IF(OR(K22="",J22=""),"",(J22-K22)*100)</f>
        <v>-3.48444641256996</v>
      </c>
      <c r="M22" s="36" t="n">
        <v>2.36962244366372</v>
      </c>
      <c r="N22" s="36" t="n">
        <v>1.26676233227734</v>
      </c>
      <c r="O22" s="36" t="n">
        <f aca="false">SQRT(M22^2+N22^2)</f>
        <v>2.68696805563288</v>
      </c>
      <c r="P22" s="40" t="n">
        <f aca="false">IF(J22="","",MAX(0,J22-1.96*O22/100))</f>
        <v>0.203386863325934</v>
      </c>
      <c r="Q22" s="40" t="n">
        <f aca="false">IF(J22="","",MIN(1,J22+1.96*O22/100))</f>
        <v>0.308716011106743</v>
      </c>
      <c r="R22" s="32" t="str">
        <f aca="false">IF(L22="","",IF(ABS(L22)&lt;=O22,"Yes","No"))</f>
        <v>No</v>
      </c>
      <c r="S22" s="32" t="str">
        <f aca="false">IF(L22="","",IF(ABS(L22)&lt;=1.96*O22,"Yes","No"))</f>
        <v>Yes</v>
      </c>
      <c r="T22" s="59" t="n">
        <f aca="false">IF(D22="","",ROUND(SQRT(((D22+G22)*O22/100)^2+(J22*(D22+G22)*0.07048)^2),0))</f>
        <v>86</v>
      </c>
      <c r="U22" s="32"/>
    </row>
    <row r="23" customFormat="false" ht="15" hidden="false" customHeight="false" outlineLevel="0" collapsed="false">
      <c r="A23" s="32" t="s">
        <v>159</v>
      </c>
      <c r="B23" s="32" t="s">
        <v>187</v>
      </c>
      <c r="C23" s="32" t="s">
        <v>161</v>
      </c>
      <c r="D23" s="59" t="n">
        <v>310</v>
      </c>
      <c r="E23" s="59" t="n">
        <v>351</v>
      </c>
      <c r="F23" s="68" t="n">
        <f aca="false">IF(E23="","",D23-E23)</f>
        <v>-41</v>
      </c>
      <c r="G23" s="59" t="n">
        <v>879</v>
      </c>
      <c r="H23" s="59" t="n">
        <v>849</v>
      </c>
      <c r="I23" s="68" t="n">
        <f aca="false">IF(H23="","",G23-H23)</f>
        <v>30</v>
      </c>
      <c r="J23" s="40" t="n">
        <f aca="false">IF(OR(D23="",D23+G23=0),"",D23/(D23+G23))</f>
        <v>0.260723296888141</v>
      </c>
      <c r="K23" s="40" t="n">
        <f aca="false">IF(E23="","",E23/(E23+H23))</f>
        <v>0.2925</v>
      </c>
      <c r="L23" s="69" t="n">
        <f aca="false">IF(OR(K23="",J23=""),"",(J23-K23)*100)</f>
        <v>-3.17767031118587</v>
      </c>
      <c r="M23" s="36" t="n">
        <v>3.65244811615435</v>
      </c>
      <c r="N23" s="36" t="n">
        <v>1.26676233227734</v>
      </c>
      <c r="O23" s="36" t="n">
        <f aca="false">SQRT(M23^2+N23^2)</f>
        <v>3.86588463972688</v>
      </c>
      <c r="P23" s="40" t="n">
        <f aca="false">IF(J23="","",MAX(0,J23-1.96*O23/100))</f>
        <v>0.184951957949494</v>
      </c>
      <c r="Q23" s="40" t="n">
        <f aca="false">IF(J23="","",MIN(1,J23+1.96*O23/100))</f>
        <v>0.336494635826788</v>
      </c>
      <c r="R23" s="32" t="str">
        <f aca="false">IF(L23="","",IF(ABS(L23)&lt;=O23,"Yes","No"))</f>
        <v>Yes</v>
      </c>
      <c r="S23" s="32" t="str">
        <f aca="false">IF(L23="","",IF(ABS(L23)&lt;=1.96*O23,"Yes","No"))</f>
        <v>Yes</v>
      </c>
      <c r="T23" s="59" t="n">
        <f aca="false">IF(D23="","",ROUND(SQRT(((D23+G23)*O23/100)^2+(J23*(D23+G23)*0.09173)^2),0))</f>
        <v>54</v>
      </c>
      <c r="U23" s="32"/>
    </row>
    <row r="24" customFormat="false" ht="15" hidden="false" customHeight="false" outlineLevel="0" collapsed="false">
      <c r="A24" s="32" t="s">
        <v>159</v>
      </c>
      <c r="B24" s="32" t="s">
        <v>188</v>
      </c>
      <c r="C24" s="32" t="s">
        <v>161</v>
      </c>
      <c r="D24" s="59" t="n">
        <v>55</v>
      </c>
      <c r="E24" s="59" t="n">
        <v>58</v>
      </c>
      <c r="F24" s="68" t="n">
        <f aca="false">IF(E24="","",D24-E24)</f>
        <v>-3</v>
      </c>
      <c r="G24" s="59" t="n">
        <v>88</v>
      </c>
      <c r="H24" s="59" t="n">
        <v>105</v>
      </c>
      <c r="I24" s="68" t="n">
        <f aca="false">IF(H24="","",G24-H24)</f>
        <v>-17</v>
      </c>
      <c r="J24" s="40" t="n">
        <f aca="false">IF(OR(D24="",D24+G24=0),"",D24/(D24+G24))</f>
        <v>0.384615384615385</v>
      </c>
      <c r="K24" s="40" t="n">
        <f aca="false">IF(E24="","",E24/(E24+H24))</f>
        <v>0.355828220858896</v>
      </c>
      <c r="L24" s="69" t="n">
        <f aca="false">IF(OR(K24="",J24=""),"",(J24-K24)*100)</f>
        <v>2.87871637564889</v>
      </c>
      <c r="M24" s="36" t="n">
        <v>3.65244811615435</v>
      </c>
      <c r="N24" s="36" t="n">
        <v>1.26676233227734</v>
      </c>
      <c r="O24" s="36" t="n">
        <f aca="false">SQRT(M24^2+N24^2)</f>
        <v>3.86588463972688</v>
      </c>
      <c r="P24" s="40" t="n">
        <f aca="false">IF(J24="","",MAX(0,J24-1.96*O24/100))</f>
        <v>0.308844045676738</v>
      </c>
      <c r="Q24" s="40" t="n">
        <f aca="false">IF(J24="","",MIN(1,J24+1.96*O24/100))</f>
        <v>0.460386723554031</v>
      </c>
      <c r="R24" s="32" t="str">
        <f aca="false">IF(L24="","",IF(ABS(L24)&lt;=O24,"Yes","No"))</f>
        <v>Yes</v>
      </c>
      <c r="S24" s="32" t="str">
        <f aca="false">IF(L24="","",IF(ABS(L24)&lt;=1.96*O24,"Yes","No"))</f>
        <v>Yes</v>
      </c>
      <c r="T24" s="59" t="n">
        <f aca="false">IF(D24="","",ROUND(SQRT(((D24+G24)*O24/100)^2+(J24*(D24+G24)*0.09173)^2),0))</f>
        <v>7</v>
      </c>
      <c r="U24" s="32"/>
    </row>
    <row r="25" customFormat="false" ht="15" hidden="false" customHeight="false" outlineLevel="0" collapsed="false">
      <c r="A25" s="32" t="s">
        <v>189</v>
      </c>
      <c r="B25" s="32" t="s">
        <v>190</v>
      </c>
      <c r="C25" s="32" t="s">
        <v>161</v>
      </c>
      <c r="D25" s="59" t="n">
        <v>656</v>
      </c>
      <c r="E25" s="59" t="n">
        <v>601</v>
      </c>
      <c r="F25" s="68" t="n">
        <f aca="false">IF(E25="","",D25-E25)</f>
        <v>55</v>
      </c>
      <c r="G25" s="59" t="n">
        <v>758</v>
      </c>
      <c r="H25" s="59" t="n">
        <v>766</v>
      </c>
      <c r="I25" s="68" t="n">
        <f aca="false">IF(H25="","",G25-H25)</f>
        <v>-8</v>
      </c>
      <c r="J25" s="40" t="n">
        <f aca="false">IF(OR(D25="",D25+G25=0),"",D25/(D25+G25))</f>
        <v>0.463932107496464</v>
      </c>
      <c r="K25" s="40" t="n">
        <f aca="false">IF(E25="","",E25/(E25+H25))</f>
        <v>0.439648866130212</v>
      </c>
      <c r="L25" s="69" t="n">
        <f aca="false">IF(OR(K25="",J25=""),"",(J25-K25)*100)</f>
        <v>2.42832413662518</v>
      </c>
      <c r="M25" s="36" t="n">
        <v>3.65244811615435</v>
      </c>
      <c r="N25" s="36" t="n">
        <v>1.26676233227734</v>
      </c>
      <c r="O25" s="36" t="n">
        <f aca="false">SQRT(M25^2+N25^2)</f>
        <v>3.86588463972688</v>
      </c>
      <c r="P25" s="40" t="n">
        <f aca="false">IF(J25="","",MAX(0,J25-1.96*O25/100))</f>
        <v>0.388160768557817</v>
      </c>
      <c r="Q25" s="40" t="n">
        <f aca="false">IF(J25="","",MIN(1,J25+1.96*O25/100))</f>
        <v>0.539703446435111</v>
      </c>
      <c r="R25" s="32" t="str">
        <f aca="false">IF(L25="","",IF(ABS(L25)&lt;=O25,"Yes","No"))</f>
        <v>Yes</v>
      </c>
      <c r="S25" s="32" t="str">
        <f aca="false">IF(L25="","",IF(ABS(L25)&lt;=1.96*O25,"Yes","No"))</f>
        <v>Yes</v>
      </c>
      <c r="T25" s="59" t="n">
        <f aca="false">IF(D25="","",ROUND(SQRT(((D25+G25)*O25/100)^2+(J25*(D25+G25)*0.09173)^2),0))</f>
        <v>81</v>
      </c>
      <c r="U25" s="32"/>
    </row>
    <row r="26" customFormat="false" ht="15" hidden="false" customHeight="false" outlineLevel="0" collapsed="false">
      <c r="A26" s="32" t="s">
        <v>189</v>
      </c>
      <c r="B26" s="32" t="s">
        <v>191</v>
      </c>
      <c r="C26" s="32" t="s">
        <v>161</v>
      </c>
      <c r="D26" s="59" t="n">
        <v>27093</v>
      </c>
      <c r="E26" s="59" t="n">
        <v>26568</v>
      </c>
      <c r="F26" s="68" t="n">
        <f aca="false">IF(E26="","",D26-E26)</f>
        <v>525</v>
      </c>
      <c r="G26" s="59" t="n">
        <v>14592</v>
      </c>
      <c r="H26" s="59" t="n">
        <v>14583</v>
      </c>
      <c r="I26" s="68" t="n">
        <f aca="false">IF(H26="","",G26-H26)</f>
        <v>9</v>
      </c>
      <c r="J26" s="40" t="n">
        <f aca="false">IF(OR(D26="",D26+G26=0),"",D26/(D26+G26))</f>
        <v>0.64994602374955</v>
      </c>
      <c r="K26" s="40" t="n">
        <f aca="false">IF(E26="","",E26/(E26+H26))</f>
        <v>0.645622220602172</v>
      </c>
      <c r="L26" s="69" t="n">
        <f aca="false">IF(OR(K26="",J26=""),"",(J26-K26)*100)</f>
        <v>0.432380314737779</v>
      </c>
      <c r="M26" s="36" t="n">
        <v>1.86778932532988</v>
      </c>
      <c r="N26" s="36" t="n">
        <v>1.26676233227734</v>
      </c>
      <c r="O26" s="36" t="n">
        <f aca="false">SQRT(M26^2+N26^2)</f>
        <v>2.2568393319625</v>
      </c>
      <c r="P26" s="40" t="n">
        <f aca="false">IF(J26="","",MAX(0,J26-1.96*O26/100))</f>
        <v>0.605711972843085</v>
      </c>
      <c r="Q26" s="40" t="n">
        <f aca="false">IF(J26="","",MIN(1,J26+1.96*O26/100))</f>
        <v>0.694180074656015</v>
      </c>
      <c r="R26" s="32" t="str">
        <f aca="false">IF(L26="","",IF(ABS(L26)&lt;=O26,"Yes","No"))</f>
        <v>Yes</v>
      </c>
      <c r="S26" s="32" t="str">
        <f aca="false">IF(L26="","",IF(ABS(L26)&lt;=1.96*O26,"Yes","No"))</f>
        <v>Yes</v>
      </c>
      <c r="T26" s="59" t="n">
        <f aca="false">IF(D26="","",ROUND(SQRT(((D26+G26)*O26/100)^2+(J26*(D26+G26)*0.06406)^2),0))</f>
        <v>1974</v>
      </c>
      <c r="U26" s="32"/>
    </row>
    <row r="27" customFormat="false" ht="15" hidden="false" customHeight="false" outlineLevel="0" collapsed="false">
      <c r="A27" s="32" t="s">
        <v>189</v>
      </c>
      <c r="B27" s="32" t="s">
        <v>192</v>
      </c>
      <c r="C27" s="32" t="s">
        <v>161</v>
      </c>
      <c r="D27" s="59" t="n">
        <v>6533</v>
      </c>
      <c r="E27" s="59" t="n">
        <v>6612</v>
      </c>
      <c r="F27" s="68" t="n">
        <f aca="false">IF(E27="","",D27-E27)</f>
        <v>-79</v>
      </c>
      <c r="G27" s="59" t="n">
        <v>4107</v>
      </c>
      <c r="H27" s="59" t="n">
        <v>3834</v>
      </c>
      <c r="I27" s="68" t="n">
        <f aca="false">IF(H27="","",G27-H27)</f>
        <v>273</v>
      </c>
      <c r="J27" s="40" t="n">
        <f aca="false">IF(OR(D27="",D27+G27=0),"",D27/(D27+G27))</f>
        <v>0.614003759398496</v>
      </c>
      <c r="K27" s="40" t="n">
        <f aca="false">IF(E27="","",E27/(E27+H27))</f>
        <v>0.632969557725445</v>
      </c>
      <c r="L27" s="69" t="n">
        <f aca="false">IF(OR(K27="",J27=""),"",(J27-K27)*100)</f>
        <v>-1.89657983269489</v>
      </c>
      <c r="M27" s="36" t="n">
        <v>1.86778932532988</v>
      </c>
      <c r="N27" s="36" t="n">
        <v>1.26676233227734</v>
      </c>
      <c r="O27" s="36" t="n">
        <f aca="false">SQRT(M27^2+N27^2)</f>
        <v>2.2568393319625</v>
      </c>
      <c r="P27" s="40" t="n">
        <f aca="false">IF(J27="","",MAX(0,J27-1.96*O27/100))</f>
        <v>0.569769708492031</v>
      </c>
      <c r="Q27" s="40" t="n">
        <f aca="false">IF(J27="","",MIN(1,J27+1.96*O27/100))</f>
        <v>0.658237810304961</v>
      </c>
      <c r="R27" s="32" t="str">
        <f aca="false">IF(L27="","",IF(ABS(L27)&lt;=O27,"Yes","No"))</f>
        <v>Yes</v>
      </c>
      <c r="S27" s="32" t="str">
        <f aca="false">IF(L27="","",IF(ABS(L27)&lt;=1.96*O27,"Yes","No"))</f>
        <v>Yes</v>
      </c>
      <c r="T27" s="59" t="n">
        <f aca="false">IF(D27="","",ROUND(SQRT(((D27+G27)*O27/100)^2+(J27*(D27+G27)*0.06406)^2),0))</f>
        <v>483</v>
      </c>
      <c r="U27" s="32"/>
    </row>
    <row r="28" customFormat="false" ht="15" hidden="false" customHeight="false" outlineLevel="0" collapsed="false">
      <c r="A28" s="32" t="s">
        <v>189</v>
      </c>
      <c r="B28" s="32" t="s">
        <v>193</v>
      </c>
      <c r="C28" s="32" t="s">
        <v>161</v>
      </c>
      <c r="D28" s="59" t="n">
        <v>1555</v>
      </c>
      <c r="E28" s="59" t="n">
        <v>1560</v>
      </c>
      <c r="F28" s="68" t="n">
        <f aca="false">IF(E28="","",D28-E28)</f>
        <v>-5</v>
      </c>
      <c r="G28" s="59" t="n">
        <v>1531</v>
      </c>
      <c r="H28" s="59" t="n">
        <v>1491</v>
      </c>
      <c r="I28" s="68" t="n">
        <f aca="false">IF(H28="","",G28-H28)</f>
        <v>40</v>
      </c>
      <c r="J28" s="40" t="n">
        <f aca="false">IF(OR(D28="",D28+G28=0),"",D28/(D28+G28))</f>
        <v>0.503888528839922</v>
      </c>
      <c r="K28" s="40" t="n">
        <f aca="false">IF(E28="","",E28/(E28+H28))</f>
        <v>0.511307767944936</v>
      </c>
      <c r="L28" s="69" t="n">
        <f aca="false">IF(OR(K28="",J28=""),"",(J28-K28)*100)</f>
        <v>-0.741923910501385</v>
      </c>
      <c r="M28" s="36" t="n">
        <v>2.36962244366372</v>
      </c>
      <c r="N28" s="36" t="n">
        <v>1.26676233227734</v>
      </c>
      <c r="O28" s="36" t="n">
        <f aca="false">SQRT(M28^2+N28^2)</f>
        <v>2.68696805563288</v>
      </c>
      <c r="P28" s="40" t="n">
        <f aca="false">IF(J28="","",MAX(0,J28-1.96*O28/100))</f>
        <v>0.451223954949518</v>
      </c>
      <c r="Q28" s="40" t="n">
        <f aca="false">IF(J28="","",MIN(1,J28+1.96*O28/100))</f>
        <v>0.556553102730327</v>
      </c>
      <c r="R28" s="32" t="str">
        <f aca="false">IF(L28="","",IF(ABS(L28)&lt;=O28,"Yes","No"))</f>
        <v>Yes</v>
      </c>
      <c r="S28" s="32" t="str">
        <f aca="false">IF(L28="","",IF(ABS(L28)&lt;=1.96*O28,"Yes","No"))</f>
        <v>Yes</v>
      </c>
      <c r="T28" s="59" t="n">
        <f aca="false">IF(D28="","",ROUND(SQRT(((D28+G28)*O28/100)^2+(J28*(D28+G28)*0.07048)^2),0))</f>
        <v>137</v>
      </c>
      <c r="U28" s="32"/>
    </row>
    <row r="29" customFormat="false" ht="15" hidden="false" customHeight="false" outlineLevel="0" collapsed="false">
      <c r="A29" s="32" t="s">
        <v>189</v>
      </c>
      <c r="B29" s="32" t="s">
        <v>194</v>
      </c>
      <c r="C29" s="32" t="s">
        <v>161</v>
      </c>
      <c r="D29" s="59" t="n">
        <v>732</v>
      </c>
      <c r="E29" s="59" t="n">
        <v>735</v>
      </c>
      <c r="F29" s="68" t="n">
        <f aca="false">IF(E29="","",D29-E29)</f>
        <v>-3</v>
      </c>
      <c r="G29" s="59" t="n">
        <v>839</v>
      </c>
      <c r="H29" s="59" t="n">
        <v>804</v>
      </c>
      <c r="I29" s="68" t="n">
        <f aca="false">IF(H29="","",G29-H29)</f>
        <v>35</v>
      </c>
      <c r="J29" s="40" t="n">
        <f aca="false">IF(OR(D29="",D29+G29=0),"",D29/(D29+G29))</f>
        <v>0.465945257797581</v>
      </c>
      <c r="K29" s="40" t="n">
        <f aca="false">IF(E29="","",E29/(E29+H29))</f>
        <v>0.477582846003899</v>
      </c>
      <c r="L29" s="69" t="n">
        <f aca="false">IF(OR(K29="",J29=""),"",(J29-K29)*100)</f>
        <v>-1.16375882063174</v>
      </c>
      <c r="M29" s="36" t="n">
        <v>2.36962244366372</v>
      </c>
      <c r="N29" s="36" t="n">
        <v>1.26676233227734</v>
      </c>
      <c r="O29" s="36" t="n">
        <f aca="false">SQRT(M29^2+N29^2)</f>
        <v>2.68696805563288</v>
      </c>
      <c r="P29" s="40" t="n">
        <f aca="false">IF(J29="","",MAX(0,J29-1.96*O29/100))</f>
        <v>0.413280683907177</v>
      </c>
      <c r="Q29" s="40" t="n">
        <f aca="false">IF(J29="","",MIN(1,J29+1.96*O29/100))</f>
        <v>0.518609831687986</v>
      </c>
      <c r="R29" s="32" t="str">
        <f aca="false">IF(L29="","",IF(ABS(L29)&lt;=O29,"Yes","No"))</f>
        <v>Yes</v>
      </c>
      <c r="S29" s="32" t="str">
        <f aca="false">IF(L29="","",IF(ABS(L29)&lt;=1.96*O29,"Yes","No"))</f>
        <v>Yes</v>
      </c>
      <c r="T29" s="59" t="n">
        <f aca="false">IF(D29="","",ROUND(SQRT(((D29+G29)*O29/100)^2+(J29*(D29+G29)*0.07048)^2),0))</f>
        <v>67</v>
      </c>
      <c r="U29" s="32"/>
    </row>
    <row r="30" customFormat="false" ht="15" hidden="false" customHeight="false" outlineLevel="0" collapsed="false">
      <c r="A30" s="32" t="s">
        <v>189</v>
      </c>
      <c r="B30" s="32" t="s">
        <v>195</v>
      </c>
      <c r="C30" s="32" t="s">
        <v>161</v>
      </c>
      <c r="D30" s="59" t="n">
        <v>927</v>
      </c>
      <c r="E30" s="59" t="n">
        <v>899</v>
      </c>
      <c r="F30" s="68" t="n">
        <f aca="false">IF(E30="","",D30-E30)</f>
        <v>28</v>
      </c>
      <c r="G30" s="59" t="n">
        <v>910</v>
      </c>
      <c r="H30" s="59" t="n">
        <v>898</v>
      </c>
      <c r="I30" s="68" t="n">
        <f aca="false">IF(H30="","",G30-H30)</f>
        <v>12</v>
      </c>
      <c r="J30" s="40" t="n">
        <f aca="false">IF(OR(D30="",D30+G30=0),"",D30/(D30+G30))</f>
        <v>0.504627109417529</v>
      </c>
      <c r="K30" s="40" t="n">
        <f aca="false">IF(E30="","",E30/(E30+H30))</f>
        <v>0.500278241513634</v>
      </c>
      <c r="L30" s="69" t="n">
        <f aca="false">IF(OR(K30="",J30=""),"",(J30-K30)*100)</f>
        <v>0.434886790389466</v>
      </c>
      <c r="M30" s="36" t="n">
        <v>2.36962244366372</v>
      </c>
      <c r="N30" s="36" t="n">
        <v>1.26676233227734</v>
      </c>
      <c r="O30" s="36" t="n">
        <f aca="false">SQRT(M30^2+N30^2)</f>
        <v>2.68696805563288</v>
      </c>
      <c r="P30" s="40" t="n">
        <f aca="false">IF(J30="","",MAX(0,J30-1.96*O30/100))</f>
        <v>0.451962535527124</v>
      </c>
      <c r="Q30" s="40" t="n">
        <f aca="false">IF(J30="","",MIN(1,J30+1.96*O30/100))</f>
        <v>0.557291683307933</v>
      </c>
      <c r="R30" s="32" t="str">
        <f aca="false">IF(L30="","",IF(ABS(L30)&lt;=O30,"Yes","No"))</f>
        <v>Yes</v>
      </c>
      <c r="S30" s="32" t="str">
        <f aca="false">IF(L30="","",IF(ABS(L30)&lt;=1.96*O30,"Yes","No"))</f>
        <v>Yes</v>
      </c>
      <c r="T30" s="59" t="n">
        <f aca="false">IF(D30="","",ROUND(SQRT(((D30+G30)*O30/100)^2+(J30*(D30+G30)*0.07048)^2),0))</f>
        <v>82</v>
      </c>
      <c r="U30" s="32"/>
    </row>
    <row r="31" customFormat="false" ht="15" hidden="false" customHeight="false" outlineLevel="0" collapsed="false">
      <c r="A31" s="32" t="s">
        <v>189</v>
      </c>
      <c r="B31" s="32" t="s">
        <v>196</v>
      </c>
      <c r="C31" s="32" t="s">
        <v>161</v>
      </c>
      <c r="D31" s="59" t="n">
        <v>3562</v>
      </c>
      <c r="E31" s="59" t="n">
        <v>3663</v>
      </c>
      <c r="F31" s="68" t="n">
        <f aca="false">IF(E31="","",D31-E31)</f>
        <v>-101</v>
      </c>
      <c r="G31" s="59" t="n">
        <v>3296</v>
      </c>
      <c r="H31" s="59" t="n">
        <v>3236</v>
      </c>
      <c r="I31" s="68" t="n">
        <f aca="false">IF(H31="","",G31-H31)</f>
        <v>60</v>
      </c>
      <c r="J31" s="40" t="n">
        <f aca="false">IF(OR(D31="",D31+G31=0),"",D31/(D31+G31))</f>
        <v>0.519393409157189</v>
      </c>
      <c r="K31" s="40" t="n">
        <f aca="false">IF(E31="","",E31/(E31+H31))</f>
        <v>0.530946513987535</v>
      </c>
      <c r="L31" s="69" t="n">
        <f aca="false">IF(OR(K31="",J31=""),"",(J31-K31)*100)</f>
        <v>-1.15531048303458</v>
      </c>
      <c r="M31" s="36" t="n">
        <v>1.86778932532988</v>
      </c>
      <c r="N31" s="36" t="n">
        <v>1.26676233227734</v>
      </c>
      <c r="O31" s="36" t="n">
        <f aca="false">SQRT(M31^2+N31^2)</f>
        <v>2.2568393319625</v>
      </c>
      <c r="P31" s="40" t="n">
        <f aca="false">IF(J31="","",MAX(0,J31-1.96*O31/100))</f>
        <v>0.475159358250724</v>
      </c>
      <c r="Q31" s="40" t="n">
        <f aca="false">IF(J31="","",MIN(1,J31+1.96*O31/100))</f>
        <v>0.563627460063654</v>
      </c>
      <c r="R31" s="32" t="str">
        <f aca="false">IF(L31="","",IF(ABS(L31)&lt;=O31,"Yes","No"))</f>
        <v>Yes</v>
      </c>
      <c r="S31" s="32" t="str">
        <f aca="false">IF(L31="","",IF(ABS(L31)&lt;=1.96*O31,"Yes","No"))</f>
        <v>Yes</v>
      </c>
      <c r="T31" s="59" t="n">
        <f aca="false">IF(D31="","",ROUND(SQRT(((D31+G31)*O31/100)^2+(J31*(D31+G31)*0.06406)^2),0))</f>
        <v>276</v>
      </c>
      <c r="U31" s="32"/>
    </row>
    <row r="32" customFormat="false" ht="15" hidden="false" customHeight="false" outlineLevel="0" collapsed="false">
      <c r="A32" s="32" t="s">
        <v>189</v>
      </c>
      <c r="B32" s="32" t="s">
        <v>197</v>
      </c>
      <c r="C32" s="32" t="s">
        <v>161</v>
      </c>
      <c r="D32" s="59" t="n">
        <v>1527</v>
      </c>
      <c r="E32" s="59" t="n">
        <v>1433</v>
      </c>
      <c r="F32" s="68" t="n">
        <f aca="false">IF(E32="","",D32-E32)</f>
        <v>94</v>
      </c>
      <c r="G32" s="59" t="n">
        <v>814</v>
      </c>
      <c r="H32" s="59" t="n">
        <v>793</v>
      </c>
      <c r="I32" s="68" t="n">
        <f aca="false">IF(H32="","",G32-H32)</f>
        <v>21</v>
      </c>
      <c r="J32" s="40" t="n">
        <f aca="false">IF(OR(D32="",D32+G32=0),"",D32/(D32+G32))</f>
        <v>0.65228534814182</v>
      </c>
      <c r="K32" s="40" t="n">
        <f aca="false">IF(E32="","",E32/(E32+H32))</f>
        <v>0.643755615453729</v>
      </c>
      <c r="L32" s="69" t="n">
        <f aca="false">IF(OR(K32="",J32=""),"",(J32-K32)*100)</f>
        <v>0.85297326880911</v>
      </c>
      <c r="M32" s="36" t="n">
        <v>2.36962244366372</v>
      </c>
      <c r="N32" s="36" t="n">
        <v>1.26676233227734</v>
      </c>
      <c r="O32" s="36" t="n">
        <f aca="false">SQRT(M32^2+N32^2)</f>
        <v>2.68696805563288</v>
      </c>
      <c r="P32" s="40" t="n">
        <f aca="false">IF(J32="","",MAX(0,J32-1.96*O32/100))</f>
        <v>0.599620774251415</v>
      </c>
      <c r="Q32" s="40" t="n">
        <f aca="false">IF(J32="","",MIN(1,J32+1.96*O32/100))</f>
        <v>0.704949922032224</v>
      </c>
      <c r="R32" s="32" t="str">
        <f aca="false">IF(L32="","",IF(ABS(L32)&lt;=O32,"Yes","No"))</f>
        <v>Yes</v>
      </c>
      <c r="S32" s="32" t="str">
        <f aca="false">IF(L32="","",IF(ABS(L32)&lt;=1.96*O32,"Yes","No"))</f>
        <v>Yes</v>
      </c>
      <c r="T32" s="59" t="n">
        <f aca="false">IF(D32="","",ROUND(SQRT(((D32+G32)*O32/100)^2+(J32*(D32+G32)*0.07048)^2),0))</f>
        <v>125</v>
      </c>
      <c r="U32" s="32"/>
    </row>
    <row r="33" customFormat="false" ht="15" hidden="false" customHeight="false" outlineLevel="0" collapsed="false">
      <c r="A33" s="32" t="s">
        <v>189</v>
      </c>
      <c r="B33" s="32" t="s">
        <v>198</v>
      </c>
      <c r="C33" s="32" t="s">
        <v>161</v>
      </c>
      <c r="D33" s="59" t="n">
        <v>388</v>
      </c>
      <c r="E33" s="59" t="n">
        <v>379</v>
      </c>
      <c r="F33" s="68" t="n">
        <f aca="false">IF(E33="","",D33-E33)</f>
        <v>9</v>
      </c>
      <c r="G33" s="59" t="n">
        <v>351</v>
      </c>
      <c r="H33" s="59" t="n">
        <v>330</v>
      </c>
      <c r="I33" s="68" t="n">
        <f aca="false">IF(H33="","",G33-H33)</f>
        <v>21</v>
      </c>
      <c r="J33" s="40" t="n">
        <f aca="false">IF(OR(D33="",D33+G33=0),"",D33/(D33+G33))</f>
        <v>0.525033829499323</v>
      </c>
      <c r="K33" s="40" t="n">
        <f aca="false">IF(E33="","",E33/(E33+H33))</f>
        <v>0.534555712270804</v>
      </c>
      <c r="L33" s="69" t="n">
        <f aca="false">IF(OR(K33="",J33=""),"",(J33-K33)*100)</f>
        <v>-0.952188277148047</v>
      </c>
      <c r="M33" s="36" t="n">
        <v>3.65244811615435</v>
      </c>
      <c r="N33" s="36" t="n">
        <v>1.26676233227734</v>
      </c>
      <c r="O33" s="36" t="n">
        <f aca="false">SQRT(M33^2+N33^2)</f>
        <v>3.86588463972688</v>
      </c>
      <c r="P33" s="40" t="n">
        <f aca="false">IF(J33="","",MAX(0,J33-1.96*O33/100))</f>
        <v>0.449262490560677</v>
      </c>
      <c r="Q33" s="40" t="n">
        <f aca="false">IF(J33="","",MIN(1,J33+1.96*O33/100))</f>
        <v>0.60080516843797</v>
      </c>
      <c r="R33" s="32" t="str">
        <f aca="false">IF(L33="","",IF(ABS(L33)&lt;=O33,"Yes","No"))</f>
        <v>Yes</v>
      </c>
      <c r="S33" s="32" t="str">
        <f aca="false">IF(L33="","",IF(ABS(L33)&lt;=1.96*O33,"Yes","No"))</f>
        <v>Yes</v>
      </c>
      <c r="T33" s="59" t="n">
        <f aca="false">IF(D33="","",ROUND(SQRT(((D33+G33)*O33/100)^2+(J33*(D33+G33)*0.09173)^2),0))</f>
        <v>46</v>
      </c>
      <c r="U33" s="32"/>
    </row>
    <row r="34" customFormat="false" ht="15" hidden="false" customHeight="false" outlineLevel="0" collapsed="false">
      <c r="A34" s="32" t="s">
        <v>189</v>
      </c>
      <c r="B34" s="32" t="s">
        <v>199</v>
      </c>
      <c r="C34" s="32" t="s">
        <v>161</v>
      </c>
      <c r="D34" s="59" t="n">
        <v>603</v>
      </c>
      <c r="E34" s="59" t="n">
        <v>654</v>
      </c>
      <c r="F34" s="68" t="n">
        <f aca="false">IF(E34="","",D34-E34)</f>
        <v>-51</v>
      </c>
      <c r="G34" s="59" t="n">
        <v>1451</v>
      </c>
      <c r="H34" s="59" t="n">
        <v>1439</v>
      </c>
      <c r="I34" s="68" t="n">
        <f aca="false">IF(H34="","",G34-H34)</f>
        <v>12</v>
      </c>
      <c r="J34" s="40" t="n">
        <f aca="false">IF(OR(D34="",D34+G34=0),"",D34/(D34+G34))</f>
        <v>0.293573515092502</v>
      </c>
      <c r="K34" s="40" t="n">
        <f aca="false">IF(E34="","",E34/(E34+H34))</f>
        <v>0.312470138557095</v>
      </c>
      <c r="L34" s="69" t="n">
        <f aca="false">IF(OR(K34="",J34=""),"",(J34-K34)*100)</f>
        <v>-1.88966234645926</v>
      </c>
      <c r="M34" s="36" t="n">
        <v>2.36962244366372</v>
      </c>
      <c r="N34" s="36" t="n">
        <v>1.26676233227734</v>
      </c>
      <c r="O34" s="36" t="n">
        <f aca="false">SQRT(M34^2+N34^2)</f>
        <v>2.68696805563288</v>
      </c>
      <c r="P34" s="40" t="n">
        <f aca="false">IF(J34="","",MAX(0,J34-1.96*O34/100))</f>
        <v>0.240908941202098</v>
      </c>
      <c r="Q34" s="40" t="n">
        <f aca="false">IF(J34="","",MIN(1,J34+1.96*O34/100))</f>
        <v>0.346238088982907</v>
      </c>
      <c r="R34" s="32" t="str">
        <f aca="false">IF(L34="","",IF(ABS(L34)&lt;=O34,"Yes","No"))</f>
        <v>Yes</v>
      </c>
      <c r="S34" s="32" t="str">
        <f aca="false">IF(L34="","",IF(ABS(L34)&lt;=1.96*O34,"Yes","No"))</f>
        <v>Yes</v>
      </c>
      <c r="T34" s="59" t="n">
        <f aca="false">IF(D34="","",ROUND(SQRT(((D34+G34)*O34/100)^2+(J34*(D34+G34)*0.07048)^2),0))</f>
        <v>70</v>
      </c>
      <c r="U34" s="32"/>
    </row>
    <row r="35" customFormat="false" ht="15" hidden="false" customHeight="false" outlineLevel="0" collapsed="false">
      <c r="A35" s="32" t="s">
        <v>189</v>
      </c>
      <c r="B35" s="32" t="s">
        <v>200</v>
      </c>
      <c r="C35" s="32" t="s">
        <v>161</v>
      </c>
      <c r="D35" s="59" t="n">
        <v>9980</v>
      </c>
      <c r="E35" s="59" t="n">
        <v>10021</v>
      </c>
      <c r="F35" s="68" t="n">
        <f aca="false">IF(E35="","",D35-E35)</f>
        <v>-41</v>
      </c>
      <c r="G35" s="59" t="n">
        <v>10456</v>
      </c>
      <c r="H35" s="59" t="n">
        <v>10199</v>
      </c>
      <c r="I35" s="68" t="n">
        <f aca="false">IF(H35="","",G35-H35)</f>
        <v>257</v>
      </c>
      <c r="J35" s="40" t="n">
        <f aca="false">IF(OR(D35="",D35+G35=0),"",D35/(D35+G35))</f>
        <v>0.48835388530045</v>
      </c>
      <c r="K35" s="40" t="n">
        <f aca="false">IF(E35="","",E35/(E35+H35))</f>
        <v>0.495598417408506</v>
      </c>
      <c r="L35" s="69" t="n">
        <f aca="false">IF(OR(K35="",J35=""),"",(J35-K35)*100)</f>
        <v>-0.72445321080562</v>
      </c>
      <c r="M35" s="36" t="n">
        <v>1.86778932532988</v>
      </c>
      <c r="N35" s="36" t="n">
        <v>1.26676233227734</v>
      </c>
      <c r="O35" s="36" t="n">
        <f aca="false">SQRT(M35^2+N35^2)</f>
        <v>2.2568393319625</v>
      </c>
      <c r="P35" s="40" t="n">
        <f aca="false">IF(J35="","",MAX(0,J35-1.96*O35/100))</f>
        <v>0.444119834393985</v>
      </c>
      <c r="Q35" s="40" t="n">
        <f aca="false">IF(J35="","",MIN(1,J35+1.96*O35/100))</f>
        <v>0.532587936206915</v>
      </c>
      <c r="R35" s="32" t="str">
        <f aca="false">IF(L35="","",IF(ABS(L35)&lt;=O35,"Yes","No"))</f>
        <v>Yes</v>
      </c>
      <c r="S35" s="32" t="str">
        <f aca="false">IF(L35="","",IF(ABS(L35)&lt;=1.96*O35,"Yes","No"))</f>
        <v>Yes</v>
      </c>
      <c r="T35" s="59" t="n">
        <f aca="false">IF(D35="","",ROUND(SQRT(((D35+G35)*O35/100)^2+(J35*(D35+G35)*0.06406)^2),0))</f>
        <v>788</v>
      </c>
      <c r="U35" s="32"/>
    </row>
    <row r="36" customFormat="false" ht="15" hidden="false" customHeight="false" outlineLevel="0" collapsed="false">
      <c r="A36" s="32" t="s">
        <v>189</v>
      </c>
      <c r="B36" s="32" t="s">
        <v>201</v>
      </c>
      <c r="C36" s="32" t="s">
        <v>161</v>
      </c>
      <c r="D36" s="59" t="n">
        <v>894</v>
      </c>
      <c r="E36" s="59" t="n">
        <v>985</v>
      </c>
      <c r="F36" s="68" t="n">
        <f aca="false">IF(E36="","",D36-E36)</f>
        <v>-91</v>
      </c>
      <c r="G36" s="59" t="n">
        <v>1707</v>
      </c>
      <c r="H36" s="59" t="n">
        <v>1586</v>
      </c>
      <c r="I36" s="68" t="n">
        <f aca="false">IF(H36="","",G36-H36)</f>
        <v>121</v>
      </c>
      <c r="J36" s="40" t="n">
        <f aca="false">IF(OR(D36="",D36+G36=0),"",D36/(D36+G36))</f>
        <v>0.343713956170704</v>
      </c>
      <c r="K36" s="40" t="n">
        <f aca="false">IF(E36="","",E36/(E36+H36))</f>
        <v>0.383119408790354</v>
      </c>
      <c r="L36" s="69" t="n">
        <f aca="false">IF(OR(K36="",J36=""),"",(J36-K36)*100)</f>
        <v>-3.94054526196504</v>
      </c>
      <c r="M36" s="36" t="n">
        <v>2.36962244366372</v>
      </c>
      <c r="N36" s="36" t="n">
        <v>1.26676233227734</v>
      </c>
      <c r="O36" s="36" t="n">
        <f aca="false">SQRT(M36^2+N36^2)</f>
        <v>2.68696805563288</v>
      </c>
      <c r="P36" s="40" t="n">
        <f aca="false">IF(J36="","",MAX(0,J36-1.96*O36/100))</f>
        <v>0.291049382280299</v>
      </c>
      <c r="Q36" s="40" t="n">
        <f aca="false">IF(J36="","",MIN(1,J36+1.96*O36/100))</f>
        <v>0.396378530061108</v>
      </c>
      <c r="R36" s="32" t="str">
        <f aca="false">IF(L36="","",IF(ABS(L36)&lt;=O36,"Yes","No"))</f>
        <v>No</v>
      </c>
      <c r="S36" s="32" t="str">
        <f aca="false">IF(L36="","",IF(ABS(L36)&lt;=1.96*O36,"Yes","No"))</f>
        <v>Yes</v>
      </c>
      <c r="T36" s="59" t="n">
        <f aca="false">IF(D36="","",ROUND(SQRT(((D36+G36)*O36/100)^2+(J36*(D36+G36)*0.07048)^2),0))</f>
        <v>94</v>
      </c>
      <c r="U36" s="32"/>
    </row>
    <row r="37" customFormat="false" ht="15" hidden="false" customHeight="false" outlineLevel="0" collapsed="false">
      <c r="A37" s="32" t="s">
        <v>189</v>
      </c>
      <c r="B37" s="32" t="s">
        <v>202</v>
      </c>
      <c r="C37" s="32" t="s">
        <v>161</v>
      </c>
      <c r="D37" s="59" t="n">
        <v>515</v>
      </c>
      <c r="E37" s="59" t="n">
        <v>543</v>
      </c>
      <c r="F37" s="68" t="n">
        <f aca="false">IF(E37="","",D37-E37)</f>
        <v>-28</v>
      </c>
      <c r="G37" s="59" t="n">
        <v>1048</v>
      </c>
      <c r="H37" s="59" t="n">
        <v>990</v>
      </c>
      <c r="I37" s="68" t="n">
        <f aca="false">IF(H37="","",G37-H37)</f>
        <v>58</v>
      </c>
      <c r="J37" s="40" t="n">
        <f aca="false">IF(OR(D37="",D37+G37=0),"",D37/(D37+G37))</f>
        <v>0.329494561740243</v>
      </c>
      <c r="K37" s="40" t="n">
        <f aca="false">IF(E37="","",E37/(E37+H37))</f>
        <v>0.354207436399217</v>
      </c>
      <c r="L37" s="69" t="n">
        <f aca="false">IF(OR(K37="",J37=""),"",(J37-K37)*100)</f>
        <v>-2.47128746589741</v>
      </c>
      <c r="M37" s="36" t="n">
        <v>2.36962244366372</v>
      </c>
      <c r="N37" s="36" t="n">
        <v>1.26676233227734</v>
      </c>
      <c r="O37" s="36" t="n">
        <f aca="false">SQRT(M37^2+N37^2)</f>
        <v>2.68696805563288</v>
      </c>
      <c r="P37" s="40" t="n">
        <f aca="false">IF(J37="","",MAX(0,J37-1.96*O37/100))</f>
        <v>0.276829987849839</v>
      </c>
      <c r="Q37" s="40" t="n">
        <f aca="false">IF(J37="","",MIN(1,J37+1.96*O37/100))</f>
        <v>0.382159135630648</v>
      </c>
      <c r="R37" s="32" t="str">
        <f aca="false">IF(L37="","",IF(ABS(L37)&lt;=O37,"Yes","No"))</f>
        <v>Yes</v>
      </c>
      <c r="S37" s="32" t="str">
        <f aca="false">IF(L37="","",IF(ABS(L37)&lt;=1.96*O37,"Yes","No"))</f>
        <v>Yes</v>
      </c>
      <c r="T37" s="59" t="n">
        <f aca="false">IF(D37="","",ROUND(SQRT(((D37+G37)*O37/100)^2+(J37*(D37+G37)*0.07048)^2),0))</f>
        <v>56</v>
      </c>
      <c r="U37" s="32"/>
    </row>
    <row r="38" customFormat="false" ht="15" hidden="false" customHeight="false" outlineLevel="0" collapsed="false">
      <c r="A38" s="32" t="s">
        <v>189</v>
      </c>
      <c r="B38" s="32" t="s">
        <v>203</v>
      </c>
      <c r="C38" s="32" t="s">
        <v>161</v>
      </c>
      <c r="D38" s="59" t="n">
        <v>805</v>
      </c>
      <c r="E38" s="59" t="n">
        <v>850</v>
      </c>
      <c r="F38" s="68" t="n">
        <f aca="false">IF(E38="","",D38-E38)</f>
        <v>-45</v>
      </c>
      <c r="G38" s="59" t="n">
        <v>1894</v>
      </c>
      <c r="H38" s="59" t="n">
        <v>1856</v>
      </c>
      <c r="I38" s="68" t="n">
        <f aca="false">IF(H38="","",G38-H38)</f>
        <v>38</v>
      </c>
      <c r="J38" s="40" t="n">
        <f aca="false">IF(OR(D38="",D38+G38=0),"",D38/(D38+G38))</f>
        <v>0.298258614301593</v>
      </c>
      <c r="K38" s="40" t="n">
        <f aca="false">IF(E38="","",E38/(E38+H38))</f>
        <v>0.314116777531412</v>
      </c>
      <c r="L38" s="69" t="n">
        <f aca="false">IF(OR(K38="",J38=""),"",(J38-K38)*100)</f>
        <v>-1.58581632298185</v>
      </c>
      <c r="M38" s="36" t="n">
        <v>2.36962244366372</v>
      </c>
      <c r="N38" s="36" t="n">
        <v>1.26676233227734</v>
      </c>
      <c r="O38" s="36" t="n">
        <f aca="false">SQRT(M38^2+N38^2)</f>
        <v>2.68696805563288</v>
      </c>
      <c r="P38" s="40" t="n">
        <f aca="false">IF(J38="","",MAX(0,J38-1.96*O38/100))</f>
        <v>0.245594040411189</v>
      </c>
      <c r="Q38" s="40" t="n">
        <f aca="false">IF(J38="","",MIN(1,J38+1.96*O38/100))</f>
        <v>0.350923188191998</v>
      </c>
      <c r="R38" s="32" t="str">
        <f aca="false">IF(L38="","",IF(ABS(L38)&lt;=O38,"Yes","No"))</f>
        <v>Yes</v>
      </c>
      <c r="S38" s="32" t="str">
        <f aca="false">IF(L38="","",IF(ABS(L38)&lt;=1.96*O38,"Yes","No"))</f>
        <v>Yes</v>
      </c>
      <c r="T38" s="59" t="n">
        <f aca="false">IF(D38="","",ROUND(SQRT(((D38+G38)*O38/100)^2+(J38*(D38+G38)*0.07048)^2),0))</f>
        <v>92</v>
      </c>
      <c r="U38" s="32"/>
    </row>
    <row r="39" customFormat="false" ht="15" hidden="false" customHeight="false" outlineLevel="0" collapsed="false">
      <c r="A39" s="32" t="s">
        <v>189</v>
      </c>
      <c r="B39" s="32" t="s">
        <v>204</v>
      </c>
      <c r="C39" s="32" t="s">
        <v>161</v>
      </c>
      <c r="D39" s="59" t="n">
        <v>966</v>
      </c>
      <c r="E39" s="59" t="n">
        <v>980</v>
      </c>
      <c r="F39" s="68" t="n">
        <f aca="false">IF(E39="","",D39-E39)</f>
        <v>-14</v>
      </c>
      <c r="G39" s="59" t="n">
        <v>927</v>
      </c>
      <c r="H39" s="59" t="n">
        <v>872</v>
      </c>
      <c r="I39" s="68" t="n">
        <f aca="false">IF(H39="","",G39-H39)</f>
        <v>55</v>
      </c>
      <c r="J39" s="40" t="n">
        <f aca="false">IF(OR(D39="",D39+G39=0),"",D39/(D39+G39))</f>
        <v>0.510301109350238</v>
      </c>
      <c r="K39" s="40" t="n">
        <f aca="false">IF(E39="","",E39/(E39+H39))</f>
        <v>0.529157667386609</v>
      </c>
      <c r="L39" s="69" t="n">
        <f aca="false">IF(OR(K39="",J39=""),"",(J39-K39)*100)</f>
        <v>-1.88565580363713</v>
      </c>
      <c r="M39" s="36" t="n">
        <v>2.36962244366372</v>
      </c>
      <c r="N39" s="36" t="n">
        <v>1.26676233227734</v>
      </c>
      <c r="O39" s="36" t="n">
        <f aca="false">SQRT(M39^2+N39^2)</f>
        <v>2.68696805563288</v>
      </c>
      <c r="P39" s="40" t="n">
        <f aca="false">IF(J39="","",MAX(0,J39-1.96*O39/100))</f>
        <v>0.457636535459833</v>
      </c>
      <c r="Q39" s="40" t="n">
        <f aca="false">IF(J39="","",MIN(1,J39+1.96*O39/100))</f>
        <v>0.562965683240642</v>
      </c>
      <c r="R39" s="32" t="str">
        <f aca="false">IF(L39="","",IF(ABS(L39)&lt;=O39,"Yes","No"))</f>
        <v>Yes</v>
      </c>
      <c r="S39" s="32" t="str">
        <f aca="false">IF(L39="","",IF(ABS(L39)&lt;=1.96*O39,"Yes","No"))</f>
        <v>Yes</v>
      </c>
      <c r="T39" s="59" t="n">
        <f aca="false">IF(D39="","",ROUND(SQRT(((D39+G39)*O39/100)^2+(J39*(D39+G39)*0.07048)^2),0))</f>
        <v>85</v>
      </c>
      <c r="U39" s="32"/>
    </row>
    <row r="40" customFormat="false" ht="15" hidden="false" customHeight="false" outlineLevel="0" collapsed="false">
      <c r="A40" s="32" t="s">
        <v>189</v>
      </c>
      <c r="B40" s="32" t="s">
        <v>205</v>
      </c>
      <c r="C40" s="32" t="s">
        <v>161</v>
      </c>
      <c r="D40" s="59" t="n">
        <v>3851</v>
      </c>
      <c r="E40" s="59" t="n">
        <v>4022</v>
      </c>
      <c r="F40" s="68" t="n">
        <f aca="false">IF(E40="","",D40-E40)</f>
        <v>-171</v>
      </c>
      <c r="G40" s="59" t="n">
        <v>6186</v>
      </c>
      <c r="H40" s="59" t="n">
        <v>5915</v>
      </c>
      <c r="I40" s="68" t="n">
        <f aca="false">IF(H40="","",G40-H40)</f>
        <v>271</v>
      </c>
      <c r="J40" s="40" t="n">
        <f aca="false">IF(OR(D40="",D40+G40=0),"",D40/(D40+G40))</f>
        <v>0.383680382584438</v>
      </c>
      <c r="K40" s="40" t="n">
        <f aca="false">IF(E40="","",E40/(E40+H40))</f>
        <v>0.404749924524504</v>
      </c>
      <c r="L40" s="69" t="n">
        <f aca="false">IF(OR(K40="",J40=""),"",(J40-K40)*100)</f>
        <v>-2.10695419400668</v>
      </c>
      <c r="M40" s="36" t="n">
        <v>1.86778932532988</v>
      </c>
      <c r="N40" s="36" t="n">
        <v>1.26676233227734</v>
      </c>
      <c r="O40" s="36" t="n">
        <f aca="false">SQRT(M40^2+N40^2)</f>
        <v>2.2568393319625</v>
      </c>
      <c r="P40" s="40" t="n">
        <f aca="false">IF(J40="","",MAX(0,J40-1.96*O40/100))</f>
        <v>0.339446331677973</v>
      </c>
      <c r="Q40" s="40" t="n">
        <f aca="false">IF(J40="","",MIN(1,J40+1.96*O40/100))</f>
        <v>0.427914433490903</v>
      </c>
      <c r="R40" s="32" t="str">
        <f aca="false">IF(L40="","",IF(ABS(L40)&lt;=O40,"Yes","No"))</f>
        <v>Yes</v>
      </c>
      <c r="S40" s="32" t="str">
        <f aca="false">IF(L40="","",IF(ABS(L40)&lt;=1.96*O40,"Yes","No"))</f>
        <v>Yes</v>
      </c>
      <c r="T40" s="59" t="n">
        <f aca="false">IF(D40="","",ROUND(SQRT(((D40+G40)*O40/100)^2+(J40*(D40+G40)*0.06406)^2),0))</f>
        <v>335</v>
      </c>
      <c r="U40" s="32"/>
    </row>
    <row r="41" customFormat="false" ht="15" hidden="false" customHeight="false" outlineLevel="0" collapsed="false">
      <c r="A41" s="32" t="s">
        <v>189</v>
      </c>
      <c r="B41" s="32" t="s">
        <v>206</v>
      </c>
      <c r="C41" s="32" t="s">
        <v>161</v>
      </c>
      <c r="D41" s="59" t="n">
        <v>3856</v>
      </c>
      <c r="E41" s="59" t="n">
        <v>4010</v>
      </c>
      <c r="F41" s="68" t="n">
        <f aca="false">IF(E41="","",D41-E41)</f>
        <v>-154</v>
      </c>
      <c r="G41" s="59" t="n">
        <v>4310</v>
      </c>
      <c r="H41" s="59" t="n">
        <v>4104</v>
      </c>
      <c r="I41" s="68" t="n">
        <f aca="false">IF(H41="","",G41-H41)</f>
        <v>206</v>
      </c>
      <c r="J41" s="40" t="n">
        <f aca="false">IF(OR(D41="",D41+G41=0),"",D41/(D41+G41))</f>
        <v>0.472201812392848</v>
      </c>
      <c r="K41" s="40" t="n">
        <f aca="false">IF(E41="","",E41/(E41+H41))</f>
        <v>0.494207542519103</v>
      </c>
      <c r="L41" s="69" t="n">
        <f aca="false">IF(OR(K41="",J41=""),"",(J41-K41)*100)</f>
        <v>-2.20057301262543</v>
      </c>
      <c r="M41" s="36" t="n">
        <v>1.86778932532988</v>
      </c>
      <c r="N41" s="36" t="n">
        <v>1.26676233227734</v>
      </c>
      <c r="O41" s="36" t="n">
        <f aca="false">SQRT(M41^2+N41^2)</f>
        <v>2.2568393319625</v>
      </c>
      <c r="P41" s="40" t="n">
        <f aca="false">IF(J41="","",MAX(0,J41-1.96*O41/100))</f>
        <v>0.427967761486383</v>
      </c>
      <c r="Q41" s="40" t="n">
        <f aca="false">IF(J41="","",MIN(1,J41+1.96*O41/100))</f>
        <v>0.516435863299314</v>
      </c>
      <c r="R41" s="32" t="str">
        <f aca="false">IF(L41="","",IF(ABS(L41)&lt;=O41,"Yes","No"))</f>
        <v>Yes</v>
      </c>
      <c r="S41" s="32" t="str">
        <f aca="false">IF(L41="","",IF(ABS(L41)&lt;=1.96*O41,"Yes","No"))</f>
        <v>Yes</v>
      </c>
      <c r="T41" s="59" t="n">
        <f aca="false">IF(D41="","",ROUND(SQRT(((D41+G41)*O41/100)^2+(J41*(D41+G41)*0.06406)^2),0))</f>
        <v>308</v>
      </c>
      <c r="U41" s="32"/>
    </row>
    <row r="42" customFormat="false" ht="15" hidden="false" customHeight="false" outlineLevel="0" collapsed="false">
      <c r="A42" s="32" t="s">
        <v>189</v>
      </c>
      <c r="B42" s="32" t="s">
        <v>207</v>
      </c>
      <c r="C42" s="32" t="s">
        <v>161</v>
      </c>
      <c r="D42" s="59" t="n">
        <v>818</v>
      </c>
      <c r="E42" s="59" t="n">
        <v>800</v>
      </c>
      <c r="F42" s="68" t="n">
        <f aca="false">IF(E42="","",D42-E42)</f>
        <v>18</v>
      </c>
      <c r="G42" s="59" t="n">
        <v>1180</v>
      </c>
      <c r="H42" s="59" t="n">
        <v>1156</v>
      </c>
      <c r="I42" s="68" t="n">
        <f aca="false">IF(H42="","",G42-H42)</f>
        <v>24</v>
      </c>
      <c r="J42" s="40" t="n">
        <f aca="false">IF(OR(D42="",D42+G42=0),"",D42/(D42+G42))</f>
        <v>0.409409409409409</v>
      </c>
      <c r="K42" s="40" t="n">
        <f aca="false">IF(E42="","",E42/(E42+H42))</f>
        <v>0.408997955010225</v>
      </c>
      <c r="L42" s="69" t="n">
        <f aca="false">IF(OR(K42="",J42=""),"",(J42-K42)*100)</f>
        <v>0.0411454399184441</v>
      </c>
      <c r="M42" s="36" t="n">
        <v>2.36962244366372</v>
      </c>
      <c r="N42" s="36" t="n">
        <v>1.26676233227734</v>
      </c>
      <c r="O42" s="36" t="n">
        <f aca="false">SQRT(M42^2+N42^2)</f>
        <v>2.68696805563288</v>
      </c>
      <c r="P42" s="40" t="n">
        <f aca="false">IF(J42="","",MAX(0,J42-1.96*O42/100))</f>
        <v>0.356744835519005</v>
      </c>
      <c r="Q42" s="40" t="n">
        <f aca="false">IF(J42="","",MIN(1,J42+1.96*O42/100))</f>
        <v>0.462073983299814</v>
      </c>
      <c r="R42" s="32" t="str">
        <f aca="false">IF(L42="","",IF(ABS(L42)&lt;=O42,"Yes","No"))</f>
        <v>Yes</v>
      </c>
      <c r="S42" s="32" t="str">
        <f aca="false">IF(L42="","",IF(ABS(L42)&lt;=1.96*O42,"Yes","No"))</f>
        <v>Yes</v>
      </c>
      <c r="T42" s="59" t="n">
        <f aca="false">IF(D42="","",ROUND(SQRT(((D42+G42)*O42/100)^2+(J42*(D42+G42)*0.07048)^2),0))</f>
        <v>79</v>
      </c>
      <c r="U42" s="32"/>
    </row>
    <row r="43" customFormat="false" ht="15" hidden="false" customHeight="false" outlineLevel="0" collapsed="false">
      <c r="A43" s="32" t="s">
        <v>189</v>
      </c>
      <c r="B43" s="32" t="s">
        <v>208</v>
      </c>
      <c r="C43" s="32" t="s">
        <v>161</v>
      </c>
      <c r="D43" s="59" t="n">
        <v>6874</v>
      </c>
      <c r="E43" s="59" t="n">
        <v>7019</v>
      </c>
      <c r="F43" s="68" t="n">
        <f aca="false">IF(E43="","",D43-E43)</f>
        <v>-145</v>
      </c>
      <c r="G43" s="59" t="n">
        <v>6324</v>
      </c>
      <c r="H43" s="59" t="n">
        <v>6110</v>
      </c>
      <c r="I43" s="68" t="n">
        <f aca="false">IF(H43="","",G43-H43)</f>
        <v>214</v>
      </c>
      <c r="J43" s="40" t="n">
        <f aca="false">IF(OR(D43="",D43+G43=0),"",D43/(D43+G43))</f>
        <v>0.52083649037733</v>
      </c>
      <c r="K43" s="40" t="n">
        <f aca="false">IF(E43="","",E43/(E43+H43))</f>
        <v>0.534618021174499</v>
      </c>
      <c r="L43" s="69" t="n">
        <f aca="false">IF(OR(K43="",J43=""),"",(J43-K43)*100)</f>
        <v>-1.37815307971693</v>
      </c>
      <c r="M43" s="36" t="n">
        <v>1.86778932532988</v>
      </c>
      <c r="N43" s="36" t="n">
        <v>1.26676233227734</v>
      </c>
      <c r="O43" s="36" t="n">
        <f aca="false">SQRT(M43^2+N43^2)</f>
        <v>2.2568393319625</v>
      </c>
      <c r="P43" s="40" t="n">
        <f aca="false">IF(J43="","",MAX(0,J43-1.96*O43/100))</f>
        <v>0.476602439470865</v>
      </c>
      <c r="Q43" s="40" t="n">
        <f aca="false">IF(J43="","",MIN(1,J43+1.96*O43/100))</f>
        <v>0.565070541283795</v>
      </c>
      <c r="R43" s="32" t="str">
        <f aca="false">IF(L43="","",IF(ABS(L43)&lt;=O43,"Yes","No"))</f>
        <v>Yes</v>
      </c>
      <c r="S43" s="32" t="str">
        <f aca="false">IF(L43="","",IF(ABS(L43)&lt;=1.96*O43,"Yes","No"))</f>
        <v>Yes</v>
      </c>
      <c r="T43" s="59" t="n">
        <f aca="false">IF(D43="","",ROUND(SQRT(((D43+G43)*O43/100)^2+(J43*(D43+G43)*0.06406)^2),0))</f>
        <v>532</v>
      </c>
      <c r="U43" s="32"/>
    </row>
    <row r="44" customFormat="false" ht="15" hidden="false" customHeight="false" outlineLevel="0" collapsed="false">
      <c r="A44" s="32" t="s">
        <v>189</v>
      </c>
      <c r="B44" s="32" t="s">
        <v>209</v>
      </c>
      <c r="C44" s="32" t="s">
        <v>161</v>
      </c>
      <c r="D44" s="59" t="n">
        <v>7952</v>
      </c>
      <c r="E44" s="59" t="n">
        <v>8020</v>
      </c>
      <c r="F44" s="68" t="n">
        <f aca="false">IF(E44="","",D44-E44)</f>
        <v>-68</v>
      </c>
      <c r="G44" s="59" t="n">
        <v>8008</v>
      </c>
      <c r="H44" s="59" t="n">
        <v>7607</v>
      </c>
      <c r="I44" s="68" t="n">
        <f aca="false">IF(H44="","",G44-H44)</f>
        <v>401</v>
      </c>
      <c r="J44" s="40" t="n">
        <f aca="false">IF(OR(D44="",D44+G44=0),"",D44/(D44+G44))</f>
        <v>0.498245614035088</v>
      </c>
      <c r="K44" s="40" t="n">
        <f aca="false">IF(E44="","",E44/(E44+H44))</f>
        <v>0.513214308568503</v>
      </c>
      <c r="L44" s="69" t="n">
        <f aca="false">IF(OR(K44="",J44=""),"",(J44-K44)*100)</f>
        <v>-1.49686945334155</v>
      </c>
      <c r="M44" s="36" t="n">
        <v>1.86778932532988</v>
      </c>
      <c r="N44" s="36" t="n">
        <v>1.26676233227734</v>
      </c>
      <c r="O44" s="36" t="n">
        <f aca="false">SQRT(M44^2+N44^2)</f>
        <v>2.2568393319625</v>
      </c>
      <c r="P44" s="40" t="n">
        <f aca="false">IF(J44="","",MAX(0,J44-1.96*O44/100))</f>
        <v>0.454011563128623</v>
      </c>
      <c r="Q44" s="40" t="n">
        <f aca="false">IF(J44="","",MIN(1,J44+1.96*O44/100))</f>
        <v>0.542479664941553</v>
      </c>
      <c r="R44" s="32" t="str">
        <f aca="false">IF(L44="","",IF(ABS(L44)&lt;=O44,"Yes","No"))</f>
        <v>Yes</v>
      </c>
      <c r="S44" s="32" t="str">
        <f aca="false">IF(L44="","",IF(ABS(L44)&lt;=1.96*O44,"Yes","No"))</f>
        <v>Yes</v>
      </c>
      <c r="T44" s="59" t="n">
        <f aca="false">IF(D44="","",ROUND(SQRT(((D44+G44)*O44/100)^2+(J44*(D44+G44)*0.06406)^2),0))</f>
        <v>624</v>
      </c>
      <c r="U44" s="32"/>
    </row>
    <row r="45" customFormat="false" ht="15" hidden="false" customHeight="false" outlineLevel="0" collapsed="false">
      <c r="A45" s="32" t="s">
        <v>189</v>
      </c>
      <c r="B45" s="32" t="s">
        <v>210</v>
      </c>
      <c r="C45" s="32" t="s">
        <v>161</v>
      </c>
      <c r="D45" s="59" t="n">
        <v>2223</v>
      </c>
      <c r="E45" s="59" t="n">
        <v>2380</v>
      </c>
      <c r="F45" s="68" t="n">
        <f aca="false">IF(E45="","",D45-E45)</f>
        <v>-157</v>
      </c>
      <c r="G45" s="59" t="n">
        <v>3231</v>
      </c>
      <c r="H45" s="59" t="n">
        <v>3135</v>
      </c>
      <c r="I45" s="68" t="n">
        <f aca="false">IF(H45="","",G45-H45)</f>
        <v>96</v>
      </c>
      <c r="J45" s="40" t="n">
        <f aca="false">IF(OR(D45="",D45+G45=0),"",D45/(D45+G45))</f>
        <v>0.407590759075908</v>
      </c>
      <c r="K45" s="40" t="n">
        <f aca="false">IF(E45="","",E45/(E45+H45))</f>
        <v>0.43155031731641</v>
      </c>
      <c r="L45" s="69" t="n">
        <f aca="false">IF(OR(K45="",J45=""),"",(J45-K45)*100)</f>
        <v>-2.39595582405022</v>
      </c>
      <c r="M45" s="36" t="n">
        <v>1.86778932532988</v>
      </c>
      <c r="N45" s="36" t="n">
        <v>1.26676233227734</v>
      </c>
      <c r="O45" s="36" t="n">
        <f aca="false">SQRT(M45^2+N45^2)</f>
        <v>2.2568393319625</v>
      </c>
      <c r="P45" s="40" t="n">
        <f aca="false">IF(J45="","",MAX(0,J45-1.96*O45/100))</f>
        <v>0.363356708169443</v>
      </c>
      <c r="Q45" s="40" t="n">
        <f aca="false">IF(J45="","",MIN(1,J45+1.96*O45/100))</f>
        <v>0.451824809982373</v>
      </c>
      <c r="R45" s="32" t="str">
        <f aca="false">IF(L45="","",IF(ABS(L45)&lt;=O45,"Yes","No"))</f>
        <v>No</v>
      </c>
      <c r="S45" s="32" t="str">
        <f aca="false">IF(L45="","",IF(ABS(L45)&lt;=1.96*O45,"Yes","No"))</f>
        <v>Yes</v>
      </c>
      <c r="T45" s="59" t="n">
        <f aca="false">IF(D45="","",ROUND(SQRT(((D45+G45)*O45/100)^2+(J45*(D45+G45)*0.06406)^2),0))</f>
        <v>188</v>
      </c>
      <c r="U45" s="32"/>
    </row>
    <row r="46" customFormat="false" ht="15" hidden="false" customHeight="false" outlineLevel="0" collapsed="false">
      <c r="A46" s="32" t="s">
        <v>189</v>
      </c>
      <c r="B46" s="32" t="s">
        <v>211</v>
      </c>
      <c r="C46" s="32" t="s">
        <v>161</v>
      </c>
      <c r="D46" s="59" t="n">
        <v>5202</v>
      </c>
      <c r="E46" s="59" t="n">
        <v>5462</v>
      </c>
      <c r="F46" s="68" t="n">
        <f aca="false">IF(E46="","",D46-E46)</f>
        <v>-260</v>
      </c>
      <c r="G46" s="59" t="n">
        <v>5984</v>
      </c>
      <c r="H46" s="59" t="n">
        <v>5740</v>
      </c>
      <c r="I46" s="68" t="n">
        <f aca="false">IF(H46="","",G46-H46)</f>
        <v>244</v>
      </c>
      <c r="J46" s="40" t="n">
        <f aca="false">IF(OR(D46="",D46+G46=0),"",D46/(D46+G46))</f>
        <v>0.465045592705167</v>
      </c>
      <c r="K46" s="40" t="n">
        <f aca="false">IF(E46="","",E46/(E46+H46))</f>
        <v>0.487591501517586</v>
      </c>
      <c r="L46" s="69" t="n">
        <f aca="false">IF(OR(K46="",J46=""),"",(J46-K46)*100)</f>
        <v>-2.2545908812419</v>
      </c>
      <c r="M46" s="36" t="n">
        <v>1.86778932532988</v>
      </c>
      <c r="N46" s="36" t="n">
        <v>1.26676233227734</v>
      </c>
      <c r="O46" s="36" t="n">
        <f aca="false">SQRT(M46^2+N46^2)</f>
        <v>2.2568393319625</v>
      </c>
      <c r="P46" s="40" t="n">
        <f aca="false">IF(J46="","",MAX(0,J46-1.96*O46/100))</f>
        <v>0.420811541798702</v>
      </c>
      <c r="Q46" s="40" t="n">
        <f aca="false">IF(J46="","",MIN(1,J46+1.96*O46/100))</f>
        <v>0.509279643611632</v>
      </c>
      <c r="R46" s="32" t="str">
        <f aca="false">IF(L46="","",IF(ABS(L46)&lt;=O46,"Yes","No"))</f>
        <v>Yes</v>
      </c>
      <c r="S46" s="32" t="str">
        <f aca="false">IF(L46="","",IF(ABS(L46)&lt;=1.96*O46,"Yes","No"))</f>
        <v>Yes</v>
      </c>
      <c r="T46" s="59" t="n">
        <f aca="false">IF(D46="","",ROUND(SQRT(((D46+G46)*O46/100)^2+(J46*(D46+G46)*0.06406)^2),0))</f>
        <v>418</v>
      </c>
      <c r="U46" s="32"/>
    </row>
    <row r="47" customFormat="false" ht="15" hidden="false" customHeight="false" outlineLevel="0" collapsed="false">
      <c r="A47" s="32" t="s">
        <v>189</v>
      </c>
      <c r="B47" s="32" t="s">
        <v>212</v>
      </c>
      <c r="C47" s="32" t="s">
        <v>161</v>
      </c>
      <c r="D47" s="59" t="n">
        <v>1253</v>
      </c>
      <c r="E47" s="59" t="n">
        <v>1266</v>
      </c>
      <c r="F47" s="68" t="n">
        <f aca="false">IF(E47="","",D47-E47)</f>
        <v>-13</v>
      </c>
      <c r="G47" s="59" t="n">
        <v>2680</v>
      </c>
      <c r="H47" s="59" t="n">
        <v>2669</v>
      </c>
      <c r="I47" s="68" t="n">
        <f aca="false">IF(H47="","",G47-H47)</f>
        <v>11</v>
      </c>
      <c r="J47" s="40" t="n">
        <f aca="false">IF(OR(D47="",D47+G47=0),"",D47/(D47+G47))</f>
        <v>0.31858632087465</v>
      </c>
      <c r="K47" s="40" t="n">
        <f aca="false">IF(E47="","",E47/(E47+H47))</f>
        <v>0.321728081321474</v>
      </c>
      <c r="L47" s="69" t="n">
        <f aca="false">IF(OR(K47="",J47=""),"",(J47-K47)*100)</f>
        <v>-0.314176044682357</v>
      </c>
      <c r="M47" s="36" t="n">
        <v>1.86778932532988</v>
      </c>
      <c r="N47" s="36" t="n">
        <v>1.26676233227734</v>
      </c>
      <c r="O47" s="36" t="n">
        <f aca="false">SQRT(M47^2+N47^2)</f>
        <v>2.2568393319625</v>
      </c>
      <c r="P47" s="40" t="n">
        <f aca="false">IF(J47="","",MAX(0,J47-1.96*O47/100))</f>
        <v>0.274352269968185</v>
      </c>
      <c r="Q47" s="40" t="n">
        <f aca="false">IF(J47="","",MIN(1,J47+1.96*O47/100))</f>
        <v>0.362820371781115</v>
      </c>
      <c r="R47" s="32" t="str">
        <f aca="false">IF(L47="","",IF(ABS(L47)&lt;=O47,"Yes","No"))</f>
        <v>Yes</v>
      </c>
      <c r="S47" s="32" t="str">
        <f aca="false">IF(L47="","",IF(ABS(L47)&lt;=1.96*O47,"Yes","No"))</f>
        <v>Yes</v>
      </c>
      <c r="T47" s="59" t="n">
        <f aca="false">IF(D47="","",ROUND(SQRT(((D47+G47)*O47/100)^2+(J47*(D47+G47)*0.06406)^2),0))</f>
        <v>120</v>
      </c>
      <c r="U47" s="32"/>
    </row>
    <row r="48" customFormat="false" ht="15" hidden="false" customHeight="false" outlineLevel="0" collapsed="false">
      <c r="A48" s="32" t="s">
        <v>189</v>
      </c>
      <c r="B48" s="32" t="s">
        <v>213</v>
      </c>
      <c r="C48" s="32" t="s">
        <v>161</v>
      </c>
      <c r="D48" s="59" t="n">
        <v>1126</v>
      </c>
      <c r="E48" s="59" t="n">
        <v>1172</v>
      </c>
      <c r="F48" s="68" t="n">
        <f aca="false">IF(E48="","",D48-E48)</f>
        <v>-46</v>
      </c>
      <c r="G48" s="59" t="n">
        <v>2252</v>
      </c>
      <c r="H48" s="59" t="n">
        <v>2201</v>
      </c>
      <c r="I48" s="68" t="n">
        <f aca="false">IF(H48="","",G48-H48)</f>
        <v>51</v>
      </c>
      <c r="J48" s="40" t="n">
        <f aca="false">IF(OR(D48="",D48+G48=0),"",D48/(D48+G48))</f>
        <v>0.333333333333333</v>
      </c>
      <c r="K48" s="40" t="n">
        <f aca="false">IF(E48="","",E48/(E48+H48))</f>
        <v>0.347465164541951</v>
      </c>
      <c r="L48" s="69" t="n">
        <f aca="false">IF(OR(K48="",J48=""),"",(J48-K48)*100)</f>
        <v>-1.41318312086175</v>
      </c>
      <c r="M48" s="36" t="n">
        <v>2.36962244366372</v>
      </c>
      <c r="N48" s="36" t="n">
        <v>1.26676233227734</v>
      </c>
      <c r="O48" s="36" t="n">
        <f aca="false">SQRT(M48^2+N48^2)</f>
        <v>2.68696805563288</v>
      </c>
      <c r="P48" s="40" t="n">
        <f aca="false">IF(J48="","",MAX(0,J48-1.96*O48/100))</f>
        <v>0.280668759442929</v>
      </c>
      <c r="Q48" s="40" t="n">
        <f aca="false">IF(J48="","",MIN(1,J48+1.96*O48/100))</f>
        <v>0.385997907223738</v>
      </c>
      <c r="R48" s="32" t="str">
        <f aca="false">IF(L48="","",IF(ABS(L48)&lt;=O48,"Yes","No"))</f>
        <v>Yes</v>
      </c>
      <c r="S48" s="32" t="str">
        <f aca="false">IF(L48="","",IF(ABS(L48)&lt;=1.96*O48,"Yes","No"))</f>
        <v>Yes</v>
      </c>
      <c r="T48" s="59" t="n">
        <f aca="false">IF(D48="","",ROUND(SQRT(((D48+G48)*O48/100)^2+(J48*(D48+G48)*0.07048)^2),0))</f>
        <v>121</v>
      </c>
      <c r="U48" s="32"/>
    </row>
    <row r="49" customFormat="false" ht="15" hidden="false" customHeight="false" outlineLevel="0" collapsed="false">
      <c r="A49" s="32" t="s">
        <v>189</v>
      </c>
      <c r="B49" s="32" t="s">
        <v>214</v>
      </c>
      <c r="C49" s="32" t="s">
        <v>161</v>
      </c>
      <c r="D49" s="59" t="n">
        <v>7356</v>
      </c>
      <c r="E49" s="59" t="n">
        <v>7383</v>
      </c>
      <c r="F49" s="68" t="n">
        <f aca="false">IF(E49="","",D49-E49)</f>
        <v>-27</v>
      </c>
      <c r="G49" s="59" t="n">
        <v>7124</v>
      </c>
      <c r="H49" s="59" t="n">
        <v>7036</v>
      </c>
      <c r="I49" s="68" t="n">
        <f aca="false">IF(H49="","",G49-H49)</f>
        <v>88</v>
      </c>
      <c r="J49" s="40" t="n">
        <f aca="false">IF(OR(D49="",D49+G49=0),"",D49/(D49+G49))</f>
        <v>0.508011049723757</v>
      </c>
      <c r="K49" s="40" t="n">
        <f aca="false">IF(E49="","",E49/(E49+H49))</f>
        <v>0.51203273458631</v>
      </c>
      <c r="L49" s="69" t="n">
        <f aca="false">IF(OR(K49="",J49=""),"",(J49-K49)*100)</f>
        <v>-0.402168486255283</v>
      </c>
      <c r="M49" s="36" t="n">
        <v>1.86778932532988</v>
      </c>
      <c r="N49" s="36" t="n">
        <v>1.26676233227734</v>
      </c>
      <c r="O49" s="36" t="n">
        <f aca="false">SQRT(M49^2+N49^2)</f>
        <v>2.2568393319625</v>
      </c>
      <c r="P49" s="40" t="n">
        <f aca="false">IF(J49="","",MAX(0,J49-1.96*O49/100))</f>
        <v>0.463776998817292</v>
      </c>
      <c r="Q49" s="40" t="n">
        <f aca="false">IF(J49="","",MIN(1,J49+1.96*O49/100))</f>
        <v>0.552245100630222</v>
      </c>
      <c r="R49" s="32" t="str">
        <f aca="false">IF(L49="","",IF(ABS(L49)&lt;=O49,"Yes","No"))</f>
        <v>Yes</v>
      </c>
      <c r="S49" s="32" t="str">
        <f aca="false">IF(L49="","",IF(ABS(L49)&lt;=1.96*O49,"Yes","No"))</f>
        <v>Yes</v>
      </c>
      <c r="T49" s="59" t="n">
        <f aca="false">IF(D49="","",ROUND(SQRT(((D49+G49)*O49/100)^2+(J49*(D49+G49)*0.06406)^2),0))</f>
        <v>573</v>
      </c>
      <c r="U49" s="32"/>
    </row>
    <row r="50" customFormat="false" ht="15" hidden="false" customHeight="false" outlineLevel="0" collapsed="false">
      <c r="A50" s="32" t="s">
        <v>215</v>
      </c>
      <c r="B50" s="32" t="s">
        <v>216</v>
      </c>
      <c r="C50" s="32" t="s">
        <v>161</v>
      </c>
      <c r="D50" s="59" t="n">
        <v>417</v>
      </c>
      <c r="E50" s="59" t="n">
        <v>471</v>
      </c>
      <c r="F50" s="68" t="n">
        <f aca="false">IF(E50="","",D50-E50)</f>
        <v>-54</v>
      </c>
      <c r="G50" s="59" t="n">
        <v>1127</v>
      </c>
      <c r="H50" s="59" t="n">
        <v>1124</v>
      </c>
      <c r="I50" s="68" t="n">
        <f aca="false">IF(H50="","",G50-H50)</f>
        <v>3</v>
      </c>
      <c r="J50" s="40" t="n">
        <f aca="false">IF(OR(D50="",D50+G50=0),"",D50/(D50+G50))</f>
        <v>0.270077720207254</v>
      </c>
      <c r="K50" s="40" t="n">
        <f aca="false">IF(E50="","",E50/(E50+H50))</f>
        <v>0.295297805642633</v>
      </c>
      <c r="L50" s="69" t="n">
        <f aca="false">IF(OR(K50="",J50=""),"",(J50-K50)*100)</f>
        <v>-2.52200854353793</v>
      </c>
      <c r="M50" s="36" t="n">
        <v>3.65244811615435</v>
      </c>
      <c r="N50" s="36" t="n">
        <v>1.26676233227734</v>
      </c>
      <c r="O50" s="36" t="n">
        <f aca="false">SQRT(M50^2+N50^2)</f>
        <v>3.86588463972688</v>
      </c>
      <c r="P50" s="40" t="n">
        <f aca="false">IF(J50="","",MAX(0,J50-1.96*O50/100))</f>
        <v>0.194306381268607</v>
      </c>
      <c r="Q50" s="40" t="n">
        <f aca="false">IF(J50="","",MIN(1,J50+1.96*O50/100))</f>
        <v>0.345849059145901</v>
      </c>
      <c r="R50" s="32" t="str">
        <f aca="false">IF(L50="","",IF(ABS(L50)&lt;=O50,"Yes","No"))</f>
        <v>Yes</v>
      </c>
      <c r="S50" s="32" t="str">
        <f aca="false">IF(L50="","",IF(ABS(L50)&lt;=1.96*O50,"Yes","No"))</f>
        <v>Yes</v>
      </c>
      <c r="T50" s="59" t="n">
        <f aca="false">IF(D50="","",ROUND(SQRT(((D50+G50)*O50/100)^2+(J50*(D50+G50)*0.09173)^2),0))</f>
        <v>71</v>
      </c>
      <c r="U50" s="32"/>
    </row>
    <row r="51" customFormat="false" ht="15" hidden="false" customHeight="false" outlineLevel="0" collapsed="false">
      <c r="A51" s="32" t="s">
        <v>215</v>
      </c>
      <c r="B51" s="32" t="s">
        <v>218</v>
      </c>
      <c r="C51" s="32" t="s">
        <v>161</v>
      </c>
      <c r="D51" s="59" t="n">
        <v>1317</v>
      </c>
      <c r="E51" s="59" t="n">
        <v>1414</v>
      </c>
      <c r="F51" s="68" t="n">
        <f aca="false">IF(E51="","",D51-E51)</f>
        <v>-97</v>
      </c>
      <c r="G51" s="59" t="n">
        <v>2852</v>
      </c>
      <c r="H51" s="59" t="n">
        <v>2894</v>
      </c>
      <c r="I51" s="68" t="n">
        <f aca="false">IF(H51="","",G51-H51)</f>
        <v>-42</v>
      </c>
      <c r="J51" s="40" t="n">
        <f aca="false">IF(OR(D51="",D51+G51=0),"",D51/(D51+G51))</f>
        <v>0.31590309426721</v>
      </c>
      <c r="K51" s="40" t="n">
        <f aca="false">IF(E51="","",E51/(E51+H51))</f>
        <v>0.328226555246054</v>
      </c>
      <c r="L51" s="69" t="n">
        <f aca="false">IF(OR(K51="",J51=""),"",(J51-K51)*100)</f>
        <v>-1.23234609788435</v>
      </c>
      <c r="M51" s="36" t="n">
        <v>1.86778932532988</v>
      </c>
      <c r="N51" s="36" t="n">
        <v>1.26676233227734</v>
      </c>
      <c r="O51" s="36" t="n">
        <f aca="false">SQRT(M51^2+N51^2)</f>
        <v>2.2568393319625</v>
      </c>
      <c r="P51" s="40" t="n">
        <f aca="false">IF(J51="","",MAX(0,J51-1.96*O51/100))</f>
        <v>0.271669043360745</v>
      </c>
      <c r="Q51" s="40" t="n">
        <f aca="false">IF(J51="","",MIN(1,J51+1.96*O51/100))</f>
        <v>0.360137145173675</v>
      </c>
      <c r="R51" s="32" t="str">
        <f aca="false">IF(L51="","",IF(ABS(L51)&lt;=O51,"Yes","No"))</f>
        <v>Yes</v>
      </c>
      <c r="S51" s="32" t="str">
        <f aca="false">IF(L51="","",IF(ABS(L51)&lt;=1.96*O51,"Yes","No"))</f>
        <v>Yes</v>
      </c>
      <c r="T51" s="59" t="n">
        <f aca="false">IF(D51="","",ROUND(SQRT(((D51+G51)*O51/100)^2+(J51*(D51+G51)*0.06406)^2),0))</f>
        <v>126</v>
      </c>
      <c r="U51" s="32"/>
    </row>
    <row r="52" customFormat="false" ht="15" hidden="false" customHeight="false" outlineLevel="0" collapsed="false">
      <c r="A52" s="32" t="s">
        <v>215</v>
      </c>
      <c r="B52" s="32" t="s">
        <v>219</v>
      </c>
      <c r="C52" s="32" t="s">
        <v>161</v>
      </c>
      <c r="D52" s="59" t="n">
        <v>417</v>
      </c>
      <c r="E52" s="59" t="n">
        <v>521</v>
      </c>
      <c r="F52" s="68" t="n">
        <f aca="false">IF(E52="","",D52-E52)</f>
        <v>-104</v>
      </c>
      <c r="G52" s="59" t="n">
        <v>893</v>
      </c>
      <c r="H52" s="59" t="n">
        <v>997</v>
      </c>
      <c r="I52" s="68" t="n">
        <f aca="false">IF(H52="","",G52-H52)</f>
        <v>-104</v>
      </c>
      <c r="J52" s="40" t="n">
        <f aca="false">IF(OR(D52="",D52+G52=0),"",D52/(D52+G52))</f>
        <v>0.318320610687023</v>
      </c>
      <c r="K52" s="40" t="n">
        <f aca="false">IF(E52="","",E52/(E52+H52))</f>
        <v>0.343214756258235</v>
      </c>
      <c r="L52" s="69" t="n">
        <f aca="false">IF(OR(K52="",J52=""),"",(J52-K52)*100)</f>
        <v>-2.48941455712116</v>
      </c>
      <c r="M52" s="36" t="n">
        <v>3.65244811615435</v>
      </c>
      <c r="N52" s="36" t="n">
        <v>1.26676233227734</v>
      </c>
      <c r="O52" s="36" t="n">
        <f aca="false">SQRT(M52^2+N52^2)</f>
        <v>3.86588463972688</v>
      </c>
      <c r="P52" s="40" t="n">
        <f aca="false">IF(J52="","",MAX(0,J52-1.96*O52/100))</f>
        <v>0.242549271748376</v>
      </c>
      <c r="Q52" s="40" t="n">
        <f aca="false">IF(J52="","",MIN(1,J52+1.96*O52/100))</f>
        <v>0.39409194962567</v>
      </c>
      <c r="R52" s="32" t="str">
        <f aca="false">IF(L52="","",IF(ABS(L52)&lt;=O52,"Yes","No"))</f>
        <v>Yes</v>
      </c>
      <c r="S52" s="32" t="str">
        <f aca="false">IF(L52="","",IF(ABS(L52)&lt;=1.96*O52,"Yes","No"))</f>
        <v>Yes</v>
      </c>
      <c r="T52" s="59" t="n">
        <f aca="false">IF(D52="","",ROUND(SQRT(((D52+G52)*O52/100)^2+(J52*(D52+G52)*0.09173)^2),0))</f>
        <v>63</v>
      </c>
      <c r="U52" s="32"/>
    </row>
    <row r="53" customFormat="false" ht="15" hidden="false" customHeight="false" outlineLevel="0" collapsed="false">
      <c r="A53" s="32" t="s">
        <v>220</v>
      </c>
      <c r="B53" s="32" t="s">
        <v>221</v>
      </c>
      <c r="C53" s="32" t="s">
        <v>161</v>
      </c>
      <c r="D53" s="59" t="n">
        <v>1410</v>
      </c>
      <c r="E53" s="59" t="n">
        <v>1511</v>
      </c>
      <c r="F53" s="68" t="n">
        <f aca="false">IF(E53="","",D53-E53)</f>
        <v>-101</v>
      </c>
      <c r="G53" s="59" t="n">
        <v>2054</v>
      </c>
      <c r="H53" s="59" t="n">
        <v>2018</v>
      </c>
      <c r="I53" s="68" t="n">
        <f aca="false">IF(H53="","",G53-H53)</f>
        <v>36</v>
      </c>
      <c r="J53" s="40" t="n">
        <f aca="false">IF(OR(D53="",D53+G53=0),"",D53/(D53+G53))</f>
        <v>0.407043879907621</v>
      </c>
      <c r="K53" s="40" t="n">
        <f aca="false">IF(E53="","",E53/(E53+H53))</f>
        <v>0.428166619438935</v>
      </c>
      <c r="L53" s="69" t="n">
        <f aca="false">IF(OR(K53="",J53=""),"",(J53-K53)*100)</f>
        <v>-2.11227395313133</v>
      </c>
      <c r="M53" s="36" t="n">
        <v>2.36962244366372</v>
      </c>
      <c r="N53" s="36" t="n">
        <v>1.26676233227734</v>
      </c>
      <c r="O53" s="36" t="n">
        <f aca="false">SQRT(M53^2+N53^2)</f>
        <v>2.68696805563288</v>
      </c>
      <c r="P53" s="40" t="n">
        <f aca="false">IF(J53="","",MAX(0,J53-1.96*O53/100))</f>
        <v>0.354379306017217</v>
      </c>
      <c r="Q53" s="40" t="n">
        <f aca="false">IF(J53="","",MIN(1,J53+1.96*O53/100))</f>
        <v>0.459708453798026</v>
      </c>
      <c r="R53" s="32" t="str">
        <f aca="false">IF(L53="","",IF(ABS(L53)&lt;=O53,"Yes","No"))</f>
        <v>Yes</v>
      </c>
      <c r="S53" s="32" t="str">
        <f aca="false">IF(L53="","",IF(ABS(L53)&lt;=1.96*O53,"Yes","No"))</f>
        <v>Yes</v>
      </c>
      <c r="T53" s="59" t="n">
        <f aca="false">IF(D53="","",ROUND(SQRT(((D53+G53)*O53/100)^2+(J53*(D53+G53)*0.07048)^2),0))</f>
        <v>136</v>
      </c>
      <c r="U53" s="32"/>
    </row>
    <row r="54" customFormat="false" ht="15" hidden="false" customHeight="false" outlineLevel="0" collapsed="false">
      <c r="A54" s="32" t="s">
        <v>220</v>
      </c>
      <c r="B54" s="32" t="s">
        <v>222</v>
      </c>
      <c r="C54" s="32" t="s">
        <v>161</v>
      </c>
      <c r="D54" s="59" t="n">
        <v>948</v>
      </c>
      <c r="E54" s="59" t="n">
        <v>959</v>
      </c>
      <c r="F54" s="68" t="n">
        <f aca="false">IF(E54="","",D54-E54)</f>
        <v>-11</v>
      </c>
      <c r="G54" s="59" t="n">
        <v>1388</v>
      </c>
      <c r="H54" s="59" t="n">
        <v>1364</v>
      </c>
      <c r="I54" s="68" t="n">
        <f aca="false">IF(H54="","",G54-H54)</f>
        <v>24</v>
      </c>
      <c r="J54" s="40" t="n">
        <f aca="false">IF(OR(D54="",D54+G54=0),"",D54/(D54+G54))</f>
        <v>0.405821917808219</v>
      </c>
      <c r="K54" s="40" t="n">
        <f aca="false">IF(E54="","",E54/(E54+H54))</f>
        <v>0.412828239345674</v>
      </c>
      <c r="L54" s="69" t="n">
        <f aca="false">IF(OR(K54="",J54=""),"",(J54-K54)*100)</f>
        <v>-0.700632153745451</v>
      </c>
      <c r="M54" s="36" t="n">
        <v>2.36962244366372</v>
      </c>
      <c r="N54" s="36" t="n">
        <v>1.26676233227734</v>
      </c>
      <c r="O54" s="36" t="n">
        <f aca="false">SQRT(M54^2+N54^2)</f>
        <v>2.68696805563288</v>
      </c>
      <c r="P54" s="40" t="n">
        <f aca="false">IF(J54="","",MAX(0,J54-1.96*O54/100))</f>
        <v>0.353157343917815</v>
      </c>
      <c r="Q54" s="40" t="n">
        <f aca="false">IF(J54="","",MIN(1,J54+1.96*O54/100))</f>
        <v>0.458486491698624</v>
      </c>
      <c r="R54" s="32" t="str">
        <f aca="false">IF(L54="","",IF(ABS(L54)&lt;=O54,"Yes","No"))</f>
        <v>Yes</v>
      </c>
      <c r="S54" s="32" t="str">
        <f aca="false">IF(L54="","",IF(ABS(L54)&lt;=1.96*O54,"Yes","No"))</f>
        <v>Yes</v>
      </c>
      <c r="T54" s="59" t="n">
        <f aca="false">IF(D54="","",ROUND(SQRT(((D54+G54)*O54/100)^2+(J54*(D54+G54)*0.07048)^2),0))</f>
        <v>92</v>
      </c>
      <c r="U54" s="32"/>
    </row>
    <row r="55" customFormat="false" ht="15" hidden="false" customHeight="false" outlineLevel="0" collapsed="false">
      <c r="A55" s="32" t="s">
        <v>220</v>
      </c>
      <c r="B55" s="32" t="s">
        <v>223</v>
      </c>
      <c r="C55" s="32" t="s">
        <v>161</v>
      </c>
      <c r="D55" s="59" t="n">
        <v>587</v>
      </c>
      <c r="E55" s="59" t="n">
        <v>623</v>
      </c>
      <c r="F55" s="68" t="n">
        <f aca="false">IF(E55="","",D55-E55)</f>
        <v>-36</v>
      </c>
      <c r="G55" s="59" t="n">
        <v>783</v>
      </c>
      <c r="H55" s="59" t="n">
        <v>726</v>
      </c>
      <c r="I55" s="68" t="n">
        <f aca="false">IF(H55="","",G55-H55)</f>
        <v>57</v>
      </c>
      <c r="J55" s="40" t="n">
        <f aca="false">IF(OR(D55="",D55+G55=0),"",D55/(D55+G55))</f>
        <v>0.428467153284672</v>
      </c>
      <c r="K55" s="40" t="n">
        <f aca="false">IF(E55="","",E55/(E55+H55))</f>
        <v>0.46182357301705</v>
      </c>
      <c r="L55" s="69" t="n">
        <f aca="false">IF(OR(K55="",J55=""),"",(J55-K55)*100)</f>
        <v>-3.33564197323781</v>
      </c>
      <c r="M55" s="36" t="n">
        <v>3.65244811615435</v>
      </c>
      <c r="N55" s="36" t="n">
        <v>1.26676233227734</v>
      </c>
      <c r="O55" s="36" t="n">
        <f aca="false">SQRT(M55^2+N55^2)</f>
        <v>3.86588463972688</v>
      </c>
      <c r="P55" s="40" t="n">
        <f aca="false">IF(J55="","",MAX(0,J55-1.96*O55/100))</f>
        <v>0.352695814346025</v>
      </c>
      <c r="Q55" s="40" t="n">
        <f aca="false">IF(J55="","",MIN(1,J55+1.96*O55/100))</f>
        <v>0.504238492223318</v>
      </c>
      <c r="R55" s="32" t="str">
        <f aca="false">IF(L55="","",IF(ABS(L55)&lt;=O55,"Yes","No"))</f>
        <v>Yes</v>
      </c>
      <c r="S55" s="32" t="str">
        <f aca="false">IF(L55="","",IF(ABS(L55)&lt;=1.96*O55,"Yes","No"))</f>
        <v>Yes</v>
      </c>
      <c r="T55" s="59" t="n">
        <f aca="false">IF(D55="","",ROUND(SQRT(((D55+G55)*O55/100)^2+(J55*(D55+G55)*0.09173)^2),0))</f>
        <v>76</v>
      </c>
      <c r="U55" s="32"/>
    </row>
    <row r="56" customFormat="false" ht="15" hidden="false" customHeight="false" outlineLevel="0" collapsed="false">
      <c r="A56" s="32" t="s">
        <v>220</v>
      </c>
      <c r="B56" s="32" t="s">
        <v>192</v>
      </c>
      <c r="C56" s="32" t="s">
        <v>161</v>
      </c>
      <c r="D56" s="59" t="n">
        <v>16572</v>
      </c>
      <c r="E56" s="59" t="n">
        <v>17416</v>
      </c>
      <c r="F56" s="68" t="n">
        <f aca="false">IF(E56="","",D56-E56)</f>
        <v>-844</v>
      </c>
      <c r="G56" s="59" t="n">
        <v>9011</v>
      </c>
      <c r="H56" s="59" t="n">
        <v>8640</v>
      </c>
      <c r="I56" s="68" t="n">
        <f aca="false">IF(H56="","",G56-H56)</f>
        <v>371</v>
      </c>
      <c r="J56" s="40" t="n">
        <f aca="false">IF(OR(D56="",D56+G56=0),"",D56/(D56+G56))</f>
        <v>0.647773912363679</v>
      </c>
      <c r="K56" s="40" t="n">
        <f aca="false">IF(E56="","",E56/(E56+H56))</f>
        <v>0.668406509057415</v>
      </c>
      <c r="L56" s="69" t="n">
        <f aca="false">IF(OR(K56="",J56=""),"",(J56-K56)*100)</f>
        <v>-2.06325966937359</v>
      </c>
      <c r="M56" s="36" t="n">
        <v>1.86778932532988</v>
      </c>
      <c r="N56" s="36" t="n">
        <v>1.26676233227734</v>
      </c>
      <c r="O56" s="36" t="n">
        <f aca="false">SQRT(M56^2+N56^2)</f>
        <v>2.2568393319625</v>
      </c>
      <c r="P56" s="40" t="n">
        <f aca="false">IF(J56="","",MAX(0,J56-1.96*O56/100))</f>
        <v>0.603539861457214</v>
      </c>
      <c r="Q56" s="40" t="n">
        <f aca="false">IF(J56="","",MIN(1,J56+1.96*O56/100))</f>
        <v>0.692007963270144</v>
      </c>
      <c r="R56" s="32" t="str">
        <f aca="false">IF(L56="","",IF(ABS(L56)&lt;=O56,"Yes","No"))</f>
        <v>Yes</v>
      </c>
      <c r="S56" s="32" t="str">
        <f aca="false">IF(L56="","",IF(ABS(L56)&lt;=1.96*O56,"Yes","No"))</f>
        <v>Yes</v>
      </c>
      <c r="T56" s="59" t="n">
        <f aca="false">IF(D56="","",ROUND(SQRT(((D56+G56)*O56/100)^2+(J56*(D56+G56)*0.06406)^2),0))</f>
        <v>1208</v>
      </c>
      <c r="U56" s="32"/>
    </row>
    <row r="57" customFormat="false" ht="15" hidden="false" customHeight="false" outlineLevel="0" collapsed="false">
      <c r="A57" s="32" t="s">
        <v>220</v>
      </c>
      <c r="B57" s="32" t="s">
        <v>224</v>
      </c>
      <c r="C57" s="32" t="s">
        <v>161</v>
      </c>
      <c r="D57" s="59" t="n">
        <v>8105</v>
      </c>
      <c r="E57" s="59" t="n">
        <v>8595</v>
      </c>
      <c r="F57" s="68" t="n">
        <f aca="false">IF(E57="","",D57-E57)</f>
        <v>-490</v>
      </c>
      <c r="G57" s="59" t="n">
        <v>7828</v>
      </c>
      <c r="H57" s="59" t="n">
        <v>7440</v>
      </c>
      <c r="I57" s="68" t="n">
        <f aca="false">IF(H57="","",G57-H57)</f>
        <v>388</v>
      </c>
      <c r="J57" s="40" t="n">
        <f aca="false">IF(OR(D57="",D57+G57=0),"",D57/(D57+G57))</f>
        <v>0.508692650473859</v>
      </c>
      <c r="K57" s="40" t="n">
        <f aca="false">IF(E57="","",E57/(E57+H57))</f>
        <v>0.536014967259121</v>
      </c>
      <c r="L57" s="69" t="n">
        <f aca="false">IF(OR(K57="",J57=""),"",(J57-K57)*100)</f>
        <v>-2.73223167852614</v>
      </c>
      <c r="M57" s="36" t="n">
        <v>1.86778932532988</v>
      </c>
      <c r="N57" s="36" t="n">
        <v>1.26676233227734</v>
      </c>
      <c r="O57" s="36" t="n">
        <f aca="false">SQRT(M57^2+N57^2)</f>
        <v>2.2568393319625</v>
      </c>
      <c r="P57" s="40" t="n">
        <f aca="false">IF(J57="","",MAX(0,J57-1.96*O57/100))</f>
        <v>0.464458599567394</v>
      </c>
      <c r="Q57" s="40" t="n">
        <f aca="false">IF(J57="","",MIN(1,J57+1.96*O57/100))</f>
        <v>0.552926701380324</v>
      </c>
      <c r="R57" s="32" t="str">
        <f aca="false">IF(L57="","",IF(ABS(L57)&lt;=O57,"Yes","No"))</f>
        <v>No</v>
      </c>
      <c r="S57" s="32" t="str">
        <f aca="false">IF(L57="","",IF(ABS(L57)&lt;=1.96*O57,"Yes","No"))</f>
        <v>Yes</v>
      </c>
      <c r="T57" s="59" t="n">
        <f aca="false">IF(D57="","",ROUND(SQRT(((D57+G57)*O57/100)^2+(J57*(D57+G57)*0.06406)^2),0))</f>
        <v>632</v>
      </c>
      <c r="U57" s="32"/>
    </row>
    <row r="58" customFormat="false" ht="15" hidden="false" customHeight="false" outlineLevel="0" collapsed="false">
      <c r="A58" s="32" t="s">
        <v>220</v>
      </c>
      <c r="B58" s="32" t="s">
        <v>225</v>
      </c>
      <c r="C58" s="32" t="s">
        <v>161</v>
      </c>
      <c r="D58" s="59" t="n">
        <v>1936</v>
      </c>
      <c r="E58" s="59" t="n">
        <v>2169</v>
      </c>
      <c r="F58" s="68" t="n">
        <f aca="false">IF(E58="","",D58-E58)</f>
        <v>-233</v>
      </c>
      <c r="G58" s="59" t="n">
        <v>3679</v>
      </c>
      <c r="H58" s="59" t="n">
        <v>3459</v>
      </c>
      <c r="I58" s="68" t="n">
        <f aca="false">IF(H58="","",G58-H58)</f>
        <v>220</v>
      </c>
      <c r="J58" s="40" t="n">
        <f aca="false">IF(OR(D58="",D58+G58=0),"",D58/(D58+G58))</f>
        <v>0.344790739091719</v>
      </c>
      <c r="K58" s="40" t="n">
        <f aca="false">IF(E58="","",E58/(E58+H58))</f>
        <v>0.385394456289979</v>
      </c>
      <c r="L58" s="69" t="n">
        <f aca="false">IF(OR(K58="",J58=""),"",(J58-K58)*100)</f>
        <v>-4.06037171982601</v>
      </c>
      <c r="M58" s="36" t="n">
        <v>1.86778932532988</v>
      </c>
      <c r="N58" s="36" t="n">
        <v>1.26676233227734</v>
      </c>
      <c r="O58" s="36" t="n">
        <f aca="false">SQRT(M58^2+N58^2)</f>
        <v>2.2568393319625</v>
      </c>
      <c r="P58" s="40" t="n">
        <f aca="false">IF(J58="","",MAX(0,J58-1.96*O58/100))</f>
        <v>0.300556688185254</v>
      </c>
      <c r="Q58" s="40" t="n">
        <f aca="false">IF(J58="","",MIN(1,J58+1.96*O58/100))</f>
        <v>0.389024789998184</v>
      </c>
      <c r="R58" s="32" t="str">
        <f aca="false">IF(L58="","",IF(ABS(L58)&lt;=O58,"Yes","No"))</f>
        <v>No</v>
      </c>
      <c r="S58" s="32" t="str">
        <f aca="false">IF(L58="","",IF(ABS(L58)&lt;=1.96*O58,"Yes","No"))</f>
        <v>Yes</v>
      </c>
      <c r="T58" s="59" t="n">
        <f aca="false">IF(D58="","",ROUND(SQRT(((D58+G58)*O58/100)^2+(J58*(D58+G58)*0.06406)^2),0))</f>
        <v>177</v>
      </c>
      <c r="U58" s="32"/>
    </row>
    <row r="59" customFormat="false" ht="15" hidden="false" customHeight="false" outlineLevel="0" collapsed="false">
      <c r="A59" s="32" t="s">
        <v>220</v>
      </c>
      <c r="B59" s="32" t="s">
        <v>226</v>
      </c>
      <c r="C59" s="32" t="s">
        <v>161</v>
      </c>
      <c r="D59" s="59" t="n">
        <v>40</v>
      </c>
      <c r="E59" s="59" t="n">
        <v>40</v>
      </c>
      <c r="F59" s="68" t="n">
        <f aca="false">IF(E59="","",D59-E59)</f>
        <v>0</v>
      </c>
      <c r="G59" s="59" t="n">
        <v>81</v>
      </c>
      <c r="H59" s="59" t="n">
        <v>83</v>
      </c>
      <c r="I59" s="68" t="n">
        <f aca="false">IF(H59="","",G59-H59)</f>
        <v>-2</v>
      </c>
      <c r="J59" s="40" t="n">
        <f aca="false">IF(OR(D59="",D59+G59=0),"",D59/(D59+G59))</f>
        <v>0.330578512396694</v>
      </c>
      <c r="K59" s="40" t="n">
        <f aca="false">IF(E59="","",E59/(E59+H59))</f>
        <v>0.32520325203252</v>
      </c>
      <c r="L59" s="69" t="n">
        <f aca="false">IF(OR(K59="",J59=""),"",(J59-K59)*100)</f>
        <v>0.537526036417391</v>
      </c>
      <c r="M59" s="36" t="n">
        <v>3.65244811615435</v>
      </c>
      <c r="N59" s="36" t="n">
        <v>1.26676233227734</v>
      </c>
      <c r="O59" s="36" t="n">
        <f aca="false">SQRT(M59^2+N59^2)</f>
        <v>3.86588463972688</v>
      </c>
      <c r="P59" s="40" t="n">
        <f aca="false">IF(J59="","",MAX(0,J59-1.96*O59/100))</f>
        <v>0.254807173458047</v>
      </c>
      <c r="Q59" s="40" t="n">
        <f aca="false">IF(J59="","",MIN(1,J59+1.96*O59/100))</f>
        <v>0.406349851335341</v>
      </c>
      <c r="R59" s="32" t="str">
        <f aca="false">IF(L59="","",IF(ABS(L59)&lt;=O59,"Yes","No"))</f>
        <v>Yes</v>
      </c>
      <c r="S59" s="32" t="str">
        <f aca="false">IF(L59="","",IF(ABS(L59)&lt;=1.96*O59,"Yes","No"))</f>
        <v>Yes</v>
      </c>
      <c r="T59" s="59" t="n">
        <f aca="false">IF(D59="","",ROUND(SQRT(((D59+G59)*O59/100)^2+(J59*(D59+G59)*0.09173)^2),0))</f>
        <v>6</v>
      </c>
      <c r="U59" s="32"/>
    </row>
    <row r="60" customFormat="false" ht="15" hidden="false" customHeight="false" outlineLevel="0" collapsed="false">
      <c r="A60" s="32" t="s">
        <v>220</v>
      </c>
      <c r="B60" s="32" t="s">
        <v>227</v>
      </c>
      <c r="C60" s="32" t="s">
        <v>161</v>
      </c>
      <c r="D60" s="59" t="n">
        <v>1355</v>
      </c>
      <c r="E60" s="59" t="n">
        <v>1484</v>
      </c>
      <c r="F60" s="68" t="n">
        <f aca="false">IF(E60="","",D60-E60)</f>
        <v>-129</v>
      </c>
      <c r="G60" s="59" t="n">
        <v>2014</v>
      </c>
      <c r="H60" s="59" t="n">
        <v>1959</v>
      </c>
      <c r="I60" s="68" t="n">
        <f aca="false">IF(H60="","",G60-H60)</f>
        <v>55</v>
      </c>
      <c r="J60" s="40" t="n">
        <f aca="false">IF(OR(D60="",D60+G60=0),"",D60/(D60+G60))</f>
        <v>0.402196497476996</v>
      </c>
      <c r="K60" s="40" t="n">
        <f aca="false">IF(E60="","",E60/(E60+H60))</f>
        <v>0.431019459773453</v>
      </c>
      <c r="L60" s="69" t="n">
        <f aca="false">IF(OR(K60="",J60=""),"",(J60-K60)*100)</f>
        <v>-2.88229622964573</v>
      </c>
      <c r="M60" s="36" t="n">
        <v>2.36962244366372</v>
      </c>
      <c r="N60" s="36" t="n">
        <v>1.26676233227734</v>
      </c>
      <c r="O60" s="36" t="n">
        <f aca="false">SQRT(M60^2+N60^2)</f>
        <v>2.68696805563288</v>
      </c>
      <c r="P60" s="40" t="n">
        <f aca="false">IF(J60="","",MAX(0,J60-1.96*O60/100))</f>
        <v>0.349531923586592</v>
      </c>
      <c r="Q60" s="40" t="n">
        <f aca="false">IF(J60="","",MIN(1,J60+1.96*O60/100))</f>
        <v>0.454861071367401</v>
      </c>
      <c r="R60" s="32" t="str">
        <f aca="false">IF(L60="","",IF(ABS(L60)&lt;=O60,"Yes","No"))</f>
        <v>No</v>
      </c>
      <c r="S60" s="32" t="str">
        <f aca="false">IF(L60="","",IF(ABS(L60)&lt;=1.96*O60,"Yes","No"))</f>
        <v>Yes</v>
      </c>
      <c r="T60" s="59" t="n">
        <f aca="false">IF(D60="","",ROUND(SQRT(((D60+G60)*O60/100)^2+(J60*(D60+G60)*0.07048)^2),0))</f>
        <v>132</v>
      </c>
      <c r="U60" s="32"/>
    </row>
    <row r="61" customFormat="false" ht="15" hidden="false" customHeight="false" outlineLevel="0" collapsed="false">
      <c r="A61" s="32" t="s">
        <v>220</v>
      </c>
      <c r="B61" s="32" t="s">
        <v>228</v>
      </c>
      <c r="C61" s="32" t="s">
        <v>161</v>
      </c>
      <c r="D61" s="59" t="n">
        <v>179</v>
      </c>
      <c r="E61" s="59" t="n">
        <v>217</v>
      </c>
      <c r="F61" s="68" t="n">
        <f aca="false">IF(E61="","",D61-E61)</f>
        <v>-38</v>
      </c>
      <c r="G61" s="59" t="n">
        <v>332</v>
      </c>
      <c r="H61" s="59" t="n">
        <v>309</v>
      </c>
      <c r="I61" s="68" t="n">
        <f aca="false">IF(H61="","",G61-H61)</f>
        <v>23</v>
      </c>
      <c r="J61" s="40" t="n">
        <f aca="false">IF(OR(D61="",D61+G61=0),"",D61/(D61+G61))</f>
        <v>0.350293542074364</v>
      </c>
      <c r="K61" s="40" t="n">
        <f aca="false">IF(E61="","",E61/(E61+H61))</f>
        <v>0.41254752851711</v>
      </c>
      <c r="L61" s="69" t="n">
        <f aca="false">IF(OR(K61="",J61=""),"",(J61-K61)*100)</f>
        <v>-6.22539864427463</v>
      </c>
      <c r="M61" s="36" t="n">
        <v>3.65244811615435</v>
      </c>
      <c r="N61" s="36" t="n">
        <v>1.26676233227734</v>
      </c>
      <c r="O61" s="36" t="n">
        <f aca="false">SQRT(M61^2+N61^2)</f>
        <v>3.86588463972688</v>
      </c>
      <c r="P61" s="40" t="n">
        <f aca="false">IF(J61="","",MAX(0,J61-1.96*O61/100))</f>
        <v>0.274522203135717</v>
      </c>
      <c r="Q61" s="40" t="n">
        <f aca="false">IF(J61="","",MIN(1,J61+1.96*O61/100))</f>
        <v>0.426064881013011</v>
      </c>
      <c r="R61" s="32" t="str">
        <f aca="false">IF(L61="","",IF(ABS(L61)&lt;=O61,"Yes","No"))</f>
        <v>No</v>
      </c>
      <c r="S61" s="32" t="str">
        <f aca="false">IF(L61="","",IF(ABS(L61)&lt;=1.96*O61,"Yes","No"))</f>
        <v>Yes</v>
      </c>
      <c r="T61" s="59" t="n">
        <f aca="false">IF(D61="","",ROUND(SQRT(((D61+G61)*O61/100)^2+(J61*(D61+G61)*0.09173)^2),0))</f>
        <v>26</v>
      </c>
      <c r="U61" s="32"/>
    </row>
    <row r="62" customFormat="false" ht="15" hidden="false" customHeight="false" outlineLevel="0" collapsed="false">
      <c r="A62" s="32" t="s">
        <v>220</v>
      </c>
      <c r="B62" s="32" t="s">
        <v>229</v>
      </c>
      <c r="C62" s="32" t="s">
        <v>161</v>
      </c>
      <c r="D62" s="59" t="n">
        <v>7211</v>
      </c>
      <c r="E62" s="59" t="n">
        <v>7604</v>
      </c>
      <c r="F62" s="68" t="n">
        <f aca="false">IF(E62="","",D62-E62)</f>
        <v>-393</v>
      </c>
      <c r="G62" s="59" t="n">
        <v>3320</v>
      </c>
      <c r="H62" s="59" t="n">
        <v>3303</v>
      </c>
      <c r="I62" s="68" t="n">
        <f aca="false">IF(H62="","",G62-H62)</f>
        <v>17</v>
      </c>
      <c r="J62" s="40" t="n">
        <f aca="false">IF(OR(D62="",D62+G62=0),"",D62/(D62+G62))</f>
        <v>0.684740290570696</v>
      </c>
      <c r="K62" s="40" t="n">
        <f aca="false">IF(E62="","",E62/(E62+H62))</f>
        <v>0.697166957000092</v>
      </c>
      <c r="L62" s="69" t="n">
        <f aca="false">IF(OR(K62="",J62=""),"",(J62-K62)*100)</f>
        <v>-1.24266664293956</v>
      </c>
      <c r="M62" s="36" t="n">
        <v>1.86778932532988</v>
      </c>
      <c r="N62" s="36" t="n">
        <v>1.26676233227734</v>
      </c>
      <c r="O62" s="36" t="n">
        <f aca="false">SQRT(M62^2+N62^2)</f>
        <v>2.2568393319625</v>
      </c>
      <c r="P62" s="40" t="n">
        <f aca="false">IF(J62="","",MAX(0,J62-1.96*O62/100))</f>
        <v>0.640506239664231</v>
      </c>
      <c r="Q62" s="40" t="n">
        <f aca="false">IF(J62="","",MIN(1,J62+1.96*O62/100))</f>
        <v>0.728974341477161</v>
      </c>
      <c r="R62" s="32" t="str">
        <f aca="false">IF(L62="","",IF(ABS(L62)&lt;=O62,"Yes","No"))</f>
        <v>Yes</v>
      </c>
      <c r="S62" s="32" t="str">
        <f aca="false">IF(L62="","",IF(ABS(L62)&lt;=1.96*O62,"Yes","No"))</f>
        <v>Yes</v>
      </c>
      <c r="T62" s="59" t="n">
        <f aca="false">IF(D62="","",ROUND(SQRT(((D62+G62)*O62/100)^2+(J62*(D62+G62)*0.06406)^2),0))</f>
        <v>519</v>
      </c>
      <c r="U62" s="32"/>
    </row>
    <row r="63" customFormat="false" ht="15" hidden="false" customHeight="false" outlineLevel="0" collapsed="false">
      <c r="A63" s="32" t="s">
        <v>220</v>
      </c>
      <c r="B63" s="32" t="s">
        <v>230</v>
      </c>
      <c r="C63" s="32" t="s">
        <v>161</v>
      </c>
      <c r="D63" s="59" t="n">
        <v>5123</v>
      </c>
      <c r="E63" s="59" t="n">
        <v>5358</v>
      </c>
      <c r="F63" s="68" t="n">
        <f aca="false">IF(E63="","",D63-E63)</f>
        <v>-235</v>
      </c>
      <c r="G63" s="59" t="n">
        <v>5156</v>
      </c>
      <c r="H63" s="59" t="n">
        <v>5027</v>
      </c>
      <c r="I63" s="68" t="n">
        <f aca="false">IF(H63="","",G63-H63)</f>
        <v>129</v>
      </c>
      <c r="J63" s="40" t="n">
        <f aca="false">IF(OR(D63="",D63+G63=0),"",D63/(D63+G63))</f>
        <v>0.498394785484969</v>
      </c>
      <c r="K63" s="40" t="n">
        <f aca="false">IF(E63="","",E63/(E63+H63))</f>
        <v>0.515936446798267</v>
      </c>
      <c r="L63" s="69" t="n">
        <f aca="false">IF(OR(K63="",J63=""),"",(J63-K63)*100)</f>
        <v>-1.75416613132974</v>
      </c>
      <c r="M63" s="36" t="n">
        <v>1.86778932532988</v>
      </c>
      <c r="N63" s="36" t="n">
        <v>1.26676233227734</v>
      </c>
      <c r="O63" s="36" t="n">
        <f aca="false">SQRT(M63^2+N63^2)</f>
        <v>2.2568393319625</v>
      </c>
      <c r="P63" s="40" t="n">
        <f aca="false">IF(J63="","",MAX(0,J63-1.96*O63/100))</f>
        <v>0.454160734578504</v>
      </c>
      <c r="Q63" s="40" t="n">
        <f aca="false">IF(J63="","",MIN(1,J63+1.96*O63/100))</f>
        <v>0.542628836391434</v>
      </c>
      <c r="R63" s="32" t="str">
        <f aca="false">IF(L63="","",IF(ABS(L63)&lt;=O63,"Yes","No"))</f>
        <v>Yes</v>
      </c>
      <c r="S63" s="32" t="str">
        <f aca="false">IF(L63="","",IF(ABS(L63)&lt;=1.96*O63,"Yes","No"))</f>
        <v>Yes</v>
      </c>
      <c r="T63" s="59" t="n">
        <f aca="false">IF(D63="","",ROUND(SQRT(((D63+G63)*O63/100)^2+(J63*(D63+G63)*0.06406)^2),0))</f>
        <v>402</v>
      </c>
      <c r="U63" s="32"/>
    </row>
    <row r="64" customFormat="false" ht="15" hidden="false" customHeight="false" outlineLevel="0" collapsed="false">
      <c r="A64" s="32" t="s">
        <v>220</v>
      </c>
      <c r="B64" s="32" t="s">
        <v>231</v>
      </c>
      <c r="C64" s="32" t="s">
        <v>161</v>
      </c>
      <c r="D64" s="59" t="n">
        <v>718</v>
      </c>
      <c r="E64" s="59" t="n">
        <v>714</v>
      </c>
      <c r="F64" s="68" t="n">
        <f aca="false">IF(E64="","",D64-E64)</f>
        <v>4</v>
      </c>
      <c r="G64" s="59" t="n">
        <v>547</v>
      </c>
      <c r="H64" s="59" t="n">
        <v>484</v>
      </c>
      <c r="I64" s="68" t="n">
        <f aca="false">IF(H64="","",G64-H64)</f>
        <v>63</v>
      </c>
      <c r="J64" s="40" t="n">
        <f aca="false">IF(OR(D64="",D64+G64=0),"",D64/(D64+G64))</f>
        <v>0.567588932806324</v>
      </c>
      <c r="K64" s="40" t="n">
        <f aca="false">IF(E64="","",E64/(E64+H64))</f>
        <v>0.595993322203673</v>
      </c>
      <c r="L64" s="69" t="n">
        <f aca="false">IF(OR(K64="",J64=""),"",(J64-K64)*100)</f>
        <v>-2.84043893973486</v>
      </c>
      <c r="M64" s="36" t="n">
        <v>3.65244811615435</v>
      </c>
      <c r="N64" s="36" t="n">
        <v>1.26676233227734</v>
      </c>
      <c r="O64" s="36" t="n">
        <f aca="false">SQRT(M64^2+N64^2)</f>
        <v>3.86588463972688</v>
      </c>
      <c r="P64" s="40" t="n">
        <f aca="false">IF(J64="","",MAX(0,J64-1.96*O64/100))</f>
        <v>0.491817593867677</v>
      </c>
      <c r="Q64" s="40" t="n">
        <f aca="false">IF(J64="","",MIN(1,J64+1.96*O64/100))</f>
        <v>0.643360271744971</v>
      </c>
      <c r="R64" s="32" t="str">
        <f aca="false">IF(L64="","",IF(ABS(L64)&lt;=O64,"Yes","No"))</f>
        <v>Yes</v>
      </c>
      <c r="S64" s="32" t="str">
        <f aca="false">IF(L64="","",IF(ABS(L64)&lt;=1.96*O64,"Yes","No"))</f>
        <v>Yes</v>
      </c>
      <c r="T64" s="59" t="n">
        <f aca="false">IF(D64="","",ROUND(SQRT(((D64+G64)*O64/100)^2+(J64*(D64+G64)*0.09173)^2),0))</f>
        <v>82</v>
      </c>
      <c r="U64" s="32"/>
    </row>
    <row r="65" customFormat="false" ht="15" hidden="false" customHeight="false" outlineLevel="0" collapsed="false">
      <c r="A65" s="32" t="s">
        <v>220</v>
      </c>
      <c r="B65" s="32" t="s">
        <v>232</v>
      </c>
      <c r="C65" s="32" t="s">
        <v>161</v>
      </c>
      <c r="D65" s="59" t="n">
        <v>99</v>
      </c>
      <c r="E65" s="59" t="n">
        <v>109</v>
      </c>
      <c r="F65" s="68" t="n">
        <f aca="false">IF(E65="","",D65-E65)</f>
        <v>-10</v>
      </c>
      <c r="G65" s="59" t="n">
        <v>106</v>
      </c>
      <c r="H65" s="59" t="n">
        <v>97</v>
      </c>
      <c r="I65" s="68" t="n">
        <f aca="false">IF(H65="","",G65-H65)</f>
        <v>9</v>
      </c>
      <c r="J65" s="40" t="n">
        <f aca="false">IF(OR(D65="",D65+G65=0),"",D65/(D65+G65))</f>
        <v>0.482926829268293</v>
      </c>
      <c r="K65" s="40" t="n">
        <f aca="false">IF(E65="","",E65/(E65+H65))</f>
        <v>0.529126213592233</v>
      </c>
      <c r="L65" s="69" t="n">
        <f aca="false">IF(OR(K65="",J65=""),"",(J65-K65)*100)</f>
        <v>-4.61993843239403</v>
      </c>
      <c r="M65" s="36" t="n">
        <v>3.65244811615435</v>
      </c>
      <c r="N65" s="36" t="n">
        <v>1.26676233227734</v>
      </c>
      <c r="O65" s="36" t="n">
        <f aca="false">SQRT(M65^2+N65^2)</f>
        <v>3.86588463972688</v>
      </c>
      <c r="P65" s="40" t="n">
        <f aca="false">IF(J65="","",MAX(0,J65-1.96*O65/100))</f>
        <v>0.407155490329646</v>
      </c>
      <c r="Q65" s="40" t="n">
        <f aca="false">IF(J65="","",MIN(1,J65+1.96*O65/100))</f>
        <v>0.558698168206939</v>
      </c>
      <c r="R65" s="32" t="str">
        <f aca="false">IF(L65="","",IF(ABS(L65)&lt;=O65,"Yes","No"))</f>
        <v>No</v>
      </c>
      <c r="S65" s="32" t="str">
        <f aca="false">IF(L65="","",IF(ABS(L65)&lt;=1.96*O65,"Yes","No"))</f>
        <v>Yes</v>
      </c>
      <c r="T65" s="59" t="n">
        <f aca="false">IF(D65="","",ROUND(SQRT(((D65+G65)*O65/100)^2+(J65*(D65+G65)*0.09173)^2),0))</f>
        <v>12</v>
      </c>
      <c r="U65" s="32"/>
    </row>
    <row r="66" customFormat="false" ht="15" hidden="false" customHeight="false" outlineLevel="0" collapsed="false">
      <c r="A66" s="32" t="s">
        <v>220</v>
      </c>
      <c r="B66" s="32" t="s">
        <v>198</v>
      </c>
      <c r="C66" s="32" t="s">
        <v>161</v>
      </c>
      <c r="D66" s="59" t="n">
        <v>4095</v>
      </c>
      <c r="E66" s="59" t="n">
        <v>4341</v>
      </c>
      <c r="F66" s="68" t="n">
        <f aca="false">IF(E66="","",D66-E66)</f>
        <v>-246</v>
      </c>
      <c r="G66" s="59" t="n">
        <v>3854</v>
      </c>
      <c r="H66" s="59" t="n">
        <v>3620</v>
      </c>
      <c r="I66" s="68" t="n">
        <f aca="false">IF(H66="","",G66-H66)</f>
        <v>234</v>
      </c>
      <c r="J66" s="40" t="n">
        <f aca="false">IF(OR(D66="",D66+G66=0),"",D66/(D66+G66))</f>
        <v>0.515159139514404</v>
      </c>
      <c r="K66" s="40" t="n">
        <f aca="false">IF(E66="","",E66/(E66+H66))</f>
        <v>0.545283255872378</v>
      </c>
      <c r="L66" s="69" t="n">
        <f aca="false">IF(OR(K66="",J66=""),"",(J66-K66)*100)</f>
        <v>-3.01241163579735</v>
      </c>
      <c r="M66" s="36" t="n">
        <v>1.86778932532988</v>
      </c>
      <c r="N66" s="36" t="n">
        <v>1.26676233227734</v>
      </c>
      <c r="O66" s="36" t="n">
        <f aca="false">SQRT(M66^2+N66^2)</f>
        <v>2.2568393319625</v>
      </c>
      <c r="P66" s="40" t="n">
        <f aca="false">IF(J66="","",MAX(0,J66-1.96*O66/100))</f>
        <v>0.470925088607939</v>
      </c>
      <c r="Q66" s="40" t="n">
        <f aca="false">IF(J66="","",MIN(1,J66+1.96*O66/100))</f>
        <v>0.559393190420869</v>
      </c>
      <c r="R66" s="32" t="str">
        <f aca="false">IF(L66="","",IF(ABS(L66)&lt;=O66,"Yes","No"))</f>
        <v>No</v>
      </c>
      <c r="S66" s="32" t="str">
        <f aca="false">IF(L66="","",IF(ABS(L66)&lt;=1.96*O66,"Yes","No"))</f>
        <v>Yes</v>
      </c>
      <c r="T66" s="59" t="n">
        <f aca="false">IF(D66="","",ROUND(SQRT(((D66+G66)*O66/100)^2+(J66*(D66+G66)*0.06406)^2),0))</f>
        <v>318</v>
      </c>
      <c r="U66" s="32"/>
    </row>
    <row r="67" customFormat="false" ht="15" hidden="false" customHeight="false" outlineLevel="0" collapsed="false">
      <c r="A67" s="32" t="s">
        <v>220</v>
      </c>
      <c r="B67" s="32" t="s">
        <v>233</v>
      </c>
      <c r="C67" s="32" t="s">
        <v>161</v>
      </c>
      <c r="D67" s="59" t="n">
        <v>1672</v>
      </c>
      <c r="E67" s="59" t="n">
        <v>1726</v>
      </c>
      <c r="F67" s="68" t="n">
        <f aca="false">IF(E67="","",D67-E67)</f>
        <v>-54</v>
      </c>
      <c r="G67" s="59" t="n">
        <v>1687</v>
      </c>
      <c r="H67" s="59" t="n">
        <v>1685</v>
      </c>
      <c r="I67" s="68" t="n">
        <f aca="false">IF(H67="","",G67-H67)</f>
        <v>2</v>
      </c>
      <c r="J67" s="40" t="n">
        <f aca="false">IF(OR(D67="",D67+G67=0),"",D67/(D67+G67))</f>
        <v>0.49776719261685</v>
      </c>
      <c r="K67" s="40" t="n">
        <f aca="false">IF(E67="","",E67/(E67+H67))</f>
        <v>0.506009967751393</v>
      </c>
      <c r="L67" s="69" t="n">
        <f aca="false">IF(OR(K67="",J67=""),"",(J67-K67)*100)</f>
        <v>-0.824277513454225</v>
      </c>
      <c r="M67" s="36" t="n">
        <v>2.36962244366372</v>
      </c>
      <c r="N67" s="36" t="n">
        <v>1.26676233227734</v>
      </c>
      <c r="O67" s="36" t="n">
        <f aca="false">SQRT(M67^2+N67^2)</f>
        <v>2.68696805563288</v>
      </c>
      <c r="P67" s="40" t="n">
        <f aca="false">IF(J67="","",MAX(0,J67-1.96*O67/100))</f>
        <v>0.445102618726446</v>
      </c>
      <c r="Q67" s="40" t="n">
        <f aca="false">IF(J67="","",MIN(1,J67+1.96*O67/100))</f>
        <v>0.550431766507255</v>
      </c>
      <c r="R67" s="32" t="str">
        <f aca="false">IF(L67="","",IF(ABS(L67)&lt;=O67,"Yes","No"))</f>
        <v>Yes</v>
      </c>
      <c r="S67" s="32" t="str">
        <f aca="false">IF(L67="","",IF(ABS(L67)&lt;=1.96*O67,"Yes","No"))</f>
        <v>Yes</v>
      </c>
      <c r="T67" s="59" t="n">
        <f aca="false">IF(D67="","",ROUND(SQRT(((D67+G67)*O67/100)^2+(J67*(D67+G67)*0.07048)^2),0))</f>
        <v>148</v>
      </c>
      <c r="U67" s="32"/>
    </row>
    <row r="68" customFormat="false" ht="15" hidden="false" customHeight="false" outlineLevel="0" collapsed="false">
      <c r="A68" s="32" t="s">
        <v>220</v>
      </c>
      <c r="B68" s="32" t="s">
        <v>234</v>
      </c>
      <c r="C68" s="32" t="s">
        <v>161</v>
      </c>
      <c r="D68" s="59" t="n">
        <v>2105</v>
      </c>
      <c r="E68" s="59" t="n">
        <v>2244</v>
      </c>
      <c r="F68" s="68" t="n">
        <f aca="false">IF(E68="","",D68-E68)</f>
        <v>-139</v>
      </c>
      <c r="G68" s="59" t="n">
        <v>4544</v>
      </c>
      <c r="H68" s="59" t="n">
        <v>4439</v>
      </c>
      <c r="I68" s="68" t="n">
        <f aca="false">IF(H68="","",G68-H68)</f>
        <v>105</v>
      </c>
      <c r="J68" s="40" t="n">
        <f aca="false">IF(OR(D68="",D68+G68=0),"",D68/(D68+G68))</f>
        <v>0.316588960745977</v>
      </c>
      <c r="K68" s="40" t="n">
        <f aca="false">IF(E68="","",E68/(E68+H68))</f>
        <v>0.335777345503516</v>
      </c>
      <c r="L68" s="69" t="n">
        <f aca="false">IF(OR(K68="",J68=""),"",(J68-K68)*100)</f>
        <v>-1.91883847575395</v>
      </c>
      <c r="M68" s="36" t="n">
        <v>1.86778932532988</v>
      </c>
      <c r="N68" s="36" t="n">
        <v>1.26676233227734</v>
      </c>
      <c r="O68" s="36" t="n">
        <f aca="false">SQRT(M68^2+N68^2)</f>
        <v>2.2568393319625</v>
      </c>
      <c r="P68" s="40" t="n">
        <f aca="false">IF(J68="","",MAX(0,J68-1.96*O68/100))</f>
        <v>0.272354909839512</v>
      </c>
      <c r="Q68" s="40" t="n">
        <f aca="false">IF(J68="","",MIN(1,J68+1.96*O68/100))</f>
        <v>0.360823011652442</v>
      </c>
      <c r="R68" s="32" t="str">
        <f aca="false">IF(L68="","",IF(ABS(L68)&lt;=O68,"Yes","No"))</f>
        <v>Yes</v>
      </c>
      <c r="S68" s="32" t="str">
        <f aca="false">IF(L68="","",IF(ABS(L68)&lt;=1.96*O68,"Yes","No"))</f>
        <v>Yes</v>
      </c>
      <c r="T68" s="59" t="n">
        <f aca="false">IF(D68="","",ROUND(SQRT(((D68+G68)*O68/100)^2+(J68*(D68+G68)*0.06406)^2),0))</f>
        <v>202</v>
      </c>
      <c r="U68" s="32"/>
    </row>
    <row r="69" customFormat="false" ht="15" hidden="false" customHeight="false" outlineLevel="0" collapsed="false">
      <c r="A69" s="32" t="s">
        <v>220</v>
      </c>
      <c r="B69" s="32" t="s">
        <v>235</v>
      </c>
      <c r="C69" s="32" t="s">
        <v>161</v>
      </c>
      <c r="D69" s="59" t="n">
        <v>578</v>
      </c>
      <c r="E69" s="59" t="n">
        <v>625</v>
      </c>
      <c r="F69" s="68" t="n">
        <f aca="false">IF(E69="","",D69-E69)</f>
        <v>-47</v>
      </c>
      <c r="G69" s="59" t="n">
        <v>1213</v>
      </c>
      <c r="H69" s="59" t="n">
        <v>1214</v>
      </c>
      <c r="I69" s="68" t="n">
        <f aca="false">IF(H69="","",G69-H69)</f>
        <v>-1</v>
      </c>
      <c r="J69" s="40" t="n">
        <f aca="false">IF(OR(D69="",D69+G69=0),"",D69/(D69+G69))</f>
        <v>0.322724734785036</v>
      </c>
      <c r="K69" s="40" t="n">
        <f aca="false">IF(E69="","",E69/(E69+H69))</f>
        <v>0.339858618814573</v>
      </c>
      <c r="L69" s="69" t="n">
        <f aca="false">IF(OR(K69="",J69=""),"",(J69-K69)*100)</f>
        <v>-1.71338840295369</v>
      </c>
      <c r="M69" s="36" t="n">
        <v>2.36962244366372</v>
      </c>
      <c r="N69" s="36" t="n">
        <v>1.26676233227734</v>
      </c>
      <c r="O69" s="36" t="n">
        <f aca="false">SQRT(M69^2+N69^2)</f>
        <v>2.68696805563288</v>
      </c>
      <c r="P69" s="40" t="n">
        <f aca="false">IF(J69="","",MAX(0,J69-1.96*O69/100))</f>
        <v>0.270060160894632</v>
      </c>
      <c r="Q69" s="40" t="n">
        <f aca="false">IF(J69="","",MIN(1,J69+1.96*O69/100))</f>
        <v>0.375389308675441</v>
      </c>
      <c r="R69" s="32" t="str">
        <f aca="false">IF(L69="","",IF(ABS(L69)&lt;=O69,"Yes","No"))</f>
        <v>Yes</v>
      </c>
      <c r="S69" s="32" t="str">
        <f aca="false">IF(L69="","",IF(ABS(L69)&lt;=1.96*O69,"Yes","No"))</f>
        <v>Yes</v>
      </c>
      <c r="T69" s="59" t="n">
        <f aca="false">IF(D69="","",ROUND(SQRT(((D69+G69)*O69/100)^2+(J69*(D69+G69)*0.07048)^2),0))</f>
        <v>63</v>
      </c>
      <c r="U69" s="32"/>
    </row>
    <row r="70" customFormat="false" ht="15" hidden="false" customHeight="false" outlineLevel="0" collapsed="false">
      <c r="A70" s="32" t="s">
        <v>220</v>
      </c>
      <c r="B70" s="32" t="s">
        <v>236</v>
      </c>
      <c r="C70" s="32" t="s">
        <v>161</v>
      </c>
      <c r="D70" s="59" t="n">
        <v>1852</v>
      </c>
      <c r="E70" s="59" t="n">
        <v>2047</v>
      </c>
      <c r="F70" s="68" t="n">
        <f aca="false">IF(E70="","",D70-E70)</f>
        <v>-195</v>
      </c>
      <c r="G70" s="59" t="n">
        <v>2703</v>
      </c>
      <c r="H70" s="59" t="n">
        <v>2499</v>
      </c>
      <c r="I70" s="68" t="n">
        <f aca="false">IF(H70="","",G70-H70)</f>
        <v>204</v>
      </c>
      <c r="J70" s="40" t="n">
        <f aca="false">IF(OR(D70="",D70+G70=0),"",D70/(D70+G70))</f>
        <v>0.406586169045006</v>
      </c>
      <c r="K70" s="40" t="n">
        <f aca="false">IF(E70="","",E70/(E70+H70))</f>
        <v>0.450285965684118</v>
      </c>
      <c r="L70" s="69" t="n">
        <f aca="false">IF(OR(K70="",J70=""),"",(J70-K70)*100)</f>
        <v>-4.36997966391124</v>
      </c>
      <c r="M70" s="36" t="n">
        <v>1.86778932532988</v>
      </c>
      <c r="N70" s="36" t="n">
        <v>1.26676233227734</v>
      </c>
      <c r="O70" s="36" t="n">
        <f aca="false">SQRT(M70^2+N70^2)</f>
        <v>2.2568393319625</v>
      </c>
      <c r="P70" s="40" t="n">
        <f aca="false">IF(J70="","",MAX(0,J70-1.96*O70/100))</f>
        <v>0.36235211813854</v>
      </c>
      <c r="Q70" s="40" t="n">
        <f aca="false">IF(J70="","",MIN(1,J70+1.96*O70/100))</f>
        <v>0.450820219951471</v>
      </c>
      <c r="R70" s="32" t="str">
        <f aca="false">IF(L70="","",IF(ABS(L70)&lt;=O70,"Yes","No"))</f>
        <v>No</v>
      </c>
      <c r="S70" s="32" t="str">
        <f aca="false">IF(L70="","",IF(ABS(L70)&lt;=1.96*O70,"Yes","No"))</f>
        <v>Yes</v>
      </c>
      <c r="T70" s="59" t="n">
        <f aca="false">IF(D70="","",ROUND(SQRT(((D70+G70)*O70/100)^2+(J70*(D70+G70)*0.06406)^2),0))</f>
        <v>157</v>
      </c>
      <c r="U70" s="32"/>
    </row>
    <row r="71" customFormat="false" ht="15" hidden="false" customHeight="false" outlineLevel="0" collapsed="false">
      <c r="A71" s="32" t="s">
        <v>220</v>
      </c>
      <c r="B71" s="32" t="s">
        <v>237</v>
      </c>
      <c r="C71" s="32" t="s">
        <v>161</v>
      </c>
      <c r="D71" s="59" t="n">
        <v>3349</v>
      </c>
      <c r="E71" s="59" t="n">
        <v>3457</v>
      </c>
      <c r="F71" s="68" t="n">
        <f aca="false">IF(E71="","",D71-E71)</f>
        <v>-108</v>
      </c>
      <c r="G71" s="59" t="n">
        <v>3874</v>
      </c>
      <c r="H71" s="59" t="n">
        <v>3805</v>
      </c>
      <c r="I71" s="68" t="n">
        <f aca="false">IF(H71="","",G71-H71)</f>
        <v>69</v>
      </c>
      <c r="J71" s="40" t="n">
        <f aca="false">IF(OR(D71="",D71+G71=0),"",D71/(D71+G71))</f>
        <v>0.463657759933546</v>
      </c>
      <c r="K71" s="40" t="n">
        <f aca="false">IF(E71="","",E71/(E71+H71))</f>
        <v>0.476039658496282</v>
      </c>
      <c r="L71" s="69" t="n">
        <f aca="false">IF(OR(K71="",J71=""),"",(J71-K71)*100)</f>
        <v>-1.23818985627364</v>
      </c>
      <c r="M71" s="36" t="n">
        <v>1.86778932532988</v>
      </c>
      <c r="N71" s="36" t="n">
        <v>1.26676233227734</v>
      </c>
      <c r="O71" s="36" t="n">
        <f aca="false">SQRT(M71^2+N71^2)</f>
        <v>2.2568393319625</v>
      </c>
      <c r="P71" s="40" t="n">
        <f aca="false">IF(J71="","",MAX(0,J71-1.96*O71/100))</f>
        <v>0.419423709027081</v>
      </c>
      <c r="Q71" s="40" t="n">
        <f aca="false">IF(J71="","",MIN(1,J71+1.96*O71/100))</f>
        <v>0.507891810840011</v>
      </c>
      <c r="R71" s="32" t="str">
        <f aca="false">IF(L71="","",IF(ABS(L71)&lt;=O71,"Yes","No"))</f>
        <v>Yes</v>
      </c>
      <c r="S71" s="32" t="str">
        <f aca="false">IF(L71="","",IF(ABS(L71)&lt;=1.96*O71,"Yes","No"))</f>
        <v>Yes</v>
      </c>
      <c r="T71" s="59" t="n">
        <f aca="false">IF(D71="","",ROUND(SQRT(((D71+G71)*O71/100)^2+(J71*(D71+G71)*0.06406)^2),0))</f>
        <v>269</v>
      </c>
      <c r="U71" s="32"/>
    </row>
    <row r="72" customFormat="false" ht="15" hidden="false" customHeight="false" outlineLevel="0" collapsed="false">
      <c r="A72" s="32" t="s">
        <v>220</v>
      </c>
      <c r="B72" s="32" t="s">
        <v>238</v>
      </c>
      <c r="C72" s="32" t="s">
        <v>161</v>
      </c>
      <c r="D72" s="59" t="n">
        <v>1891</v>
      </c>
      <c r="E72" s="59" t="n">
        <v>2006</v>
      </c>
      <c r="F72" s="68" t="n">
        <f aca="false">IF(E72="","",D72-E72)</f>
        <v>-115</v>
      </c>
      <c r="G72" s="59" t="n">
        <v>4056</v>
      </c>
      <c r="H72" s="59" t="n">
        <v>4057</v>
      </c>
      <c r="I72" s="68" t="n">
        <f aca="false">IF(H72="","",G72-H72)</f>
        <v>-1</v>
      </c>
      <c r="J72" s="40" t="n">
        <f aca="false">IF(OR(D72="",D72+G72=0),"",D72/(D72+G72))</f>
        <v>0.317975449806625</v>
      </c>
      <c r="K72" s="40" t="n">
        <f aca="false">IF(E72="","",E72/(E72+H72))</f>
        <v>0.330859310572324</v>
      </c>
      <c r="L72" s="69" t="n">
        <f aca="false">IF(OR(K72="",J72=""),"",(J72-K72)*100)</f>
        <v>-1.28838607656988</v>
      </c>
      <c r="M72" s="36" t="n">
        <v>1.86778932532988</v>
      </c>
      <c r="N72" s="36" t="n">
        <v>1.26676233227734</v>
      </c>
      <c r="O72" s="36" t="n">
        <f aca="false">SQRT(M72^2+N72^2)</f>
        <v>2.2568393319625</v>
      </c>
      <c r="P72" s="40" t="n">
        <f aca="false">IF(J72="","",MAX(0,J72-1.96*O72/100))</f>
        <v>0.27374139890016</v>
      </c>
      <c r="Q72" s="40" t="n">
        <f aca="false">IF(J72="","",MIN(1,J72+1.96*O72/100))</f>
        <v>0.36220950071309</v>
      </c>
      <c r="R72" s="32" t="str">
        <f aca="false">IF(L72="","",IF(ABS(L72)&lt;=O72,"Yes","No"))</f>
        <v>Yes</v>
      </c>
      <c r="S72" s="32" t="str">
        <f aca="false">IF(L72="","",IF(ABS(L72)&lt;=1.96*O72,"Yes","No"))</f>
        <v>Yes</v>
      </c>
      <c r="T72" s="59" t="n">
        <f aca="false">IF(D72="","",ROUND(SQRT(((D72+G72)*O72/100)^2+(J72*(D72+G72)*0.06406)^2),0))</f>
        <v>181</v>
      </c>
      <c r="U72" s="32"/>
    </row>
    <row r="73" customFormat="false" ht="15" hidden="false" customHeight="false" outlineLevel="0" collapsed="false">
      <c r="A73" s="32" t="s">
        <v>220</v>
      </c>
      <c r="B73" s="32" t="s">
        <v>239</v>
      </c>
      <c r="C73" s="32" t="s">
        <v>161</v>
      </c>
      <c r="D73" s="59" t="n">
        <v>1521</v>
      </c>
      <c r="E73" s="59" t="n">
        <v>1596</v>
      </c>
      <c r="F73" s="68" t="n">
        <f aca="false">IF(E73="","",D73-E73)</f>
        <v>-75</v>
      </c>
      <c r="G73" s="59" t="n">
        <v>1646</v>
      </c>
      <c r="H73" s="59" t="n">
        <v>1664</v>
      </c>
      <c r="I73" s="68" t="n">
        <f aca="false">IF(H73="","",G73-H73)</f>
        <v>-18</v>
      </c>
      <c r="J73" s="40" t="n">
        <f aca="false">IF(OR(D73="",D73+G73=0),"",D73/(D73+G73))</f>
        <v>0.480265235238396</v>
      </c>
      <c r="K73" s="40" t="n">
        <f aca="false">IF(E73="","",E73/(E73+H73))</f>
        <v>0.489570552147239</v>
      </c>
      <c r="L73" s="69" t="n">
        <f aca="false">IF(OR(K73="",J73=""),"",(J73-K73)*100)</f>
        <v>-0.930531690884329</v>
      </c>
      <c r="M73" s="36" t="n">
        <v>2.36962244366372</v>
      </c>
      <c r="N73" s="36" t="n">
        <v>1.26676233227734</v>
      </c>
      <c r="O73" s="36" t="n">
        <f aca="false">SQRT(M73^2+N73^2)</f>
        <v>2.68696805563288</v>
      </c>
      <c r="P73" s="40" t="n">
        <f aca="false">IF(J73="","",MAX(0,J73-1.96*O73/100))</f>
        <v>0.427600661347992</v>
      </c>
      <c r="Q73" s="40" t="n">
        <f aca="false">IF(J73="","",MIN(1,J73+1.96*O73/100))</f>
        <v>0.532929809128801</v>
      </c>
      <c r="R73" s="32" t="str">
        <f aca="false">IF(L73="","",IF(ABS(L73)&lt;=O73,"Yes","No"))</f>
        <v>Yes</v>
      </c>
      <c r="S73" s="32" t="str">
        <f aca="false">IF(L73="","",IF(ABS(L73)&lt;=1.96*O73,"Yes","No"))</f>
        <v>Yes</v>
      </c>
      <c r="T73" s="59" t="n">
        <f aca="false">IF(D73="","",ROUND(SQRT(((D73+G73)*O73/100)^2+(J73*(D73+G73)*0.07048)^2),0))</f>
        <v>137</v>
      </c>
      <c r="U73" s="32"/>
    </row>
    <row r="74" customFormat="false" ht="15" hidden="false" customHeight="false" outlineLevel="0" collapsed="false">
      <c r="A74" s="32" t="s">
        <v>220</v>
      </c>
      <c r="B74" s="32" t="s">
        <v>240</v>
      </c>
      <c r="C74" s="32" t="s">
        <v>161</v>
      </c>
      <c r="D74" s="59" t="n">
        <v>853</v>
      </c>
      <c r="E74" s="59" t="n">
        <v>847</v>
      </c>
      <c r="F74" s="68" t="n">
        <f aca="false">IF(E74="","",D74-E74)</f>
        <v>6</v>
      </c>
      <c r="G74" s="59" t="n">
        <v>922</v>
      </c>
      <c r="H74" s="59" t="n">
        <v>889</v>
      </c>
      <c r="I74" s="68" t="n">
        <f aca="false">IF(H74="","",G74-H74)</f>
        <v>33</v>
      </c>
      <c r="J74" s="40" t="n">
        <f aca="false">IF(OR(D74="",D74+G74=0),"",D74/(D74+G74))</f>
        <v>0.48056338028169</v>
      </c>
      <c r="K74" s="40" t="n">
        <f aca="false">IF(E74="","",E74/(E74+H74))</f>
        <v>0.487903225806452</v>
      </c>
      <c r="L74" s="69" t="n">
        <f aca="false">IF(OR(K74="",J74=""),"",(J74-K74)*100)</f>
        <v>-0.733984552476147</v>
      </c>
      <c r="M74" s="36" t="n">
        <v>2.36962244366372</v>
      </c>
      <c r="N74" s="36" t="n">
        <v>1.26676233227734</v>
      </c>
      <c r="O74" s="36" t="n">
        <f aca="false">SQRT(M74^2+N74^2)</f>
        <v>2.68696805563288</v>
      </c>
      <c r="P74" s="40" t="n">
        <f aca="false">IF(J74="","",MAX(0,J74-1.96*O74/100))</f>
        <v>0.427898806391286</v>
      </c>
      <c r="Q74" s="40" t="n">
        <f aca="false">IF(J74="","",MIN(1,J74+1.96*O74/100))</f>
        <v>0.533227954172095</v>
      </c>
      <c r="R74" s="32" t="str">
        <f aca="false">IF(L74="","",IF(ABS(L74)&lt;=O74,"Yes","No"))</f>
        <v>Yes</v>
      </c>
      <c r="S74" s="32" t="str">
        <f aca="false">IF(L74="","",IF(ABS(L74)&lt;=1.96*O74,"Yes","No"))</f>
        <v>Yes</v>
      </c>
      <c r="T74" s="59" t="n">
        <f aca="false">IF(D74="","",ROUND(SQRT(((D74+G74)*O74/100)^2+(J74*(D74+G74)*0.07048)^2),0))</f>
        <v>77</v>
      </c>
      <c r="U74" s="32"/>
    </row>
    <row r="75" customFormat="false" ht="15" hidden="false" customHeight="false" outlineLevel="0" collapsed="false">
      <c r="A75" s="32" t="s">
        <v>220</v>
      </c>
      <c r="B75" s="32" t="s">
        <v>241</v>
      </c>
      <c r="C75" s="32" t="s">
        <v>161</v>
      </c>
      <c r="D75" s="59" t="n">
        <v>2691</v>
      </c>
      <c r="E75" s="59" t="n">
        <v>2573</v>
      </c>
      <c r="F75" s="68" t="n">
        <f aca="false">IF(E75="","",D75-E75)</f>
        <v>118</v>
      </c>
      <c r="G75" s="59" t="n">
        <v>3013</v>
      </c>
      <c r="H75" s="59" t="n">
        <v>3023</v>
      </c>
      <c r="I75" s="68" t="n">
        <f aca="false">IF(H75="","",G75-H75)</f>
        <v>-10</v>
      </c>
      <c r="J75" s="40" t="n">
        <f aca="false">IF(OR(D75="",D75+G75=0),"",D75/(D75+G75))</f>
        <v>0.471774193548387</v>
      </c>
      <c r="K75" s="40" t="n">
        <f aca="false">IF(E75="","",E75/(E75+H75))</f>
        <v>0.459792709077913</v>
      </c>
      <c r="L75" s="69" t="n">
        <f aca="false">IF(OR(K75="",J75=""),"",(J75-K75)*100)</f>
        <v>1.19814844704743</v>
      </c>
      <c r="M75" s="36" t="n">
        <v>1.86778932532988</v>
      </c>
      <c r="N75" s="36" t="n">
        <v>1.26676233227734</v>
      </c>
      <c r="O75" s="36" t="n">
        <f aca="false">SQRT(M75^2+N75^2)</f>
        <v>2.2568393319625</v>
      </c>
      <c r="P75" s="40" t="n">
        <f aca="false">IF(J75="","",MAX(0,J75-1.96*O75/100))</f>
        <v>0.427540142641922</v>
      </c>
      <c r="Q75" s="40" t="n">
        <f aca="false">IF(J75="","",MIN(1,J75+1.96*O75/100))</f>
        <v>0.516008244454852</v>
      </c>
      <c r="R75" s="32" t="str">
        <f aca="false">IF(L75="","",IF(ABS(L75)&lt;=O75,"Yes","No"))</f>
        <v>Yes</v>
      </c>
      <c r="S75" s="32" t="str">
        <f aca="false">IF(L75="","",IF(ABS(L75)&lt;=1.96*O75,"Yes","No"))</f>
        <v>Yes</v>
      </c>
      <c r="T75" s="59" t="n">
        <f aca="false">IF(D75="","",ROUND(SQRT(((D75+G75)*O75/100)^2+(J75*(D75+G75)*0.06406)^2),0))</f>
        <v>215</v>
      </c>
      <c r="U75" s="32"/>
    </row>
    <row r="76" customFormat="false" ht="15" hidden="false" customHeight="false" outlineLevel="0" collapsed="false">
      <c r="A76" s="32" t="s">
        <v>220</v>
      </c>
      <c r="B76" s="32" t="s">
        <v>242</v>
      </c>
      <c r="C76" s="32" t="s">
        <v>161</v>
      </c>
      <c r="D76" s="59" t="n">
        <v>6862</v>
      </c>
      <c r="E76" s="59" t="n">
        <v>6974</v>
      </c>
      <c r="F76" s="68" t="n">
        <f aca="false">IF(E76="","",D76-E76)</f>
        <v>-112</v>
      </c>
      <c r="G76" s="59" t="n">
        <v>6932</v>
      </c>
      <c r="H76" s="59" t="n">
        <v>6736</v>
      </c>
      <c r="I76" s="68" t="n">
        <f aca="false">IF(H76="","",G76-H76)</f>
        <v>196</v>
      </c>
      <c r="J76" s="40" t="n">
        <f aca="false">IF(OR(D76="",D76+G76=0),"",D76/(D76+G76))</f>
        <v>0.49746266492678</v>
      </c>
      <c r="K76" s="40" t="n">
        <f aca="false">IF(E76="","",E76/(E76+H76))</f>
        <v>0.508679795769511</v>
      </c>
      <c r="L76" s="69" t="n">
        <f aca="false">IF(OR(K76="",J76=""),"",(J76-K76)*100)</f>
        <v>-1.12171308427315</v>
      </c>
      <c r="M76" s="36" t="n">
        <v>1.86778932532988</v>
      </c>
      <c r="N76" s="36" t="n">
        <v>1.26676233227734</v>
      </c>
      <c r="O76" s="36" t="n">
        <f aca="false">SQRT(M76^2+N76^2)</f>
        <v>2.2568393319625</v>
      </c>
      <c r="P76" s="40" t="n">
        <f aca="false">IF(J76="","",MAX(0,J76-1.96*O76/100))</f>
        <v>0.453228614020315</v>
      </c>
      <c r="Q76" s="40" t="n">
        <f aca="false">IF(J76="","",MIN(1,J76+1.96*O76/100))</f>
        <v>0.541696715833245</v>
      </c>
      <c r="R76" s="32" t="str">
        <f aca="false">IF(L76="","",IF(ABS(L76)&lt;=O76,"Yes","No"))</f>
        <v>Yes</v>
      </c>
      <c r="S76" s="32" t="str">
        <f aca="false">IF(L76="","",IF(ABS(L76)&lt;=1.96*O76,"Yes","No"))</f>
        <v>Yes</v>
      </c>
      <c r="T76" s="59" t="n">
        <f aca="false">IF(D76="","",ROUND(SQRT(((D76+G76)*O76/100)^2+(J76*(D76+G76)*0.06406)^2),0))</f>
        <v>539</v>
      </c>
      <c r="U76" s="32"/>
    </row>
    <row r="77" customFormat="false" ht="15" hidden="false" customHeight="false" outlineLevel="0" collapsed="false">
      <c r="A77" s="32" t="s">
        <v>220</v>
      </c>
      <c r="B77" s="32" t="s">
        <v>243</v>
      </c>
      <c r="C77" s="32" t="s">
        <v>161</v>
      </c>
      <c r="D77" s="59" t="n">
        <v>656</v>
      </c>
      <c r="E77" s="59" t="n">
        <v>703</v>
      </c>
      <c r="F77" s="68" t="n">
        <f aca="false">IF(E77="","",D77-E77)</f>
        <v>-47</v>
      </c>
      <c r="G77" s="59" t="n">
        <v>1189</v>
      </c>
      <c r="H77" s="59" t="n">
        <v>1180</v>
      </c>
      <c r="I77" s="68" t="n">
        <f aca="false">IF(H77="","",G77-H77)</f>
        <v>9</v>
      </c>
      <c r="J77" s="40" t="n">
        <f aca="false">IF(OR(D77="",D77+G77=0),"",D77/(D77+G77))</f>
        <v>0.355555555555556</v>
      </c>
      <c r="K77" s="40" t="n">
        <f aca="false">IF(E77="","",E77/(E77+H77))</f>
        <v>0.373340414232608</v>
      </c>
      <c r="L77" s="69" t="n">
        <f aca="false">IF(OR(K77="",J77=""),"",(J77-K77)*100)</f>
        <v>-1.7784858677052</v>
      </c>
      <c r="M77" s="36" t="n">
        <v>2.36962244366372</v>
      </c>
      <c r="N77" s="36" t="n">
        <v>1.26676233227734</v>
      </c>
      <c r="O77" s="36" t="n">
        <f aca="false">SQRT(M77^2+N77^2)</f>
        <v>2.68696805563288</v>
      </c>
      <c r="P77" s="40" t="n">
        <f aca="false">IF(J77="","",MAX(0,J77-1.96*O77/100))</f>
        <v>0.302890981665151</v>
      </c>
      <c r="Q77" s="40" t="n">
        <f aca="false">IF(J77="","",MIN(1,J77+1.96*O77/100))</f>
        <v>0.40822012944596</v>
      </c>
      <c r="R77" s="32" t="str">
        <f aca="false">IF(L77="","",IF(ABS(L77)&lt;=O77,"Yes","No"))</f>
        <v>Yes</v>
      </c>
      <c r="S77" s="32" t="str">
        <f aca="false">IF(L77="","",IF(ABS(L77)&lt;=1.96*O77,"Yes","No"))</f>
        <v>Yes</v>
      </c>
      <c r="T77" s="59" t="n">
        <f aca="false">IF(D77="","",ROUND(SQRT(((D77+G77)*O77/100)^2+(J77*(D77+G77)*0.07048)^2),0))</f>
        <v>68</v>
      </c>
      <c r="U77" s="32"/>
    </row>
    <row r="78" customFormat="false" ht="15" hidden="false" customHeight="false" outlineLevel="0" collapsed="false">
      <c r="A78" s="32" t="s">
        <v>220</v>
      </c>
      <c r="B78" s="32" t="s">
        <v>244</v>
      </c>
      <c r="C78" s="32" t="s">
        <v>161</v>
      </c>
      <c r="D78" s="59" t="n">
        <v>1248</v>
      </c>
      <c r="E78" s="59" t="n">
        <v>1361</v>
      </c>
      <c r="F78" s="68" t="n">
        <f aca="false">IF(E78="","",D78-E78)</f>
        <v>-113</v>
      </c>
      <c r="G78" s="59" t="n">
        <v>2702</v>
      </c>
      <c r="H78" s="59" t="n">
        <v>2561</v>
      </c>
      <c r="I78" s="68" t="n">
        <f aca="false">IF(H78="","",G78-H78)</f>
        <v>141</v>
      </c>
      <c r="J78" s="40" t="n">
        <f aca="false">IF(OR(D78="",D78+G78=0),"",D78/(D78+G78))</f>
        <v>0.315949367088608</v>
      </c>
      <c r="K78" s="40" t="n">
        <f aca="false">IF(E78="","",E78/(E78+H78))</f>
        <v>0.347016828148904</v>
      </c>
      <c r="L78" s="69" t="n">
        <f aca="false">IF(OR(K78="",J78=""),"",(J78-K78)*100)</f>
        <v>-3.1067461060296</v>
      </c>
      <c r="M78" s="36" t="n">
        <v>1.86778932532988</v>
      </c>
      <c r="N78" s="36" t="n">
        <v>1.26676233227734</v>
      </c>
      <c r="O78" s="36" t="n">
        <f aca="false">SQRT(M78^2+N78^2)</f>
        <v>2.2568393319625</v>
      </c>
      <c r="P78" s="40" t="n">
        <f aca="false">IF(J78="","",MAX(0,J78-1.96*O78/100))</f>
        <v>0.271715316182143</v>
      </c>
      <c r="Q78" s="40" t="n">
        <f aca="false">IF(J78="","",MIN(1,J78+1.96*O78/100))</f>
        <v>0.360183417995073</v>
      </c>
      <c r="R78" s="32" t="str">
        <f aca="false">IF(L78="","",IF(ABS(L78)&lt;=O78,"Yes","No"))</f>
        <v>No</v>
      </c>
      <c r="S78" s="32" t="str">
        <f aca="false">IF(L78="","",IF(ABS(L78)&lt;=1.96*O78,"Yes","No"))</f>
        <v>Yes</v>
      </c>
      <c r="T78" s="59" t="n">
        <f aca="false">IF(D78="","",ROUND(SQRT(((D78+G78)*O78/100)^2+(J78*(D78+G78)*0.06406)^2),0))</f>
        <v>120</v>
      </c>
      <c r="U78" s="32"/>
    </row>
    <row r="79" customFormat="false" ht="15" hidden="false" customHeight="false" outlineLevel="0" collapsed="false">
      <c r="A79" s="32" t="s">
        <v>220</v>
      </c>
      <c r="B79" s="32" t="s">
        <v>245</v>
      </c>
      <c r="C79" s="32" t="s">
        <v>161</v>
      </c>
      <c r="D79" s="59" t="n">
        <v>77</v>
      </c>
      <c r="E79" s="59" t="n">
        <v>92</v>
      </c>
      <c r="F79" s="68" t="n">
        <f aca="false">IF(E79="","",D79-E79)</f>
        <v>-15</v>
      </c>
      <c r="G79" s="59" t="n">
        <v>172</v>
      </c>
      <c r="H79" s="59" t="n">
        <v>167</v>
      </c>
      <c r="I79" s="68" t="n">
        <f aca="false">IF(H79="","",G79-H79)</f>
        <v>5</v>
      </c>
      <c r="J79" s="40" t="n">
        <f aca="false">IF(OR(D79="",D79+G79=0),"",D79/(D79+G79))</f>
        <v>0.309236947791165</v>
      </c>
      <c r="K79" s="40" t="n">
        <f aca="false">IF(E79="","",E79/(E79+H79))</f>
        <v>0.355212355212355</v>
      </c>
      <c r="L79" s="69" t="n">
        <f aca="false">IF(OR(K79="",J79=""),"",(J79-K79)*100)</f>
        <v>-4.59754074211906</v>
      </c>
      <c r="M79" s="36" t="n">
        <v>3.65244811615435</v>
      </c>
      <c r="N79" s="36" t="n">
        <v>1.26676233227734</v>
      </c>
      <c r="O79" s="36" t="n">
        <f aca="false">SQRT(M79^2+N79^2)</f>
        <v>3.86588463972688</v>
      </c>
      <c r="P79" s="40" t="n">
        <f aca="false">IF(J79="","",MAX(0,J79-1.96*O79/100))</f>
        <v>0.233465608852518</v>
      </c>
      <c r="Q79" s="40" t="n">
        <f aca="false">IF(J79="","",MIN(1,J79+1.96*O79/100))</f>
        <v>0.385008286729811</v>
      </c>
      <c r="R79" s="32" t="str">
        <f aca="false">IF(L79="","",IF(ABS(L79)&lt;=O79,"Yes","No"))</f>
        <v>No</v>
      </c>
      <c r="S79" s="32" t="str">
        <f aca="false">IF(L79="","",IF(ABS(L79)&lt;=1.96*O79,"Yes","No"))</f>
        <v>Yes</v>
      </c>
      <c r="T79" s="59" t="n">
        <f aca="false">IF(D79="","",ROUND(SQRT(((D79+G79)*O79/100)^2+(J79*(D79+G79)*0.09173)^2),0))</f>
        <v>12</v>
      </c>
      <c r="U79" s="32"/>
    </row>
    <row r="80" customFormat="false" ht="15" hidden="false" customHeight="false" outlineLevel="0" collapsed="false">
      <c r="A80" s="32" t="s">
        <v>220</v>
      </c>
      <c r="B80" s="32" t="s">
        <v>246</v>
      </c>
      <c r="C80" s="32" t="s">
        <v>161</v>
      </c>
      <c r="D80" s="59" t="n">
        <v>323</v>
      </c>
      <c r="E80" s="59" t="n">
        <v>335</v>
      </c>
      <c r="F80" s="68" t="n">
        <f aca="false">IF(E80="","",D80-E80)</f>
        <v>-12</v>
      </c>
      <c r="G80" s="59" t="n">
        <v>609</v>
      </c>
      <c r="H80" s="59" t="n">
        <v>581</v>
      </c>
      <c r="I80" s="68" t="n">
        <f aca="false">IF(H80="","",G80-H80)</f>
        <v>28</v>
      </c>
      <c r="J80" s="40" t="n">
        <f aca="false">IF(OR(D80="",D80+G80=0),"",D80/(D80+G80))</f>
        <v>0.34656652360515</v>
      </c>
      <c r="K80" s="40" t="n">
        <f aca="false">IF(E80="","",E80/(E80+H80))</f>
        <v>0.365720524017467</v>
      </c>
      <c r="L80" s="69" t="n">
        <f aca="false">IF(OR(K80="",J80=""),"",(J80-K80)*100)</f>
        <v>-1.9154000412317</v>
      </c>
      <c r="M80" s="36" t="n">
        <v>3.65244811615435</v>
      </c>
      <c r="N80" s="36" t="n">
        <v>1.26676233227734</v>
      </c>
      <c r="O80" s="36" t="n">
        <f aca="false">SQRT(M80^2+N80^2)</f>
        <v>3.86588463972688</v>
      </c>
      <c r="P80" s="40" t="n">
        <f aca="false">IF(J80="","",MAX(0,J80-1.96*O80/100))</f>
        <v>0.270795184666503</v>
      </c>
      <c r="Q80" s="40" t="n">
        <f aca="false">IF(J80="","",MIN(1,J80+1.96*O80/100))</f>
        <v>0.422337862543797</v>
      </c>
      <c r="R80" s="32" t="str">
        <f aca="false">IF(L80="","",IF(ABS(L80)&lt;=O80,"Yes","No"))</f>
        <v>Yes</v>
      </c>
      <c r="S80" s="32" t="str">
        <f aca="false">IF(L80="","",IF(ABS(L80)&lt;=1.96*O80,"Yes","No"))</f>
        <v>Yes</v>
      </c>
      <c r="T80" s="59" t="n">
        <f aca="false">IF(D80="","",ROUND(SQRT(((D80+G80)*O80/100)^2+(J80*(D80+G80)*0.09173)^2),0))</f>
        <v>47</v>
      </c>
      <c r="U80" s="32"/>
    </row>
    <row r="81" customFormat="false" ht="15" hidden="false" customHeight="false" outlineLevel="0" collapsed="false">
      <c r="A81" s="32" t="s">
        <v>220</v>
      </c>
      <c r="B81" s="32" t="s">
        <v>247</v>
      </c>
      <c r="C81" s="32" t="s">
        <v>161</v>
      </c>
      <c r="D81" s="59" t="n">
        <v>208</v>
      </c>
      <c r="E81" s="59" t="n">
        <v>210</v>
      </c>
      <c r="F81" s="68" t="n">
        <f aca="false">IF(E81="","",D81-E81)</f>
        <v>-2</v>
      </c>
      <c r="G81" s="59" t="n">
        <v>306</v>
      </c>
      <c r="H81" s="59" t="n">
        <v>309</v>
      </c>
      <c r="I81" s="68" t="n">
        <f aca="false">IF(H81="","",G81-H81)</f>
        <v>-3</v>
      </c>
      <c r="J81" s="40" t="n">
        <f aca="false">IF(OR(D81="",D81+G81=0),"",D81/(D81+G81))</f>
        <v>0.404669260700389</v>
      </c>
      <c r="K81" s="40" t="n">
        <f aca="false">IF(E81="","",E81/(E81+H81))</f>
        <v>0.404624277456647</v>
      </c>
      <c r="L81" s="69" t="n">
        <f aca="false">IF(OR(K81="",J81=""),"",(J81-K81)*100)</f>
        <v>0.00449832437416919</v>
      </c>
      <c r="M81" s="36" t="n">
        <v>3.65244811615435</v>
      </c>
      <c r="N81" s="36" t="n">
        <v>1.26676233227734</v>
      </c>
      <c r="O81" s="36" t="n">
        <f aca="false">SQRT(M81^2+N81^2)</f>
        <v>3.86588463972688</v>
      </c>
      <c r="P81" s="40" t="n">
        <f aca="false">IF(J81="","",MAX(0,J81-1.96*O81/100))</f>
        <v>0.328897921761742</v>
      </c>
      <c r="Q81" s="40" t="n">
        <f aca="false">IF(J81="","",MIN(1,J81+1.96*O81/100))</f>
        <v>0.480440599639036</v>
      </c>
      <c r="R81" s="32" t="str">
        <f aca="false">IF(L81="","",IF(ABS(L81)&lt;=O81,"Yes","No"))</f>
        <v>Yes</v>
      </c>
      <c r="S81" s="32" t="str">
        <f aca="false">IF(L81="","",IF(ABS(L81)&lt;=1.96*O81,"Yes","No"))</f>
        <v>Yes</v>
      </c>
      <c r="T81" s="59" t="n">
        <f aca="false">IF(D81="","",ROUND(SQRT(((D81+G81)*O81/100)^2+(J81*(D81+G81)*0.09173)^2),0))</f>
        <v>28</v>
      </c>
      <c r="U81" s="32"/>
    </row>
    <row r="82" customFormat="false" ht="15" hidden="false" customHeight="false" outlineLevel="0" collapsed="false">
      <c r="A82" s="32" t="s">
        <v>220</v>
      </c>
      <c r="B82" s="32" t="s">
        <v>248</v>
      </c>
      <c r="C82" s="32" t="s">
        <v>161</v>
      </c>
      <c r="D82" s="59" t="n">
        <v>313</v>
      </c>
      <c r="E82" s="59" t="n">
        <v>331</v>
      </c>
      <c r="F82" s="68" t="n">
        <f aca="false">IF(E82="","",D82-E82)</f>
        <v>-18</v>
      </c>
      <c r="G82" s="59" t="n">
        <v>459</v>
      </c>
      <c r="H82" s="59" t="n">
        <v>458</v>
      </c>
      <c r="I82" s="68" t="n">
        <f aca="false">IF(H82="","",G82-H82)</f>
        <v>1</v>
      </c>
      <c r="J82" s="40" t="n">
        <f aca="false">IF(OR(D82="",D82+G82=0),"",D82/(D82+G82))</f>
        <v>0.405440414507772</v>
      </c>
      <c r="K82" s="40" t="n">
        <f aca="false">IF(E82="","",E82/(E82+H82))</f>
        <v>0.419518377693283</v>
      </c>
      <c r="L82" s="69" t="n">
        <f aca="false">IF(OR(K82="",J82=""),"",(J82-K82)*100)</f>
        <v>-1.40779631855106</v>
      </c>
      <c r="M82" s="36" t="n">
        <v>3.65244811615435</v>
      </c>
      <c r="N82" s="36" t="n">
        <v>1.26676233227734</v>
      </c>
      <c r="O82" s="36" t="n">
        <f aca="false">SQRT(M82^2+N82^2)</f>
        <v>3.86588463972688</v>
      </c>
      <c r="P82" s="40" t="n">
        <f aca="false">IF(J82="","",MAX(0,J82-1.96*O82/100))</f>
        <v>0.329669075569125</v>
      </c>
      <c r="Q82" s="40" t="n">
        <f aca="false">IF(J82="","",MIN(1,J82+1.96*O82/100))</f>
        <v>0.481211753446419</v>
      </c>
      <c r="R82" s="32" t="str">
        <f aca="false">IF(L82="","",IF(ABS(L82)&lt;=O82,"Yes","No"))</f>
        <v>Yes</v>
      </c>
      <c r="S82" s="32" t="str">
        <f aca="false">IF(L82="","",IF(ABS(L82)&lt;=1.96*O82,"Yes","No"))</f>
        <v>Yes</v>
      </c>
      <c r="T82" s="59" t="n">
        <f aca="false">IF(D82="","",ROUND(SQRT(((D82+G82)*O82/100)^2+(J82*(D82+G82)*0.09173)^2),0))</f>
        <v>41</v>
      </c>
      <c r="U82" s="32"/>
    </row>
    <row r="83" customFormat="false" ht="15" hidden="false" customHeight="false" outlineLevel="0" collapsed="false">
      <c r="A83" s="32" t="s">
        <v>220</v>
      </c>
      <c r="B83" s="32" t="s">
        <v>249</v>
      </c>
      <c r="C83" s="32" t="s">
        <v>161</v>
      </c>
      <c r="D83" s="59" t="n">
        <v>1144</v>
      </c>
      <c r="E83" s="59" t="n">
        <v>1242</v>
      </c>
      <c r="F83" s="68" t="n">
        <f aca="false">IF(E83="","",D83-E83)</f>
        <v>-98</v>
      </c>
      <c r="G83" s="59" t="n">
        <v>2714</v>
      </c>
      <c r="H83" s="59" t="n">
        <v>2716</v>
      </c>
      <c r="I83" s="68" t="n">
        <f aca="false">IF(H83="","",G83-H83)</f>
        <v>-2</v>
      </c>
      <c r="J83" s="40" t="n">
        <f aca="false">IF(OR(D83="",D83+G83=0),"",D83/(D83+G83))</f>
        <v>0.296526697770866</v>
      </c>
      <c r="K83" s="40" t="n">
        <f aca="false">IF(E83="","",E83/(E83+H83))</f>
        <v>0.313794845881759</v>
      </c>
      <c r="L83" s="69" t="n">
        <f aca="false">IF(OR(K83="",J83=""),"",(J83-K83)*100)</f>
        <v>-1.72681481108928</v>
      </c>
      <c r="M83" s="36" t="n">
        <v>1.86778932532988</v>
      </c>
      <c r="N83" s="36" t="n">
        <v>1.26676233227734</v>
      </c>
      <c r="O83" s="36" t="n">
        <f aca="false">SQRT(M83^2+N83^2)</f>
        <v>2.2568393319625</v>
      </c>
      <c r="P83" s="40" t="n">
        <f aca="false">IF(J83="","",MAX(0,J83-1.96*O83/100))</f>
        <v>0.252292646864401</v>
      </c>
      <c r="Q83" s="40" t="n">
        <f aca="false">IF(J83="","",MIN(1,J83+1.96*O83/100))</f>
        <v>0.340760748677331</v>
      </c>
      <c r="R83" s="32" t="str">
        <f aca="false">IF(L83="","",IF(ABS(L83)&lt;=O83,"Yes","No"))</f>
        <v>Yes</v>
      </c>
      <c r="S83" s="32" t="str">
        <f aca="false">IF(L83="","",IF(ABS(L83)&lt;=1.96*O83,"Yes","No"))</f>
        <v>Yes</v>
      </c>
      <c r="T83" s="59" t="n">
        <f aca="false">IF(D83="","",ROUND(SQRT(((D83+G83)*O83/100)^2+(J83*(D83+G83)*0.06406)^2),0))</f>
        <v>114</v>
      </c>
      <c r="U83" s="32"/>
    </row>
    <row r="84" customFormat="false" ht="15" hidden="false" customHeight="false" outlineLevel="0" collapsed="false">
      <c r="A84" s="32" t="s">
        <v>220</v>
      </c>
      <c r="B84" s="32" t="s">
        <v>250</v>
      </c>
      <c r="C84" s="32" t="s">
        <v>161</v>
      </c>
      <c r="D84" s="59" t="n">
        <v>1888</v>
      </c>
      <c r="E84" s="59" t="n">
        <v>1964</v>
      </c>
      <c r="F84" s="68" t="n">
        <f aca="false">IF(E84="","",D84-E84)</f>
        <v>-76</v>
      </c>
      <c r="G84" s="59" t="n">
        <v>2181</v>
      </c>
      <c r="H84" s="59" t="n">
        <v>2147</v>
      </c>
      <c r="I84" s="68" t="n">
        <f aca="false">IF(H84="","",G84-H84)</f>
        <v>34</v>
      </c>
      <c r="J84" s="40" t="n">
        <f aca="false">IF(OR(D84="",D84+G84=0),"",D84/(D84+G84))</f>
        <v>0.463996067829934</v>
      </c>
      <c r="K84" s="40" t="n">
        <f aca="false">IF(E84="","",E84/(E84+H84))</f>
        <v>0.477742641693019</v>
      </c>
      <c r="L84" s="69" t="n">
        <f aca="false">IF(OR(K84="",J84=""),"",(J84-K84)*100)</f>
        <v>-1.37465738630851</v>
      </c>
      <c r="M84" s="36" t="n">
        <v>1.86778932532988</v>
      </c>
      <c r="N84" s="36" t="n">
        <v>1.26676233227734</v>
      </c>
      <c r="O84" s="36" t="n">
        <f aca="false">SQRT(M84^2+N84^2)</f>
        <v>2.2568393319625</v>
      </c>
      <c r="P84" s="40" t="n">
        <f aca="false">IF(J84="","",MAX(0,J84-1.96*O84/100))</f>
        <v>0.419762016923469</v>
      </c>
      <c r="Q84" s="40" t="n">
        <f aca="false">IF(J84="","",MIN(1,J84+1.96*O84/100))</f>
        <v>0.508230118736399</v>
      </c>
      <c r="R84" s="32" t="str">
        <f aca="false">IF(L84="","",IF(ABS(L84)&lt;=O84,"Yes","No"))</f>
        <v>Yes</v>
      </c>
      <c r="S84" s="32" t="str">
        <f aca="false">IF(L84="","",IF(ABS(L84)&lt;=1.96*O84,"Yes","No"))</f>
        <v>Yes</v>
      </c>
      <c r="T84" s="59" t="n">
        <f aca="false">IF(D84="","",ROUND(SQRT(((D84+G84)*O84/100)^2+(J84*(D84+G84)*0.06406)^2),0))</f>
        <v>152</v>
      </c>
      <c r="U84" s="32"/>
    </row>
    <row r="85" customFormat="false" ht="15" hidden="false" customHeight="false" outlineLevel="0" collapsed="false">
      <c r="A85" s="32" t="s">
        <v>220</v>
      </c>
      <c r="B85" s="32" t="s">
        <v>251</v>
      </c>
      <c r="C85" s="32" t="s">
        <v>161</v>
      </c>
      <c r="D85" s="59" t="n">
        <v>421</v>
      </c>
      <c r="E85" s="59" t="n">
        <v>416</v>
      </c>
      <c r="F85" s="68" t="n">
        <f aca="false">IF(E85="","",D85-E85)</f>
        <v>5</v>
      </c>
      <c r="G85" s="59" t="n">
        <v>640</v>
      </c>
      <c r="H85" s="59" t="n">
        <v>658</v>
      </c>
      <c r="I85" s="68" t="n">
        <f aca="false">IF(H85="","",G85-H85)</f>
        <v>-18</v>
      </c>
      <c r="J85" s="40" t="n">
        <f aca="false">IF(OR(D85="",D85+G85=0),"",D85/(D85+G85))</f>
        <v>0.39679547596607</v>
      </c>
      <c r="K85" s="40" t="n">
        <f aca="false">IF(E85="","",E85/(E85+H85))</f>
        <v>0.387337057728119</v>
      </c>
      <c r="L85" s="69" t="n">
        <f aca="false">IF(OR(K85="",J85=""),"",(J85-K85)*100)</f>
        <v>0.945841823795057</v>
      </c>
      <c r="M85" s="36" t="n">
        <v>3.65244811615435</v>
      </c>
      <c r="N85" s="36" t="n">
        <v>1.26676233227734</v>
      </c>
      <c r="O85" s="36" t="n">
        <f aca="false">SQRT(M85^2+N85^2)</f>
        <v>3.86588463972688</v>
      </c>
      <c r="P85" s="40" t="n">
        <f aca="false">IF(J85="","",MAX(0,J85-1.96*O85/100))</f>
        <v>0.321024137027423</v>
      </c>
      <c r="Q85" s="40" t="n">
        <f aca="false">IF(J85="","",MIN(1,J85+1.96*O85/100))</f>
        <v>0.472566814904717</v>
      </c>
      <c r="R85" s="32" t="str">
        <f aca="false">IF(L85="","",IF(ABS(L85)&lt;=O85,"Yes","No"))</f>
        <v>Yes</v>
      </c>
      <c r="S85" s="32" t="str">
        <f aca="false">IF(L85="","",IF(ABS(L85)&lt;=1.96*O85,"Yes","No"))</f>
        <v>Yes</v>
      </c>
      <c r="T85" s="59" t="n">
        <f aca="false">IF(D85="","",ROUND(SQRT(((D85+G85)*O85/100)^2+(J85*(D85+G85)*0.09173)^2),0))</f>
        <v>56</v>
      </c>
      <c r="U85" s="32"/>
    </row>
    <row r="86" customFormat="false" ht="15" hidden="false" customHeight="false" outlineLevel="0" collapsed="false">
      <c r="A86" s="32" t="s">
        <v>220</v>
      </c>
      <c r="B86" s="32" t="s">
        <v>212</v>
      </c>
      <c r="C86" s="32" t="s">
        <v>161</v>
      </c>
      <c r="D86" s="59" t="n">
        <v>982</v>
      </c>
      <c r="E86" s="59" t="n">
        <v>1041</v>
      </c>
      <c r="F86" s="68" t="n">
        <f aca="false">IF(E86="","",D86-E86)</f>
        <v>-59</v>
      </c>
      <c r="G86" s="59" t="n">
        <v>2094</v>
      </c>
      <c r="H86" s="59" t="n">
        <v>2088</v>
      </c>
      <c r="I86" s="68" t="n">
        <f aca="false">IF(H86="","",G86-H86)</f>
        <v>6</v>
      </c>
      <c r="J86" s="40" t="n">
        <f aca="false">IF(OR(D86="",D86+G86=0),"",D86/(D86+G86))</f>
        <v>0.31924577373212</v>
      </c>
      <c r="K86" s="40" t="n">
        <f aca="false">IF(E86="","",E86/(E86+H86))</f>
        <v>0.332694151486098</v>
      </c>
      <c r="L86" s="69" t="n">
        <f aca="false">IF(OR(K86="",J86=""),"",(J86-K86)*100)</f>
        <v>-1.34483777539782</v>
      </c>
      <c r="M86" s="36" t="n">
        <v>2.36962244366372</v>
      </c>
      <c r="N86" s="36" t="n">
        <v>1.26676233227734</v>
      </c>
      <c r="O86" s="36" t="n">
        <f aca="false">SQRT(M86^2+N86^2)</f>
        <v>2.68696805563288</v>
      </c>
      <c r="P86" s="40" t="n">
        <f aca="false">IF(J86="","",MAX(0,J86-1.96*O86/100))</f>
        <v>0.266581199841715</v>
      </c>
      <c r="Q86" s="40" t="n">
        <f aca="false">IF(J86="","",MIN(1,J86+1.96*O86/100))</f>
        <v>0.371910347622524</v>
      </c>
      <c r="R86" s="32" t="str">
        <f aca="false">IF(L86="","",IF(ABS(L86)&lt;=O86,"Yes","No"))</f>
        <v>Yes</v>
      </c>
      <c r="S86" s="32" t="str">
        <f aca="false">IF(L86="","",IF(ABS(L86)&lt;=1.96*O86,"Yes","No"))</f>
        <v>Yes</v>
      </c>
      <c r="T86" s="59" t="n">
        <f aca="false">IF(D86="","",ROUND(SQRT(((D86+G86)*O86/100)^2+(J86*(D86+G86)*0.07048)^2),0))</f>
        <v>108</v>
      </c>
      <c r="U86" s="32"/>
    </row>
    <row r="87" customFormat="false" ht="15" hidden="false" customHeight="false" outlineLevel="0" collapsed="false">
      <c r="A87" s="32" t="s">
        <v>220</v>
      </c>
      <c r="B87" s="32" t="s">
        <v>252</v>
      </c>
      <c r="C87" s="32" t="s">
        <v>161</v>
      </c>
      <c r="D87" s="59" t="n">
        <v>252</v>
      </c>
      <c r="E87" s="59" t="n">
        <v>281</v>
      </c>
      <c r="F87" s="68" t="n">
        <f aca="false">IF(E87="","",D87-E87)</f>
        <v>-29</v>
      </c>
      <c r="G87" s="59" t="n">
        <v>355</v>
      </c>
      <c r="H87" s="59" t="n">
        <v>310</v>
      </c>
      <c r="I87" s="68" t="n">
        <f aca="false">IF(H87="","",G87-H87)</f>
        <v>45</v>
      </c>
      <c r="J87" s="40" t="n">
        <f aca="false">IF(OR(D87="",D87+G87=0),"",D87/(D87+G87))</f>
        <v>0.415156507413509</v>
      </c>
      <c r="K87" s="40" t="n">
        <f aca="false">IF(E87="","",E87/(E87+H87))</f>
        <v>0.475465313028765</v>
      </c>
      <c r="L87" s="69" t="n">
        <f aca="false">IF(OR(K87="",J87=""),"",(J87-K87)*100)</f>
        <v>-6.03088056152558</v>
      </c>
      <c r="M87" s="36" t="n">
        <v>3.65244811615435</v>
      </c>
      <c r="N87" s="36" t="n">
        <v>1.26676233227734</v>
      </c>
      <c r="O87" s="36" t="n">
        <f aca="false">SQRT(M87^2+N87^2)</f>
        <v>3.86588463972688</v>
      </c>
      <c r="P87" s="40" t="n">
        <f aca="false">IF(J87="","",MAX(0,J87-1.96*O87/100))</f>
        <v>0.339385168474862</v>
      </c>
      <c r="Q87" s="40" t="n">
        <f aca="false">IF(J87="","",MIN(1,J87+1.96*O87/100))</f>
        <v>0.490927846352156</v>
      </c>
      <c r="R87" s="32" t="str">
        <f aca="false">IF(L87="","",IF(ABS(L87)&lt;=O87,"Yes","No"))</f>
        <v>No</v>
      </c>
      <c r="S87" s="32" t="str">
        <f aca="false">IF(L87="","",IF(ABS(L87)&lt;=1.96*O87,"Yes","No"))</f>
        <v>Yes</v>
      </c>
      <c r="T87" s="59" t="n">
        <f aca="false">IF(D87="","",ROUND(SQRT(((D87+G87)*O87/100)^2+(J87*(D87+G87)*0.09173)^2),0))</f>
        <v>33</v>
      </c>
      <c r="U87" s="32"/>
    </row>
    <row r="88" customFormat="false" ht="15" hidden="false" customHeight="false" outlineLevel="0" collapsed="false">
      <c r="A88" s="32" t="s">
        <v>220</v>
      </c>
      <c r="B88" s="32" t="s">
        <v>253</v>
      </c>
      <c r="C88" s="32" t="s">
        <v>161</v>
      </c>
      <c r="D88" s="59" t="n">
        <v>1701</v>
      </c>
      <c r="E88" s="59" t="n">
        <v>1847</v>
      </c>
      <c r="F88" s="68" t="n">
        <f aca="false">IF(E88="","",D88-E88)</f>
        <v>-146</v>
      </c>
      <c r="G88" s="59" t="n">
        <v>2488</v>
      </c>
      <c r="H88" s="59" t="n">
        <v>2401</v>
      </c>
      <c r="I88" s="68" t="n">
        <f aca="false">IF(H88="","",G88-H88)</f>
        <v>87</v>
      </c>
      <c r="J88" s="40" t="n">
        <f aca="false">IF(OR(D88="",D88+G88=0),"",D88/(D88+G88))</f>
        <v>0.406063499641919</v>
      </c>
      <c r="K88" s="40" t="n">
        <f aca="false">IF(E88="","",E88/(E88+H88))</f>
        <v>0.434792843691149</v>
      </c>
      <c r="L88" s="69" t="n">
        <f aca="false">IF(OR(K88="",J88=""),"",(J88-K88)*100)</f>
        <v>-2.87293440492295</v>
      </c>
      <c r="M88" s="36" t="n">
        <v>1.86778932532988</v>
      </c>
      <c r="N88" s="36" t="n">
        <v>1.26676233227734</v>
      </c>
      <c r="O88" s="36" t="n">
        <f aca="false">SQRT(M88^2+N88^2)</f>
        <v>2.2568393319625</v>
      </c>
      <c r="P88" s="40" t="n">
        <f aca="false">IF(J88="","",MAX(0,J88-1.96*O88/100))</f>
        <v>0.361829448735454</v>
      </c>
      <c r="Q88" s="40" t="n">
        <f aca="false">IF(J88="","",MIN(1,J88+1.96*O88/100))</f>
        <v>0.450297550548384</v>
      </c>
      <c r="R88" s="32" t="str">
        <f aca="false">IF(L88="","",IF(ABS(L88)&lt;=O88,"Yes","No"))</f>
        <v>No</v>
      </c>
      <c r="S88" s="32" t="str">
        <f aca="false">IF(L88="","",IF(ABS(L88)&lt;=1.96*O88,"Yes","No"))</f>
        <v>Yes</v>
      </c>
      <c r="T88" s="59" t="n">
        <f aca="false">IF(D88="","",ROUND(SQRT(((D88+G88)*O88/100)^2+(J88*(D88+G88)*0.06406)^2),0))</f>
        <v>144</v>
      </c>
      <c r="U88" s="32"/>
    </row>
    <row r="89" customFormat="false" ht="15" hidden="false" customHeight="false" outlineLevel="0" collapsed="false">
      <c r="A89" s="32" t="s">
        <v>220</v>
      </c>
      <c r="B89" s="32" t="s">
        <v>254</v>
      </c>
      <c r="C89" s="32" t="s">
        <v>161</v>
      </c>
      <c r="D89" s="59" t="n">
        <v>1837</v>
      </c>
      <c r="E89" s="59" t="n">
        <v>1897</v>
      </c>
      <c r="F89" s="68" t="n">
        <f aca="false">IF(E89="","",D89-E89)</f>
        <v>-60</v>
      </c>
      <c r="G89" s="59" t="n">
        <v>1569</v>
      </c>
      <c r="H89" s="59" t="n">
        <v>1538</v>
      </c>
      <c r="I89" s="68" t="n">
        <f aca="false">IF(H89="","",G89-H89)</f>
        <v>31</v>
      </c>
      <c r="J89" s="40" t="n">
        <f aca="false">IF(OR(D89="",D89+G89=0),"",D89/(D89+G89))</f>
        <v>0.539342337052261</v>
      </c>
      <c r="K89" s="40" t="n">
        <f aca="false">IF(E89="","",E89/(E89+H89))</f>
        <v>0.552256186317322</v>
      </c>
      <c r="L89" s="69" t="n">
        <f aca="false">IF(OR(K89="",J89=""),"",(J89-K89)*100)</f>
        <v>-1.29138492650609</v>
      </c>
      <c r="M89" s="36" t="n">
        <v>2.36962244366372</v>
      </c>
      <c r="N89" s="36" t="n">
        <v>1.26676233227734</v>
      </c>
      <c r="O89" s="36" t="n">
        <f aca="false">SQRT(M89^2+N89^2)</f>
        <v>2.68696805563288</v>
      </c>
      <c r="P89" s="40" t="n">
        <f aca="false">IF(J89="","",MAX(0,J89-1.96*O89/100))</f>
        <v>0.486677763161856</v>
      </c>
      <c r="Q89" s="40" t="n">
        <f aca="false">IF(J89="","",MIN(1,J89+1.96*O89/100))</f>
        <v>0.592006910942665</v>
      </c>
      <c r="R89" s="32" t="str">
        <f aca="false">IF(L89="","",IF(ABS(L89)&lt;=O89,"Yes","No"))</f>
        <v>Yes</v>
      </c>
      <c r="S89" s="32" t="str">
        <f aca="false">IF(L89="","",IF(ABS(L89)&lt;=1.96*O89,"Yes","No"))</f>
        <v>Yes</v>
      </c>
      <c r="T89" s="59" t="n">
        <f aca="false">IF(D89="","",ROUND(SQRT(((D89+G89)*O89/100)^2+(J89*(D89+G89)*0.07048)^2),0))</f>
        <v>159</v>
      </c>
      <c r="U89" s="32"/>
    </row>
    <row r="90" customFormat="false" ht="15" hidden="false" customHeight="false" outlineLevel="0" collapsed="false">
      <c r="A90" s="32" t="s">
        <v>220</v>
      </c>
      <c r="B90" s="32" t="s">
        <v>255</v>
      </c>
      <c r="C90" s="32" t="s">
        <v>161</v>
      </c>
      <c r="D90" s="59" t="n">
        <v>616</v>
      </c>
      <c r="E90" s="59" t="n">
        <v>634</v>
      </c>
      <c r="F90" s="68" t="n">
        <f aca="false">IF(E90="","",D90-E90)</f>
        <v>-18</v>
      </c>
      <c r="G90" s="59" t="n">
        <v>910</v>
      </c>
      <c r="H90" s="59" t="n">
        <v>856</v>
      </c>
      <c r="I90" s="68" t="n">
        <f aca="false">IF(H90="","",G90-H90)</f>
        <v>54</v>
      </c>
      <c r="J90" s="40" t="n">
        <f aca="false">IF(OR(D90="",D90+G90=0),"",D90/(D90+G90))</f>
        <v>0.403669724770642</v>
      </c>
      <c r="K90" s="40" t="n">
        <f aca="false">IF(E90="","",E90/(E90+H90))</f>
        <v>0.425503355704698</v>
      </c>
      <c r="L90" s="69" t="n">
        <f aca="false">IF(OR(K90="",J90=""),"",(J90-K90)*100)</f>
        <v>-2.18336309340558</v>
      </c>
      <c r="M90" s="36" t="n">
        <v>3.65244811615435</v>
      </c>
      <c r="N90" s="36" t="n">
        <v>1.26676233227734</v>
      </c>
      <c r="O90" s="36" t="n">
        <f aca="false">SQRT(M90^2+N90^2)</f>
        <v>3.86588463972688</v>
      </c>
      <c r="P90" s="40" t="n">
        <f aca="false">IF(J90="","",MAX(0,J90-1.96*O90/100))</f>
        <v>0.327898385831995</v>
      </c>
      <c r="Q90" s="40" t="n">
        <f aca="false">IF(J90="","",MIN(1,J90+1.96*O90/100))</f>
        <v>0.479441063709289</v>
      </c>
      <c r="R90" s="32" t="str">
        <f aca="false">IF(L90="","",IF(ABS(L90)&lt;=O90,"Yes","No"))</f>
        <v>Yes</v>
      </c>
      <c r="S90" s="32" t="str">
        <f aca="false">IF(L90="","",IF(ABS(L90)&lt;=1.96*O90,"Yes","No"))</f>
        <v>Yes</v>
      </c>
      <c r="T90" s="59" t="n">
        <f aca="false">IF(D90="","",ROUND(SQRT(((D90+G90)*O90/100)^2+(J90*(D90+G90)*0.09173)^2),0))</f>
        <v>82</v>
      </c>
      <c r="U90" s="32"/>
    </row>
    <row r="92" customFormat="false" ht="15" hidden="false" customHeight="false" outlineLevel="0" collapsed="false">
      <c r="A92" s="20" t="s">
        <v>383</v>
      </c>
      <c r="B92" s="70"/>
      <c r="C92" s="70"/>
      <c r="D92" s="71" t="n">
        <f aca="false">SUMIF(E2:E90,"&lt;&gt;",D2:D90)</f>
        <v>193337</v>
      </c>
      <c r="E92" s="71" t="n">
        <f aca="false">SUM(E2:E90)</f>
        <v>199626</v>
      </c>
      <c r="F92" s="72" t="n">
        <f aca="false">D92-E92</f>
        <v>-6289</v>
      </c>
      <c r="G92" s="71" t="n">
        <f aca="false">SUMIF(H2:H90,"&lt;&gt;",G2:G90)</f>
        <v>207786</v>
      </c>
      <c r="H92" s="71" t="n">
        <f aca="false">SUM(H2:H90)</f>
        <v>203688</v>
      </c>
      <c r="I92" s="72" t="n">
        <f aca="false">G92-H92</f>
        <v>4098</v>
      </c>
      <c r="J92" s="73" t="n">
        <f aca="false">D92/(D92+G92)</f>
        <v>0.481989314998143</v>
      </c>
      <c r="K92" s="73" t="n">
        <f aca="false">E92/(E92+H92)</f>
        <v>0.49496422142549</v>
      </c>
      <c r="L92" s="74" t="n">
        <f aca="false">(J92-K92)*100</f>
        <v>-1.29749064273471</v>
      </c>
      <c r="M92" s="75" t="n">
        <v>0</v>
      </c>
      <c r="N92" s="75" t="n">
        <v>1.26676233227734</v>
      </c>
      <c r="O92" s="75" t="n">
        <f aca="false">SQRT(M92^2+N92^2)</f>
        <v>1.26676233227734</v>
      </c>
      <c r="P92" s="73" t="n">
        <f aca="false">J92-1.96*O92/100</f>
        <v>0.457160773285507</v>
      </c>
      <c r="Q92" s="73" t="n">
        <f aca="false">J92+1.96*O92/100</f>
        <v>0.506817856710779</v>
      </c>
      <c r="R92" s="70" t="str">
        <f aca="false">IF(ABS(L92)&lt;=O92,"Yes","No")</f>
        <v>No</v>
      </c>
      <c r="S92" s="70" t="str">
        <f aca="false">IF(ABS(L92)&lt;=1.96*O92,"Yes","No")</f>
        <v>Yes</v>
      </c>
      <c r="T92" s="71" t="n">
        <f aca="false">ROUND(SQRT(((D92+G92)*O92/100)^2+(J92*(D92+G92)*0.05028)^2),0)</f>
        <v>10969</v>
      </c>
    </row>
    <row r="93" customFormat="false" ht="15" hidden="false" customHeight="false" outlineLevel="0" collapsed="false">
      <c r="A93" s="20" t="s">
        <v>384</v>
      </c>
      <c r="B93" s="70"/>
      <c r="C93" s="70"/>
      <c r="D93" s="71" t="n">
        <f aca="false">SUM(D2:D90)</f>
        <v>193337</v>
      </c>
      <c r="E93" s="71"/>
      <c r="F93" s="72"/>
      <c r="G93" s="71" t="n">
        <f aca="false">SUM(G2:G90)</f>
        <v>207786</v>
      </c>
      <c r="H93" s="71"/>
      <c r="I93" s="72"/>
      <c r="J93" s="73" t="n">
        <f aca="false">D93/(D93+G93)</f>
        <v>0.481989314998143</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90.123595505618</v>
      </c>
    </row>
    <row r="96" customFormat="false" ht="15" hidden="false" customHeight="false" outlineLevel="0" collapsed="false">
      <c r="A96" s="2" t="s">
        <v>386</v>
      </c>
      <c r="F96" s="76" t="n">
        <f aca="false">(SUMIF(I2:I90,"&gt;0")-SUMIF(I2:I90,"&lt;0"))/COUNT(I2:I90)</f>
        <v>74.4044943820225</v>
      </c>
    </row>
    <row r="97" customFormat="false" ht="15" hidden="false" customHeight="false" outlineLevel="0" collapsed="false">
      <c r="A97" s="2" t="s">
        <v>387</v>
      </c>
      <c r="F97" s="77" t="n">
        <f aca="false">(SUMIF(L2:L90,"&gt;0")-SUMIF(L2:L90,"&lt;0"))/COUNT(L2:L90)</f>
        <v>2.01001250750382</v>
      </c>
    </row>
    <row r="98" customFormat="false" ht="15" hidden="false" customHeight="false" outlineLevel="0" collapsed="false">
      <c r="A98" s="5" t="s">
        <v>388</v>
      </c>
      <c r="F98" s="78" t="n">
        <f aca="false">SQRT(SUMSQ(L2:L90)/COUNT(L2:L90))</f>
        <v>2.46603583049451</v>
      </c>
    </row>
    <row r="99" customFormat="false" ht="15" hidden="false" customHeight="false" outlineLevel="0" collapsed="false">
      <c r="A99" s="5" t="s">
        <v>389</v>
      </c>
      <c r="F99" s="79" t="n">
        <f aca="false">L92</f>
        <v>-1.29749064273471</v>
      </c>
    </row>
    <row r="100" customFormat="false" ht="15" hidden="false" customHeight="false" outlineLevel="0" collapsed="false">
      <c r="A100" s="5" t="s">
        <v>390</v>
      </c>
      <c r="F100" s="78" t="n">
        <f aca="false">SQRT((SUMSQ(L2:L90)-2*L92*SUM(L2:L90)+COUNT(L2:L90)*L92^2)/COUNT(L2:L90))</f>
        <v>1.90187897985102</v>
      </c>
    </row>
    <row r="101" customFormat="false" ht="15" hidden="false" customHeight="false" outlineLevel="0" collapsed="false">
      <c r="A101" s="2" t="s">
        <v>391</v>
      </c>
      <c r="F101" s="80" t="n">
        <f aca="false">D92/E92-1</f>
        <v>-0.031503912316031</v>
      </c>
    </row>
    <row r="102" customFormat="false" ht="15" hidden="false" customHeight="false" outlineLevel="0" collapsed="false">
      <c r="A102" s="5" t="s">
        <v>392</v>
      </c>
      <c r="F102" s="81" t="n">
        <f aca="false">G92/H92-1</f>
        <v>0.0201190055378815</v>
      </c>
    </row>
    <row r="103" customFormat="false" ht="15" hidden="false" customHeight="false" outlineLevel="0" collapsed="false">
      <c r="A103" s="2" t="s">
        <v>393</v>
      </c>
      <c r="F103" s="80" t="n">
        <f aca="false">(D92+G92)/(E92+H92)-1</f>
        <v>-0.00543249180539229</v>
      </c>
    </row>
    <row r="104" customFormat="false" ht="15" hidden="false" customHeight="false" outlineLevel="0" collapsed="false">
      <c r="A104" s="2" t="s">
        <v>394</v>
      </c>
      <c r="F104" s="77" t="n">
        <f aca="false">AVERAGE(O2:O90)</f>
        <v>2.93936845802286</v>
      </c>
    </row>
    <row r="105" customFormat="false" ht="15" hidden="false" customHeight="false" outlineLevel="0" collapsed="false">
      <c r="A105" s="5" t="s">
        <v>395</v>
      </c>
      <c r="F105" s="82" t="n">
        <f aca="false">COUNTIF(R2:R90,"Yes")/(COUNTIF(R2:R90,"Yes")+COUNTIF(R2:R90,"No"))</f>
        <v>0.786516853932584</v>
      </c>
    </row>
    <row r="106" customFormat="false" ht="15" hidden="false" customHeight="false" outlineLevel="0" collapsed="false">
      <c r="A106" s="5" t="s">
        <v>396</v>
      </c>
      <c r="F106" s="82" t="n">
        <f aca="false">COUNTIF(S2:S90,"Yes")/(COUNTIF(S2:S90,"Yes")+COUNTIF(S2:S90,"No"))</f>
        <v>1</v>
      </c>
    </row>
    <row r="107" customFormat="false" ht="15" hidden="false" customHeight="false" outlineLevel="0" collapsed="false">
      <c r="A107" s="2" t="s">
        <v>397</v>
      </c>
      <c r="F107" s="83" t="n">
        <f aca="false">COUNTIFS(L2:L90,"&gt;=-3",L2:L90,"&lt;=3")/COUNT(L2:L90)</f>
        <v>0.797752808988764</v>
      </c>
    </row>
    <row r="108" customFormat="false" ht="15" hidden="false" customHeight="false" outlineLevel="0" collapsed="false">
      <c r="A108" s="2" t="s">
        <v>398</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-1084.46660914325</v>
      </c>
    </row>
    <row r="112" customFormat="false" ht="15" hidden="false" customHeight="false" outlineLevel="0" collapsed="false">
      <c r="A112" s="2" t="s">
        <v>402</v>
      </c>
      <c r="F112" s="85" t="n">
        <f aca="false">F92-((D92+G92)-(E92+H92))*K92</f>
        <v>-5204.53339085675</v>
      </c>
    </row>
    <row r="113" customFormat="false" ht="15" hidden="false" customHeight="false" outlineLevel="0" collapsed="false">
      <c r="A113" s="2" t="s">
        <v>403</v>
      </c>
      <c r="F113" s="85" t="n">
        <f aca="false">((D92+G92)-(E92+H92))*(1-K92)</f>
        <v>-1106.53339085675</v>
      </c>
    </row>
    <row r="114" customFormat="false" ht="15" hidden="false" customHeight="false" outlineLevel="0" collapsed="false">
      <c r="A114" s="2" t="s">
        <v>404</v>
      </c>
      <c r="F114" s="85" t="n">
        <f aca="false">I92-((D92+G92)-(E92+H92))*(1-K92)</f>
        <v>5204.53339085675</v>
      </c>
    </row>
    <row r="115" customFormat="false" ht="15" hidden="false" customHeight="false" outlineLevel="0" collapsed="false">
      <c r="A115" s="2" t="s">
        <v>405</v>
      </c>
      <c r="F115" s="80" t="n">
        <f aca="false">(F92-((D92+G92)-(E92+H92))*K92)/E92</f>
        <v>-0.0260714205106387</v>
      </c>
    </row>
    <row r="116" customFormat="false" ht="15" hidden="false" customHeight="false" outlineLevel="0" collapsed="false">
      <c r="A116" s="2" t="s">
        <v>406</v>
      </c>
      <c r="F116" s="80" t="n">
        <f aca="false">(I92-((D92+G92)-(E92+H92))*(1-K92))/H92</f>
        <v>0.0255514973432738</v>
      </c>
    </row>
    <row r="118" customFormat="false" ht="15" hidden="false" customHeight="false" outlineLevel="0" collapsed="false">
      <c r="U118" s="5" t="s">
        <v>136</v>
      </c>
    </row>
    <row r="119" customFormat="false" ht="28.35" hidden="false" customHeight="false" outlineLevel="0" collapsed="false">
      <c r="U119" s="67" t="s">
        <v>407</v>
      </c>
    </row>
    <row r="120" customFormat="false" ht="15" hidden="false" customHeight="false" outlineLevel="0" collapsed="false">
      <c r="U120" s="67" t="s">
        <v>408</v>
      </c>
    </row>
    <row r="121" customFormat="false" ht="55.2" hidden="false" customHeight="false" outlineLevel="0" collapsed="false">
      <c r="U121" s="67" t="s">
        <v>416</v>
      </c>
    </row>
    <row r="122" customFormat="false" ht="15" hidden="false" customHeight="false" outlineLevel="0" collapsed="false">
      <c r="U122" s="67" t="s">
        <v>410</v>
      </c>
    </row>
    <row r="123" customFormat="false" ht="41.75" hidden="false" customHeight="false" outlineLevel="0" collapsed="false">
      <c r="U123" s="67" t="s">
        <v>411</v>
      </c>
    </row>
    <row r="124" customFormat="false" ht="28.35" hidden="false" customHeight="false" outlineLevel="0" collapsed="false">
      <c r="U124" s="67" t="s">
        <v>412</v>
      </c>
    </row>
    <row r="125" customFormat="false" ht="28.35" hidden="false" customHeight="false" outlineLevel="0" collapsed="false">
      <c r="U125" s="67" t="s">
        <v>413</v>
      </c>
    </row>
    <row r="126" customFormat="false" ht="41.75" hidden="false" customHeight="false" outlineLevel="0" collapsed="false">
      <c r="U126" s="67" t="s">
        <v>414</v>
      </c>
    </row>
    <row r="127" customFormat="false" ht="15" hidden="false" customHeight="false" outlineLevel="0" collapsed="false">
      <c r="U127" s="67" t="s">
        <v>415</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369</v>
      </c>
      <c r="H1" s="8" t="s">
        <v>370</v>
      </c>
      <c r="I1" s="8" t="s">
        <v>371</v>
      </c>
      <c r="J1" s="8" t="s">
        <v>372</v>
      </c>
      <c r="K1" s="8" t="s">
        <v>373</v>
      </c>
      <c r="L1" s="8" t="s">
        <v>374</v>
      </c>
      <c r="M1" s="8" t="s">
        <v>375</v>
      </c>
      <c r="N1" s="8" t="s">
        <v>376</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146</v>
      </c>
      <c r="E2" s="59" t="n">
        <v>181</v>
      </c>
      <c r="F2" s="68" t="n">
        <f aca="false">IF(E2="","",D2-E2)</f>
        <v>-35</v>
      </c>
      <c r="G2" s="59" t="n">
        <v>292</v>
      </c>
      <c r="H2" s="59" t="n">
        <v>285</v>
      </c>
      <c r="I2" s="68" t="n">
        <f aca="false">IF(H2="","",G2-H2)</f>
        <v>7</v>
      </c>
      <c r="J2" s="40" t="n">
        <f aca="false">IF(OR(D2="",D2+G2=0),"",D2/(D2+G2))</f>
        <v>0.333333333333333</v>
      </c>
      <c r="K2" s="40" t="n">
        <f aca="false">IF(E2="","",E2/(E2+H2))</f>
        <v>0.388412017167382</v>
      </c>
      <c r="L2" s="69" t="n">
        <f aca="false">IF(OR(K2="",J2=""),"",(J2-K2)*100)</f>
        <v>-5.50786838340487</v>
      </c>
      <c r="M2" s="36" t="n">
        <v>3.7449094222202</v>
      </c>
      <c r="N2" s="36" t="n">
        <v>1.26699649100906</v>
      </c>
      <c r="O2" s="36" t="n">
        <f aca="false">SQRT(M2^2+N2^2)</f>
        <v>3.95343226688695</v>
      </c>
      <c r="P2" s="40" t="n">
        <f aca="false">IF(J2="","",MAX(0,J2-1.96*O2/100))</f>
        <v>0.255846060902349</v>
      </c>
      <c r="Q2" s="40" t="n">
        <f aca="false">IF(J2="","",MIN(1,J2+1.96*O2/100))</f>
        <v>0.410820605764318</v>
      </c>
      <c r="R2" s="32" t="str">
        <f aca="false">IF(L2="","",IF(ABS(L2)&lt;=O2,"Yes","No"))</f>
        <v>No</v>
      </c>
      <c r="S2" s="32" t="str">
        <f aca="false">IF(L2="","",IF(ABS(L2)&lt;=1.96*O2,"Yes","No"))</f>
        <v>Yes</v>
      </c>
      <c r="T2" s="59" t="n">
        <f aca="false">IF(D2="","",ROUND(SQRT(((D2+G2)*O2/100)^2+(J2*(D2+G2)*0.09173)^2),0))</f>
        <v>22</v>
      </c>
      <c r="U2" s="32"/>
    </row>
    <row r="3" customFormat="false" ht="15" hidden="false" customHeight="false" outlineLevel="0" collapsed="false">
      <c r="A3" s="32" t="s">
        <v>159</v>
      </c>
      <c r="B3" s="32" t="s">
        <v>165</v>
      </c>
      <c r="C3" s="32" t="s">
        <v>161</v>
      </c>
      <c r="D3" s="59" t="n">
        <v>95</v>
      </c>
      <c r="E3" s="59" t="n">
        <v>118</v>
      </c>
      <c r="F3" s="68" t="n">
        <f aca="false">IF(E3="","",D3-E3)</f>
        <v>-23</v>
      </c>
      <c r="G3" s="59" t="n">
        <v>309</v>
      </c>
      <c r="H3" s="59" t="n">
        <v>300</v>
      </c>
      <c r="I3" s="68" t="n">
        <f aca="false">IF(H3="","",G3-H3)</f>
        <v>9</v>
      </c>
      <c r="J3" s="40" t="n">
        <f aca="false">IF(OR(D3="",D3+G3=0),"",D3/(D3+G3))</f>
        <v>0.235148514851485</v>
      </c>
      <c r="K3" s="40" t="n">
        <f aca="false">IF(E3="","",E3/(E3+H3))</f>
        <v>0.282296650717703</v>
      </c>
      <c r="L3" s="69" t="n">
        <f aca="false">IF(OR(K3="",J3=""),"",(J3-K3)*100)</f>
        <v>-4.71481358662182</v>
      </c>
      <c r="M3" s="36" t="n">
        <v>3.7449094222202</v>
      </c>
      <c r="N3" s="36" t="n">
        <v>1.26699649100906</v>
      </c>
      <c r="O3" s="36" t="n">
        <f aca="false">SQRT(M3^2+N3^2)</f>
        <v>3.95343226688695</v>
      </c>
      <c r="P3" s="40" t="n">
        <f aca="false">IF(J3="","",MAX(0,J3-1.96*O3/100))</f>
        <v>0.157661242420501</v>
      </c>
      <c r="Q3" s="40" t="n">
        <f aca="false">IF(J3="","",MIN(1,J3+1.96*O3/100))</f>
        <v>0.312635787282469</v>
      </c>
      <c r="R3" s="32" t="str">
        <f aca="false">IF(L3="","",IF(ABS(L3)&lt;=O3,"Yes","No"))</f>
        <v>No</v>
      </c>
      <c r="S3" s="32" t="str">
        <f aca="false">IF(L3="","",IF(ABS(L3)&lt;=1.96*O3,"Yes","No"))</f>
        <v>Yes</v>
      </c>
      <c r="T3" s="59" t="n">
        <f aca="false">IF(D3="","",ROUND(SQRT(((D3+G3)*O3/100)^2+(J3*(D3+G3)*0.09173)^2),0))</f>
        <v>18</v>
      </c>
      <c r="U3" s="32"/>
    </row>
    <row r="4" customFormat="false" ht="15" hidden="false" customHeight="false" outlineLevel="0" collapsed="false">
      <c r="A4" s="32" t="s">
        <v>159</v>
      </c>
      <c r="B4" s="32" t="s">
        <v>166</v>
      </c>
      <c r="C4" s="32" t="s">
        <v>161</v>
      </c>
      <c r="D4" s="59" t="n">
        <v>124</v>
      </c>
      <c r="E4" s="59" t="n">
        <v>144</v>
      </c>
      <c r="F4" s="68" t="n">
        <f aca="false">IF(E4="","",D4-E4)</f>
        <v>-20</v>
      </c>
      <c r="G4" s="59" t="n">
        <v>279</v>
      </c>
      <c r="H4" s="59" t="n">
        <v>310</v>
      </c>
      <c r="I4" s="68" t="n">
        <f aca="false">IF(H4="","",G4-H4)</f>
        <v>-31</v>
      </c>
      <c r="J4" s="40" t="n">
        <f aca="false">IF(OR(D4="",D4+G4=0),"",D4/(D4+G4))</f>
        <v>0.307692307692308</v>
      </c>
      <c r="K4" s="40" t="n">
        <f aca="false">IF(E4="","",E4/(E4+H4))</f>
        <v>0.317180616740088</v>
      </c>
      <c r="L4" s="69" t="n">
        <f aca="false">IF(OR(K4="",J4=""),"",(J4-K4)*100)</f>
        <v>-0.948830904778042</v>
      </c>
      <c r="M4" s="36" t="n">
        <v>3.7449094222202</v>
      </c>
      <c r="N4" s="36" t="n">
        <v>1.26699649100906</v>
      </c>
      <c r="O4" s="36" t="n">
        <f aca="false">SQRT(M4^2+N4^2)</f>
        <v>3.95343226688695</v>
      </c>
      <c r="P4" s="40" t="n">
        <f aca="false">IF(J4="","",MAX(0,J4-1.96*O4/100))</f>
        <v>0.230205035261324</v>
      </c>
      <c r="Q4" s="40" t="n">
        <f aca="false">IF(J4="","",MIN(1,J4+1.96*O4/100))</f>
        <v>0.385179580123292</v>
      </c>
      <c r="R4" s="32" t="str">
        <f aca="false">IF(L4="","",IF(ABS(L4)&lt;=O4,"Yes","No"))</f>
        <v>Yes</v>
      </c>
      <c r="S4" s="32" t="str">
        <f aca="false">IF(L4="","",IF(ABS(L4)&lt;=1.96*O4,"Yes","No"))</f>
        <v>Yes</v>
      </c>
      <c r="T4" s="59" t="n">
        <f aca="false">IF(D4="","",ROUND(SQRT(((D4+G4)*O4/100)^2+(J4*(D4+G4)*0.09173)^2),0))</f>
        <v>20</v>
      </c>
      <c r="U4" s="32"/>
    </row>
    <row r="5" customFormat="false" ht="15" hidden="false" customHeight="false" outlineLevel="0" collapsed="false">
      <c r="A5" s="32" t="s">
        <v>159</v>
      </c>
      <c r="B5" s="32" t="s">
        <v>167</v>
      </c>
      <c r="C5" s="32" t="s">
        <v>161</v>
      </c>
      <c r="D5" s="59" t="n">
        <v>376</v>
      </c>
      <c r="E5" s="59" t="n">
        <v>438</v>
      </c>
      <c r="F5" s="68" t="n">
        <f aca="false">IF(E5="","",D5-E5)</f>
        <v>-62</v>
      </c>
      <c r="G5" s="59" t="n">
        <v>1199</v>
      </c>
      <c r="H5" s="59" t="n">
        <v>1253</v>
      </c>
      <c r="I5" s="68" t="n">
        <f aca="false">IF(H5="","",G5-H5)</f>
        <v>-54</v>
      </c>
      <c r="J5" s="40" t="n">
        <f aca="false">IF(OR(D5="",D5+G5=0),"",D5/(D5+G5))</f>
        <v>0.238730158730159</v>
      </c>
      <c r="K5" s="40" t="n">
        <f aca="false">IF(E5="","",E5/(E5+H5))</f>
        <v>0.259018332347723</v>
      </c>
      <c r="L5" s="69" t="n">
        <f aca="false">IF(OR(K5="",J5=""),"",(J5-K5)*100)</f>
        <v>-2.02881736175645</v>
      </c>
      <c r="M5" s="36" t="n">
        <v>2.54601243465806</v>
      </c>
      <c r="N5" s="36" t="n">
        <v>1.26699649100906</v>
      </c>
      <c r="O5" s="36" t="n">
        <f aca="false">SQRT(M5^2+N5^2)</f>
        <v>2.84384588641205</v>
      </c>
      <c r="P5" s="40" t="n">
        <f aca="false">IF(J5="","",MAX(0,J5-1.96*O5/100))</f>
        <v>0.182990779356483</v>
      </c>
      <c r="Q5" s="40" t="n">
        <f aca="false">IF(J5="","",MIN(1,J5+1.96*O5/100))</f>
        <v>0.294469538103835</v>
      </c>
      <c r="R5" s="32" t="str">
        <f aca="false">IF(L5="","",IF(ABS(L5)&lt;=O5,"Yes","No"))</f>
        <v>Yes</v>
      </c>
      <c r="S5" s="32" t="str">
        <f aca="false">IF(L5="","",IF(ABS(L5)&lt;=1.96*O5,"Yes","No"))</f>
        <v>Yes</v>
      </c>
      <c r="T5" s="59" t="n">
        <f aca="false">IF(D5="","",ROUND(SQRT(((D5+G5)*O5/100)^2+(J5*(D5+G5)*0.07048)^2),0))</f>
        <v>52</v>
      </c>
      <c r="U5" s="32"/>
    </row>
    <row r="6" customFormat="false" ht="15" hidden="false" customHeight="false" outlineLevel="0" collapsed="false">
      <c r="A6" s="32" t="s">
        <v>159</v>
      </c>
      <c r="B6" s="32" t="s">
        <v>169</v>
      </c>
      <c r="C6" s="32" t="s">
        <v>161</v>
      </c>
      <c r="D6" s="59" t="n">
        <v>36</v>
      </c>
      <c r="E6" s="59" t="n">
        <v>38</v>
      </c>
      <c r="F6" s="68" t="n">
        <f aca="false">IF(E6="","",D6-E6)</f>
        <v>-2</v>
      </c>
      <c r="G6" s="59" t="n">
        <v>76</v>
      </c>
      <c r="H6" s="59" t="n">
        <v>78</v>
      </c>
      <c r="I6" s="68" t="n">
        <f aca="false">IF(H6="","",G6-H6)</f>
        <v>-2</v>
      </c>
      <c r="J6" s="40" t="n">
        <f aca="false">IF(OR(D6="",D6+G6=0),"",D6/(D6+G6))</f>
        <v>0.321428571428571</v>
      </c>
      <c r="K6" s="40" t="n">
        <f aca="false">IF(E6="","",E6/(E6+H6))</f>
        <v>0.327586206896552</v>
      </c>
      <c r="L6" s="69" t="n">
        <f aca="false">IF(OR(K6="",J6=""),"",(J6-K6)*100)</f>
        <v>-0.615763546798026</v>
      </c>
      <c r="M6" s="36" t="n">
        <v>3.7449094222202</v>
      </c>
      <c r="N6" s="36" t="n">
        <v>1.26699649100906</v>
      </c>
      <c r="O6" s="36" t="n">
        <f aca="false">SQRT(M6^2+N6^2)</f>
        <v>3.95343226688695</v>
      </c>
      <c r="P6" s="40" t="n">
        <f aca="false">IF(J6="","",MAX(0,J6-1.96*O6/100))</f>
        <v>0.243941298997587</v>
      </c>
      <c r="Q6" s="40" t="n">
        <f aca="false">IF(J6="","",MIN(1,J6+1.96*O6/100))</f>
        <v>0.398915843859556</v>
      </c>
      <c r="R6" s="32" t="str">
        <f aca="false">IF(L6="","",IF(ABS(L6)&lt;=O6,"Yes","No"))</f>
        <v>Yes</v>
      </c>
      <c r="S6" s="32" t="str">
        <f aca="false">IF(L6="","",IF(ABS(L6)&lt;=1.96*O6,"Yes","No"))</f>
        <v>Yes</v>
      </c>
      <c r="T6" s="59" t="n">
        <f aca="false">IF(D6="","",ROUND(SQRT(((D6+G6)*O6/100)^2+(J6*(D6+G6)*0.09173)^2),0))</f>
        <v>6</v>
      </c>
      <c r="U6" s="32"/>
    </row>
    <row r="7" customFormat="false" ht="15" hidden="false" customHeight="false" outlineLevel="0" collapsed="false">
      <c r="A7" s="32" t="s">
        <v>159</v>
      </c>
      <c r="B7" s="32" t="s">
        <v>170</v>
      </c>
      <c r="C7" s="32" t="s">
        <v>161</v>
      </c>
      <c r="D7" s="59" t="n">
        <v>586</v>
      </c>
      <c r="E7" s="59" t="n">
        <v>708</v>
      </c>
      <c r="F7" s="68" t="n">
        <f aca="false">IF(E7="","",D7-E7)</f>
        <v>-122</v>
      </c>
      <c r="G7" s="59" t="n">
        <v>1846</v>
      </c>
      <c r="H7" s="59" t="n">
        <v>1846</v>
      </c>
      <c r="I7" s="68" t="n">
        <f aca="false">IF(H7="","",G7-H7)</f>
        <v>0</v>
      </c>
      <c r="J7" s="40" t="n">
        <f aca="false">IF(OR(D7="",D7+G7=0),"",D7/(D7+G7))</f>
        <v>0.240953947368421</v>
      </c>
      <c r="K7" s="40" t="n">
        <f aca="false">IF(E7="","",E7/(E7+H7))</f>
        <v>0.277212216131558</v>
      </c>
      <c r="L7" s="69" t="n">
        <f aca="false">IF(OR(K7="",J7=""),"",(J7-K7)*100)</f>
        <v>-3.62582687631373</v>
      </c>
      <c r="M7" s="36" t="n">
        <v>2.54601243465806</v>
      </c>
      <c r="N7" s="36" t="n">
        <v>1.26699649100906</v>
      </c>
      <c r="O7" s="36" t="n">
        <f aca="false">SQRT(M7^2+N7^2)</f>
        <v>2.84384588641205</v>
      </c>
      <c r="P7" s="40" t="n">
        <f aca="false">IF(J7="","",MAX(0,J7-1.96*O7/100))</f>
        <v>0.185214567994745</v>
      </c>
      <c r="Q7" s="40" t="n">
        <f aca="false">IF(J7="","",MIN(1,J7+1.96*O7/100))</f>
        <v>0.296693326742097</v>
      </c>
      <c r="R7" s="32" t="str">
        <f aca="false">IF(L7="","",IF(ABS(L7)&lt;=O7,"Yes","No"))</f>
        <v>No</v>
      </c>
      <c r="S7" s="32" t="str">
        <f aca="false">IF(L7="","",IF(ABS(L7)&lt;=1.96*O7,"Yes","No"))</f>
        <v>Yes</v>
      </c>
      <c r="T7" s="59" t="n">
        <f aca="false">IF(D7="","",ROUND(SQRT(((D7+G7)*O7/100)^2+(J7*(D7+G7)*0.07048)^2),0))</f>
        <v>81</v>
      </c>
      <c r="U7" s="32"/>
    </row>
    <row r="8" customFormat="false" ht="15" hidden="false" customHeight="false" outlineLevel="0" collapsed="false">
      <c r="A8" s="32" t="s">
        <v>159</v>
      </c>
      <c r="B8" s="32" t="s">
        <v>171</v>
      </c>
      <c r="C8" s="32" t="s">
        <v>161</v>
      </c>
      <c r="D8" s="59" t="n">
        <v>1067</v>
      </c>
      <c r="E8" s="59" t="n">
        <v>1104</v>
      </c>
      <c r="F8" s="68" t="n">
        <f aca="false">IF(E8="","",D8-E8)</f>
        <v>-37</v>
      </c>
      <c r="G8" s="59" t="n">
        <v>1358</v>
      </c>
      <c r="H8" s="59" t="n">
        <v>1481</v>
      </c>
      <c r="I8" s="68" t="n">
        <f aca="false">IF(H8="","",G8-H8)</f>
        <v>-123</v>
      </c>
      <c r="J8" s="40" t="n">
        <f aca="false">IF(OR(D8="",D8+G8=0),"",D8/(D8+G8))</f>
        <v>0.44</v>
      </c>
      <c r="K8" s="40" t="n">
        <f aca="false">IF(E8="","",E8/(E8+H8))</f>
        <v>0.427079303675048</v>
      </c>
      <c r="L8" s="69" t="n">
        <f aca="false">IF(OR(K8="",J8=""),"",(J8-K8)*100)</f>
        <v>1.29206963249516</v>
      </c>
      <c r="M8" s="36" t="n">
        <v>2.54601243465806</v>
      </c>
      <c r="N8" s="36" t="n">
        <v>1.26699649100906</v>
      </c>
      <c r="O8" s="36" t="n">
        <f aca="false">SQRT(M8^2+N8^2)</f>
        <v>2.84384588641205</v>
      </c>
      <c r="P8" s="40" t="n">
        <f aca="false">IF(J8="","",MAX(0,J8-1.96*O8/100))</f>
        <v>0.384260620626324</v>
      </c>
      <c r="Q8" s="40" t="n">
        <f aca="false">IF(J8="","",MIN(1,J8+1.96*O8/100))</f>
        <v>0.495739379373676</v>
      </c>
      <c r="R8" s="32" t="str">
        <f aca="false">IF(L8="","",IF(ABS(L8)&lt;=O8,"Yes","No"))</f>
        <v>Yes</v>
      </c>
      <c r="S8" s="32" t="str">
        <f aca="false">IF(L8="","",IF(ABS(L8)&lt;=1.96*O8,"Yes","No"))</f>
        <v>Yes</v>
      </c>
      <c r="T8" s="59" t="n">
        <f aca="false">IF(D8="","",ROUND(SQRT(((D8+G8)*O8/100)^2+(J8*(D8+G8)*0.07048)^2),0))</f>
        <v>102</v>
      </c>
      <c r="U8" s="32"/>
    </row>
    <row r="9" customFormat="false" ht="15" hidden="false" customHeight="false" outlineLevel="0" collapsed="false">
      <c r="A9" s="32" t="s">
        <v>159</v>
      </c>
      <c r="B9" s="32" t="s">
        <v>172</v>
      </c>
      <c r="C9" s="32" t="s">
        <v>161</v>
      </c>
      <c r="D9" s="59" t="n">
        <v>313</v>
      </c>
      <c r="E9" s="59" t="n">
        <v>351</v>
      </c>
      <c r="F9" s="68" t="n">
        <f aca="false">IF(E9="","",D9-E9)</f>
        <v>-38</v>
      </c>
      <c r="G9" s="59" t="n">
        <v>723</v>
      </c>
      <c r="H9" s="59" t="n">
        <v>697</v>
      </c>
      <c r="I9" s="68" t="n">
        <f aca="false">IF(H9="","",G9-H9)</f>
        <v>26</v>
      </c>
      <c r="J9" s="40" t="n">
        <f aca="false">IF(OR(D9="",D9+G9=0),"",D9/(D9+G9))</f>
        <v>0.302123552123552</v>
      </c>
      <c r="K9" s="40" t="n">
        <f aca="false">IF(E9="","",E9/(E9+H9))</f>
        <v>0.334923664122137</v>
      </c>
      <c r="L9" s="69" t="n">
        <f aca="false">IF(OR(K9="",J9=""),"",(J9-K9)*100)</f>
        <v>-3.28001119985853</v>
      </c>
      <c r="M9" s="36" t="n">
        <v>3.7449094222202</v>
      </c>
      <c r="N9" s="36" t="n">
        <v>1.26699649100906</v>
      </c>
      <c r="O9" s="36" t="n">
        <f aca="false">SQRT(M9^2+N9^2)</f>
        <v>3.95343226688695</v>
      </c>
      <c r="P9" s="40" t="n">
        <f aca="false">IF(J9="","",MAX(0,J9-1.96*O9/100))</f>
        <v>0.224636279692568</v>
      </c>
      <c r="Q9" s="40" t="n">
        <f aca="false">IF(J9="","",MIN(1,J9+1.96*O9/100))</f>
        <v>0.379610824554536</v>
      </c>
      <c r="R9" s="32" t="str">
        <f aca="false">IF(L9="","",IF(ABS(L9)&lt;=O9,"Yes","No"))</f>
        <v>Yes</v>
      </c>
      <c r="S9" s="32" t="str">
        <f aca="false">IF(L9="","",IF(ABS(L9)&lt;=1.96*O9,"Yes","No"))</f>
        <v>Yes</v>
      </c>
      <c r="T9" s="59" t="n">
        <f aca="false">IF(D9="","",ROUND(SQRT(((D9+G9)*O9/100)^2+(J9*(D9+G9)*0.09173)^2),0))</f>
        <v>50</v>
      </c>
      <c r="U9" s="32"/>
    </row>
    <row r="10" customFormat="false" ht="15" hidden="false" customHeight="false" outlineLevel="0" collapsed="false">
      <c r="A10" s="32" t="s">
        <v>159</v>
      </c>
      <c r="B10" s="32" t="s">
        <v>173</v>
      </c>
      <c r="C10" s="32" t="s">
        <v>161</v>
      </c>
      <c r="D10" s="59" t="n">
        <v>553</v>
      </c>
      <c r="E10" s="59" t="n">
        <v>575</v>
      </c>
      <c r="F10" s="68" t="n">
        <f aca="false">IF(E10="","",D10-E10)</f>
        <v>-22</v>
      </c>
      <c r="G10" s="59" t="n">
        <v>856</v>
      </c>
      <c r="H10" s="59" t="n">
        <v>880</v>
      </c>
      <c r="I10" s="68" t="n">
        <f aca="false">IF(H10="","",G10-H10)</f>
        <v>-24</v>
      </c>
      <c r="J10" s="40" t="n">
        <f aca="false">IF(OR(D10="",D10+G10=0),"",D10/(D10+G10))</f>
        <v>0.392476933995742</v>
      </c>
      <c r="K10" s="40" t="n">
        <f aca="false">IF(E10="","",E10/(E10+H10))</f>
        <v>0.395189003436426</v>
      </c>
      <c r="L10" s="69" t="n">
        <f aca="false">IF(OR(K10="",J10=""),"",(J10-K10)*100)</f>
        <v>-0.271206944068442</v>
      </c>
      <c r="M10" s="36" t="n">
        <v>3.7449094222202</v>
      </c>
      <c r="N10" s="36" t="n">
        <v>1.26699649100906</v>
      </c>
      <c r="O10" s="36" t="n">
        <f aca="false">SQRT(M10^2+N10^2)</f>
        <v>3.95343226688695</v>
      </c>
      <c r="P10" s="40" t="n">
        <f aca="false">IF(J10="","",MAX(0,J10-1.96*O10/100))</f>
        <v>0.314989661564758</v>
      </c>
      <c r="Q10" s="40" t="n">
        <f aca="false">IF(J10="","",MIN(1,J10+1.96*O10/100))</f>
        <v>0.469964206426726</v>
      </c>
      <c r="R10" s="32" t="str">
        <f aca="false">IF(L10="","",IF(ABS(L10)&lt;=O10,"Yes","No"))</f>
        <v>Yes</v>
      </c>
      <c r="S10" s="32" t="str">
        <f aca="false">IF(L10="","",IF(ABS(L10)&lt;=1.96*O10,"Yes","No"))</f>
        <v>Yes</v>
      </c>
      <c r="T10" s="59" t="n">
        <f aca="false">IF(D10="","",ROUND(SQRT(((D10+G10)*O10/100)^2+(J10*(D10+G10)*0.09173)^2),0))</f>
        <v>75</v>
      </c>
      <c r="U10" s="32"/>
    </row>
    <row r="11" customFormat="false" ht="15" hidden="false" customHeight="false" outlineLevel="0" collapsed="false">
      <c r="A11" s="32" t="s">
        <v>159</v>
      </c>
      <c r="B11" s="32" t="s">
        <v>174</v>
      </c>
      <c r="C11" s="32" t="s">
        <v>161</v>
      </c>
      <c r="D11" s="59" t="n">
        <v>38</v>
      </c>
      <c r="E11" s="59" t="n">
        <v>38</v>
      </c>
      <c r="F11" s="68" t="n">
        <f aca="false">IF(E11="","",D11-E11)</f>
        <v>0</v>
      </c>
      <c r="G11" s="59" t="n">
        <v>101</v>
      </c>
      <c r="H11" s="59" t="n">
        <v>107</v>
      </c>
      <c r="I11" s="68" t="n">
        <f aca="false">IF(H11="","",G11-H11)</f>
        <v>-6</v>
      </c>
      <c r="J11" s="40" t="n">
        <f aca="false">IF(OR(D11="",D11+G11=0),"",D11/(D11+G11))</f>
        <v>0.273381294964029</v>
      </c>
      <c r="K11" s="40" t="n">
        <f aca="false">IF(E11="","",E11/(E11+H11))</f>
        <v>0.262068965517241</v>
      </c>
      <c r="L11" s="69" t="n">
        <f aca="false">IF(OR(K11="",J11=""),"",(J11-K11)*100)</f>
        <v>1.13123294467874</v>
      </c>
      <c r="M11" s="36" t="n">
        <v>3.7449094222202</v>
      </c>
      <c r="N11" s="36" t="n">
        <v>1.26699649100906</v>
      </c>
      <c r="O11" s="36" t="n">
        <f aca="false">SQRT(M11^2+N11^2)</f>
        <v>3.95343226688695</v>
      </c>
      <c r="P11" s="40" t="n">
        <f aca="false">IF(J11="","",MAX(0,J11-1.96*O11/100))</f>
        <v>0.195894022533045</v>
      </c>
      <c r="Q11" s="40" t="n">
        <f aca="false">IF(J11="","",MIN(1,J11+1.96*O11/100))</f>
        <v>0.350868567395013</v>
      </c>
      <c r="R11" s="32" t="str">
        <f aca="false">IF(L11="","",IF(ABS(L11)&lt;=O11,"Yes","No"))</f>
        <v>Yes</v>
      </c>
      <c r="S11" s="32" t="str">
        <f aca="false">IF(L11="","",IF(ABS(L11)&lt;=1.96*O11,"Yes","No"))</f>
        <v>Yes</v>
      </c>
      <c r="T11" s="59" t="n">
        <f aca="false">IF(D11="","",ROUND(SQRT(((D11+G11)*O11/100)^2+(J11*(D11+G11)*0.09173)^2),0))</f>
        <v>7</v>
      </c>
      <c r="U11" s="32"/>
    </row>
    <row r="12" customFormat="false" ht="15" hidden="false" customHeight="false" outlineLevel="0" collapsed="false">
      <c r="A12" s="32" t="s">
        <v>159</v>
      </c>
      <c r="B12" s="32" t="s">
        <v>175</v>
      </c>
      <c r="C12" s="32" t="s">
        <v>161</v>
      </c>
      <c r="D12" s="59" t="n">
        <v>45</v>
      </c>
      <c r="E12" s="59" t="n">
        <v>58</v>
      </c>
      <c r="F12" s="68" t="n">
        <f aca="false">IF(E12="","",D12-E12)</f>
        <v>-13</v>
      </c>
      <c r="G12" s="59" t="n">
        <v>219</v>
      </c>
      <c r="H12" s="59" t="n">
        <v>216</v>
      </c>
      <c r="I12" s="68" t="n">
        <f aca="false">IF(H12="","",G12-H12)</f>
        <v>3</v>
      </c>
      <c r="J12" s="40" t="n">
        <f aca="false">IF(OR(D12="",D12+G12=0),"",D12/(D12+G12))</f>
        <v>0.170454545454545</v>
      </c>
      <c r="K12" s="40" t="n">
        <f aca="false">IF(E12="","",E12/(E12+H12))</f>
        <v>0.211678832116788</v>
      </c>
      <c r="L12" s="69" t="n">
        <f aca="false">IF(OR(K12="",J12=""),"",(J12-K12)*100)</f>
        <v>-4.12242866622429</v>
      </c>
      <c r="M12" s="36" t="n">
        <v>3.7449094222202</v>
      </c>
      <c r="N12" s="36" t="n">
        <v>1.26699649100906</v>
      </c>
      <c r="O12" s="36" t="n">
        <f aca="false">SQRT(M12^2+N12^2)</f>
        <v>3.95343226688695</v>
      </c>
      <c r="P12" s="40" t="n">
        <f aca="false">IF(J12="","",MAX(0,J12-1.96*O12/100))</f>
        <v>0.0929672730235613</v>
      </c>
      <c r="Q12" s="40" t="n">
        <f aca="false">IF(J12="","",MIN(1,J12+1.96*O12/100))</f>
        <v>0.24794181788553</v>
      </c>
      <c r="R12" s="32" t="str">
        <f aca="false">IF(L12="","",IF(ABS(L12)&lt;=O12,"Yes","No"))</f>
        <v>No</v>
      </c>
      <c r="S12" s="32" t="str">
        <f aca="false">IF(L12="","",IF(ABS(L12)&lt;=1.96*O12,"Yes","No"))</f>
        <v>Yes</v>
      </c>
      <c r="T12" s="59" t="n">
        <f aca="false">IF(D12="","",ROUND(SQRT(((D12+G12)*O12/100)^2+(J12*(D12+G12)*0.09173)^2),0))</f>
        <v>11</v>
      </c>
      <c r="U12" s="32"/>
    </row>
    <row r="13" customFormat="false" ht="15" hidden="false" customHeight="false" outlineLevel="0" collapsed="false">
      <c r="A13" s="32" t="s">
        <v>159</v>
      </c>
      <c r="B13" s="32" t="s">
        <v>176</v>
      </c>
      <c r="C13" s="32" t="s">
        <v>161</v>
      </c>
      <c r="D13" s="59" t="n">
        <v>864</v>
      </c>
      <c r="E13" s="59" t="n">
        <v>944</v>
      </c>
      <c r="F13" s="68" t="n">
        <f aca="false">IF(E13="","",D13-E13)</f>
        <v>-80</v>
      </c>
      <c r="G13" s="59" t="n">
        <v>1400</v>
      </c>
      <c r="H13" s="59" t="n">
        <v>1486</v>
      </c>
      <c r="I13" s="68" t="n">
        <f aca="false">IF(H13="","",G13-H13)</f>
        <v>-86</v>
      </c>
      <c r="J13" s="40" t="n">
        <f aca="false">IF(OR(D13="",D13+G13=0),"",D13/(D13+G13))</f>
        <v>0.381625441696113</v>
      </c>
      <c r="K13" s="40" t="n">
        <f aca="false">IF(E13="","",E13/(E13+H13))</f>
        <v>0.388477366255144</v>
      </c>
      <c r="L13" s="69" t="n">
        <f aca="false">IF(OR(K13="",J13=""),"",(J13-K13)*100)</f>
        <v>-0.685192455903094</v>
      </c>
      <c r="M13" s="36" t="n">
        <v>2.54601243465806</v>
      </c>
      <c r="N13" s="36" t="n">
        <v>1.26699649100906</v>
      </c>
      <c r="O13" s="36" t="n">
        <f aca="false">SQRT(M13^2+N13^2)</f>
        <v>2.84384588641205</v>
      </c>
      <c r="P13" s="40" t="n">
        <f aca="false">IF(J13="","",MAX(0,J13-1.96*O13/100))</f>
        <v>0.325886062322437</v>
      </c>
      <c r="Q13" s="40" t="n">
        <f aca="false">IF(J13="","",MIN(1,J13+1.96*O13/100))</f>
        <v>0.437364821069789</v>
      </c>
      <c r="R13" s="32" t="str">
        <f aca="false">IF(L13="","",IF(ABS(L13)&lt;=O13,"Yes","No"))</f>
        <v>Yes</v>
      </c>
      <c r="S13" s="32" t="str">
        <f aca="false">IF(L13="","",IF(ABS(L13)&lt;=1.96*O13,"Yes","No"))</f>
        <v>Yes</v>
      </c>
      <c r="T13" s="59" t="n">
        <f aca="false">IF(D13="","",ROUND(SQRT(((D13+G13)*O13/100)^2+(J13*(D13+G13)*0.07048)^2),0))</f>
        <v>89</v>
      </c>
      <c r="U13" s="32"/>
    </row>
    <row r="14" customFormat="false" ht="15" hidden="false" customHeight="false" outlineLevel="0" collapsed="false">
      <c r="A14" s="32" t="s">
        <v>159</v>
      </c>
      <c r="B14" s="32" t="s">
        <v>177</v>
      </c>
      <c r="C14" s="32" t="s">
        <v>161</v>
      </c>
      <c r="D14" s="59" t="n">
        <v>464</v>
      </c>
      <c r="E14" s="59" t="n">
        <v>515</v>
      </c>
      <c r="F14" s="68" t="n">
        <f aca="false">IF(E14="","",D14-E14)</f>
        <v>-51</v>
      </c>
      <c r="G14" s="59" t="n">
        <v>1217</v>
      </c>
      <c r="H14" s="59" t="n">
        <v>1293</v>
      </c>
      <c r="I14" s="68" t="n">
        <f aca="false">IF(H14="","",G14-H14)</f>
        <v>-76</v>
      </c>
      <c r="J14" s="40" t="n">
        <f aca="false">IF(OR(D14="",D14+G14=0),"",D14/(D14+G14))</f>
        <v>0.276026174895895</v>
      </c>
      <c r="K14" s="40" t="n">
        <f aca="false">IF(E14="","",E14/(E14+H14))</f>
        <v>0.284845132743363</v>
      </c>
      <c r="L14" s="69" t="n">
        <f aca="false">IF(OR(K14="",J14=""),"",(J14-K14)*100)</f>
        <v>-0.88189578474675</v>
      </c>
      <c r="M14" s="36" t="n">
        <v>2.54601243465806</v>
      </c>
      <c r="N14" s="36" t="n">
        <v>1.26699649100906</v>
      </c>
      <c r="O14" s="36" t="n">
        <f aca="false">SQRT(M14^2+N14^2)</f>
        <v>2.84384588641205</v>
      </c>
      <c r="P14" s="40" t="n">
        <f aca="false">IF(J14="","",MAX(0,J14-1.96*O14/100))</f>
        <v>0.220286795522219</v>
      </c>
      <c r="Q14" s="40" t="n">
        <f aca="false">IF(J14="","",MIN(1,J14+1.96*O14/100))</f>
        <v>0.331765554269571</v>
      </c>
      <c r="R14" s="32" t="str">
        <f aca="false">IF(L14="","",IF(ABS(L14)&lt;=O14,"Yes","No"))</f>
        <v>Yes</v>
      </c>
      <c r="S14" s="32" t="str">
        <f aca="false">IF(L14="","",IF(ABS(L14)&lt;=1.96*O14,"Yes","No"))</f>
        <v>Yes</v>
      </c>
      <c r="T14" s="59" t="n">
        <f aca="false">IF(D14="","",ROUND(SQRT(((D14+G14)*O14/100)^2+(J14*(D14+G14)*0.07048)^2),0))</f>
        <v>58</v>
      </c>
      <c r="U14" s="32"/>
    </row>
    <row r="15" customFormat="false" ht="15" hidden="false" customHeight="false" outlineLevel="0" collapsed="false">
      <c r="A15" s="32" t="s">
        <v>159</v>
      </c>
      <c r="B15" s="32" t="s">
        <v>178</v>
      </c>
      <c r="C15" s="32" t="s">
        <v>161</v>
      </c>
      <c r="D15" s="59" t="n">
        <v>581</v>
      </c>
      <c r="E15" s="59" t="n">
        <v>694</v>
      </c>
      <c r="F15" s="68" t="n">
        <f aca="false">IF(E15="","",D15-E15)</f>
        <v>-113</v>
      </c>
      <c r="G15" s="59" t="n">
        <v>1608</v>
      </c>
      <c r="H15" s="59" t="n">
        <v>1695</v>
      </c>
      <c r="I15" s="68" t="n">
        <f aca="false">IF(H15="","",G15-H15)</f>
        <v>-87</v>
      </c>
      <c r="J15" s="40" t="n">
        <f aca="false">IF(OR(D15="",D15+G15=0),"",D15/(D15+G15))</f>
        <v>0.265417999086341</v>
      </c>
      <c r="K15" s="40" t="n">
        <f aca="false">IF(E15="","",E15/(E15+H15))</f>
        <v>0.290498116366681</v>
      </c>
      <c r="L15" s="69" t="n">
        <f aca="false">IF(OR(K15="",J15=""),"",(J15-K15)*100)</f>
        <v>-2.50801172803398</v>
      </c>
      <c r="M15" s="36" t="n">
        <v>2.54601243465806</v>
      </c>
      <c r="N15" s="36" t="n">
        <v>1.26699649100906</v>
      </c>
      <c r="O15" s="36" t="n">
        <f aca="false">SQRT(M15^2+N15^2)</f>
        <v>2.84384588641205</v>
      </c>
      <c r="P15" s="40" t="n">
        <f aca="false">IF(J15="","",MAX(0,J15-1.96*O15/100))</f>
        <v>0.209678619712665</v>
      </c>
      <c r="Q15" s="40" t="n">
        <f aca="false">IF(J15="","",MIN(1,J15+1.96*O15/100))</f>
        <v>0.321157378460017</v>
      </c>
      <c r="R15" s="32" t="str">
        <f aca="false">IF(L15="","",IF(ABS(L15)&lt;=O15,"Yes","No"))</f>
        <v>Yes</v>
      </c>
      <c r="S15" s="32" t="str">
        <f aca="false">IF(L15="","",IF(ABS(L15)&lt;=1.96*O15,"Yes","No"))</f>
        <v>Yes</v>
      </c>
      <c r="T15" s="59" t="n">
        <f aca="false">IF(D15="","",ROUND(SQRT(((D15+G15)*O15/100)^2+(J15*(D15+G15)*0.07048)^2),0))</f>
        <v>75</v>
      </c>
      <c r="U15" s="32"/>
    </row>
    <row r="16" customFormat="false" ht="15" hidden="false" customHeight="false" outlineLevel="0" collapsed="false">
      <c r="A16" s="32" t="s">
        <v>159</v>
      </c>
      <c r="B16" s="32" t="s">
        <v>179</v>
      </c>
      <c r="C16" s="32" t="s">
        <v>161</v>
      </c>
      <c r="D16" s="59" t="n">
        <v>550</v>
      </c>
      <c r="E16" s="59" t="n">
        <v>601</v>
      </c>
      <c r="F16" s="68" t="n">
        <f aca="false">IF(E16="","",D16-E16)</f>
        <v>-51</v>
      </c>
      <c r="G16" s="59" t="n">
        <v>906</v>
      </c>
      <c r="H16" s="59" t="n">
        <v>955</v>
      </c>
      <c r="I16" s="68" t="n">
        <f aca="false">IF(H16="","",G16-H16)</f>
        <v>-49</v>
      </c>
      <c r="J16" s="40" t="n">
        <f aca="false">IF(OR(D16="",D16+G16=0),"",D16/(D16+G16))</f>
        <v>0.377747252747253</v>
      </c>
      <c r="K16" s="40" t="n">
        <f aca="false">IF(E16="","",E16/(E16+H16))</f>
        <v>0.386246786632391</v>
      </c>
      <c r="L16" s="69" t="n">
        <f aca="false">IF(OR(K16="",J16=""),"",(J16-K16)*100)</f>
        <v>-0.849953388513802</v>
      </c>
      <c r="M16" s="36" t="n">
        <v>3.7449094222202</v>
      </c>
      <c r="N16" s="36" t="n">
        <v>1.26699649100906</v>
      </c>
      <c r="O16" s="36" t="n">
        <f aca="false">SQRT(M16^2+N16^2)</f>
        <v>3.95343226688695</v>
      </c>
      <c r="P16" s="40" t="n">
        <f aca="false">IF(J16="","",MAX(0,J16-1.96*O16/100))</f>
        <v>0.300259980316269</v>
      </c>
      <c r="Q16" s="40" t="n">
        <f aca="false">IF(J16="","",MIN(1,J16+1.96*O16/100))</f>
        <v>0.455234525178237</v>
      </c>
      <c r="R16" s="32" t="str">
        <f aca="false">IF(L16="","",IF(ABS(L16)&lt;=O16,"Yes","No"))</f>
        <v>Yes</v>
      </c>
      <c r="S16" s="32" t="str">
        <f aca="false">IF(L16="","",IF(ABS(L16)&lt;=1.96*O16,"Yes","No"))</f>
        <v>Yes</v>
      </c>
      <c r="T16" s="59" t="n">
        <f aca="false">IF(D16="","",ROUND(SQRT(((D16+G16)*O16/100)^2+(J16*(D16+G16)*0.09173)^2),0))</f>
        <v>77</v>
      </c>
      <c r="U16" s="32"/>
    </row>
    <row r="17" customFormat="false" ht="15" hidden="false" customHeight="false" outlineLevel="0" collapsed="false">
      <c r="A17" s="32" t="s">
        <v>159</v>
      </c>
      <c r="B17" s="32" t="s">
        <v>180</v>
      </c>
      <c r="C17" s="32" t="s">
        <v>161</v>
      </c>
      <c r="D17" s="59" t="n">
        <v>99</v>
      </c>
      <c r="E17" s="59" t="n">
        <v>134</v>
      </c>
      <c r="F17" s="68" t="n">
        <f aca="false">IF(E17="","",D17-E17)</f>
        <v>-35</v>
      </c>
      <c r="G17" s="59" t="n">
        <v>496</v>
      </c>
      <c r="H17" s="59" t="n">
        <v>505</v>
      </c>
      <c r="I17" s="68" t="n">
        <f aca="false">IF(H17="","",G17-H17)</f>
        <v>-9</v>
      </c>
      <c r="J17" s="40" t="n">
        <f aca="false">IF(OR(D17="",D17+G17=0),"",D17/(D17+G17))</f>
        <v>0.166386554621849</v>
      </c>
      <c r="K17" s="40" t="n">
        <f aca="false">IF(E17="","",E17/(E17+H17))</f>
        <v>0.209702660406886</v>
      </c>
      <c r="L17" s="69" t="n">
        <f aca="false">IF(OR(K17="",J17=""),"",(J17-K17)*100)</f>
        <v>-4.3316105785037</v>
      </c>
      <c r="M17" s="36" t="n">
        <v>3.7449094222202</v>
      </c>
      <c r="N17" s="36" t="n">
        <v>1.26699649100906</v>
      </c>
      <c r="O17" s="36" t="n">
        <f aca="false">SQRT(M17^2+N17^2)</f>
        <v>3.95343226688695</v>
      </c>
      <c r="P17" s="40" t="n">
        <f aca="false">IF(J17="","",MAX(0,J17-1.96*O17/100))</f>
        <v>0.0888992821908645</v>
      </c>
      <c r="Q17" s="40" t="n">
        <f aca="false">IF(J17="","",MIN(1,J17+1.96*O17/100))</f>
        <v>0.243873827052833</v>
      </c>
      <c r="R17" s="32" t="str">
        <f aca="false">IF(L17="","",IF(ABS(L17)&lt;=O17,"Yes","No"))</f>
        <v>No</v>
      </c>
      <c r="S17" s="32" t="str">
        <f aca="false">IF(L17="","",IF(ABS(L17)&lt;=1.96*O17,"Yes","No"))</f>
        <v>Yes</v>
      </c>
      <c r="T17" s="59" t="n">
        <f aca="false">IF(D17="","",ROUND(SQRT(((D17+G17)*O17/100)^2+(J17*(D17+G17)*0.09173)^2),0))</f>
        <v>25</v>
      </c>
      <c r="U17" s="32"/>
    </row>
    <row r="18" customFormat="false" ht="15" hidden="false" customHeight="false" outlineLevel="0" collapsed="false">
      <c r="A18" s="32" t="s">
        <v>159</v>
      </c>
      <c r="B18" s="32" t="s">
        <v>181</v>
      </c>
      <c r="C18" s="32" t="s">
        <v>161</v>
      </c>
      <c r="D18" s="59" t="n">
        <v>869</v>
      </c>
      <c r="E18" s="59" t="n">
        <v>981</v>
      </c>
      <c r="F18" s="68" t="n">
        <f aca="false">IF(E18="","",D18-E18)</f>
        <v>-112</v>
      </c>
      <c r="G18" s="59" t="n">
        <v>1691</v>
      </c>
      <c r="H18" s="59" t="n">
        <v>1740</v>
      </c>
      <c r="I18" s="68" t="n">
        <f aca="false">IF(H18="","",G18-H18)</f>
        <v>-49</v>
      </c>
      <c r="J18" s="40" t="n">
        <f aca="false">IF(OR(D18="",D18+G18=0),"",D18/(D18+G18))</f>
        <v>0.339453125</v>
      </c>
      <c r="K18" s="40" t="n">
        <f aca="false">IF(E18="","",E18/(E18+H18))</f>
        <v>0.360529217199559</v>
      </c>
      <c r="L18" s="69" t="n">
        <f aca="false">IF(OR(K18="",J18=""),"",(J18-K18)*100)</f>
        <v>-2.1076092199559</v>
      </c>
      <c r="M18" s="36" t="n">
        <v>2.54601243465806</v>
      </c>
      <c r="N18" s="36" t="n">
        <v>1.26699649100906</v>
      </c>
      <c r="O18" s="36" t="n">
        <f aca="false">SQRT(M18^2+N18^2)</f>
        <v>2.84384588641205</v>
      </c>
      <c r="P18" s="40" t="n">
        <f aca="false">IF(J18="","",MAX(0,J18-1.96*O18/100))</f>
        <v>0.283713745626324</v>
      </c>
      <c r="Q18" s="40" t="n">
        <f aca="false">IF(J18="","",MIN(1,J18+1.96*O18/100))</f>
        <v>0.395192504373676</v>
      </c>
      <c r="R18" s="32" t="str">
        <f aca="false">IF(L18="","",IF(ABS(L18)&lt;=O18,"Yes","No"))</f>
        <v>Yes</v>
      </c>
      <c r="S18" s="32" t="str">
        <f aca="false">IF(L18="","",IF(ABS(L18)&lt;=1.96*O18,"Yes","No"))</f>
        <v>Yes</v>
      </c>
      <c r="T18" s="59" t="n">
        <f aca="false">IF(D18="","",ROUND(SQRT(((D18+G18)*O18/100)^2+(J18*(D18+G18)*0.07048)^2),0))</f>
        <v>95</v>
      </c>
      <c r="U18" s="32"/>
    </row>
    <row r="19" customFormat="false" ht="15" hidden="false" customHeight="false" outlineLevel="0" collapsed="false">
      <c r="A19" s="32" t="s">
        <v>159</v>
      </c>
      <c r="B19" s="32" t="s">
        <v>182</v>
      </c>
      <c r="C19" s="32" t="s">
        <v>161</v>
      </c>
      <c r="D19" s="59" t="n">
        <v>50</v>
      </c>
      <c r="E19" s="59" t="n">
        <v>74</v>
      </c>
      <c r="F19" s="68" t="n">
        <f aca="false">IF(E19="","",D19-E19)</f>
        <v>-24</v>
      </c>
      <c r="G19" s="59" t="n">
        <v>165</v>
      </c>
      <c r="H19" s="59" t="n">
        <v>162</v>
      </c>
      <c r="I19" s="68" t="n">
        <f aca="false">IF(H19="","",G19-H19)</f>
        <v>3</v>
      </c>
      <c r="J19" s="40" t="n">
        <f aca="false">IF(OR(D19="",D19+G19=0),"",D19/(D19+G19))</f>
        <v>0.232558139534884</v>
      </c>
      <c r="K19" s="40" t="n">
        <f aca="false">IF(E19="","",E19/(E19+H19))</f>
        <v>0.313559322033898</v>
      </c>
      <c r="L19" s="69" t="n">
        <f aca="false">IF(OR(K19="",J19=""),"",(J19-K19)*100)</f>
        <v>-8.10011824990146</v>
      </c>
      <c r="M19" s="36" t="n">
        <v>3.7449094222202</v>
      </c>
      <c r="N19" s="36" t="n">
        <v>1.26699649100906</v>
      </c>
      <c r="O19" s="36" t="n">
        <f aca="false">SQRT(M19^2+N19^2)</f>
        <v>3.95343226688695</v>
      </c>
      <c r="P19" s="40" t="n">
        <f aca="false">IF(J19="","",MAX(0,J19-1.96*O19/100))</f>
        <v>0.1550708671039</v>
      </c>
      <c r="Q19" s="40" t="n">
        <f aca="false">IF(J19="","",MIN(1,J19+1.96*O19/100))</f>
        <v>0.310045411965868</v>
      </c>
      <c r="R19" s="32" t="str">
        <f aca="false">IF(L19="","",IF(ABS(L19)&lt;=O19,"Yes","No"))</f>
        <v>No</v>
      </c>
      <c r="S19" s="32" t="str">
        <f aca="false">IF(L19="","",IF(ABS(L19)&lt;=1.96*O19,"Yes","No"))</f>
        <v>No</v>
      </c>
      <c r="T19" s="59" t="n">
        <f aca="false">IF(D19="","",ROUND(SQRT(((D19+G19)*O19/100)^2+(J19*(D19+G19)*0.09173)^2),0))</f>
        <v>10</v>
      </c>
      <c r="U19" s="32"/>
    </row>
    <row r="20" customFormat="false" ht="15" hidden="false" customHeight="false" outlineLevel="0" collapsed="false">
      <c r="A20" s="32" t="s">
        <v>159</v>
      </c>
      <c r="B20" s="32" t="s">
        <v>183</v>
      </c>
      <c r="C20" s="32" t="s">
        <v>161</v>
      </c>
      <c r="D20" s="59" t="n">
        <v>1729</v>
      </c>
      <c r="E20" s="59" t="n">
        <v>2047</v>
      </c>
      <c r="F20" s="68" t="n">
        <f aca="false">IF(E20="","",D20-E20)</f>
        <v>-318</v>
      </c>
      <c r="G20" s="59" t="n">
        <v>3504</v>
      </c>
      <c r="H20" s="59" t="n">
        <v>3702</v>
      </c>
      <c r="I20" s="68" t="n">
        <f aca="false">IF(H20="","",G20-H20)</f>
        <v>-198</v>
      </c>
      <c r="J20" s="40" t="n">
        <f aca="false">IF(OR(D20="",D20+G20=0),"",D20/(D20+G20))</f>
        <v>0.330403210395567</v>
      </c>
      <c r="K20" s="40" t="n">
        <f aca="false">IF(E20="","",E20/(E20+H20))</f>
        <v>0.356061923812837</v>
      </c>
      <c r="L20" s="69" t="n">
        <f aca="false">IF(OR(K20="",J20=""),"",(J20-K20)*100)</f>
        <v>-2.56587134172704</v>
      </c>
      <c r="M20" s="36" t="n">
        <v>1.81940560118152</v>
      </c>
      <c r="N20" s="36" t="n">
        <v>1.26699649100906</v>
      </c>
      <c r="O20" s="36" t="n">
        <f aca="false">SQRT(M20^2+N20^2)</f>
        <v>2.21709649087268</v>
      </c>
      <c r="P20" s="40" t="n">
        <f aca="false">IF(J20="","",MAX(0,J20-1.96*O20/100))</f>
        <v>0.286948119174462</v>
      </c>
      <c r="Q20" s="40" t="n">
        <f aca="false">IF(J20="","",MIN(1,J20+1.96*O20/100))</f>
        <v>0.373858301616671</v>
      </c>
      <c r="R20" s="32" t="str">
        <f aca="false">IF(L20="","",IF(ABS(L20)&lt;=O20,"Yes","No"))</f>
        <v>No</v>
      </c>
      <c r="S20" s="32" t="str">
        <f aca="false">IF(L20="","",IF(ABS(L20)&lt;=1.96*O20,"Yes","No"))</f>
        <v>Yes</v>
      </c>
      <c r="T20" s="59" t="n">
        <f aca="false">IF(D20="","",ROUND(SQRT(((D20+G20)*O20/100)^2+(J20*(D20+G20)*0.06406)^2),0))</f>
        <v>160</v>
      </c>
      <c r="U20" s="32"/>
    </row>
    <row r="21" customFormat="false" ht="15" hidden="false" customHeight="false" outlineLevel="0" collapsed="false">
      <c r="A21" s="32" t="s">
        <v>159</v>
      </c>
      <c r="B21" s="32" t="s">
        <v>185</v>
      </c>
      <c r="C21" s="32" t="s">
        <v>161</v>
      </c>
      <c r="D21" s="59" t="n">
        <v>628</v>
      </c>
      <c r="E21" s="59" t="n">
        <v>660</v>
      </c>
      <c r="F21" s="68" t="n">
        <f aca="false">IF(E21="","",D21-E21)</f>
        <v>-32</v>
      </c>
      <c r="G21" s="59" t="n">
        <v>910</v>
      </c>
      <c r="H21" s="59" t="n">
        <v>913</v>
      </c>
      <c r="I21" s="68" t="n">
        <f aca="false">IF(H21="","",G21-H21)</f>
        <v>-3</v>
      </c>
      <c r="J21" s="40" t="n">
        <f aca="false">IF(OR(D21="",D21+G21=0),"",D21/(D21+G21))</f>
        <v>0.408322496749025</v>
      </c>
      <c r="K21" s="40" t="n">
        <f aca="false">IF(E21="","",E21/(E21+H21))</f>
        <v>0.41958041958042</v>
      </c>
      <c r="L21" s="69" t="n">
        <f aca="false">IF(OR(K21="",J21=""),"",(J21-K21)*100)</f>
        <v>-1.12579228313949</v>
      </c>
      <c r="M21" s="36" t="n">
        <v>3.7449094222202</v>
      </c>
      <c r="N21" s="36" t="n">
        <v>1.26699649100906</v>
      </c>
      <c r="O21" s="36" t="n">
        <f aca="false">SQRT(M21^2+N21^2)</f>
        <v>3.95343226688695</v>
      </c>
      <c r="P21" s="40" t="n">
        <f aca="false">IF(J21="","",MAX(0,J21-1.96*O21/100))</f>
        <v>0.330835224318041</v>
      </c>
      <c r="Q21" s="40" t="n">
        <f aca="false">IF(J21="","",MIN(1,J21+1.96*O21/100))</f>
        <v>0.485809769180009</v>
      </c>
      <c r="R21" s="32" t="str">
        <f aca="false">IF(L21="","",IF(ABS(L21)&lt;=O21,"Yes","No"))</f>
        <v>Yes</v>
      </c>
      <c r="S21" s="32" t="str">
        <f aca="false">IF(L21="","",IF(ABS(L21)&lt;=1.96*O21,"Yes","No"))</f>
        <v>Yes</v>
      </c>
      <c r="T21" s="59" t="n">
        <f aca="false">IF(D21="","",ROUND(SQRT(((D21+G21)*O21/100)^2+(J21*(D21+G21)*0.09173)^2),0))</f>
        <v>84</v>
      </c>
      <c r="U21" s="32"/>
    </row>
    <row r="22" customFormat="false" ht="15" hidden="false" customHeight="false" outlineLevel="0" collapsed="false">
      <c r="A22" s="32" t="s">
        <v>159</v>
      </c>
      <c r="B22" s="32" t="s">
        <v>186</v>
      </c>
      <c r="C22" s="32" t="s">
        <v>161</v>
      </c>
      <c r="D22" s="59" t="n">
        <v>642</v>
      </c>
      <c r="E22" s="59" t="n">
        <v>802</v>
      </c>
      <c r="F22" s="68" t="n">
        <f aca="false">IF(E22="","",D22-E22)</f>
        <v>-160</v>
      </c>
      <c r="G22" s="59" t="n">
        <v>2002</v>
      </c>
      <c r="H22" s="59" t="n">
        <v>1955</v>
      </c>
      <c r="I22" s="68" t="n">
        <f aca="false">IF(H22="","",G22-H22)</f>
        <v>47</v>
      </c>
      <c r="J22" s="40" t="n">
        <f aca="false">IF(OR(D22="",D22+G22=0),"",D22/(D22+G22))</f>
        <v>0.242813918305598</v>
      </c>
      <c r="K22" s="40" t="n">
        <f aca="false">IF(E22="","",E22/(E22+H22))</f>
        <v>0.290895901342038</v>
      </c>
      <c r="L22" s="69" t="n">
        <f aca="false">IF(OR(K22="",J22=""),"",(J22-K22)*100)</f>
        <v>-4.80819830364409</v>
      </c>
      <c r="M22" s="36" t="n">
        <v>2.54601243465806</v>
      </c>
      <c r="N22" s="36" t="n">
        <v>1.26699649100906</v>
      </c>
      <c r="O22" s="36" t="n">
        <f aca="false">SQRT(M22^2+N22^2)</f>
        <v>2.84384588641205</v>
      </c>
      <c r="P22" s="40" t="n">
        <f aca="false">IF(J22="","",MAX(0,J22-1.96*O22/100))</f>
        <v>0.187074538931921</v>
      </c>
      <c r="Q22" s="40" t="n">
        <f aca="false">IF(J22="","",MIN(1,J22+1.96*O22/100))</f>
        <v>0.298553297679274</v>
      </c>
      <c r="R22" s="32" t="str">
        <f aca="false">IF(L22="","",IF(ABS(L22)&lt;=O22,"Yes","No"))</f>
        <v>No</v>
      </c>
      <c r="S22" s="32" t="str">
        <f aca="false">IF(L22="","",IF(ABS(L22)&lt;=1.96*O22,"Yes","No"))</f>
        <v>Yes</v>
      </c>
      <c r="T22" s="59" t="n">
        <f aca="false">IF(D22="","",ROUND(SQRT(((D22+G22)*O22/100)^2+(J22*(D22+G22)*0.07048)^2),0))</f>
        <v>88</v>
      </c>
      <c r="U22" s="32"/>
    </row>
    <row r="23" customFormat="false" ht="15" hidden="false" customHeight="false" outlineLevel="0" collapsed="false">
      <c r="A23" s="32" t="s">
        <v>159</v>
      </c>
      <c r="B23" s="32" t="s">
        <v>187</v>
      </c>
      <c r="C23" s="32" t="s">
        <v>161</v>
      </c>
      <c r="D23" s="59" t="n">
        <v>295</v>
      </c>
      <c r="E23" s="59" t="n">
        <v>351</v>
      </c>
      <c r="F23" s="68" t="n">
        <f aca="false">IF(E23="","",D23-E23)</f>
        <v>-56</v>
      </c>
      <c r="G23" s="59" t="n">
        <v>894</v>
      </c>
      <c r="H23" s="59" t="n">
        <v>849</v>
      </c>
      <c r="I23" s="68" t="n">
        <f aca="false">IF(H23="","",G23-H23)</f>
        <v>45</v>
      </c>
      <c r="J23" s="40" t="n">
        <f aca="false">IF(OR(D23="",D23+G23=0),"",D23/(D23+G23))</f>
        <v>0.248107653490328</v>
      </c>
      <c r="K23" s="40" t="n">
        <f aca="false">IF(E23="","",E23/(E23+H23))</f>
        <v>0.2925</v>
      </c>
      <c r="L23" s="69" t="n">
        <f aca="false">IF(OR(K23="",J23=""),"",(J23-K23)*100)</f>
        <v>-4.4392346509672</v>
      </c>
      <c r="M23" s="36" t="n">
        <v>3.7449094222202</v>
      </c>
      <c r="N23" s="36" t="n">
        <v>1.26699649100906</v>
      </c>
      <c r="O23" s="36" t="n">
        <f aca="false">SQRT(M23^2+N23^2)</f>
        <v>3.95343226688695</v>
      </c>
      <c r="P23" s="40" t="n">
        <f aca="false">IF(J23="","",MAX(0,J23-1.96*O23/100))</f>
        <v>0.170620381059344</v>
      </c>
      <c r="Q23" s="40" t="n">
        <f aca="false">IF(J23="","",MIN(1,J23+1.96*O23/100))</f>
        <v>0.325594925921312</v>
      </c>
      <c r="R23" s="32" t="str">
        <f aca="false">IF(L23="","",IF(ABS(L23)&lt;=O23,"Yes","No"))</f>
        <v>No</v>
      </c>
      <c r="S23" s="32" t="str">
        <f aca="false">IF(L23="","",IF(ABS(L23)&lt;=1.96*O23,"Yes","No"))</f>
        <v>Yes</v>
      </c>
      <c r="T23" s="59" t="n">
        <f aca="false">IF(D23="","",ROUND(SQRT(((D23+G23)*O23/100)^2+(J23*(D23+G23)*0.09173)^2),0))</f>
        <v>54</v>
      </c>
      <c r="U23" s="32"/>
    </row>
    <row r="24" customFormat="false" ht="15" hidden="false" customHeight="false" outlineLevel="0" collapsed="false">
      <c r="A24" s="32" t="s">
        <v>159</v>
      </c>
      <c r="B24" s="32" t="s">
        <v>188</v>
      </c>
      <c r="C24" s="32" t="s">
        <v>161</v>
      </c>
      <c r="D24" s="59" t="n">
        <v>53</v>
      </c>
      <c r="E24" s="59" t="n">
        <v>58</v>
      </c>
      <c r="F24" s="68" t="n">
        <f aca="false">IF(E24="","",D24-E24)</f>
        <v>-5</v>
      </c>
      <c r="G24" s="59" t="n">
        <v>90</v>
      </c>
      <c r="H24" s="59" t="n">
        <v>105</v>
      </c>
      <c r="I24" s="68" t="n">
        <f aca="false">IF(H24="","",G24-H24)</f>
        <v>-15</v>
      </c>
      <c r="J24" s="40" t="n">
        <f aca="false">IF(OR(D24="",D24+G24=0),"",D24/(D24+G24))</f>
        <v>0.370629370629371</v>
      </c>
      <c r="K24" s="40" t="n">
        <f aca="false">IF(E24="","",E24/(E24+H24))</f>
        <v>0.355828220858896</v>
      </c>
      <c r="L24" s="69" t="n">
        <f aca="false">IF(OR(K24="",J24=""),"",(J24-K24)*100)</f>
        <v>1.48011497704749</v>
      </c>
      <c r="M24" s="36" t="n">
        <v>3.7449094222202</v>
      </c>
      <c r="N24" s="36" t="n">
        <v>1.26699649100906</v>
      </c>
      <c r="O24" s="36" t="n">
        <f aca="false">SQRT(M24^2+N24^2)</f>
        <v>3.95343226688695</v>
      </c>
      <c r="P24" s="40" t="n">
        <f aca="false">IF(J24="","",MAX(0,J24-1.96*O24/100))</f>
        <v>0.293142098198386</v>
      </c>
      <c r="Q24" s="40" t="n">
        <f aca="false">IF(J24="","",MIN(1,J24+1.96*O24/100))</f>
        <v>0.448116643060355</v>
      </c>
      <c r="R24" s="32" t="str">
        <f aca="false">IF(L24="","",IF(ABS(L24)&lt;=O24,"Yes","No"))</f>
        <v>Yes</v>
      </c>
      <c r="S24" s="32" t="str">
        <f aca="false">IF(L24="","",IF(ABS(L24)&lt;=1.96*O24,"Yes","No"))</f>
        <v>Yes</v>
      </c>
      <c r="T24" s="59" t="n">
        <f aca="false">IF(D24="","",ROUND(SQRT(((D24+G24)*O24/100)^2+(J24*(D24+G24)*0.09173)^2),0))</f>
        <v>7</v>
      </c>
      <c r="U24" s="32"/>
    </row>
    <row r="25" customFormat="false" ht="15" hidden="false" customHeight="false" outlineLevel="0" collapsed="false">
      <c r="A25" s="32" t="s">
        <v>189</v>
      </c>
      <c r="B25" s="32" t="s">
        <v>190</v>
      </c>
      <c r="C25" s="32" t="s">
        <v>161</v>
      </c>
      <c r="D25" s="59" t="n">
        <v>650</v>
      </c>
      <c r="E25" s="59" t="n">
        <v>601</v>
      </c>
      <c r="F25" s="68" t="n">
        <f aca="false">IF(E25="","",D25-E25)</f>
        <v>49</v>
      </c>
      <c r="G25" s="59" t="n">
        <v>764</v>
      </c>
      <c r="H25" s="59" t="n">
        <v>766</v>
      </c>
      <c r="I25" s="68" t="n">
        <f aca="false">IF(H25="","",G25-H25)</f>
        <v>-2</v>
      </c>
      <c r="J25" s="40" t="n">
        <f aca="false">IF(OR(D25="",D25+G25=0),"",D25/(D25+G25))</f>
        <v>0.45968882602546</v>
      </c>
      <c r="K25" s="40" t="n">
        <f aca="false">IF(E25="","",E25/(E25+H25))</f>
        <v>0.439648866130212</v>
      </c>
      <c r="L25" s="69" t="n">
        <f aca="false">IF(OR(K25="",J25=""),"",(J25-K25)*100)</f>
        <v>2.00399598952475</v>
      </c>
      <c r="M25" s="36" t="n">
        <v>3.7449094222202</v>
      </c>
      <c r="N25" s="36" t="n">
        <v>1.26699649100906</v>
      </c>
      <c r="O25" s="36" t="n">
        <f aca="false">SQRT(M25^2+N25^2)</f>
        <v>3.95343226688695</v>
      </c>
      <c r="P25" s="40" t="n">
        <f aca="false">IF(J25="","",MAX(0,J25-1.96*O25/100))</f>
        <v>0.382201553594476</v>
      </c>
      <c r="Q25" s="40" t="n">
        <f aca="false">IF(J25="","",MIN(1,J25+1.96*O25/100))</f>
        <v>0.537176098456444</v>
      </c>
      <c r="R25" s="32" t="str">
        <f aca="false">IF(L25="","",IF(ABS(L25)&lt;=O25,"Yes","No"))</f>
        <v>Yes</v>
      </c>
      <c r="S25" s="32" t="str">
        <f aca="false">IF(L25="","",IF(ABS(L25)&lt;=1.96*O25,"Yes","No"))</f>
        <v>Yes</v>
      </c>
      <c r="T25" s="59" t="n">
        <f aca="false">IF(D25="","",ROUND(SQRT(((D25+G25)*O25/100)^2+(J25*(D25+G25)*0.09173)^2),0))</f>
        <v>82</v>
      </c>
      <c r="U25" s="32"/>
    </row>
    <row r="26" customFormat="false" ht="15" hidden="false" customHeight="false" outlineLevel="0" collapsed="false">
      <c r="A26" s="32" t="s">
        <v>189</v>
      </c>
      <c r="B26" s="32" t="s">
        <v>191</v>
      </c>
      <c r="C26" s="32" t="s">
        <v>161</v>
      </c>
      <c r="D26" s="59" t="n">
        <v>27831</v>
      </c>
      <c r="E26" s="59" t="n">
        <v>26568</v>
      </c>
      <c r="F26" s="68" t="n">
        <f aca="false">IF(E26="","",D26-E26)</f>
        <v>1263</v>
      </c>
      <c r="G26" s="59" t="n">
        <v>13854</v>
      </c>
      <c r="H26" s="59" t="n">
        <v>14583</v>
      </c>
      <c r="I26" s="68" t="n">
        <f aca="false">IF(H26="","",G26-H26)</f>
        <v>-729</v>
      </c>
      <c r="J26" s="40" t="n">
        <f aca="false">IF(OR(D26="",D26+G26=0),"",D26/(D26+G26))</f>
        <v>0.667650233897085</v>
      </c>
      <c r="K26" s="40" t="n">
        <f aca="false">IF(E26="","",E26/(E26+H26))</f>
        <v>0.645622220602172</v>
      </c>
      <c r="L26" s="69" t="n">
        <f aca="false">IF(OR(K26="",J26=""),"",(J26-K26)*100)</f>
        <v>2.20280132949129</v>
      </c>
      <c r="M26" s="36" t="n">
        <v>1.81940560118152</v>
      </c>
      <c r="N26" s="36" t="n">
        <v>1.26699649100906</v>
      </c>
      <c r="O26" s="36" t="n">
        <f aca="false">SQRT(M26^2+N26^2)</f>
        <v>2.21709649087268</v>
      </c>
      <c r="P26" s="40" t="n">
        <f aca="false">IF(J26="","",MAX(0,J26-1.96*O26/100))</f>
        <v>0.624195142675981</v>
      </c>
      <c r="Q26" s="40" t="n">
        <f aca="false">IF(J26="","",MIN(1,J26+1.96*O26/100))</f>
        <v>0.71110532511819</v>
      </c>
      <c r="R26" s="32" t="str">
        <f aca="false">IF(L26="","",IF(ABS(L26)&lt;=O26,"Yes","No"))</f>
        <v>Yes</v>
      </c>
      <c r="S26" s="32" t="str">
        <f aca="false">IF(L26="","",IF(ABS(L26)&lt;=1.96*O26,"Yes","No"))</f>
        <v>Yes</v>
      </c>
      <c r="T26" s="59" t="n">
        <f aca="false">IF(D26="","",ROUND(SQRT(((D26+G26)*O26/100)^2+(J26*(D26+G26)*0.06406)^2),0))</f>
        <v>2008</v>
      </c>
      <c r="U26" s="32"/>
    </row>
    <row r="27" customFormat="false" ht="15" hidden="false" customHeight="false" outlineLevel="0" collapsed="false">
      <c r="A27" s="32" t="s">
        <v>189</v>
      </c>
      <c r="B27" s="32" t="s">
        <v>192</v>
      </c>
      <c r="C27" s="32" t="s">
        <v>161</v>
      </c>
      <c r="D27" s="59" t="n">
        <v>6739</v>
      </c>
      <c r="E27" s="59" t="n">
        <v>6612</v>
      </c>
      <c r="F27" s="68" t="n">
        <f aca="false">IF(E27="","",D27-E27)</f>
        <v>127</v>
      </c>
      <c r="G27" s="59" t="n">
        <v>3901</v>
      </c>
      <c r="H27" s="59" t="n">
        <v>3834</v>
      </c>
      <c r="I27" s="68" t="n">
        <f aca="false">IF(H27="","",G27-H27)</f>
        <v>67</v>
      </c>
      <c r="J27" s="40" t="n">
        <f aca="false">IF(OR(D27="",D27+G27=0),"",D27/(D27+G27))</f>
        <v>0.633364661654135</v>
      </c>
      <c r="K27" s="40" t="n">
        <f aca="false">IF(E27="","",E27/(E27+H27))</f>
        <v>0.632969557725445</v>
      </c>
      <c r="L27" s="69" t="n">
        <f aca="false">IF(OR(K27="",J27=""),"",(J27-K27)*100)</f>
        <v>0.0395103928690133</v>
      </c>
      <c r="M27" s="36" t="n">
        <v>1.81940560118152</v>
      </c>
      <c r="N27" s="36" t="n">
        <v>1.26699649100906</v>
      </c>
      <c r="O27" s="36" t="n">
        <f aca="false">SQRT(M27^2+N27^2)</f>
        <v>2.21709649087268</v>
      </c>
      <c r="P27" s="40" t="n">
        <f aca="false">IF(J27="","",MAX(0,J27-1.96*O27/100))</f>
        <v>0.589909570433031</v>
      </c>
      <c r="Q27" s="40" t="n">
        <f aca="false">IF(J27="","",MIN(1,J27+1.96*O27/100))</f>
        <v>0.67681975287524</v>
      </c>
      <c r="R27" s="32" t="str">
        <f aca="false">IF(L27="","",IF(ABS(L27)&lt;=O27,"Yes","No"))</f>
        <v>Yes</v>
      </c>
      <c r="S27" s="32" t="str">
        <f aca="false">IF(L27="","",IF(ABS(L27)&lt;=1.96*O27,"Yes","No"))</f>
        <v>Yes</v>
      </c>
      <c r="T27" s="59" t="n">
        <f aca="false">IF(D27="","",ROUND(SQRT(((D27+G27)*O27/100)^2+(J27*(D27+G27)*0.06406)^2),0))</f>
        <v>492</v>
      </c>
      <c r="U27" s="32"/>
    </row>
    <row r="28" customFormat="false" ht="15" hidden="false" customHeight="false" outlineLevel="0" collapsed="false">
      <c r="A28" s="32" t="s">
        <v>189</v>
      </c>
      <c r="B28" s="32" t="s">
        <v>193</v>
      </c>
      <c r="C28" s="32" t="s">
        <v>161</v>
      </c>
      <c r="D28" s="59" t="n">
        <v>1569</v>
      </c>
      <c r="E28" s="59" t="n">
        <v>1560</v>
      </c>
      <c r="F28" s="68" t="n">
        <f aca="false">IF(E28="","",D28-E28)</f>
        <v>9</v>
      </c>
      <c r="G28" s="59" t="n">
        <v>1517</v>
      </c>
      <c r="H28" s="59" t="n">
        <v>1491</v>
      </c>
      <c r="I28" s="68" t="n">
        <f aca="false">IF(H28="","",G28-H28)</f>
        <v>26</v>
      </c>
      <c r="J28" s="40" t="n">
        <f aca="false">IF(OR(D28="",D28+G28=0),"",D28/(D28+G28))</f>
        <v>0.508425145819831</v>
      </c>
      <c r="K28" s="40" t="n">
        <f aca="false">IF(E28="","",E28/(E28+H28))</f>
        <v>0.511307767944936</v>
      </c>
      <c r="L28" s="69" t="n">
        <f aca="false">IF(OR(K28="",J28=""),"",(J28-K28)*100)</f>
        <v>-0.288262212510459</v>
      </c>
      <c r="M28" s="36" t="n">
        <v>2.54601243465806</v>
      </c>
      <c r="N28" s="36" t="n">
        <v>1.26699649100906</v>
      </c>
      <c r="O28" s="36" t="n">
        <f aca="false">SQRT(M28^2+N28^2)</f>
        <v>2.84384588641205</v>
      </c>
      <c r="P28" s="40" t="n">
        <f aca="false">IF(J28="","",MAX(0,J28-1.96*O28/100))</f>
        <v>0.452685766446155</v>
      </c>
      <c r="Q28" s="40" t="n">
        <f aca="false">IF(J28="","",MIN(1,J28+1.96*O28/100))</f>
        <v>0.564164525193508</v>
      </c>
      <c r="R28" s="32" t="str">
        <f aca="false">IF(L28="","",IF(ABS(L28)&lt;=O28,"Yes","No"))</f>
        <v>Yes</v>
      </c>
      <c r="S28" s="32" t="str">
        <f aca="false">IF(L28="","",IF(ABS(L28)&lt;=1.96*O28,"Yes","No"))</f>
        <v>Yes</v>
      </c>
      <c r="T28" s="59" t="n">
        <f aca="false">IF(D28="","",ROUND(SQRT(((D28+G28)*O28/100)^2+(J28*(D28+G28)*0.07048)^2),0))</f>
        <v>141</v>
      </c>
      <c r="U28" s="32"/>
    </row>
    <row r="29" customFormat="false" ht="15" hidden="false" customHeight="false" outlineLevel="0" collapsed="false">
      <c r="A29" s="32" t="s">
        <v>189</v>
      </c>
      <c r="B29" s="32" t="s">
        <v>194</v>
      </c>
      <c r="C29" s="32" t="s">
        <v>161</v>
      </c>
      <c r="D29" s="59" t="n">
        <v>723</v>
      </c>
      <c r="E29" s="59" t="n">
        <v>735</v>
      </c>
      <c r="F29" s="68" t="n">
        <f aca="false">IF(E29="","",D29-E29)</f>
        <v>-12</v>
      </c>
      <c r="G29" s="59" t="n">
        <v>848</v>
      </c>
      <c r="H29" s="59" t="n">
        <v>804</v>
      </c>
      <c r="I29" s="68" t="n">
        <f aca="false">IF(H29="","",G29-H29)</f>
        <v>44</v>
      </c>
      <c r="J29" s="40" t="n">
        <f aca="false">IF(OR(D29="",D29+G29=0),"",D29/(D29+G29))</f>
        <v>0.460216422660726</v>
      </c>
      <c r="K29" s="40" t="n">
        <f aca="false">IF(E29="","",E29/(E29+H29))</f>
        <v>0.477582846003899</v>
      </c>
      <c r="L29" s="69" t="n">
        <f aca="false">IF(OR(K29="",J29=""),"",(J29-K29)*100)</f>
        <v>-1.7366423343173</v>
      </c>
      <c r="M29" s="36" t="n">
        <v>2.54601243465806</v>
      </c>
      <c r="N29" s="36" t="n">
        <v>1.26699649100906</v>
      </c>
      <c r="O29" s="36" t="n">
        <f aca="false">SQRT(M29^2+N29^2)</f>
        <v>2.84384588641205</v>
      </c>
      <c r="P29" s="40" t="n">
        <f aca="false">IF(J29="","",MAX(0,J29-1.96*O29/100))</f>
        <v>0.40447704328705</v>
      </c>
      <c r="Q29" s="40" t="n">
        <f aca="false">IF(J29="","",MIN(1,J29+1.96*O29/100))</f>
        <v>0.515955802034402</v>
      </c>
      <c r="R29" s="32" t="str">
        <f aca="false">IF(L29="","",IF(ABS(L29)&lt;=O29,"Yes","No"))</f>
        <v>Yes</v>
      </c>
      <c r="S29" s="32" t="str">
        <f aca="false">IF(L29="","",IF(ABS(L29)&lt;=1.96*O29,"Yes","No"))</f>
        <v>Yes</v>
      </c>
      <c r="T29" s="59" t="n">
        <f aca="false">IF(D29="","",ROUND(SQRT(((D29+G29)*O29/100)^2+(J29*(D29+G29)*0.07048)^2),0))</f>
        <v>68</v>
      </c>
      <c r="U29" s="32"/>
    </row>
    <row r="30" customFormat="false" ht="15" hidden="false" customHeight="false" outlineLevel="0" collapsed="false">
      <c r="A30" s="32" t="s">
        <v>189</v>
      </c>
      <c r="B30" s="32" t="s">
        <v>195</v>
      </c>
      <c r="C30" s="32" t="s">
        <v>161</v>
      </c>
      <c r="D30" s="59" t="n">
        <v>927</v>
      </c>
      <c r="E30" s="59" t="n">
        <v>899</v>
      </c>
      <c r="F30" s="68" t="n">
        <f aca="false">IF(E30="","",D30-E30)</f>
        <v>28</v>
      </c>
      <c r="G30" s="59" t="n">
        <v>910</v>
      </c>
      <c r="H30" s="59" t="n">
        <v>898</v>
      </c>
      <c r="I30" s="68" t="n">
        <f aca="false">IF(H30="","",G30-H30)</f>
        <v>12</v>
      </c>
      <c r="J30" s="40" t="n">
        <f aca="false">IF(OR(D30="",D30+G30=0),"",D30/(D30+G30))</f>
        <v>0.504627109417529</v>
      </c>
      <c r="K30" s="40" t="n">
        <f aca="false">IF(E30="","",E30/(E30+H30))</f>
        <v>0.500278241513634</v>
      </c>
      <c r="L30" s="69" t="n">
        <f aca="false">IF(OR(K30="",J30=""),"",(J30-K30)*100)</f>
        <v>0.434886790389466</v>
      </c>
      <c r="M30" s="36" t="n">
        <v>2.54601243465806</v>
      </c>
      <c r="N30" s="36" t="n">
        <v>1.26699649100906</v>
      </c>
      <c r="O30" s="36" t="n">
        <f aca="false">SQRT(M30^2+N30^2)</f>
        <v>2.84384588641205</v>
      </c>
      <c r="P30" s="40" t="n">
        <f aca="false">IF(J30="","",MAX(0,J30-1.96*O30/100))</f>
        <v>0.448887730043852</v>
      </c>
      <c r="Q30" s="40" t="n">
        <f aca="false">IF(J30="","",MIN(1,J30+1.96*O30/100))</f>
        <v>0.560366488791205</v>
      </c>
      <c r="R30" s="32" t="str">
        <f aca="false">IF(L30="","",IF(ABS(L30)&lt;=O30,"Yes","No"))</f>
        <v>Yes</v>
      </c>
      <c r="S30" s="32" t="str">
        <f aca="false">IF(L30="","",IF(ABS(L30)&lt;=1.96*O30,"Yes","No"))</f>
        <v>Yes</v>
      </c>
      <c r="T30" s="59" t="n">
        <f aca="false">IF(D30="","",ROUND(SQRT(((D30+G30)*O30/100)^2+(J30*(D30+G30)*0.07048)^2),0))</f>
        <v>84</v>
      </c>
      <c r="U30" s="32"/>
    </row>
    <row r="31" customFormat="false" ht="15" hidden="false" customHeight="false" outlineLevel="0" collapsed="false">
      <c r="A31" s="32" t="s">
        <v>189</v>
      </c>
      <c r="B31" s="32" t="s">
        <v>196</v>
      </c>
      <c r="C31" s="32" t="s">
        <v>161</v>
      </c>
      <c r="D31" s="59" t="n">
        <v>3548</v>
      </c>
      <c r="E31" s="59" t="n">
        <v>3663</v>
      </c>
      <c r="F31" s="68" t="n">
        <f aca="false">IF(E31="","",D31-E31)</f>
        <v>-115</v>
      </c>
      <c r="G31" s="59" t="n">
        <v>3310</v>
      </c>
      <c r="H31" s="59" t="n">
        <v>3236</v>
      </c>
      <c r="I31" s="68" t="n">
        <f aca="false">IF(H31="","",G31-H31)</f>
        <v>74</v>
      </c>
      <c r="J31" s="40" t="n">
        <f aca="false">IF(OR(D31="",D31+G31=0),"",D31/(D31+G31))</f>
        <v>0.517351997666958</v>
      </c>
      <c r="K31" s="40" t="n">
        <f aca="false">IF(E31="","",E31/(E31+H31))</f>
        <v>0.530946513987535</v>
      </c>
      <c r="L31" s="69" t="n">
        <f aca="false">IF(OR(K31="",J31=""),"",(J31-K31)*100)</f>
        <v>-1.35945163205762</v>
      </c>
      <c r="M31" s="36" t="n">
        <v>1.81940560118152</v>
      </c>
      <c r="N31" s="36" t="n">
        <v>1.26699649100906</v>
      </c>
      <c r="O31" s="36" t="n">
        <f aca="false">SQRT(M31^2+N31^2)</f>
        <v>2.21709649087268</v>
      </c>
      <c r="P31" s="40" t="n">
        <f aca="false">IF(J31="","",MAX(0,J31-1.96*O31/100))</f>
        <v>0.473896906445854</v>
      </c>
      <c r="Q31" s="40" t="n">
        <f aca="false">IF(J31="","",MIN(1,J31+1.96*O31/100))</f>
        <v>0.560807088888063</v>
      </c>
      <c r="R31" s="32" t="str">
        <f aca="false">IF(L31="","",IF(ABS(L31)&lt;=O31,"Yes","No"))</f>
        <v>Yes</v>
      </c>
      <c r="S31" s="32" t="str">
        <f aca="false">IF(L31="","",IF(ABS(L31)&lt;=1.96*O31,"Yes","No"))</f>
        <v>Yes</v>
      </c>
      <c r="T31" s="59" t="n">
        <f aca="false">IF(D31="","",ROUND(SQRT(((D31+G31)*O31/100)^2+(J31*(D31+G31)*0.06406)^2),0))</f>
        <v>273</v>
      </c>
      <c r="U31" s="32"/>
    </row>
    <row r="32" customFormat="false" ht="15" hidden="false" customHeight="false" outlineLevel="0" collapsed="false">
      <c r="A32" s="32" t="s">
        <v>189</v>
      </c>
      <c r="B32" s="32" t="s">
        <v>197</v>
      </c>
      <c r="C32" s="32" t="s">
        <v>161</v>
      </c>
      <c r="D32" s="59" t="n">
        <v>1554</v>
      </c>
      <c r="E32" s="59" t="n">
        <v>1433</v>
      </c>
      <c r="F32" s="68" t="n">
        <f aca="false">IF(E32="","",D32-E32)</f>
        <v>121</v>
      </c>
      <c r="G32" s="59" t="n">
        <v>787</v>
      </c>
      <c r="H32" s="59" t="n">
        <v>793</v>
      </c>
      <c r="I32" s="68" t="n">
        <f aca="false">IF(H32="","",G32-H32)</f>
        <v>-6</v>
      </c>
      <c r="J32" s="40" t="n">
        <f aca="false">IF(OR(D32="",D32+G32=0),"",D32/(D32+G32))</f>
        <v>0.663818880820162</v>
      </c>
      <c r="K32" s="40" t="n">
        <f aca="false">IF(E32="","",E32/(E32+H32))</f>
        <v>0.643755615453729</v>
      </c>
      <c r="L32" s="69" t="n">
        <f aca="false">IF(OR(K32="",J32=""),"",(J32-K32)*100)</f>
        <v>2.00632653664337</v>
      </c>
      <c r="M32" s="36" t="n">
        <v>2.54601243465806</v>
      </c>
      <c r="N32" s="36" t="n">
        <v>1.26699649100906</v>
      </c>
      <c r="O32" s="36" t="n">
        <f aca="false">SQRT(M32^2+N32^2)</f>
        <v>2.84384588641205</v>
      </c>
      <c r="P32" s="40" t="n">
        <f aca="false">IF(J32="","",MAX(0,J32-1.96*O32/100))</f>
        <v>0.608079501446486</v>
      </c>
      <c r="Q32" s="40" t="n">
        <f aca="false">IF(J32="","",MIN(1,J32+1.96*O32/100))</f>
        <v>0.719558260193838</v>
      </c>
      <c r="R32" s="32" t="str">
        <f aca="false">IF(L32="","",IF(ABS(L32)&lt;=O32,"Yes","No"))</f>
        <v>Yes</v>
      </c>
      <c r="S32" s="32" t="str">
        <f aca="false">IF(L32="","",IF(ABS(L32)&lt;=1.96*O32,"Yes","No"))</f>
        <v>Yes</v>
      </c>
      <c r="T32" s="59" t="n">
        <f aca="false">IF(D32="","",ROUND(SQRT(((D32+G32)*O32/100)^2+(J32*(D32+G32)*0.07048)^2),0))</f>
        <v>128</v>
      </c>
      <c r="U32" s="32"/>
    </row>
    <row r="33" customFormat="false" ht="15" hidden="false" customHeight="false" outlineLevel="0" collapsed="false">
      <c r="A33" s="32" t="s">
        <v>189</v>
      </c>
      <c r="B33" s="32" t="s">
        <v>198</v>
      </c>
      <c r="C33" s="32" t="s">
        <v>161</v>
      </c>
      <c r="D33" s="59" t="n">
        <v>391</v>
      </c>
      <c r="E33" s="59" t="n">
        <v>379</v>
      </c>
      <c r="F33" s="68" t="n">
        <f aca="false">IF(E33="","",D33-E33)</f>
        <v>12</v>
      </c>
      <c r="G33" s="59" t="n">
        <v>348</v>
      </c>
      <c r="H33" s="59" t="n">
        <v>330</v>
      </c>
      <c r="I33" s="68" t="n">
        <f aca="false">IF(H33="","",G33-H33)</f>
        <v>18</v>
      </c>
      <c r="J33" s="40" t="n">
        <f aca="false">IF(OR(D33="",D33+G33=0),"",D33/(D33+G33))</f>
        <v>0.529093369418133</v>
      </c>
      <c r="K33" s="40" t="n">
        <f aca="false">IF(E33="","",E33/(E33+H33))</f>
        <v>0.534555712270804</v>
      </c>
      <c r="L33" s="69" t="n">
        <f aca="false">IF(OR(K33="",J33=""),"",(J33-K33)*100)</f>
        <v>-0.546234285267133</v>
      </c>
      <c r="M33" s="36" t="n">
        <v>3.7449094222202</v>
      </c>
      <c r="N33" s="36" t="n">
        <v>1.26699649100906</v>
      </c>
      <c r="O33" s="36" t="n">
        <f aca="false">SQRT(M33^2+N33^2)</f>
        <v>3.95343226688695</v>
      </c>
      <c r="P33" s="40" t="n">
        <f aca="false">IF(J33="","",MAX(0,J33-1.96*O33/100))</f>
        <v>0.451606096987148</v>
      </c>
      <c r="Q33" s="40" t="n">
        <f aca="false">IF(J33="","",MIN(1,J33+1.96*O33/100))</f>
        <v>0.606580641849117</v>
      </c>
      <c r="R33" s="32" t="str">
        <f aca="false">IF(L33="","",IF(ABS(L33)&lt;=O33,"Yes","No"))</f>
        <v>Yes</v>
      </c>
      <c r="S33" s="32" t="str">
        <f aca="false">IF(L33="","",IF(ABS(L33)&lt;=1.96*O33,"Yes","No"))</f>
        <v>Yes</v>
      </c>
      <c r="T33" s="59" t="n">
        <f aca="false">IF(D33="","",ROUND(SQRT(((D33+G33)*O33/100)^2+(J33*(D33+G33)*0.09173)^2),0))</f>
        <v>46</v>
      </c>
      <c r="U33" s="32"/>
    </row>
    <row r="34" customFormat="false" ht="15" hidden="false" customHeight="false" outlineLevel="0" collapsed="false">
      <c r="A34" s="32" t="s">
        <v>189</v>
      </c>
      <c r="B34" s="32" t="s">
        <v>199</v>
      </c>
      <c r="C34" s="32" t="s">
        <v>161</v>
      </c>
      <c r="D34" s="59" t="n">
        <v>578</v>
      </c>
      <c r="E34" s="59" t="n">
        <v>654</v>
      </c>
      <c r="F34" s="68" t="n">
        <f aca="false">IF(E34="","",D34-E34)</f>
        <v>-76</v>
      </c>
      <c r="G34" s="59" t="n">
        <v>1476</v>
      </c>
      <c r="H34" s="59" t="n">
        <v>1439</v>
      </c>
      <c r="I34" s="68" t="n">
        <f aca="false">IF(H34="","",G34-H34)</f>
        <v>37</v>
      </c>
      <c r="J34" s="40" t="n">
        <f aca="false">IF(OR(D34="",D34+G34=0),"",D34/(D34+G34))</f>
        <v>0.281402142161636</v>
      </c>
      <c r="K34" s="40" t="n">
        <f aca="false">IF(E34="","",E34/(E34+H34))</f>
        <v>0.312470138557095</v>
      </c>
      <c r="L34" s="69" t="n">
        <f aca="false">IF(OR(K34="",J34=""),"",(J34-K34)*100)</f>
        <v>-3.10679963954593</v>
      </c>
      <c r="M34" s="36" t="n">
        <v>2.54601243465806</v>
      </c>
      <c r="N34" s="36" t="n">
        <v>1.26699649100906</v>
      </c>
      <c r="O34" s="36" t="n">
        <f aca="false">SQRT(M34^2+N34^2)</f>
        <v>2.84384588641205</v>
      </c>
      <c r="P34" s="40" t="n">
        <f aca="false">IF(J34="","",MAX(0,J34-1.96*O34/100))</f>
        <v>0.22566276278796</v>
      </c>
      <c r="Q34" s="40" t="n">
        <f aca="false">IF(J34="","",MIN(1,J34+1.96*O34/100))</f>
        <v>0.337141521535312</v>
      </c>
      <c r="R34" s="32" t="str">
        <f aca="false">IF(L34="","",IF(ABS(L34)&lt;=O34,"Yes","No"))</f>
        <v>No</v>
      </c>
      <c r="S34" s="32" t="str">
        <f aca="false">IF(L34="","",IF(ABS(L34)&lt;=1.96*O34,"Yes","No"))</f>
        <v>Yes</v>
      </c>
      <c r="T34" s="59" t="n">
        <f aca="false">IF(D34="","",ROUND(SQRT(((D34+G34)*O34/100)^2+(J34*(D34+G34)*0.07048)^2),0))</f>
        <v>71</v>
      </c>
      <c r="U34" s="32"/>
    </row>
    <row r="35" customFormat="false" ht="15" hidden="false" customHeight="false" outlineLevel="0" collapsed="false">
      <c r="A35" s="32" t="s">
        <v>189</v>
      </c>
      <c r="B35" s="32" t="s">
        <v>200</v>
      </c>
      <c r="C35" s="32" t="s">
        <v>161</v>
      </c>
      <c r="D35" s="59" t="n">
        <v>9953</v>
      </c>
      <c r="E35" s="59" t="n">
        <v>10021</v>
      </c>
      <c r="F35" s="68" t="n">
        <f aca="false">IF(E35="","",D35-E35)</f>
        <v>-68</v>
      </c>
      <c r="G35" s="59" t="n">
        <v>10483</v>
      </c>
      <c r="H35" s="59" t="n">
        <v>10199</v>
      </c>
      <c r="I35" s="68" t="n">
        <f aca="false">IF(H35="","",G35-H35)</f>
        <v>284</v>
      </c>
      <c r="J35" s="40" t="n">
        <f aca="false">IF(OR(D35="",D35+G35=0),"",D35/(D35+G35))</f>
        <v>0.487032687414367</v>
      </c>
      <c r="K35" s="40" t="n">
        <f aca="false">IF(E35="","",E35/(E35+H35))</f>
        <v>0.495598417408506</v>
      </c>
      <c r="L35" s="69" t="n">
        <f aca="false">IF(OR(K35="",J35=""),"",(J35-K35)*100)</f>
        <v>-0.856572999413963</v>
      </c>
      <c r="M35" s="36" t="n">
        <v>1.81940560118152</v>
      </c>
      <c r="N35" s="36" t="n">
        <v>1.26699649100906</v>
      </c>
      <c r="O35" s="36" t="n">
        <f aca="false">SQRT(M35^2+N35^2)</f>
        <v>2.21709649087268</v>
      </c>
      <c r="P35" s="40" t="n">
        <f aca="false">IF(J35="","",MAX(0,J35-1.96*O35/100))</f>
        <v>0.443577596193262</v>
      </c>
      <c r="Q35" s="40" t="n">
        <f aca="false">IF(J35="","",MIN(1,J35+1.96*O35/100))</f>
        <v>0.530487778635471</v>
      </c>
      <c r="R35" s="32" t="str">
        <f aca="false">IF(L35="","",IF(ABS(L35)&lt;=O35,"Yes","No"))</f>
        <v>Yes</v>
      </c>
      <c r="S35" s="32" t="str">
        <f aca="false">IF(L35="","",IF(ABS(L35)&lt;=1.96*O35,"Yes","No"))</f>
        <v>Yes</v>
      </c>
      <c r="T35" s="59" t="n">
        <f aca="false">IF(D35="","",ROUND(SQRT(((D35+G35)*O35/100)^2+(J35*(D35+G35)*0.06406)^2),0))</f>
        <v>782</v>
      </c>
      <c r="U35" s="32"/>
    </row>
    <row r="36" customFormat="false" ht="15" hidden="false" customHeight="false" outlineLevel="0" collapsed="false">
      <c r="A36" s="32" t="s">
        <v>189</v>
      </c>
      <c r="B36" s="32" t="s">
        <v>201</v>
      </c>
      <c r="C36" s="32" t="s">
        <v>161</v>
      </c>
      <c r="D36" s="59" t="n">
        <v>871</v>
      </c>
      <c r="E36" s="59" t="n">
        <v>985</v>
      </c>
      <c r="F36" s="68" t="n">
        <f aca="false">IF(E36="","",D36-E36)</f>
        <v>-114</v>
      </c>
      <c r="G36" s="59" t="n">
        <v>1730</v>
      </c>
      <c r="H36" s="59" t="n">
        <v>1586</v>
      </c>
      <c r="I36" s="68" t="n">
        <f aca="false">IF(H36="","",G36-H36)</f>
        <v>144</v>
      </c>
      <c r="J36" s="40" t="n">
        <f aca="false">IF(OR(D36="",D36+G36=0),"",D36/(D36+G36))</f>
        <v>0.334871203383314</v>
      </c>
      <c r="K36" s="40" t="n">
        <f aca="false">IF(E36="","",E36/(E36+H36))</f>
        <v>0.383119408790354</v>
      </c>
      <c r="L36" s="69" t="n">
        <f aca="false">IF(OR(K36="",J36=""),"",(J36-K36)*100)</f>
        <v>-4.82482054070398</v>
      </c>
      <c r="M36" s="36" t="n">
        <v>2.54601243465806</v>
      </c>
      <c r="N36" s="36" t="n">
        <v>1.26699649100906</v>
      </c>
      <c r="O36" s="36" t="n">
        <f aca="false">SQRT(M36^2+N36^2)</f>
        <v>2.84384588641205</v>
      </c>
      <c r="P36" s="40" t="n">
        <f aca="false">IF(J36="","",MAX(0,J36-1.96*O36/100))</f>
        <v>0.279131824009638</v>
      </c>
      <c r="Q36" s="40" t="n">
        <f aca="false">IF(J36="","",MIN(1,J36+1.96*O36/100))</f>
        <v>0.39061058275699</v>
      </c>
      <c r="R36" s="32" t="str">
        <f aca="false">IF(L36="","",IF(ABS(L36)&lt;=O36,"Yes","No"))</f>
        <v>No</v>
      </c>
      <c r="S36" s="32" t="str">
        <f aca="false">IF(L36="","",IF(ABS(L36)&lt;=1.96*O36,"Yes","No"))</f>
        <v>Yes</v>
      </c>
      <c r="T36" s="59" t="n">
        <f aca="false">IF(D36="","",ROUND(SQRT(((D36+G36)*O36/100)^2+(J36*(D36+G36)*0.07048)^2),0))</f>
        <v>96</v>
      </c>
      <c r="U36" s="32"/>
    </row>
    <row r="37" customFormat="false" ht="15" hidden="false" customHeight="false" outlineLevel="0" collapsed="false">
      <c r="A37" s="32" t="s">
        <v>189</v>
      </c>
      <c r="B37" s="32" t="s">
        <v>202</v>
      </c>
      <c r="C37" s="32" t="s">
        <v>161</v>
      </c>
      <c r="D37" s="59" t="n">
        <v>500</v>
      </c>
      <c r="E37" s="59" t="n">
        <v>543</v>
      </c>
      <c r="F37" s="68" t="n">
        <f aca="false">IF(E37="","",D37-E37)</f>
        <v>-43</v>
      </c>
      <c r="G37" s="59" t="n">
        <v>1063</v>
      </c>
      <c r="H37" s="59" t="n">
        <v>990</v>
      </c>
      <c r="I37" s="68" t="n">
        <f aca="false">IF(H37="","",G37-H37)</f>
        <v>73</v>
      </c>
      <c r="J37" s="40" t="n">
        <f aca="false">IF(OR(D37="",D37+G37=0),"",D37/(D37+G37))</f>
        <v>0.319897632757518</v>
      </c>
      <c r="K37" s="40" t="n">
        <f aca="false">IF(E37="","",E37/(E37+H37))</f>
        <v>0.354207436399217</v>
      </c>
      <c r="L37" s="69" t="n">
        <f aca="false">IF(OR(K37="",J37=""),"",(J37-K37)*100)</f>
        <v>-3.43098036416996</v>
      </c>
      <c r="M37" s="36" t="n">
        <v>2.54601243465806</v>
      </c>
      <c r="N37" s="36" t="n">
        <v>1.26699649100906</v>
      </c>
      <c r="O37" s="36" t="n">
        <f aca="false">SQRT(M37^2+N37^2)</f>
        <v>2.84384588641205</v>
      </c>
      <c r="P37" s="40" t="n">
        <f aca="false">IF(J37="","",MAX(0,J37-1.96*O37/100))</f>
        <v>0.264158253383841</v>
      </c>
      <c r="Q37" s="40" t="n">
        <f aca="false">IF(J37="","",MIN(1,J37+1.96*O37/100))</f>
        <v>0.375637012131194</v>
      </c>
      <c r="R37" s="32" t="str">
        <f aca="false">IF(L37="","",IF(ABS(L37)&lt;=O37,"Yes","No"))</f>
        <v>No</v>
      </c>
      <c r="S37" s="32" t="str">
        <f aca="false">IF(L37="","",IF(ABS(L37)&lt;=1.96*O37,"Yes","No"))</f>
        <v>Yes</v>
      </c>
      <c r="T37" s="59" t="n">
        <f aca="false">IF(D37="","",ROUND(SQRT(((D37+G37)*O37/100)^2+(J37*(D37+G37)*0.07048)^2),0))</f>
        <v>57</v>
      </c>
      <c r="U37" s="32"/>
    </row>
    <row r="38" customFormat="false" ht="15" hidden="false" customHeight="false" outlineLevel="0" collapsed="false">
      <c r="A38" s="32" t="s">
        <v>189</v>
      </c>
      <c r="B38" s="32" t="s">
        <v>203</v>
      </c>
      <c r="C38" s="32" t="s">
        <v>161</v>
      </c>
      <c r="D38" s="59" t="n">
        <v>769</v>
      </c>
      <c r="E38" s="59" t="n">
        <v>850</v>
      </c>
      <c r="F38" s="68" t="n">
        <f aca="false">IF(E38="","",D38-E38)</f>
        <v>-81</v>
      </c>
      <c r="G38" s="59" t="n">
        <v>1930</v>
      </c>
      <c r="H38" s="59" t="n">
        <v>1856</v>
      </c>
      <c r="I38" s="68" t="n">
        <f aca="false">IF(H38="","",G38-H38)</f>
        <v>74</v>
      </c>
      <c r="J38" s="40" t="n">
        <f aca="false">IF(OR(D38="",D38+G38=0),"",D38/(D38+G38))</f>
        <v>0.284920340866988</v>
      </c>
      <c r="K38" s="40" t="n">
        <f aca="false">IF(E38="","",E38/(E38+H38))</f>
        <v>0.314116777531412</v>
      </c>
      <c r="L38" s="69" t="n">
        <f aca="false">IF(OR(K38="",J38=""),"",(J38-K38)*100)</f>
        <v>-2.91964366644239</v>
      </c>
      <c r="M38" s="36" t="n">
        <v>2.54601243465806</v>
      </c>
      <c r="N38" s="36" t="n">
        <v>1.26699649100906</v>
      </c>
      <c r="O38" s="36" t="n">
        <f aca="false">SQRT(M38^2+N38^2)</f>
        <v>2.84384588641205</v>
      </c>
      <c r="P38" s="40" t="n">
        <f aca="false">IF(J38="","",MAX(0,J38-1.96*O38/100))</f>
        <v>0.229180961493312</v>
      </c>
      <c r="Q38" s="40" t="n">
        <f aca="false">IF(J38="","",MIN(1,J38+1.96*O38/100))</f>
        <v>0.340659720240664</v>
      </c>
      <c r="R38" s="32" t="str">
        <f aca="false">IF(L38="","",IF(ABS(L38)&lt;=O38,"Yes","No"))</f>
        <v>No</v>
      </c>
      <c r="S38" s="32" t="str">
        <f aca="false">IF(L38="","",IF(ABS(L38)&lt;=1.96*O38,"Yes","No"))</f>
        <v>Yes</v>
      </c>
      <c r="T38" s="59" t="n">
        <f aca="false">IF(D38="","",ROUND(SQRT(((D38+G38)*O38/100)^2+(J38*(D38+G38)*0.07048)^2),0))</f>
        <v>94</v>
      </c>
      <c r="U38" s="32"/>
    </row>
    <row r="39" customFormat="false" ht="15" hidden="false" customHeight="false" outlineLevel="0" collapsed="false">
      <c r="A39" s="32" t="s">
        <v>189</v>
      </c>
      <c r="B39" s="32" t="s">
        <v>204</v>
      </c>
      <c r="C39" s="32" t="s">
        <v>161</v>
      </c>
      <c r="D39" s="59" t="n">
        <v>963</v>
      </c>
      <c r="E39" s="59" t="n">
        <v>980</v>
      </c>
      <c r="F39" s="68" t="n">
        <f aca="false">IF(E39="","",D39-E39)</f>
        <v>-17</v>
      </c>
      <c r="G39" s="59" t="n">
        <v>930</v>
      </c>
      <c r="H39" s="59" t="n">
        <v>872</v>
      </c>
      <c r="I39" s="68" t="n">
        <f aca="false">IF(H39="","",G39-H39)</f>
        <v>58</v>
      </c>
      <c r="J39" s="40" t="n">
        <f aca="false">IF(OR(D39="",D39+G39=0),"",D39/(D39+G39))</f>
        <v>0.508716323296355</v>
      </c>
      <c r="K39" s="40" t="n">
        <f aca="false">IF(E39="","",E39/(E39+H39))</f>
        <v>0.529157667386609</v>
      </c>
      <c r="L39" s="69" t="n">
        <f aca="false">IF(OR(K39="",J39=""),"",(J39-K39)*100)</f>
        <v>-2.04413440902541</v>
      </c>
      <c r="M39" s="36" t="n">
        <v>2.54601243465806</v>
      </c>
      <c r="N39" s="36" t="n">
        <v>1.26699649100906</v>
      </c>
      <c r="O39" s="36" t="n">
        <f aca="false">SQRT(M39^2+N39^2)</f>
        <v>2.84384588641205</v>
      </c>
      <c r="P39" s="40" t="n">
        <f aca="false">IF(J39="","",MAX(0,J39-1.96*O39/100))</f>
        <v>0.452976943922679</v>
      </c>
      <c r="Q39" s="40" t="n">
        <f aca="false">IF(J39="","",MIN(1,J39+1.96*O39/100))</f>
        <v>0.564455702670031</v>
      </c>
      <c r="R39" s="32" t="str">
        <f aca="false">IF(L39="","",IF(ABS(L39)&lt;=O39,"Yes","No"))</f>
        <v>Yes</v>
      </c>
      <c r="S39" s="32" t="str">
        <f aca="false">IF(L39="","",IF(ABS(L39)&lt;=1.96*O39,"Yes","No"))</f>
        <v>Yes</v>
      </c>
      <c r="T39" s="59" t="n">
        <f aca="false">IF(D39="","",ROUND(SQRT(((D39+G39)*O39/100)^2+(J39*(D39+G39)*0.07048)^2),0))</f>
        <v>87</v>
      </c>
      <c r="U39" s="32"/>
    </row>
    <row r="40" customFormat="false" ht="15" hidden="false" customHeight="false" outlineLevel="0" collapsed="false">
      <c r="A40" s="32" t="s">
        <v>189</v>
      </c>
      <c r="B40" s="32" t="s">
        <v>205</v>
      </c>
      <c r="C40" s="32" t="s">
        <v>161</v>
      </c>
      <c r="D40" s="59" t="n">
        <v>3843</v>
      </c>
      <c r="E40" s="59" t="n">
        <v>4022</v>
      </c>
      <c r="F40" s="68" t="n">
        <f aca="false">IF(E40="","",D40-E40)</f>
        <v>-179</v>
      </c>
      <c r="G40" s="59" t="n">
        <v>6194</v>
      </c>
      <c r="H40" s="59" t="n">
        <v>5915</v>
      </c>
      <c r="I40" s="68" t="n">
        <f aca="false">IF(H40="","",G40-H40)</f>
        <v>279</v>
      </c>
      <c r="J40" s="40" t="n">
        <f aca="false">IF(OR(D40="",D40+G40=0),"",D40/(D40+G40))</f>
        <v>0.382883331672811</v>
      </c>
      <c r="K40" s="40" t="n">
        <f aca="false">IF(E40="","",E40/(E40+H40))</f>
        <v>0.404749924524504</v>
      </c>
      <c r="L40" s="69" t="n">
        <f aca="false">IF(OR(K40="",J40=""),"",(J40-K40)*100)</f>
        <v>-2.18665928516938</v>
      </c>
      <c r="M40" s="36" t="n">
        <v>1.81940560118152</v>
      </c>
      <c r="N40" s="36" t="n">
        <v>1.26699649100906</v>
      </c>
      <c r="O40" s="36" t="n">
        <f aca="false">SQRT(M40^2+N40^2)</f>
        <v>2.21709649087268</v>
      </c>
      <c r="P40" s="40" t="n">
        <f aca="false">IF(J40="","",MAX(0,J40-1.96*O40/100))</f>
        <v>0.339428240451706</v>
      </c>
      <c r="Q40" s="40" t="n">
        <f aca="false">IF(J40="","",MIN(1,J40+1.96*O40/100))</f>
        <v>0.426338422893915</v>
      </c>
      <c r="R40" s="32" t="str">
        <f aca="false">IF(L40="","",IF(ABS(L40)&lt;=O40,"Yes","No"))</f>
        <v>Yes</v>
      </c>
      <c r="S40" s="32" t="str">
        <f aca="false">IF(L40="","",IF(ABS(L40)&lt;=1.96*O40,"Yes","No"))</f>
        <v>Yes</v>
      </c>
      <c r="T40" s="59" t="n">
        <f aca="false">IF(D40="","",ROUND(SQRT(((D40+G40)*O40/100)^2+(J40*(D40+G40)*0.06406)^2),0))</f>
        <v>332</v>
      </c>
      <c r="U40" s="32"/>
    </row>
    <row r="41" customFormat="false" ht="15" hidden="false" customHeight="false" outlineLevel="0" collapsed="false">
      <c r="A41" s="32" t="s">
        <v>189</v>
      </c>
      <c r="B41" s="32" t="s">
        <v>206</v>
      </c>
      <c r="C41" s="32" t="s">
        <v>161</v>
      </c>
      <c r="D41" s="59" t="n">
        <v>3896</v>
      </c>
      <c r="E41" s="59" t="n">
        <v>4010</v>
      </c>
      <c r="F41" s="68" t="n">
        <f aca="false">IF(E41="","",D41-E41)</f>
        <v>-114</v>
      </c>
      <c r="G41" s="59" t="n">
        <v>4270</v>
      </c>
      <c r="H41" s="59" t="n">
        <v>4104</v>
      </c>
      <c r="I41" s="68" t="n">
        <f aca="false">IF(H41="","",G41-H41)</f>
        <v>166</v>
      </c>
      <c r="J41" s="40" t="n">
        <f aca="false">IF(OR(D41="",D41+G41=0),"",D41/(D41+G41))</f>
        <v>0.477100171442567</v>
      </c>
      <c r="K41" s="40" t="n">
        <f aca="false">IF(E41="","",E41/(E41+H41))</f>
        <v>0.494207542519103</v>
      </c>
      <c r="L41" s="69" t="n">
        <f aca="false">IF(OR(K41="",J41=""),"",(J41-K41)*100)</f>
        <v>-1.7107371076536</v>
      </c>
      <c r="M41" s="36" t="n">
        <v>1.81940560118152</v>
      </c>
      <c r="N41" s="36" t="n">
        <v>1.26699649100906</v>
      </c>
      <c r="O41" s="36" t="n">
        <f aca="false">SQRT(M41^2+N41^2)</f>
        <v>2.21709649087268</v>
      </c>
      <c r="P41" s="40" t="n">
        <f aca="false">IF(J41="","",MAX(0,J41-1.96*O41/100))</f>
        <v>0.433645080221462</v>
      </c>
      <c r="Q41" s="40" t="n">
        <f aca="false">IF(J41="","",MIN(1,J41+1.96*O41/100))</f>
        <v>0.520555262663671</v>
      </c>
      <c r="R41" s="32" t="str">
        <f aca="false">IF(L41="","",IF(ABS(L41)&lt;=O41,"Yes","No"))</f>
        <v>Yes</v>
      </c>
      <c r="S41" s="32" t="str">
        <f aca="false">IF(L41="","",IF(ABS(L41)&lt;=1.96*O41,"Yes","No"))</f>
        <v>Yes</v>
      </c>
      <c r="T41" s="59" t="n">
        <f aca="false">IF(D41="","",ROUND(SQRT(((D41+G41)*O41/100)^2+(J41*(D41+G41)*0.06406)^2),0))</f>
        <v>308</v>
      </c>
      <c r="U41" s="32"/>
    </row>
    <row r="42" customFormat="false" ht="15" hidden="false" customHeight="false" outlineLevel="0" collapsed="false">
      <c r="A42" s="32" t="s">
        <v>189</v>
      </c>
      <c r="B42" s="32" t="s">
        <v>207</v>
      </c>
      <c r="C42" s="32" t="s">
        <v>161</v>
      </c>
      <c r="D42" s="59" t="n">
        <v>796</v>
      </c>
      <c r="E42" s="59" t="n">
        <v>800</v>
      </c>
      <c r="F42" s="68" t="n">
        <f aca="false">IF(E42="","",D42-E42)</f>
        <v>-4</v>
      </c>
      <c r="G42" s="59" t="n">
        <v>1202</v>
      </c>
      <c r="H42" s="59" t="n">
        <v>1156</v>
      </c>
      <c r="I42" s="68" t="n">
        <f aca="false">IF(H42="","",G42-H42)</f>
        <v>46</v>
      </c>
      <c r="J42" s="40" t="n">
        <f aca="false">IF(OR(D42="",D42+G42=0),"",D42/(D42+G42))</f>
        <v>0.398398398398398</v>
      </c>
      <c r="K42" s="40" t="n">
        <f aca="false">IF(E42="","",E42/(E42+H42))</f>
        <v>0.408997955010225</v>
      </c>
      <c r="L42" s="69" t="n">
        <f aca="false">IF(OR(K42="",J42=""),"",(J42-K42)*100)</f>
        <v>-1.05995566118265</v>
      </c>
      <c r="M42" s="36" t="n">
        <v>2.54601243465806</v>
      </c>
      <c r="N42" s="36" t="n">
        <v>1.26699649100906</v>
      </c>
      <c r="O42" s="36" t="n">
        <f aca="false">SQRT(M42^2+N42^2)</f>
        <v>2.84384588641205</v>
      </c>
      <c r="P42" s="40" t="n">
        <f aca="false">IF(J42="","",MAX(0,J42-1.96*O42/100))</f>
        <v>0.342659019024722</v>
      </c>
      <c r="Q42" s="40" t="n">
        <f aca="false">IF(J42="","",MIN(1,J42+1.96*O42/100))</f>
        <v>0.454137777772075</v>
      </c>
      <c r="R42" s="32" t="str">
        <f aca="false">IF(L42="","",IF(ABS(L42)&lt;=O42,"Yes","No"))</f>
        <v>Yes</v>
      </c>
      <c r="S42" s="32" t="str">
        <f aca="false">IF(L42="","",IF(ABS(L42)&lt;=1.96*O42,"Yes","No"))</f>
        <v>Yes</v>
      </c>
      <c r="T42" s="59" t="n">
        <f aca="false">IF(D42="","",ROUND(SQRT(((D42+G42)*O42/100)^2+(J42*(D42+G42)*0.07048)^2),0))</f>
        <v>80</v>
      </c>
      <c r="U42" s="32"/>
    </row>
    <row r="43" customFormat="false" ht="15" hidden="false" customHeight="false" outlineLevel="0" collapsed="false">
      <c r="A43" s="32" t="s">
        <v>189</v>
      </c>
      <c r="B43" s="32" t="s">
        <v>208</v>
      </c>
      <c r="C43" s="32" t="s">
        <v>161</v>
      </c>
      <c r="D43" s="59" t="n">
        <v>6787</v>
      </c>
      <c r="E43" s="59" t="n">
        <v>7019</v>
      </c>
      <c r="F43" s="68" t="n">
        <f aca="false">IF(E43="","",D43-E43)</f>
        <v>-232</v>
      </c>
      <c r="G43" s="59" t="n">
        <v>6411</v>
      </c>
      <c r="H43" s="59" t="n">
        <v>6110</v>
      </c>
      <c r="I43" s="68" t="n">
        <f aca="false">IF(H43="","",G43-H43)</f>
        <v>301</v>
      </c>
      <c r="J43" s="40" t="n">
        <f aca="false">IF(OR(D43="",D43+G43=0),"",D43/(D43+G43))</f>
        <v>0.514244582512502</v>
      </c>
      <c r="K43" s="40" t="n">
        <f aca="false">IF(E43="","",E43/(E43+H43))</f>
        <v>0.534618021174499</v>
      </c>
      <c r="L43" s="69" t="n">
        <f aca="false">IF(OR(K43="",J43=""),"",(J43-K43)*100)</f>
        <v>-2.03734386619973</v>
      </c>
      <c r="M43" s="36" t="n">
        <v>1.81940560118152</v>
      </c>
      <c r="N43" s="36" t="n">
        <v>1.26699649100906</v>
      </c>
      <c r="O43" s="36" t="n">
        <f aca="false">SQRT(M43^2+N43^2)</f>
        <v>2.21709649087268</v>
      </c>
      <c r="P43" s="40" t="n">
        <f aca="false">IF(J43="","",MAX(0,J43-1.96*O43/100))</f>
        <v>0.470789491291397</v>
      </c>
      <c r="Q43" s="40" t="n">
        <f aca="false">IF(J43="","",MIN(1,J43+1.96*O43/100))</f>
        <v>0.557699673733607</v>
      </c>
      <c r="R43" s="32" t="str">
        <f aca="false">IF(L43="","",IF(ABS(L43)&lt;=O43,"Yes","No"))</f>
        <v>Yes</v>
      </c>
      <c r="S43" s="32" t="str">
        <f aca="false">IF(L43="","",IF(ABS(L43)&lt;=1.96*O43,"Yes","No"))</f>
        <v>Yes</v>
      </c>
      <c r="T43" s="59" t="n">
        <f aca="false">IF(D43="","",ROUND(SQRT(((D43+G43)*O43/100)^2+(J43*(D43+G43)*0.06406)^2),0))</f>
        <v>524</v>
      </c>
      <c r="U43" s="32"/>
    </row>
    <row r="44" customFormat="false" ht="15" hidden="false" customHeight="false" outlineLevel="0" collapsed="false">
      <c r="A44" s="32" t="s">
        <v>189</v>
      </c>
      <c r="B44" s="32" t="s">
        <v>209</v>
      </c>
      <c r="C44" s="32" t="s">
        <v>161</v>
      </c>
      <c r="D44" s="59" t="n">
        <v>8058</v>
      </c>
      <c r="E44" s="59" t="n">
        <v>8020</v>
      </c>
      <c r="F44" s="68" t="n">
        <f aca="false">IF(E44="","",D44-E44)</f>
        <v>38</v>
      </c>
      <c r="G44" s="59" t="n">
        <v>7902</v>
      </c>
      <c r="H44" s="59" t="n">
        <v>7607</v>
      </c>
      <c r="I44" s="68" t="n">
        <f aca="false">IF(H44="","",G44-H44)</f>
        <v>295</v>
      </c>
      <c r="J44" s="40" t="n">
        <f aca="false">IF(OR(D44="",D44+G44=0),"",D44/(D44+G44))</f>
        <v>0.504887218045113</v>
      </c>
      <c r="K44" s="40" t="n">
        <f aca="false">IF(E44="","",E44/(E44+H44))</f>
        <v>0.513214308568503</v>
      </c>
      <c r="L44" s="69" t="n">
        <f aca="false">IF(OR(K44="",J44=""),"",(J44-K44)*100)</f>
        <v>-0.832709052339042</v>
      </c>
      <c r="M44" s="36" t="n">
        <v>1.81940560118152</v>
      </c>
      <c r="N44" s="36" t="n">
        <v>1.26699649100906</v>
      </c>
      <c r="O44" s="36" t="n">
        <f aca="false">SQRT(M44^2+N44^2)</f>
        <v>2.21709649087268</v>
      </c>
      <c r="P44" s="40" t="n">
        <f aca="false">IF(J44="","",MAX(0,J44-1.96*O44/100))</f>
        <v>0.461432126824008</v>
      </c>
      <c r="Q44" s="40" t="n">
        <f aca="false">IF(J44="","",MIN(1,J44+1.96*O44/100))</f>
        <v>0.548342309266217</v>
      </c>
      <c r="R44" s="32" t="str">
        <f aca="false">IF(L44="","",IF(ABS(L44)&lt;=O44,"Yes","No"))</f>
        <v>Yes</v>
      </c>
      <c r="S44" s="32" t="str">
        <f aca="false">IF(L44="","",IF(ABS(L44)&lt;=1.96*O44,"Yes","No"))</f>
        <v>Yes</v>
      </c>
      <c r="T44" s="59" t="n">
        <f aca="false">IF(D44="","",ROUND(SQRT(((D44+G44)*O44/100)^2+(J44*(D44+G44)*0.06406)^2),0))</f>
        <v>626</v>
      </c>
      <c r="U44" s="32"/>
    </row>
    <row r="45" customFormat="false" ht="15" hidden="false" customHeight="false" outlineLevel="0" collapsed="false">
      <c r="A45" s="32" t="s">
        <v>189</v>
      </c>
      <c r="B45" s="32" t="s">
        <v>210</v>
      </c>
      <c r="C45" s="32" t="s">
        <v>161</v>
      </c>
      <c r="D45" s="59" t="n">
        <v>2190</v>
      </c>
      <c r="E45" s="59" t="n">
        <v>2380</v>
      </c>
      <c r="F45" s="68" t="n">
        <f aca="false">IF(E45="","",D45-E45)</f>
        <v>-190</v>
      </c>
      <c r="G45" s="59" t="n">
        <v>3264</v>
      </c>
      <c r="H45" s="59" t="n">
        <v>3135</v>
      </c>
      <c r="I45" s="68" t="n">
        <f aca="false">IF(H45="","",G45-H45)</f>
        <v>129</v>
      </c>
      <c r="J45" s="40" t="n">
        <f aca="false">IF(OR(D45="",D45+G45=0),"",D45/(D45+G45))</f>
        <v>0.401540154015402</v>
      </c>
      <c r="K45" s="40" t="n">
        <f aca="false">IF(E45="","",E45/(E45+H45))</f>
        <v>0.43155031731641</v>
      </c>
      <c r="L45" s="69" t="n">
        <f aca="false">IF(OR(K45="",J45=""),"",(J45-K45)*100)</f>
        <v>-3.00101633010083</v>
      </c>
      <c r="M45" s="36" t="n">
        <v>1.81940560118152</v>
      </c>
      <c r="N45" s="36" t="n">
        <v>1.26699649100906</v>
      </c>
      <c r="O45" s="36" t="n">
        <f aca="false">SQRT(M45^2+N45^2)</f>
        <v>2.21709649087268</v>
      </c>
      <c r="P45" s="40" t="n">
        <f aca="false">IF(J45="","",MAX(0,J45-1.96*O45/100))</f>
        <v>0.358085062794297</v>
      </c>
      <c r="Q45" s="40" t="n">
        <f aca="false">IF(J45="","",MIN(1,J45+1.96*O45/100))</f>
        <v>0.444995245236506</v>
      </c>
      <c r="R45" s="32" t="str">
        <f aca="false">IF(L45="","",IF(ABS(L45)&lt;=O45,"Yes","No"))</f>
        <v>No</v>
      </c>
      <c r="S45" s="32" t="str">
        <f aca="false">IF(L45="","",IF(ABS(L45)&lt;=1.96*O45,"Yes","No"))</f>
        <v>Yes</v>
      </c>
      <c r="T45" s="59" t="n">
        <f aca="false">IF(D45="","",ROUND(SQRT(((D45+G45)*O45/100)^2+(J45*(D45+G45)*0.06406)^2),0))</f>
        <v>185</v>
      </c>
      <c r="U45" s="32"/>
    </row>
    <row r="46" customFormat="false" ht="15" hidden="false" customHeight="false" outlineLevel="0" collapsed="false">
      <c r="A46" s="32" t="s">
        <v>189</v>
      </c>
      <c r="B46" s="32" t="s">
        <v>211</v>
      </c>
      <c r="C46" s="32" t="s">
        <v>161</v>
      </c>
      <c r="D46" s="59" t="n">
        <v>5133</v>
      </c>
      <c r="E46" s="59" t="n">
        <v>5462</v>
      </c>
      <c r="F46" s="68" t="n">
        <f aca="false">IF(E46="","",D46-E46)</f>
        <v>-329</v>
      </c>
      <c r="G46" s="59" t="n">
        <v>6053</v>
      </c>
      <c r="H46" s="59" t="n">
        <v>5740</v>
      </c>
      <c r="I46" s="68" t="n">
        <f aca="false">IF(H46="","",G46-H46)</f>
        <v>313</v>
      </c>
      <c r="J46" s="40" t="n">
        <f aca="false">IF(OR(D46="",D46+G46=0),"",D46/(D46+G46))</f>
        <v>0.458877167888432</v>
      </c>
      <c r="K46" s="40" t="n">
        <f aca="false">IF(E46="","",E46/(E46+H46))</f>
        <v>0.487591501517586</v>
      </c>
      <c r="L46" s="69" t="n">
        <f aca="false">IF(OR(K46="",J46=""),"",(J46-K46)*100)</f>
        <v>-2.87143336291542</v>
      </c>
      <c r="M46" s="36" t="n">
        <v>1.81940560118152</v>
      </c>
      <c r="N46" s="36" t="n">
        <v>1.26699649100906</v>
      </c>
      <c r="O46" s="36" t="n">
        <f aca="false">SQRT(M46^2+N46^2)</f>
        <v>2.21709649087268</v>
      </c>
      <c r="P46" s="40" t="n">
        <f aca="false">IF(J46="","",MAX(0,J46-1.96*O46/100))</f>
        <v>0.415422076667327</v>
      </c>
      <c r="Q46" s="40" t="n">
        <f aca="false">IF(J46="","",MIN(1,J46+1.96*O46/100))</f>
        <v>0.502332259109537</v>
      </c>
      <c r="R46" s="32" t="str">
        <f aca="false">IF(L46="","",IF(ABS(L46)&lt;=O46,"Yes","No"))</f>
        <v>No</v>
      </c>
      <c r="S46" s="32" t="str">
        <f aca="false">IF(L46="","",IF(ABS(L46)&lt;=1.96*O46,"Yes","No"))</f>
        <v>Yes</v>
      </c>
      <c r="T46" s="59" t="n">
        <f aca="false">IF(D46="","",ROUND(SQRT(((D46+G46)*O46/100)^2+(J46*(D46+G46)*0.06406)^2),0))</f>
        <v>412</v>
      </c>
      <c r="U46" s="32"/>
    </row>
    <row r="47" customFormat="false" ht="15" hidden="false" customHeight="false" outlineLevel="0" collapsed="false">
      <c r="A47" s="32" t="s">
        <v>189</v>
      </c>
      <c r="B47" s="32" t="s">
        <v>212</v>
      </c>
      <c r="C47" s="32" t="s">
        <v>161</v>
      </c>
      <c r="D47" s="59" t="n">
        <v>1206</v>
      </c>
      <c r="E47" s="59" t="n">
        <v>1266</v>
      </c>
      <c r="F47" s="68" t="n">
        <f aca="false">IF(E47="","",D47-E47)</f>
        <v>-60</v>
      </c>
      <c r="G47" s="59" t="n">
        <v>2727</v>
      </c>
      <c r="H47" s="59" t="n">
        <v>2669</v>
      </c>
      <c r="I47" s="68" t="n">
        <f aca="false">IF(H47="","",G47-H47)</f>
        <v>58</v>
      </c>
      <c r="J47" s="40" t="n">
        <f aca="false">IF(OR(D47="",D47+G47=0),"",D47/(D47+G47))</f>
        <v>0.306636155606407</v>
      </c>
      <c r="K47" s="40" t="n">
        <f aca="false">IF(E47="","",E47/(E47+H47))</f>
        <v>0.321728081321474</v>
      </c>
      <c r="L47" s="69" t="n">
        <f aca="false">IF(OR(K47="",J47=""),"",(J47-K47)*100)</f>
        <v>-1.50919257150666</v>
      </c>
      <c r="M47" s="36" t="n">
        <v>1.81940560118152</v>
      </c>
      <c r="N47" s="36" t="n">
        <v>1.26699649100906</v>
      </c>
      <c r="O47" s="36" t="n">
        <f aca="false">SQRT(M47^2+N47^2)</f>
        <v>2.21709649087268</v>
      </c>
      <c r="P47" s="40" t="n">
        <f aca="false">IF(J47="","",MAX(0,J47-1.96*O47/100))</f>
        <v>0.263181064385303</v>
      </c>
      <c r="Q47" s="40" t="n">
        <f aca="false">IF(J47="","",MIN(1,J47+1.96*O47/100))</f>
        <v>0.350091246827512</v>
      </c>
      <c r="R47" s="32" t="str">
        <f aca="false">IF(L47="","",IF(ABS(L47)&lt;=O47,"Yes","No"))</f>
        <v>Yes</v>
      </c>
      <c r="S47" s="32" t="str">
        <f aca="false">IF(L47="","",IF(ABS(L47)&lt;=1.96*O47,"Yes","No"))</f>
        <v>Yes</v>
      </c>
      <c r="T47" s="59" t="n">
        <f aca="false">IF(D47="","",ROUND(SQRT(((D47+G47)*O47/100)^2+(J47*(D47+G47)*0.06406)^2),0))</f>
        <v>116</v>
      </c>
      <c r="U47" s="32"/>
    </row>
    <row r="48" customFormat="false" ht="15" hidden="false" customHeight="false" outlineLevel="0" collapsed="false">
      <c r="A48" s="32" t="s">
        <v>189</v>
      </c>
      <c r="B48" s="32" t="s">
        <v>213</v>
      </c>
      <c r="C48" s="32" t="s">
        <v>161</v>
      </c>
      <c r="D48" s="59" t="n">
        <v>1082</v>
      </c>
      <c r="E48" s="59" t="n">
        <v>1172</v>
      </c>
      <c r="F48" s="68" t="n">
        <f aca="false">IF(E48="","",D48-E48)</f>
        <v>-90</v>
      </c>
      <c r="G48" s="59" t="n">
        <v>2296</v>
      </c>
      <c r="H48" s="59" t="n">
        <v>2201</v>
      </c>
      <c r="I48" s="68" t="n">
        <f aca="false">IF(H48="","",G48-H48)</f>
        <v>95</v>
      </c>
      <c r="J48" s="40" t="n">
        <f aca="false">IF(OR(D48="",D48+G48=0),"",D48/(D48+G48))</f>
        <v>0.320307874481942</v>
      </c>
      <c r="K48" s="40" t="n">
        <f aca="false">IF(E48="","",E48/(E48+H48))</f>
        <v>0.347465164541951</v>
      </c>
      <c r="L48" s="69" t="n">
        <f aca="false">IF(OR(K48="",J48=""),"",(J48-K48)*100)</f>
        <v>-2.71572900600088</v>
      </c>
      <c r="M48" s="36" t="n">
        <v>2.54601243465806</v>
      </c>
      <c r="N48" s="36" t="n">
        <v>1.26699649100906</v>
      </c>
      <c r="O48" s="36" t="n">
        <f aca="false">SQRT(M48^2+N48^2)</f>
        <v>2.84384588641205</v>
      </c>
      <c r="P48" s="40" t="n">
        <f aca="false">IF(J48="","",MAX(0,J48-1.96*O48/100))</f>
        <v>0.264568495108266</v>
      </c>
      <c r="Q48" s="40" t="n">
        <f aca="false">IF(J48="","",MIN(1,J48+1.96*O48/100))</f>
        <v>0.376047253855618</v>
      </c>
      <c r="R48" s="32" t="str">
        <f aca="false">IF(L48="","",IF(ABS(L48)&lt;=O48,"Yes","No"))</f>
        <v>Yes</v>
      </c>
      <c r="S48" s="32" t="str">
        <f aca="false">IF(L48="","",IF(ABS(L48)&lt;=1.96*O48,"Yes","No"))</f>
        <v>Yes</v>
      </c>
      <c r="T48" s="59" t="n">
        <f aca="false">IF(D48="","",ROUND(SQRT(((D48+G48)*O48/100)^2+(J48*(D48+G48)*0.07048)^2),0))</f>
        <v>123</v>
      </c>
      <c r="U48" s="32"/>
    </row>
    <row r="49" customFormat="false" ht="15" hidden="false" customHeight="false" outlineLevel="0" collapsed="false">
      <c r="A49" s="32" t="s">
        <v>189</v>
      </c>
      <c r="B49" s="32" t="s">
        <v>214</v>
      </c>
      <c r="C49" s="32" t="s">
        <v>161</v>
      </c>
      <c r="D49" s="59" t="n">
        <v>7326</v>
      </c>
      <c r="E49" s="59" t="n">
        <v>7383</v>
      </c>
      <c r="F49" s="68" t="n">
        <f aca="false">IF(E49="","",D49-E49)</f>
        <v>-57</v>
      </c>
      <c r="G49" s="59" t="n">
        <v>7154</v>
      </c>
      <c r="H49" s="59" t="n">
        <v>7036</v>
      </c>
      <c r="I49" s="68" t="n">
        <f aca="false">IF(H49="","",G49-H49)</f>
        <v>118</v>
      </c>
      <c r="J49" s="40" t="n">
        <f aca="false">IF(OR(D49="",D49+G49=0),"",D49/(D49+G49))</f>
        <v>0.505939226519337</v>
      </c>
      <c r="K49" s="40" t="n">
        <f aca="false">IF(E49="","",E49/(E49+H49))</f>
        <v>0.51203273458631</v>
      </c>
      <c r="L49" s="69" t="n">
        <f aca="false">IF(OR(K49="",J49=""),"",(J49-K49)*100)</f>
        <v>-0.609350806697273</v>
      </c>
      <c r="M49" s="36" t="n">
        <v>1.81940560118152</v>
      </c>
      <c r="N49" s="36" t="n">
        <v>1.26699649100906</v>
      </c>
      <c r="O49" s="36" t="n">
        <f aca="false">SQRT(M49^2+N49^2)</f>
        <v>2.21709649087268</v>
      </c>
      <c r="P49" s="40" t="n">
        <f aca="false">IF(J49="","",MAX(0,J49-1.96*O49/100))</f>
        <v>0.462484135298232</v>
      </c>
      <c r="Q49" s="40" t="n">
        <f aca="false">IF(J49="","",MIN(1,J49+1.96*O49/100))</f>
        <v>0.549394317740442</v>
      </c>
      <c r="R49" s="32" t="str">
        <f aca="false">IF(L49="","",IF(ABS(L49)&lt;=O49,"Yes","No"))</f>
        <v>Yes</v>
      </c>
      <c r="S49" s="32" t="str">
        <f aca="false">IF(L49="","",IF(ABS(L49)&lt;=1.96*O49,"Yes","No"))</f>
        <v>Yes</v>
      </c>
      <c r="T49" s="59" t="n">
        <f aca="false">IF(D49="","",ROUND(SQRT(((D49+G49)*O49/100)^2+(J49*(D49+G49)*0.06406)^2),0))</f>
        <v>569</v>
      </c>
      <c r="U49" s="32"/>
    </row>
    <row r="50" customFormat="false" ht="15" hidden="false" customHeight="false" outlineLevel="0" collapsed="false">
      <c r="A50" s="32" t="s">
        <v>215</v>
      </c>
      <c r="B50" s="32" t="s">
        <v>216</v>
      </c>
      <c r="C50" s="32" t="s">
        <v>161</v>
      </c>
      <c r="D50" s="59" t="n">
        <v>397</v>
      </c>
      <c r="E50" s="59" t="n">
        <v>471</v>
      </c>
      <c r="F50" s="68" t="n">
        <f aca="false">IF(E50="","",D50-E50)</f>
        <v>-74</v>
      </c>
      <c r="G50" s="59" t="n">
        <v>1147</v>
      </c>
      <c r="H50" s="59" t="n">
        <v>1124</v>
      </c>
      <c r="I50" s="68" t="n">
        <f aca="false">IF(H50="","",G50-H50)</f>
        <v>23</v>
      </c>
      <c r="J50" s="40" t="n">
        <f aca="false">IF(OR(D50="",D50+G50=0),"",D50/(D50+G50))</f>
        <v>0.257124352331606</v>
      </c>
      <c r="K50" s="40" t="n">
        <f aca="false">IF(E50="","",E50/(E50+H50))</f>
        <v>0.295297805642633</v>
      </c>
      <c r="L50" s="69" t="n">
        <f aca="false">IF(OR(K50="",J50=""),"",(J50-K50)*100)</f>
        <v>-3.8173453311027</v>
      </c>
      <c r="M50" s="36" t="n">
        <v>3.7449094222202</v>
      </c>
      <c r="N50" s="36" t="n">
        <v>1.26699649100906</v>
      </c>
      <c r="O50" s="36" t="n">
        <f aca="false">SQRT(M50^2+N50^2)</f>
        <v>3.95343226688695</v>
      </c>
      <c r="P50" s="40" t="n">
        <f aca="false">IF(J50="","",MAX(0,J50-1.96*O50/100))</f>
        <v>0.179637079900622</v>
      </c>
      <c r="Q50" s="40" t="n">
        <f aca="false">IF(J50="","",MIN(1,J50+1.96*O50/100))</f>
        <v>0.33461162476259</v>
      </c>
      <c r="R50" s="32" t="str">
        <f aca="false">IF(L50="","",IF(ABS(L50)&lt;=O50,"Yes","No"))</f>
        <v>Yes</v>
      </c>
      <c r="S50" s="32" t="str">
        <f aca="false">IF(L50="","",IF(ABS(L50)&lt;=1.96*O50,"Yes","No"))</f>
        <v>Yes</v>
      </c>
      <c r="T50" s="59" t="n">
        <f aca="false">IF(D50="","",ROUND(SQRT(((D50+G50)*O50/100)^2+(J50*(D50+G50)*0.09173)^2),0))</f>
        <v>71</v>
      </c>
      <c r="U50" s="32"/>
    </row>
    <row r="51" customFormat="false" ht="15" hidden="false" customHeight="false" outlineLevel="0" collapsed="false">
      <c r="A51" s="32" t="s">
        <v>215</v>
      </c>
      <c r="B51" s="32" t="s">
        <v>218</v>
      </c>
      <c r="C51" s="32" t="s">
        <v>161</v>
      </c>
      <c r="D51" s="59" t="n">
        <v>1261</v>
      </c>
      <c r="E51" s="59" t="n">
        <v>1414</v>
      </c>
      <c r="F51" s="68" t="n">
        <f aca="false">IF(E51="","",D51-E51)</f>
        <v>-153</v>
      </c>
      <c r="G51" s="59" t="n">
        <v>2908</v>
      </c>
      <c r="H51" s="59" t="n">
        <v>2894</v>
      </c>
      <c r="I51" s="68" t="n">
        <f aca="false">IF(H51="","",G51-H51)</f>
        <v>14</v>
      </c>
      <c r="J51" s="40" t="n">
        <f aca="false">IF(OR(D51="",D51+G51=0),"",D51/(D51+G51))</f>
        <v>0.302470616454785</v>
      </c>
      <c r="K51" s="40" t="n">
        <f aca="false">IF(E51="","",E51/(E51+H51))</f>
        <v>0.328226555246054</v>
      </c>
      <c r="L51" s="69" t="n">
        <f aca="false">IF(OR(K51="",J51=""),"",(J51-K51)*100)</f>
        <v>-2.57559387912685</v>
      </c>
      <c r="M51" s="36" t="n">
        <v>1.81940560118152</v>
      </c>
      <c r="N51" s="36" t="n">
        <v>1.26699649100906</v>
      </c>
      <c r="O51" s="36" t="n">
        <f aca="false">SQRT(M51^2+N51^2)</f>
        <v>2.21709649087268</v>
      </c>
      <c r="P51" s="40" t="n">
        <f aca="false">IF(J51="","",MAX(0,J51-1.96*O51/100))</f>
        <v>0.259015525233681</v>
      </c>
      <c r="Q51" s="40" t="n">
        <f aca="false">IF(J51="","",MIN(1,J51+1.96*O51/100))</f>
        <v>0.34592570767589</v>
      </c>
      <c r="R51" s="32" t="str">
        <f aca="false">IF(L51="","",IF(ABS(L51)&lt;=O51,"Yes","No"))</f>
        <v>No</v>
      </c>
      <c r="S51" s="32" t="str">
        <f aca="false">IF(L51="","",IF(ABS(L51)&lt;=1.96*O51,"Yes","No"))</f>
        <v>Yes</v>
      </c>
      <c r="T51" s="59" t="n">
        <f aca="false">IF(D51="","",ROUND(SQRT(((D51+G51)*O51/100)^2+(J51*(D51+G51)*0.06406)^2),0))</f>
        <v>123</v>
      </c>
      <c r="U51" s="32"/>
    </row>
    <row r="52" customFormat="false" ht="15" hidden="false" customHeight="false" outlineLevel="0" collapsed="false">
      <c r="A52" s="32" t="s">
        <v>215</v>
      </c>
      <c r="B52" s="32" t="s">
        <v>219</v>
      </c>
      <c r="C52" s="32" t="s">
        <v>161</v>
      </c>
      <c r="D52" s="59" t="n">
        <v>405</v>
      </c>
      <c r="E52" s="59" t="n">
        <v>521</v>
      </c>
      <c r="F52" s="68" t="n">
        <f aca="false">IF(E52="","",D52-E52)</f>
        <v>-116</v>
      </c>
      <c r="G52" s="59" t="n">
        <v>905</v>
      </c>
      <c r="H52" s="59" t="n">
        <v>997</v>
      </c>
      <c r="I52" s="68" t="n">
        <f aca="false">IF(H52="","",G52-H52)</f>
        <v>-92</v>
      </c>
      <c r="J52" s="40" t="n">
        <f aca="false">IF(OR(D52="",D52+G52=0),"",D52/(D52+G52))</f>
        <v>0.309160305343511</v>
      </c>
      <c r="K52" s="40" t="n">
        <f aca="false">IF(E52="","",E52/(E52+H52))</f>
        <v>0.343214756258235</v>
      </c>
      <c r="L52" s="69" t="n">
        <f aca="false">IF(OR(K52="",J52=""),"",(J52-K52)*100)</f>
        <v>-3.4054450914723</v>
      </c>
      <c r="M52" s="36" t="n">
        <v>3.7449094222202</v>
      </c>
      <c r="N52" s="36" t="n">
        <v>1.26699649100906</v>
      </c>
      <c r="O52" s="36" t="n">
        <f aca="false">SQRT(M52^2+N52^2)</f>
        <v>3.95343226688695</v>
      </c>
      <c r="P52" s="40" t="n">
        <f aca="false">IF(J52="","",MAX(0,J52-1.96*O52/100))</f>
        <v>0.231673032912527</v>
      </c>
      <c r="Q52" s="40" t="n">
        <f aca="false">IF(J52="","",MIN(1,J52+1.96*O52/100))</f>
        <v>0.386647577774496</v>
      </c>
      <c r="R52" s="32" t="str">
        <f aca="false">IF(L52="","",IF(ABS(L52)&lt;=O52,"Yes","No"))</f>
        <v>Yes</v>
      </c>
      <c r="S52" s="32" t="str">
        <f aca="false">IF(L52="","",IF(ABS(L52)&lt;=1.96*O52,"Yes","No"))</f>
        <v>Yes</v>
      </c>
      <c r="T52" s="59" t="n">
        <f aca="false">IF(D52="","",ROUND(SQRT(((D52+G52)*O52/100)^2+(J52*(D52+G52)*0.09173)^2),0))</f>
        <v>64</v>
      </c>
      <c r="U52" s="32"/>
    </row>
    <row r="53" customFormat="false" ht="15" hidden="false" customHeight="false" outlineLevel="0" collapsed="false">
      <c r="A53" s="32" t="s">
        <v>220</v>
      </c>
      <c r="B53" s="32" t="s">
        <v>221</v>
      </c>
      <c r="C53" s="32" t="s">
        <v>161</v>
      </c>
      <c r="D53" s="59" t="n">
        <v>1403</v>
      </c>
      <c r="E53" s="59" t="n">
        <v>1511</v>
      </c>
      <c r="F53" s="68" t="n">
        <f aca="false">IF(E53="","",D53-E53)</f>
        <v>-108</v>
      </c>
      <c r="G53" s="59" t="n">
        <v>2061</v>
      </c>
      <c r="H53" s="59" t="n">
        <v>2018</v>
      </c>
      <c r="I53" s="68" t="n">
        <f aca="false">IF(H53="","",G53-H53)</f>
        <v>43</v>
      </c>
      <c r="J53" s="40" t="n">
        <f aca="false">IF(OR(D53="",D53+G53=0),"",D53/(D53+G53))</f>
        <v>0.405023094688222</v>
      </c>
      <c r="K53" s="40" t="n">
        <f aca="false">IF(E53="","",E53/(E53+H53))</f>
        <v>0.428166619438935</v>
      </c>
      <c r="L53" s="69" t="n">
        <f aca="false">IF(OR(K53="",J53=""),"",(J53-K53)*100)</f>
        <v>-2.31435247507128</v>
      </c>
      <c r="M53" s="36" t="n">
        <v>2.54601243465806</v>
      </c>
      <c r="N53" s="36" t="n">
        <v>1.26699649100906</v>
      </c>
      <c r="O53" s="36" t="n">
        <f aca="false">SQRT(M53^2+N53^2)</f>
        <v>2.84384588641205</v>
      </c>
      <c r="P53" s="40" t="n">
        <f aca="false">IF(J53="","",MAX(0,J53-1.96*O53/100))</f>
        <v>0.349283715314546</v>
      </c>
      <c r="Q53" s="40" t="n">
        <f aca="false">IF(J53="","",MIN(1,J53+1.96*O53/100))</f>
        <v>0.460762474061898</v>
      </c>
      <c r="R53" s="32" t="str">
        <f aca="false">IF(L53="","",IF(ABS(L53)&lt;=O53,"Yes","No"))</f>
        <v>Yes</v>
      </c>
      <c r="S53" s="32" t="str">
        <f aca="false">IF(L53="","",IF(ABS(L53)&lt;=1.96*O53,"Yes","No"))</f>
        <v>Yes</v>
      </c>
      <c r="T53" s="59" t="n">
        <f aca="false">IF(D53="","",ROUND(SQRT(((D53+G53)*O53/100)^2+(J53*(D53+G53)*0.07048)^2),0))</f>
        <v>140</v>
      </c>
      <c r="U53" s="32"/>
    </row>
    <row r="54" customFormat="false" ht="15" hidden="false" customHeight="false" outlineLevel="0" collapsed="false">
      <c r="A54" s="32" t="s">
        <v>220</v>
      </c>
      <c r="B54" s="32" t="s">
        <v>222</v>
      </c>
      <c r="C54" s="32" t="s">
        <v>161</v>
      </c>
      <c r="D54" s="59" t="n">
        <v>916</v>
      </c>
      <c r="E54" s="59" t="n">
        <v>959</v>
      </c>
      <c r="F54" s="68" t="n">
        <f aca="false">IF(E54="","",D54-E54)</f>
        <v>-43</v>
      </c>
      <c r="G54" s="59" t="n">
        <v>1420</v>
      </c>
      <c r="H54" s="59" t="n">
        <v>1364</v>
      </c>
      <c r="I54" s="68" t="n">
        <f aca="false">IF(H54="","",G54-H54)</f>
        <v>56</v>
      </c>
      <c r="J54" s="40" t="n">
        <f aca="false">IF(OR(D54="",D54+G54=0),"",D54/(D54+G54))</f>
        <v>0.392123287671233</v>
      </c>
      <c r="K54" s="40" t="n">
        <f aca="false">IF(E54="","",E54/(E54+H54))</f>
        <v>0.412828239345674</v>
      </c>
      <c r="L54" s="69" t="n">
        <f aca="false">IF(OR(K54="",J54=""),"",(J54-K54)*100)</f>
        <v>-2.07049516744408</v>
      </c>
      <c r="M54" s="36" t="n">
        <v>2.54601243465806</v>
      </c>
      <c r="N54" s="36" t="n">
        <v>1.26699649100906</v>
      </c>
      <c r="O54" s="36" t="n">
        <f aca="false">SQRT(M54^2+N54^2)</f>
        <v>2.84384588641205</v>
      </c>
      <c r="P54" s="40" t="n">
        <f aca="false">IF(J54="","",MAX(0,J54-1.96*O54/100))</f>
        <v>0.336383908297557</v>
      </c>
      <c r="Q54" s="40" t="n">
        <f aca="false">IF(J54="","",MIN(1,J54+1.96*O54/100))</f>
        <v>0.447862667044909</v>
      </c>
      <c r="R54" s="32" t="str">
        <f aca="false">IF(L54="","",IF(ABS(L54)&lt;=O54,"Yes","No"))</f>
        <v>Yes</v>
      </c>
      <c r="S54" s="32" t="str">
        <f aca="false">IF(L54="","",IF(ABS(L54)&lt;=1.96*O54,"Yes","No"))</f>
        <v>Yes</v>
      </c>
      <c r="T54" s="59" t="n">
        <f aca="false">IF(D54="","",ROUND(SQRT(((D54+G54)*O54/100)^2+(J54*(D54+G54)*0.07048)^2),0))</f>
        <v>93</v>
      </c>
      <c r="U54" s="32"/>
    </row>
    <row r="55" customFormat="false" ht="15" hidden="false" customHeight="false" outlineLevel="0" collapsed="false">
      <c r="A55" s="32" t="s">
        <v>220</v>
      </c>
      <c r="B55" s="32" t="s">
        <v>223</v>
      </c>
      <c r="C55" s="32" t="s">
        <v>161</v>
      </c>
      <c r="D55" s="59" t="n">
        <v>581</v>
      </c>
      <c r="E55" s="59" t="n">
        <v>623</v>
      </c>
      <c r="F55" s="68" t="n">
        <f aca="false">IF(E55="","",D55-E55)</f>
        <v>-42</v>
      </c>
      <c r="G55" s="59" t="n">
        <v>789</v>
      </c>
      <c r="H55" s="59" t="n">
        <v>726</v>
      </c>
      <c r="I55" s="68" t="n">
        <f aca="false">IF(H55="","",G55-H55)</f>
        <v>63</v>
      </c>
      <c r="J55" s="40" t="n">
        <f aca="false">IF(OR(D55="",D55+G55=0),"",D55/(D55+G55))</f>
        <v>0.424087591240876</v>
      </c>
      <c r="K55" s="40" t="n">
        <f aca="false">IF(E55="","",E55/(E55+H55))</f>
        <v>0.46182357301705</v>
      </c>
      <c r="L55" s="69" t="n">
        <f aca="false">IF(OR(K55="",J55=""),"",(J55-K55)*100)</f>
        <v>-3.77359817761738</v>
      </c>
      <c r="M55" s="36" t="n">
        <v>3.7449094222202</v>
      </c>
      <c r="N55" s="36" t="n">
        <v>1.26699649100906</v>
      </c>
      <c r="O55" s="36" t="n">
        <f aca="false">SQRT(M55^2+N55^2)</f>
        <v>3.95343226688695</v>
      </c>
      <c r="P55" s="40" t="n">
        <f aca="false">IF(J55="","",MAX(0,J55-1.96*O55/100))</f>
        <v>0.346600318809892</v>
      </c>
      <c r="Q55" s="40" t="n">
        <f aca="false">IF(J55="","",MIN(1,J55+1.96*O55/100))</f>
        <v>0.50157486367186</v>
      </c>
      <c r="R55" s="32" t="str">
        <f aca="false">IF(L55="","",IF(ABS(L55)&lt;=O55,"Yes","No"))</f>
        <v>Yes</v>
      </c>
      <c r="S55" s="32" t="str">
        <f aca="false">IF(L55="","",IF(ABS(L55)&lt;=1.96*O55,"Yes","No"))</f>
        <v>Yes</v>
      </c>
      <c r="T55" s="59" t="n">
        <f aca="false">IF(D55="","",ROUND(SQRT(((D55+G55)*O55/100)^2+(J55*(D55+G55)*0.09173)^2),0))</f>
        <v>76</v>
      </c>
      <c r="U55" s="32"/>
    </row>
    <row r="56" customFormat="false" ht="15" hidden="false" customHeight="false" outlineLevel="0" collapsed="false">
      <c r="A56" s="32" t="s">
        <v>220</v>
      </c>
      <c r="B56" s="32" t="s">
        <v>192</v>
      </c>
      <c r="C56" s="32" t="s">
        <v>161</v>
      </c>
      <c r="D56" s="59" t="n">
        <v>17020</v>
      </c>
      <c r="E56" s="59" t="n">
        <v>17416</v>
      </c>
      <c r="F56" s="68" t="n">
        <f aca="false">IF(E56="","",D56-E56)</f>
        <v>-396</v>
      </c>
      <c r="G56" s="59" t="n">
        <v>8563</v>
      </c>
      <c r="H56" s="59" t="n">
        <v>8640</v>
      </c>
      <c r="I56" s="68" t="n">
        <f aca="false">IF(H56="","",G56-H56)</f>
        <v>-77</v>
      </c>
      <c r="J56" s="40" t="n">
        <f aca="false">IF(OR(D56="",D56+G56=0),"",D56/(D56+G56))</f>
        <v>0.66528554117969</v>
      </c>
      <c r="K56" s="40" t="n">
        <f aca="false">IF(E56="","",E56/(E56+H56))</f>
        <v>0.668406509057415</v>
      </c>
      <c r="L56" s="69" t="n">
        <f aca="false">IF(OR(K56="",J56=""),"",(J56-K56)*100)</f>
        <v>-0.31209678777252</v>
      </c>
      <c r="M56" s="36" t="n">
        <v>1.81940560118152</v>
      </c>
      <c r="N56" s="36" t="n">
        <v>1.26699649100906</v>
      </c>
      <c r="O56" s="36" t="n">
        <f aca="false">SQRT(M56^2+N56^2)</f>
        <v>2.21709649087268</v>
      </c>
      <c r="P56" s="40" t="n">
        <f aca="false">IF(J56="","",MAX(0,J56-1.96*O56/100))</f>
        <v>0.621830449958585</v>
      </c>
      <c r="Q56" s="40" t="n">
        <f aca="false">IF(J56="","",MIN(1,J56+1.96*O56/100))</f>
        <v>0.708740632400794</v>
      </c>
      <c r="R56" s="32" t="str">
        <f aca="false">IF(L56="","",IF(ABS(L56)&lt;=O56,"Yes","No"))</f>
        <v>Yes</v>
      </c>
      <c r="S56" s="32" t="str">
        <f aca="false">IF(L56="","",IF(ABS(L56)&lt;=1.96*O56,"Yes","No"))</f>
        <v>Yes</v>
      </c>
      <c r="T56" s="59" t="n">
        <f aca="false">IF(D56="","",ROUND(SQRT(((D56+G56)*O56/100)^2+(J56*(D56+G56)*0.06406)^2),0))</f>
        <v>1229</v>
      </c>
      <c r="U56" s="32"/>
    </row>
    <row r="57" customFormat="false" ht="15" hidden="false" customHeight="false" outlineLevel="0" collapsed="false">
      <c r="A57" s="32" t="s">
        <v>220</v>
      </c>
      <c r="B57" s="32" t="s">
        <v>224</v>
      </c>
      <c r="C57" s="32" t="s">
        <v>161</v>
      </c>
      <c r="D57" s="59" t="n">
        <v>8051</v>
      </c>
      <c r="E57" s="59" t="n">
        <v>8595</v>
      </c>
      <c r="F57" s="68" t="n">
        <f aca="false">IF(E57="","",D57-E57)</f>
        <v>-544</v>
      </c>
      <c r="G57" s="59" t="n">
        <v>7882</v>
      </c>
      <c r="H57" s="59" t="n">
        <v>7440</v>
      </c>
      <c r="I57" s="68" t="n">
        <f aca="false">IF(H57="","",G57-H57)</f>
        <v>442</v>
      </c>
      <c r="J57" s="40" t="n">
        <f aca="false">IF(OR(D57="",D57+G57=0),"",D57/(D57+G57))</f>
        <v>0.505303458231344</v>
      </c>
      <c r="K57" s="40" t="n">
        <f aca="false">IF(E57="","",E57/(E57+H57))</f>
        <v>0.536014967259121</v>
      </c>
      <c r="L57" s="69" t="n">
        <f aca="false">IF(OR(K57="",J57=""),"",(J57-K57)*100)</f>
        <v>-3.0711509027777</v>
      </c>
      <c r="M57" s="36" t="n">
        <v>1.81940560118152</v>
      </c>
      <c r="N57" s="36" t="n">
        <v>1.26699649100906</v>
      </c>
      <c r="O57" s="36" t="n">
        <f aca="false">SQRT(M57^2+N57^2)</f>
        <v>2.21709649087268</v>
      </c>
      <c r="P57" s="40" t="n">
        <f aca="false">IF(J57="","",MAX(0,J57-1.96*O57/100))</f>
        <v>0.461848367010239</v>
      </c>
      <c r="Q57" s="40" t="n">
        <f aca="false">IF(J57="","",MIN(1,J57+1.96*O57/100))</f>
        <v>0.548758549452448</v>
      </c>
      <c r="R57" s="32" t="str">
        <f aca="false">IF(L57="","",IF(ABS(L57)&lt;=O57,"Yes","No"))</f>
        <v>No</v>
      </c>
      <c r="S57" s="32" t="str">
        <f aca="false">IF(L57="","",IF(ABS(L57)&lt;=1.96*O57,"Yes","No"))</f>
        <v>Yes</v>
      </c>
      <c r="T57" s="59" t="n">
        <f aca="false">IF(D57="","",ROUND(SQRT(((D57+G57)*O57/100)^2+(J57*(D57+G57)*0.06406)^2),0))</f>
        <v>625</v>
      </c>
      <c r="U57" s="32"/>
    </row>
    <row r="58" customFormat="false" ht="15" hidden="false" customHeight="false" outlineLevel="0" collapsed="false">
      <c r="A58" s="32" t="s">
        <v>220</v>
      </c>
      <c r="B58" s="32" t="s">
        <v>225</v>
      </c>
      <c r="C58" s="32" t="s">
        <v>161</v>
      </c>
      <c r="D58" s="59" t="n">
        <v>1910</v>
      </c>
      <c r="E58" s="59" t="n">
        <v>2169</v>
      </c>
      <c r="F58" s="68" t="n">
        <f aca="false">IF(E58="","",D58-E58)</f>
        <v>-259</v>
      </c>
      <c r="G58" s="59" t="n">
        <v>3705</v>
      </c>
      <c r="H58" s="59" t="n">
        <v>3459</v>
      </c>
      <c r="I58" s="68" t="n">
        <f aca="false">IF(H58="","",G58-H58)</f>
        <v>246</v>
      </c>
      <c r="J58" s="40" t="n">
        <f aca="false">IF(OR(D58="",D58+G58=0),"",D58/(D58+G58))</f>
        <v>0.340160284951024</v>
      </c>
      <c r="K58" s="40" t="n">
        <f aca="false">IF(E58="","",E58/(E58+H58))</f>
        <v>0.385394456289979</v>
      </c>
      <c r="L58" s="69" t="n">
        <f aca="false">IF(OR(K58="",J58=""),"",(J58-K58)*100)</f>
        <v>-4.52341713389547</v>
      </c>
      <c r="M58" s="36" t="n">
        <v>1.81940560118152</v>
      </c>
      <c r="N58" s="36" t="n">
        <v>1.26699649100906</v>
      </c>
      <c r="O58" s="36" t="n">
        <f aca="false">SQRT(M58^2+N58^2)</f>
        <v>2.21709649087268</v>
      </c>
      <c r="P58" s="40" t="n">
        <f aca="false">IF(J58="","",MAX(0,J58-1.96*O58/100))</f>
        <v>0.29670519372992</v>
      </c>
      <c r="Q58" s="40" t="n">
        <f aca="false">IF(J58="","",MIN(1,J58+1.96*O58/100))</f>
        <v>0.383615376172129</v>
      </c>
      <c r="R58" s="32" t="str">
        <f aca="false">IF(L58="","",IF(ABS(L58)&lt;=O58,"Yes","No"))</f>
        <v>No</v>
      </c>
      <c r="S58" s="32" t="str">
        <f aca="false">IF(L58="","",IF(ABS(L58)&lt;=1.96*O58,"Yes","No"))</f>
        <v>No</v>
      </c>
      <c r="T58" s="59" t="n">
        <f aca="false">IF(D58="","",ROUND(SQRT(((D58+G58)*O58/100)^2+(J58*(D58+G58)*0.06406)^2),0))</f>
        <v>175</v>
      </c>
      <c r="U58" s="32"/>
    </row>
    <row r="59" customFormat="false" ht="15" hidden="false" customHeight="false" outlineLevel="0" collapsed="false">
      <c r="A59" s="32" t="s">
        <v>220</v>
      </c>
      <c r="B59" s="32" t="s">
        <v>226</v>
      </c>
      <c r="C59" s="32" t="s">
        <v>161</v>
      </c>
      <c r="D59" s="59" t="n">
        <v>40</v>
      </c>
      <c r="E59" s="59" t="n">
        <v>40</v>
      </c>
      <c r="F59" s="68" t="n">
        <f aca="false">IF(E59="","",D59-E59)</f>
        <v>0</v>
      </c>
      <c r="G59" s="59" t="n">
        <v>81</v>
      </c>
      <c r="H59" s="59" t="n">
        <v>83</v>
      </c>
      <c r="I59" s="68" t="n">
        <f aca="false">IF(H59="","",G59-H59)</f>
        <v>-2</v>
      </c>
      <c r="J59" s="40" t="n">
        <f aca="false">IF(OR(D59="",D59+G59=0),"",D59/(D59+G59))</f>
        <v>0.330578512396694</v>
      </c>
      <c r="K59" s="40" t="n">
        <f aca="false">IF(E59="","",E59/(E59+H59))</f>
        <v>0.32520325203252</v>
      </c>
      <c r="L59" s="69" t="n">
        <f aca="false">IF(OR(K59="",J59=""),"",(J59-K59)*100)</f>
        <v>0.537526036417391</v>
      </c>
      <c r="M59" s="36" t="n">
        <v>3.7449094222202</v>
      </c>
      <c r="N59" s="36" t="n">
        <v>1.26699649100906</v>
      </c>
      <c r="O59" s="36" t="n">
        <f aca="false">SQRT(M59^2+N59^2)</f>
        <v>3.95343226688695</v>
      </c>
      <c r="P59" s="40" t="n">
        <f aca="false">IF(J59="","",MAX(0,J59-1.96*O59/100))</f>
        <v>0.25309123996571</v>
      </c>
      <c r="Q59" s="40" t="n">
        <f aca="false">IF(J59="","",MIN(1,J59+1.96*O59/100))</f>
        <v>0.408065784827678</v>
      </c>
      <c r="R59" s="32" t="str">
        <f aca="false">IF(L59="","",IF(ABS(L59)&lt;=O59,"Yes","No"))</f>
        <v>Yes</v>
      </c>
      <c r="S59" s="32" t="str">
        <f aca="false">IF(L59="","",IF(ABS(L59)&lt;=1.96*O59,"Yes","No"))</f>
        <v>Yes</v>
      </c>
      <c r="T59" s="59" t="n">
        <f aca="false">IF(D59="","",ROUND(SQRT(((D59+G59)*O59/100)^2+(J59*(D59+G59)*0.09173)^2),0))</f>
        <v>6</v>
      </c>
      <c r="U59" s="32"/>
    </row>
    <row r="60" customFormat="false" ht="15" hidden="false" customHeight="false" outlineLevel="0" collapsed="false">
      <c r="A60" s="32" t="s">
        <v>220</v>
      </c>
      <c r="B60" s="32" t="s">
        <v>227</v>
      </c>
      <c r="C60" s="32" t="s">
        <v>161</v>
      </c>
      <c r="D60" s="59" t="n">
        <v>1362</v>
      </c>
      <c r="E60" s="59" t="n">
        <v>1484</v>
      </c>
      <c r="F60" s="68" t="n">
        <f aca="false">IF(E60="","",D60-E60)</f>
        <v>-122</v>
      </c>
      <c r="G60" s="59" t="n">
        <v>2007</v>
      </c>
      <c r="H60" s="59" t="n">
        <v>1959</v>
      </c>
      <c r="I60" s="68" t="n">
        <f aca="false">IF(H60="","",G60-H60)</f>
        <v>48</v>
      </c>
      <c r="J60" s="40" t="n">
        <f aca="false">IF(OR(D60="",D60+G60=0),"",D60/(D60+G60))</f>
        <v>0.404274265360641</v>
      </c>
      <c r="K60" s="40" t="n">
        <f aca="false">IF(E60="","",E60/(E60+H60))</f>
        <v>0.431019459773453</v>
      </c>
      <c r="L60" s="69" t="n">
        <f aca="false">IF(OR(K60="",J60=""),"",(J60-K60)*100)</f>
        <v>-2.67451944128123</v>
      </c>
      <c r="M60" s="36" t="n">
        <v>2.54601243465806</v>
      </c>
      <c r="N60" s="36" t="n">
        <v>1.26699649100906</v>
      </c>
      <c r="O60" s="36" t="n">
        <f aca="false">SQRT(M60^2+N60^2)</f>
        <v>2.84384588641205</v>
      </c>
      <c r="P60" s="40" t="n">
        <f aca="false">IF(J60="","",MAX(0,J60-1.96*O60/100))</f>
        <v>0.348534885986965</v>
      </c>
      <c r="Q60" s="40" t="n">
        <f aca="false">IF(J60="","",MIN(1,J60+1.96*O60/100))</f>
        <v>0.460013644734317</v>
      </c>
      <c r="R60" s="32" t="str">
        <f aca="false">IF(L60="","",IF(ABS(L60)&lt;=O60,"Yes","No"))</f>
        <v>Yes</v>
      </c>
      <c r="S60" s="32" t="str">
        <f aca="false">IF(L60="","",IF(ABS(L60)&lt;=1.96*O60,"Yes","No"))</f>
        <v>Yes</v>
      </c>
      <c r="T60" s="59" t="n">
        <f aca="false">IF(D60="","",ROUND(SQRT(((D60+G60)*O60/100)^2+(J60*(D60+G60)*0.07048)^2),0))</f>
        <v>136</v>
      </c>
      <c r="U60" s="32"/>
    </row>
    <row r="61" customFormat="false" ht="15" hidden="false" customHeight="false" outlineLevel="0" collapsed="false">
      <c r="A61" s="32" t="s">
        <v>220</v>
      </c>
      <c r="B61" s="32" t="s">
        <v>228</v>
      </c>
      <c r="C61" s="32" t="s">
        <v>161</v>
      </c>
      <c r="D61" s="59" t="n">
        <v>174</v>
      </c>
      <c r="E61" s="59" t="n">
        <v>217</v>
      </c>
      <c r="F61" s="68" t="n">
        <f aca="false">IF(E61="","",D61-E61)</f>
        <v>-43</v>
      </c>
      <c r="G61" s="59" t="n">
        <v>337</v>
      </c>
      <c r="H61" s="59" t="n">
        <v>309</v>
      </c>
      <c r="I61" s="68" t="n">
        <f aca="false">IF(H61="","",G61-H61)</f>
        <v>28</v>
      </c>
      <c r="J61" s="40" t="n">
        <f aca="false">IF(OR(D61="",D61+G61=0),"",D61/(D61+G61))</f>
        <v>0.340508806262231</v>
      </c>
      <c r="K61" s="40" t="n">
        <f aca="false">IF(E61="","",E61/(E61+H61))</f>
        <v>0.41254752851711</v>
      </c>
      <c r="L61" s="69" t="n">
        <f aca="false">IF(OR(K61="",J61=""),"",(J61-K61)*100)</f>
        <v>-7.20387222548793</v>
      </c>
      <c r="M61" s="36" t="n">
        <v>3.7449094222202</v>
      </c>
      <c r="N61" s="36" t="n">
        <v>1.26699649100906</v>
      </c>
      <c r="O61" s="36" t="n">
        <f aca="false">SQRT(M61^2+N61^2)</f>
        <v>3.95343226688695</v>
      </c>
      <c r="P61" s="40" t="n">
        <f aca="false">IF(J61="","",MAX(0,J61-1.96*O61/100))</f>
        <v>0.263021533831247</v>
      </c>
      <c r="Q61" s="40" t="n">
        <f aca="false">IF(J61="","",MIN(1,J61+1.96*O61/100))</f>
        <v>0.417996078693215</v>
      </c>
      <c r="R61" s="32" t="str">
        <f aca="false">IF(L61="","",IF(ABS(L61)&lt;=O61,"Yes","No"))</f>
        <v>No</v>
      </c>
      <c r="S61" s="32" t="str">
        <f aca="false">IF(L61="","",IF(ABS(L61)&lt;=1.96*O61,"Yes","No"))</f>
        <v>Yes</v>
      </c>
      <c r="T61" s="59" t="n">
        <f aca="false">IF(D61="","",ROUND(SQRT(((D61+G61)*O61/100)^2+(J61*(D61+G61)*0.09173)^2),0))</f>
        <v>26</v>
      </c>
      <c r="U61" s="32"/>
    </row>
    <row r="62" customFormat="false" ht="15" hidden="false" customHeight="false" outlineLevel="0" collapsed="false">
      <c r="A62" s="32" t="s">
        <v>220</v>
      </c>
      <c r="B62" s="32" t="s">
        <v>229</v>
      </c>
      <c r="C62" s="32" t="s">
        <v>161</v>
      </c>
      <c r="D62" s="59" t="n">
        <v>7125</v>
      </c>
      <c r="E62" s="59" t="n">
        <v>7604</v>
      </c>
      <c r="F62" s="68" t="n">
        <f aca="false">IF(E62="","",D62-E62)</f>
        <v>-479</v>
      </c>
      <c r="G62" s="59" t="n">
        <v>3406</v>
      </c>
      <c r="H62" s="59" t="n">
        <v>3303</v>
      </c>
      <c r="I62" s="68" t="n">
        <f aca="false">IF(H62="","",G62-H62)</f>
        <v>103</v>
      </c>
      <c r="J62" s="40" t="n">
        <f aca="false">IF(OR(D62="",D62+G62=0),"",D62/(D62+G62))</f>
        <v>0.676573924603551</v>
      </c>
      <c r="K62" s="40" t="n">
        <f aca="false">IF(E62="","",E62/(E62+H62))</f>
        <v>0.697166957000092</v>
      </c>
      <c r="L62" s="69" t="n">
        <f aca="false">IF(OR(K62="",J62=""),"",(J62-K62)*100)</f>
        <v>-2.05930323965403</v>
      </c>
      <c r="M62" s="36" t="n">
        <v>1.81940560118152</v>
      </c>
      <c r="N62" s="36" t="n">
        <v>1.26699649100906</v>
      </c>
      <c r="O62" s="36" t="n">
        <f aca="false">SQRT(M62^2+N62^2)</f>
        <v>2.21709649087268</v>
      </c>
      <c r="P62" s="40" t="n">
        <f aca="false">IF(J62="","",MAX(0,J62-1.96*O62/100))</f>
        <v>0.633118833382447</v>
      </c>
      <c r="Q62" s="40" t="n">
        <f aca="false">IF(J62="","",MIN(1,J62+1.96*O62/100))</f>
        <v>0.720029015824656</v>
      </c>
      <c r="R62" s="32" t="str">
        <f aca="false">IF(L62="","",IF(ABS(L62)&lt;=O62,"Yes","No"))</f>
        <v>Yes</v>
      </c>
      <c r="S62" s="32" t="str">
        <f aca="false">IF(L62="","",IF(ABS(L62)&lt;=1.96*O62,"Yes","No"))</f>
        <v>Yes</v>
      </c>
      <c r="T62" s="59" t="n">
        <f aca="false">IF(D62="","",ROUND(SQRT(((D62+G62)*O62/100)^2+(J62*(D62+G62)*0.06406)^2),0))</f>
        <v>513</v>
      </c>
      <c r="U62" s="32"/>
    </row>
    <row r="63" customFormat="false" ht="15" hidden="false" customHeight="false" outlineLevel="0" collapsed="false">
      <c r="A63" s="32" t="s">
        <v>220</v>
      </c>
      <c r="B63" s="32" t="s">
        <v>230</v>
      </c>
      <c r="C63" s="32" t="s">
        <v>161</v>
      </c>
      <c r="D63" s="59" t="n">
        <v>5157</v>
      </c>
      <c r="E63" s="59" t="n">
        <v>5358</v>
      </c>
      <c r="F63" s="68" t="n">
        <f aca="false">IF(E63="","",D63-E63)</f>
        <v>-201</v>
      </c>
      <c r="G63" s="59" t="n">
        <v>5122</v>
      </c>
      <c r="H63" s="59" t="n">
        <v>5027</v>
      </c>
      <c r="I63" s="68" t="n">
        <f aca="false">IF(H63="","",G63-H63)</f>
        <v>95</v>
      </c>
      <c r="J63" s="40" t="n">
        <f aca="false">IF(OR(D63="",D63+G63=0),"",D63/(D63+G63))</f>
        <v>0.501702500243214</v>
      </c>
      <c r="K63" s="40" t="n">
        <f aca="false">IF(E63="","",E63/(E63+H63))</f>
        <v>0.515936446798267</v>
      </c>
      <c r="L63" s="69" t="n">
        <f aca="false">IF(OR(K63="",J63=""),"",(J63-K63)*100)</f>
        <v>-1.42339465550525</v>
      </c>
      <c r="M63" s="36" t="n">
        <v>1.81940560118152</v>
      </c>
      <c r="N63" s="36" t="n">
        <v>1.26699649100906</v>
      </c>
      <c r="O63" s="36" t="n">
        <f aca="false">SQRT(M63^2+N63^2)</f>
        <v>2.21709649087268</v>
      </c>
      <c r="P63" s="40" t="n">
        <f aca="false">IF(J63="","",MAX(0,J63-1.96*O63/100))</f>
        <v>0.45824740902211</v>
      </c>
      <c r="Q63" s="40" t="n">
        <f aca="false">IF(J63="","",MIN(1,J63+1.96*O63/100))</f>
        <v>0.545157591464319</v>
      </c>
      <c r="R63" s="32" t="str">
        <f aca="false">IF(L63="","",IF(ABS(L63)&lt;=O63,"Yes","No"))</f>
        <v>Yes</v>
      </c>
      <c r="S63" s="32" t="str">
        <f aca="false">IF(L63="","",IF(ABS(L63)&lt;=1.96*O63,"Yes","No"))</f>
        <v>Yes</v>
      </c>
      <c r="T63" s="59" t="n">
        <f aca="false">IF(D63="","",ROUND(SQRT(((D63+G63)*O63/100)^2+(J63*(D63+G63)*0.06406)^2),0))</f>
        <v>401</v>
      </c>
      <c r="U63" s="32"/>
    </row>
    <row r="64" customFormat="false" ht="15" hidden="false" customHeight="false" outlineLevel="0" collapsed="false">
      <c r="A64" s="32" t="s">
        <v>220</v>
      </c>
      <c r="B64" s="32" t="s">
        <v>231</v>
      </c>
      <c r="C64" s="32" t="s">
        <v>161</v>
      </c>
      <c r="D64" s="59" t="n">
        <v>727</v>
      </c>
      <c r="E64" s="59" t="n">
        <v>714</v>
      </c>
      <c r="F64" s="68" t="n">
        <f aca="false">IF(E64="","",D64-E64)</f>
        <v>13</v>
      </c>
      <c r="G64" s="59" t="n">
        <v>538</v>
      </c>
      <c r="H64" s="59" t="n">
        <v>484</v>
      </c>
      <c r="I64" s="68" t="n">
        <f aca="false">IF(H64="","",G64-H64)</f>
        <v>54</v>
      </c>
      <c r="J64" s="40" t="n">
        <f aca="false">IF(OR(D64="",D64+G64=0),"",D64/(D64+G64))</f>
        <v>0.574703557312253</v>
      </c>
      <c r="K64" s="40" t="n">
        <f aca="false">IF(E64="","",E64/(E64+H64))</f>
        <v>0.595993322203673</v>
      </c>
      <c r="L64" s="69" t="n">
        <f aca="false">IF(OR(K64="",J64=""),"",(J64-K64)*100)</f>
        <v>-2.12897648914198</v>
      </c>
      <c r="M64" s="36" t="n">
        <v>3.7449094222202</v>
      </c>
      <c r="N64" s="36" t="n">
        <v>1.26699649100906</v>
      </c>
      <c r="O64" s="36" t="n">
        <f aca="false">SQRT(M64^2+N64^2)</f>
        <v>3.95343226688695</v>
      </c>
      <c r="P64" s="40" t="n">
        <f aca="false">IF(J64="","",MAX(0,J64-1.96*O64/100))</f>
        <v>0.497216284881269</v>
      </c>
      <c r="Q64" s="40" t="n">
        <f aca="false">IF(J64="","",MIN(1,J64+1.96*O64/100))</f>
        <v>0.652190829743237</v>
      </c>
      <c r="R64" s="32" t="str">
        <f aca="false">IF(L64="","",IF(ABS(L64)&lt;=O64,"Yes","No"))</f>
        <v>Yes</v>
      </c>
      <c r="S64" s="32" t="str">
        <f aca="false">IF(L64="","",IF(ABS(L64)&lt;=1.96*O64,"Yes","No"))</f>
        <v>Yes</v>
      </c>
      <c r="T64" s="59" t="n">
        <f aca="false">IF(D64="","",ROUND(SQRT(((D64+G64)*O64/100)^2+(J64*(D64+G64)*0.09173)^2),0))</f>
        <v>83</v>
      </c>
      <c r="U64" s="32"/>
    </row>
    <row r="65" customFormat="false" ht="15" hidden="false" customHeight="false" outlineLevel="0" collapsed="false">
      <c r="A65" s="32" t="s">
        <v>220</v>
      </c>
      <c r="B65" s="32" t="s">
        <v>232</v>
      </c>
      <c r="C65" s="32" t="s">
        <v>161</v>
      </c>
      <c r="D65" s="59" t="n">
        <v>98</v>
      </c>
      <c r="E65" s="59" t="n">
        <v>109</v>
      </c>
      <c r="F65" s="68" t="n">
        <f aca="false">IF(E65="","",D65-E65)</f>
        <v>-11</v>
      </c>
      <c r="G65" s="59" t="n">
        <v>107</v>
      </c>
      <c r="H65" s="59" t="n">
        <v>97</v>
      </c>
      <c r="I65" s="68" t="n">
        <f aca="false">IF(H65="","",G65-H65)</f>
        <v>10</v>
      </c>
      <c r="J65" s="40" t="n">
        <f aca="false">IF(OR(D65="",D65+G65=0),"",D65/(D65+G65))</f>
        <v>0.478048780487805</v>
      </c>
      <c r="K65" s="40" t="n">
        <f aca="false">IF(E65="","",E65/(E65+H65))</f>
        <v>0.529126213592233</v>
      </c>
      <c r="L65" s="69" t="n">
        <f aca="false">IF(OR(K65="",J65=""),"",(J65-K65)*100)</f>
        <v>-5.10774331044281</v>
      </c>
      <c r="M65" s="36" t="n">
        <v>3.7449094222202</v>
      </c>
      <c r="N65" s="36" t="n">
        <v>1.26699649100906</v>
      </c>
      <c r="O65" s="36" t="n">
        <f aca="false">SQRT(M65^2+N65^2)</f>
        <v>3.95343226688695</v>
      </c>
      <c r="P65" s="40" t="n">
        <f aca="false">IF(J65="","",MAX(0,J65-1.96*O65/100))</f>
        <v>0.400561508056821</v>
      </c>
      <c r="Q65" s="40" t="n">
        <f aca="false">IF(J65="","",MIN(1,J65+1.96*O65/100))</f>
        <v>0.555536052918789</v>
      </c>
      <c r="R65" s="32" t="str">
        <f aca="false">IF(L65="","",IF(ABS(L65)&lt;=O65,"Yes","No"))</f>
        <v>No</v>
      </c>
      <c r="S65" s="32" t="str">
        <f aca="false">IF(L65="","",IF(ABS(L65)&lt;=1.96*O65,"Yes","No"))</f>
        <v>Yes</v>
      </c>
      <c r="T65" s="59" t="n">
        <f aca="false">IF(D65="","",ROUND(SQRT(((D65+G65)*O65/100)^2+(J65*(D65+G65)*0.09173)^2),0))</f>
        <v>12</v>
      </c>
      <c r="U65" s="32"/>
    </row>
    <row r="66" customFormat="false" ht="15" hidden="false" customHeight="false" outlineLevel="0" collapsed="false">
      <c r="A66" s="32" t="s">
        <v>220</v>
      </c>
      <c r="B66" s="32" t="s">
        <v>198</v>
      </c>
      <c r="C66" s="32" t="s">
        <v>161</v>
      </c>
      <c r="D66" s="59" t="n">
        <v>4058</v>
      </c>
      <c r="E66" s="59" t="n">
        <v>4341</v>
      </c>
      <c r="F66" s="68" t="n">
        <f aca="false">IF(E66="","",D66-E66)</f>
        <v>-283</v>
      </c>
      <c r="G66" s="59" t="n">
        <v>3891</v>
      </c>
      <c r="H66" s="59" t="n">
        <v>3620</v>
      </c>
      <c r="I66" s="68" t="n">
        <f aca="false">IF(H66="","",G66-H66)</f>
        <v>271</v>
      </c>
      <c r="J66" s="40" t="n">
        <f aca="false">IF(OR(D66="",D66+G66=0),"",D66/(D66+G66))</f>
        <v>0.510504465970562</v>
      </c>
      <c r="K66" s="40" t="n">
        <f aca="false">IF(E66="","",E66/(E66+H66))</f>
        <v>0.545283255872378</v>
      </c>
      <c r="L66" s="69" t="n">
        <f aca="false">IF(OR(K66="",J66=""),"",(J66-K66)*100)</f>
        <v>-3.47787899018155</v>
      </c>
      <c r="M66" s="36" t="n">
        <v>1.81940560118152</v>
      </c>
      <c r="N66" s="36" t="n">
        <v>1.26699649100906</v>
      </c>
      <c r="O66" s="36" t="n">
        <f aca="false">SQRT(M66^2+N66^2)</f>
        <v>2.21709649087268</v>
      </c>
      <c r="P66" s="40" t="n">
        <f aca="false">IF(J66="","",MAX(0,J66-1.96*O66/100))</f>
        <v>0.467049374749458</v>
      </c>
      <c r="Q66" s="40" t="n">
        <f aca="false">IF(J66="","",MIN(1,J66+1.96*O66/100))</f>
        <v>0.553959557191667</v>
      </c>
      <c r="R66" s="32" t="str">
        <f aca="false">IF(L66="","",IF(ABS(L66)&lt;=O66,"Yes","No"))</f>
        <v>No</v>
      </c>
      <c r="S66" s="32" t="str">
        <f aca="false">IF(L66="","",IF(ABS(L66)&lt;=1.96*O66,"Yes","No"))</f>
        <v>Yes</v>
      </c>
      <c r="T66" s="59" t="n">
        <f aca="false">IF(D66="","",ROUND(SQRT(((D66+G66)*O66/100)^2+(J66*(D66+G66)*0.06406)^2),0))</f>
        <v>314</v>
      </c>
      <c r="U66" s="32"/>
    </row>
    <row r="67" customFormat="false" ht="15" hidden="false" customHeight="false" outlineLevel="0" collapsed="false">
      <c r="A67" s="32" t="s">
        <v>220</v>
      </c>
      <c r="B67" s="32" t="s">
        <v>233</v>
      </c>
      <c r="C67" s="32" t="s">
        <v>161</v>
      </c>
      <c r="D67" s="59" t="n">
        <v>1683</v>
      </c>
      <c r="E67" s="59" t="n">
        <v>1726</v>
      </c>
      <c r="F67" s="68" t="n">
        <f aca="false">IF(E67="","",D67-E67)</f>
        <v>-43</v>
      </c>
      <c r="G67" s="59" t="n">
        <v>1676</v>
      </c>
      <c r="H67" s="59" t="n">
        <v>1685</v>
      </c>
      <c r="I67" s="68" t="n">
        <f aca="false">IF(H67="","",G67-H67)</f>
        <v>-9</v>
      </c>
      <c r="J67" s="40" t="n">
        <f aca="false">IF(OR(D67="",D67+G67=0),"",D67/(D67+G67))</f>
        <v>0.501041976778803</v>
      </c>
      <c r="K67" s="40" t="n">
        <f aca="false">IF(E67="","",E67/(E67+H67))</f>
        <v>0.506009967751393</v>
      </c>
      <c r="L67" s="69" t="n">
        <f aca="false">IF(OR(K67="",J67=""),"",(J67-K67)*100)</f>
        <v>-0.496799097258926</v>
      </c>
      <c r="M67" s="36" t="n">
        <v>2.54601243465806</v>
      </c>
      <c r="N67" s="36" t="n">
        <v>1.26699649100906</v>
      </c>
      <c r="O67" s="36" t="n">
        <f aca="false">SQRT(M67^2+N67^2)</f>
        <v>2.84384588641205</v>
      </c>
      <c r="P67" s="40" t="n">
        <f aca="false">IF(J67="","",MAX(0,J67-1.96*O67/100))</f>
        <v>0.445302597405127</v>
      </c>
      <c r="Q67" s="40" t="n">
        <f aca="false">IF(J67="","",MIN(1,J67+1.96*O67/100))</f>
        <v>0.556781356152479</v>
      </c>
      <c r="R67" s="32" t="str">
        <f aca="false">IF(L67="","",IF(ABS(L67)&lt;=O67,"Yes","No"))</f>
        <v>Yes</v>
      </c>
      <c r="S67" s="32" t="str">
        <f aca="false">IF(L67="","",IF(ABS(L67)&lt;=1.96*O67,"Yes","No"))</f>
        <v>Yes</v>
      </c>
      <c r="T67" s="59" t="n">
        <f aca="false">IF(D67="","",ROUND(SQRT(((D67+G67)*O67/100)^2+(J67*(D67+G67)*0.07048)^2),0))</f>
        <v>152</v>
      </c>
      <c r="U67" s="32"/>
    </row>
    <row r="68" customFormat="false" ht="15" hidden="false" customHeight="false" outlineLevel="0" collapsed="false">
      <c r="A68" s="32" t="s">
        <v>220</v>
      </c>
      <c r="B68" s="32" t="s">
        <v>234</v>
      </c>
      <c r="C68" s="32" t="s">
        <v>161</v>
      </c>
      <c r="D68" s="59" t="n">
        <v>2076</v>
      </c>
      <c r="E68" s="59" t="n">
        <v>2244</v>
      </c>
      <c r="F68" s="68" t="n">
        <f aca="false">IF(E68="","",D68-E68)</f>
        <v>-168</v>
      </c>
      <c r="G68" s="59" t="n">
        <v>4573</v>
      </c>
      <c r="H68" s="59" t="n">
        <v>4439</v>
      </c>
      <c r="I68" s="68" t="n">
        <f aca="false">IF(H68="","",G68-H68)</f>
        <v>134</v>
      </c>
      <c r="J68" s="40" t="n">
        <f aca="false">IF(OR(D68="",D68+G68=0),"",D68/(D68+G68))</f>
        <v>0.312227402616935</v>
      </c>
      <c r="K68" s="40" t="n">
        <f aca="false">IF(E68="","",E68/(E68+H68))</f>
        <v>0.335777345503516</v>
      </c>
      <c r="L68" s="69" t="n">
        <f aca="false">IF(OR(K68="",J68=""),"",(J68-K68)*100)</f>
        <v>-2.35499428865815</v>
      </c>
      <c r="M68" s="36" t="n">
        <v>1.81940560118152</v>
      </c>
      <c r="N68" s="36" t="n">
        <v>1.26699649100906</v>
      </c>
      <c r="O68" s="36" t="n">
        <f aca="false">SQRT(M68^2+N68^2)</f>
        <v>2.21709649087268</v>
      </c>
      <c r="P68" s="40" t="n">
        <f aca="false">IF(J68="","",MAX(0,J68-1.96*O68/100))</f>
        <v>0.26877231139583</v>
      </c>
      <c r="Q68" s="40" t="n">
        <f aca="false">IF(J68="","",MIN(1,J68+1.96*O68/100))</f>
        <v>0.355682493838039</v>
      </c>
      <c r="R68" s="32" t="str">
        <f aca="false">IF(L68="","",IF(ABS(L68)&lt;=O68,"Yes","No"))</f>
        <v>No</v>
      </c>
      <c r="S68" s="32" t="str">
        <f aca="false">IF(L68="","",IF(ABS(L68)&lt;=1.96*O68,"Yes","No"))</f>
        <v>Yes</v>
      </c>
      <c r="T68" s="59" t="n">
        <f aca="false">IF(D68="","",ROUND(SQRT(((D68+G68)*O68/100)^2+(J68*(D68+G68)*0.06406)^2),0))</f>
        <v>199</v>
      </c>
      <c r="U68" s="32"/>
    </row>
    <row r="69" customFormat="false" ht="15" hidden="false" customHeight="false" outlineLevel="0" collapsed="false">
      <c r="A69" s="32" t="s">
        <v>220</v>
      </c>
      <c r="B69" s="32" t="s">
        <v>235</v>
      </c>
      <c r="C69" s="32" t="s">
        <v>161</v>
      </c>
      <c r="D69" s="59" t="n">
        <v>555</v>
      </c>
      <c r="E69" s="59" t="n">
        <v>625</v>
      </c>
      <c r="F69" s="68" t="n">
        <f aca="false">IF(E69="","",D69-E69)</f>
        <v>-70</v>
      </c>
      <c r="G69" s="59" t="n">
        <v>1236</v>
      </c>
      <c r="H69" s="59" t="n">
        <v>1214</v>
      </c>
      <c r="I69" s="68" t="n">
        <f aca="false">IF(H69="","",G69-H69)</f>
        <v>22</v>
      </c>
      <c r="J69" s="40" t="n">
        <f aca="false">IF(OR(D69="",D69+G69=0),"",D69/(D69+G69))</f>
        <v>0.309882747068677</v>
      </c>
      <c r="K69" s="40" t="n">
        <f aca="false">IF(E69="","",E69/(E69+H69))</f>
        <v>0.339858618814573</v>
      </c>
      <c r="L69" s="69" t="n">
        <f aca="false">IF(OR(K69="",J69=""),"",(J69-K69)*100)</f>
        <v>-2.99758717458964</v>
      </c>
      <c r="M69" s="36" t="n">
        <v>2.54601243465806</v>
      </c>
      <c r="N69" s="36" t="n">
        <v>1.26699649100906</v>
      </c>
      <c r="O69" s="36" t="n">
        <f aca="false">SQRT(M69^2+N69^2)</f>
        <v>2.84384588641205</v>
      </c>
      <c r="P69" s="40" t="n">
        <f aca="false">IF(J69="","",MAX(0,J69-1.96*O69/100))</f>
        <v>0.254143367695001</v>
      </c>
      <c r="Q69" s="40" t="n">
        <f aca="false">IF(J69="","",MIN(1,J69+1.96*O69/100))</f>
        <v>0.365622126442353</v>
      </c>
      <c r="R69" s="32" t="str">
        <f aca="false">IF(L69="","",IF(ABS(L69)&lt;=O69,"Yes","No"))</f>
        <v>No</v>
      </c>
      <c r="S69" s="32" t="str">
        <f aca="false">IF(L69="","",IF(ABS(L69)&lt;=1.96*O69,"Yes","No"))</f>
        <v>Yes</v>
      </c>
      <c r="T69" s="59" t="n">
        <f aca="false">IF(D69="","",ROUND(SQRT(((D69+G69)*O69/100)^2+(J69*(D69+G69)*0.07048)^2),0))</f>
        <v>64</v>
      </c>
      <c r="U69" s="32"/>
    </row>
    <row r="70" customFormat="false" ht="15" hidden="false" customHeight="false" outlineLevel="0" collapsed="false">
      <c r="A70" s="32" t="s">
        <v>220</v>
      </c>
      <c r="B70" s="32" t="s">
        <v>236</v>
      </c>
      <c r="C70" s="32" t="s">
        <v>161</v>
      </c>
      <c r="D70" s="59" t="n">
        <v>1830</v>
      </c>
      <c r="E70" s="59" t="n">
        <v>2047</v>
      </c>
      <c r="F70" s="68" t="n">
        <f aca="false">IF(E70="","",D70-E70)</f>
        <v>-217</v>
      </c>
      <c r="G70" s="59" t="n">
        <v>2725</v>
      </c>
      <c r="H70" s="59" t="n">
        <v>2499</v>
      </c>
      <c r="I70" s="68" t="n">
        <f aca="false">IF(H70="","",G70-H70)</f>
        <v>226</v>
      </c>
      <c r="J70" s="40" t="n">
        <f aca="false">IF(OR(D70="",D70+G70=0),"",D70/(D70+G70))</f>
        <v>0.401756311745335</v>
      </c>
      <c r="K70" s="40" t="n">
        <f aca="false">IF(E70="","",E70/(E70+H70))</f>
        <v>0.450285965684118</v>
      </c>
      <c r="L70" s="69" t="n">
        <f aca="false">IF(OR(K70="",J70=""),"",(J70-K70)*100)</f>
        <v>-4.85296539387831</v>
      </c>
      <c r="M70" s="36" t="n">
        <v>1.81940560118152</v>
      </c>
      <c r="N70" s="36" t="n">
        <v>1.26699649100906</v>
      </c>
      <c r="O70" s="36" t="n">
        <f aca="false">SQRT(M70^2+N70^2)</f>
        <v>2.21709649087268</v>
      </c>
      <c r="P70" s="40" t="n">
        <f aca="false">IF(J70="","",MAX(0,J70-1.96*O70/100))</f>
        <v>0.35830122052423</v>
      </c>
      <c r="Q70" s="40" t="n">
        <f aca="false">IF(J70="","",MIN(1,J70+1.96*O70/100))</f>
        <v>0.445211402966439</v>
      </c>
      <c r="R70" s="32" t="str">
        <f aca="false">IF(L70="","",IF(ABS(L70)&lt;=O70,"Yes","No"))</f>
        <v>No</v>
      </c>
      <c r="S70" s="32" t="str">
        <f aca="false">IF(L70="","",IF(ABS(L70)&lt;=1.96*O70,"Yes","No"))</f>
        <v>No</v>
      </c>
      <c r="T70" s="59" t="n">
        <f aca="false">IF(D70="","",ROUND(SQRT(((D70+G70)*O70/100)^2+(J70*(D70+G70)*0.06406)^2),0))</f>
        <v>155</v>
      </c>
      <c r="U70" s="32"/>
    </row>
    <row r="71" customFormat="false" ht="15" hidden="false" customHeight="false" outlineLevel="0" collapsed="false">
      <c r="A71" s="32" t="s">
        <v>220</v>
      </c>
      <c r="B71" s="32" t="s">
        <v>237</v>
      </c>
      <c r="C71" s="32" t="s">
        <v>161</v>
      </c>
      <c r="D71" s="59" t="n">
        <v>3307</v>
      </c>
      <c r="E71" s="59" t="n">
        <v>3457</v>
      </c>
      <c r="F71" s="68" t="n">
        <f aca="false">IF(E71="","",D71-E71)</f>
        <v>-150</v>
      </c>
      <c r="G71" s="59" t="n">
        <v>3916</v>
      </c>
      <c r="H71" s="59" t="n">
        <v>3805</v>
      </c>
      <c r="I71" s="68" t="n">
        <f aca="false">IF(H71="","",G71-H71)</f>
        <v>111</v>
      </c>
      <c r="J71" s="40" t="n">
        <f aca="false">IF(OR(D71="",D71+G71=0),"",D71/(D71+G71))</f>
        <v>0.457843001522913</v>
      </c>
      <c r="K71" s="40" t="n">
        <f aca="false">IF(E71="","",E71/(E71+H71))</f>
        <v>0.476039658496282</v>
      </c>
      <c r="L71" s="69" t="n">
        <f aca="false">IF(OR(K71="",J71=""),"",(J71-K71)*100)</f>
        <v>-1.81966569733691</v>
      </c>
      <c r="M71" s="36" t="n">
        <v>1.81940560118152</v>
      </c>
      <c r="N71" s="36" t="n">
        <v>1.26699649100906</v>
      </c>
      <c r="O71" s="36" t="n">
        <f aca="false">SQRT(M71^2+N71^2)</f>
        <v>2.21709649087268</v>
      </c>
      <c r="P71" s="40" t="n">
        <f aca="false">IF(J71="","",MAX(0,J71-1.96*O71/100))</f>
        <v>0.414387910301808</v>
      </c>
      <c r="Q71" s="40" t="n">
        <f aca="false">IF(J71="","",MIN(1,J71+1.96*O71/100))</f>
        <v>0.501298092744018</v>
      </c>
      <c r="R71" s="32" t="str">
        <f aca="false">IF(L71="","",IF(ABS(L71)&lt;=O71,"Yes","No"))</f>
        <v>Yes</v>
      </c>
      <c r="S71" s="32" t="str">
        <f aca="false">IF(L71="","",IF(ABS(L71)&lt;=1.96*O71,"Yes","No"))</f>
        <v>Yes</v>
      </c>
      <c r="T71" s="59" t="n">
        <f aca="false">IF(D71="","",ROUND(SQRT(((D71+G71)*O71/100)^2+(J71*(D71+G71)*0.06406)^2),0))</f>
        <v>266</v>
      </c>
      <c r="U71" s="32"/>
    </row>
    <row r="72" customFormat="false" ht="15" hidden="false" customHeight="false" outlineLevel="0" collapsed="false">
      <c r="A72" s="32" t="s">
        <v>220</v>
      </c>
      <c r="B72" s="32" t="s">
        <v>238</v>
      </c>
      <c r="C72" s="32" t="s">
        <v>161</v>
      </c>
      <c r="D72" s="59" t="n">
        <v>1824</v>
      </c>
      <c r="E72" s="59" t="n">
        <v>2006</v>
      </c>
      <c r="F72" s="68" t="n">
        <f aca="false">IF(E72="","",D72-E72)</f>
        <v>-182</v>
      </c>
      <c r="G72" s="59" t="n">
        <v>4123</v>
      </c>
      <c r="H72" s="59" t="n">
        <v>4057</v>
      </c>
      <c r="I72" s="68" t="n">
        <f aca="false">IF(H72="","",G72-H72)</f>
        <v>66</v>
      </c>
      <c r="J72" s="40" t="n">
        <f aca="false">IF(OR(D72="",D72+G72=0),"",D72/(D72+G72))</f>
        <v>0.306709265175719</v>
      </c>
      <c r="K72" s="40" t="n">
        <f aca="false">IF(E72="","",E72/(E72+H72))</f>
        <v>0.330859310572324</v>
      </c>
      <c r="L72" s="69" t="n">
        <f aca="false">IF(OR(K72="",J72=""),"",(J72-K72)*100)</f>
        <v>-2.41500453966051</v>
      </c>
      <c r="M72" s="36" t="n">
        <v>1.81940560118152</v>
      </c>
      <c r="N72" s="36" t="n">
        <v>1.26699649100906</v>
      </c>
      <c r="O72" s="36" t="n">
        <f aca="false">SQRT(M72^2+N72^2)</f>
        <v>2.21709649087268</v>
      </c>
      <c r="P72" s="40" t="n">
        <f aca="false">IF(J72="","",MAX(0,J72-1.96*O72/100))</f>
        <v>0.263254173954614</v>
      </c>
      <c r="Q72" s="40" t="n">
        <f aca="false">IF(J72="","",MIN(1,J72+1.96*O72/100))</f>
        <v>0.350164356396823</v>
      </c>
      <c r="R72" s="32" t="str">
        <f aca="false">IF(L72="","",IF(ABS(L72)&lt;=O72,"Yes","No"))</f>
        <v>No</v>
      </c>
      <c r="S72" s="32" t="str">
        <f aca="false">IF(L72="","",IF(ABS(L72)&lt;=1.96*O72,"Yes","No"))</f>
        <v>Yes</v>
      </c>
      <c r="T72" s="59" t="n">
        <f aca="false">IF(D72="","",ROUND(SQRT(((D72+G72)*O72/100)^2+(J72*(D72+G72)*0.06406)^2),0))</f>
        <v>176</v>
      </c>
      <c r="U72" s="32"/>
    </row>
    <row r="73" customFormat="false" ht="15" hidden="false" customHeight="false" outlineLevel="0" collapsed="false">
      <c r="A73" s="32" t="s">
        <v>220</v>
      </c>
      <c r="B73" s="32" t="s">
        <v>239</v>
      </c>
      <c r="C73" s="32" t="s">
        <v>161</v>
      </c>
      <c r="D73" s="59" t="n">
        <v>1529</v>
      </c>
      <c r="E73" s="59" t="n">
        <v>1596</v>
      </c>
      <c r="F73" s="68" t="n">
        <f aca="false">IF(E73="","",D73-E73)</f>
        <v>-67</v>
      </c>
      <c r="G73" s="59" t="n">
        <v>1638</v>
      </c>
      <c r="H73" s="59" t="n">
        <v>1664</v>
      </c>
      <c r="I73" s="68" t="n">
        <f aca="false">IF(H73="","",G73-H73)</f>
        <v>-26</v>
      </c>
      <c r="J73" s="40" t="n">
        <f aca="false">IF(OR(D73="",D73+G73=0),"",D73/(D73+G73))</f>
        <v>0.482791285127881</v>
      </c>
      <c r="K73" s="40" t="n">
        <f aca="false">IF(E73="","",E73/(E73+H73))</f>
        <v>0.489570552147239</v>
      </c>
      <c r="L73" s="69" t="n">
        <f aca="false">IF(OR(K73="",J73=""),"",(J73-K73)*100)</f>
        <v>-0.677926701935799</v>
      </c>
      <c r="M73" s="36" t="n">
        <v>2.54601243465806</v>
      </c>
      <c r="N73" s="36" t="n">
        <v>1.26699649100906</v>
      </c>
      <c r="O73" s="36" t="n">
        <f aca="false">SQRT(M73^2+N73^2)</f>
        <v>2.84384588641205</v>
      </c>
      <c r="P73" s="40" t="n">
        <f aca="false">IF(J73="","",MAX(0,J73-1.96*O73/100))</f>
        <v>0.427051905754205</v>
      </c>
      <c r="Q73" s="40" t="n">
        <f aca="false">IF(J73="","",MIN(1,J73+1.96*O73/100))</f>
        <v>0.538530664501557</v>
      </c>
      <c r="R73" s="32" t="str">
        <f aca="false">IF(L73="","",IF(ABS(L73)&lt;=O73,"Yes","No"))</f>
        <v>Yes</v>
      </c>
      <c r="S73" s="32" t="str">
        <f aca="false">IF(L73="","",IF(ABS(L73)&lt;=1.96*O73,"Yes","No"))</f>
        <v>Yes</v>
      </c>
      <c r="T73" s="59" t="n">
        <f aca="false">IF(D73="","",ROUND(SQRT(((D73+G73)*O73/100)^2+(J73*(D73+G73)*0.07048)^2),0))</f>
        <v>140</v>
      </c>
      <c r="U73" s="32"/>
    </row>
    <row r="74" customFormat="false" ht="15" hidden="false" customHeight="false" outlineLevel="0" collapsed="false">
      <c r="A74" s="32" t="s">
        <v>220</v>
      </c>
      <c r="B74" s="32" t="s">
        <v>240</v>
      </c>
      <c r="C74" s="32" t="s">
        <v>161</v>
      </c>
      <c r="D74" s="59" t="n">
        <v>840</v>
      </c>
      <c r="E74" s="59" t="n">
        <v>847</v>
      </c>
      <c r="F74" s="68" t="n">
        <f aca="false">IF(E74="","",D74-E74)</f>
        <v>-7</v>
      </c>
      <c r="G74" s="59" t="n">
        <v>935</v>
      </c>
      <c r="H74" s="59" t="n">
        <v>889</v>
      </c>
      <c r="I74" s="68" t="n">
        <f aca="false">IF(H74="","",G74-H74)</f>
        <v>46</v>
      </c>
      <c r="J74" s="40" t="n">
        <f aca="false">IF(OR(D74="",D74+G74=0),"",D74/(D74+G74))</f>
        <v>0.473239436619718</v>
      </c>
      <c r="K74" s="40" t="n">
        <f aca="false">IF(E74="","",E74/(E74+H74))</f>
        <v>0.487903225806452</v>
      </c>
      <c r="L74" s="69" t="n">
        <f aca="false">IF(OR(K74="",J74=""),"",(J74-K74)*100)</f>
        <v>-1.46637891867333</v>
      </c>
      <c r="M74" s="36" t="n">
        <v>2.54601243465806</v>
      </c>
      <c r="N74" s="36" t="n">
        <v>1.26699649100906</v>
      </c>
      <c r="O74" s="36" t="n">
        <f aca="false">SQRT(M74^2+N74^2)</f>
        <v>2.84384588641205</v>
      </c>
      <c r="P74" s="40" t="n">
        <f aca="false">IF(J74="","",MAX(0,J74-1.96*O74/100))</f>
        <v>0.417500057246042</v>
      </c>
      <c r="Q74" s="40" t="n">
        <f aca="false">IF(J74="","",MIN(1,J74+1.96*O74/100))</f>
        <v>0.528978815993395</v>
      </c>
      <c r="R74" s="32" t="str">
        <f aca="false">IF(L74="","",IF(ABS(L74)&lt;=O74,"Yes","No"))</f>
        <v>Yes</v>
      </c>
      <c r="S74" s="32" t="str">
        <f aca="false">IF(L74="","",IF(ABS(L74)&lt;=1.96*O74,"Yes","No"))</f>
        <v>Yes</v>
      </c>
      <c r="T74" s="59" t="n">
        <f aca="false">IF(D74="","",ROUND(SQRT(((D74+G74)*O74/100)^2+(J74*(D74+G74)*0.07048)^2),0))</f>
        <v>78</v>
      </c>
      <c r="U74" s="32"/>
    </row>
    <row r="75" customFormat="false" ht="15" hidden="false" customHeight="false" outlineLevel="0" collapsed="false">
      <c r="A75" s="32" t="s">
        <v>220</v>
      </c>
      <c r="B75" s="32" t="s">
        <v>241</v>
      </c>
      <c r="C75" s="32" t="s">
        <v>161</v>
      </c>
      <c r="D75" s="59" t="n">
        <v>2644</v>
      </c>
      <c r="E75" s="59" t="n">
        <v>2573</v>
      </c>
      <c r="F75" s="68" t="n">
        <f aca="false">IF(E75="","",D75-E75)</f>
        <v>71</v>
      </c>
      <c r="G75" s="59" t="n">
        <v>3060</v>
      </c>
      <c r="H75" s="59" t="n">
        <v>3023</v>
      </c>
      <c r="I75" s="68" t="n">
        <f aca="false">IF(H75="","",G75-H75)</f>
        <v>37</v>
      </c>
      <c r="J75" s="40" t="n">
        <f aca="false">IF(OR(D75="",D75+G75=0),"",D75/(D75+G75))</f>
        <v>0.463534361851332</v>
      </c>
      <c r="K75" s="40" t="n">
        <f aca="false">IF(E75="","",E75/(E75+H75))</f>
        <v>0.459792709077913</v>
      </c>
      <c r="L75" s="69" t="n">
        <f aca="false">IF(OR(K75="",J75=""),"",(J75-K75)*100)</f>
        <v>0.374165277341959</v>
      </c>
      <c r="M75" s="36" t="n">
        <v>1.81940560118152</v>
      </c>
      <c r="N75" s="36" t="n">
        <v>1.26699649100906</v>
      </c>
      <c r="O75" s="36" t="n">
        <f aca="false">SQRT(M75^2+N75^2)</f>
        <v>2.21709649087268</v>
      </c>
      <c r="P75" s="40" t="n">
        <f aca="false">IF(J75="","",MAX(0,J75-1.96*O75/100))</f>
        <v>0.420079270630228</v>
      </c>
      <c r="Q75" s="40" t="n">
        <f aca="false">IF(J75="","",MIN(1,J75+1.96*O75/100))</f>
        <v>0.506989453072437</v>
      </c>
      <c r="R75" s="32" t="str">
        <f aca="false">IF(L75="","",IF(ABS(L75)&lt;=O75,"Yes","No"))</f>
        <v>Yes</v>
      </c>
      <c r="S75" s="32" t="str">
        <f aca="false">IF(L75="","",IF(ABS(L75)&lt;=1.96*O75,"Yes","No"))</f>
        <v>Yes</v>
      </c>
      <c r="T75" s="59" t="n">
        <f aca="false">IF(D75="","",ROUND(SQRT(((D75+G75)*O75/100)^2+(J75*(D75+G75)*0.06406)^2),0))</f>
        <v>211</v>
      </c>
      <c r="U75" s="32"/>
    </row>
    <row r="76" customFormat="false" ht="15" hidden="false" customHeight="false" outlineLevel="0" collapsed="false">
      <c r="A76" s="32" t="s">
        <v>220</v>
      </c>
      <c r="B76" s="32" t="s">
        <v>242</v>
      </c>
      <c r="C76" s="32" t="s">
        <v>161</v>
      </c>
      <c r="D76" s="59" t="n">
        <v>6847</v>
      </c>
      <c r="E76" s="59" t="n">
        <v>6974</v>
      </c>
      <c r="F76" s="68" t="n">
        <f aca="false">IF(E76="","",D76-E76)</f>
        <v>-127</v>
      </c>
      <c r="G76" s="59" t="n">
        <v>6947</v>
      </c>
      <c r="H76" s="59" t="n">
        <v>6736</v>
      </c>
      <c r="I76" s="68" t="n">
        <f aca="false">IF(H76="","",G76-H76)</f>
        <v>211</v>
      </c>
      <c r="J76" s="40" t="n">
        <f aca="false">IF(OR(D76="",D76+G76=0),"",D76/(D76+G76))</f>
        <v>0.496375235609685</v>
      </c>
      <c r="K76" s="40" t="n">
        <f aca="false">IF(E76="","",E76/(E76+H76))</f>
        <v>0.508679795769511</v>
      </c>
      <c r="L76" s="69" t="n">
        <f aca="false">IF(OR(K76="",J76=""),"",(J76-K76)*100)</f>
        <v>-1.23045601598259</v>
      </c>
      <c r="M76" s="36" t="n">
        <v>1.81940560118152</v>
      </c>
      <c r="N76" s="36" t="n">
        <v>1.26699649100906</v>
      </c>
      <c r="O76" s="36" t="n">
        <f aca="false">SQRT(M76^2+N76^2)</f>
        <v>2.21709649087268</v>
      </c>
      <c r="P76" s="40" t="n">
        <f aca="false">IF(J76="","",MAX(0,J76-1.96*O76/100))</f>
        <v>0.452920144388581</v>
      </c>
      <c r="Q76" s="40" t="n">
        <f aca="false">IF(J76="","",MIN(1,J76+1.96*O76/100))</f>
        <v>0.53983032683079</v>
      </c>
      <c r="R76" s="32" t="str">
        <f aca="false">IF(L76="","",IF(ABS(L76)&lt;=O76,"Yes","No"))</f>
        <v>Yes</v>
      </c>
      <c r="S76" s="32" t="str">
        <f aca="false">IF(L76="","",IF(ABS(L76)&lt;=1.96*O76,"Yes","No"))</f>
        <v>Yes</v>
      </c>
      <c r="T76" s="59" t="n">
        <f aca="false">IF(D76="","",ROUND(SQRT(((D76+G76)*O76/100)^2+(J76*(D76+G76)*0.06406)^2),0))</f>
        <v>535</v>
      </c>
      <c r="U76" s="32"/>
    </row>
    <row r="77" customFormat="false" ht="15" hidden="false" customHeight="false" outlineLevel="0" collapsed="false">
      <c r="A77" s="32" t="s">
        <v>220</v>
      </c>
      <c r="B77" s="32" t="s">
        <v>243</v>
      </c>
      <c r="C77" s="32" t="s">
        <v>161</v>
      </c>
      <c r="D77" s="59" t="n">
        <v>646</v>
      </c>
      <c r="E77" s="59" t="n">
        <v>703</v>
      </c>
      <c r="F77" s="68" t="n">
        <f aca="false">IF(E77="","",D77-E77)</f>
        <v>-57</v>
      </c>
      <c r="G77" s="59" t="n">
        <v>1199</v>
      </c>
      <c r="H77" s="59" t="n">
        <v>1180</v>
      </c>
      <c r="I77" s="68" t="n">
        <f aca="false">IF(H77="","",G77-H77)</f>
        <v>19</v>
      </c>
      <c r="J77" s="40" t="n">
        <f aca="false">IF(OR(D77="",D77+G77=0),"",D77/(D77+G77))</f>
        <v>0.350135501355014</v>
      </c>
      <c r="K77" s="40" t="n">
        <f aca="false">IF(E77="","",E77/(E77+H77))</f>
        <v>0.373340414232608</v>
      </c>
      <c r="L77" s="69" t="n">
        <f aca="false">IF(OR(K77="",J77=""),"",(J77-K77)*100)</f>
        <v>-2.3204912877594</v>
      </c>
      <c r="M77" s="36" t="n">
        <v>2.54601243465806</v>
      </c>
      <c r="N77" s="36" t="n">
        <v>1.26699649100906</v>
      </c>
      <c r="O77" s="36" t="n">
        <f aca="false">SQRT(M77^2+N77^2)</f>
        <v>2.84384588641205</v>
      </c>
      <c r="P77" s="40" t="n">
        <f aca="false">IF(J77="","",MAX(0,J77-1.96*O77/100))</f>
        <v>0.294396121981337</v>
      </c>
      <c r="Q77" s="40" t="n">
        <f aca="false">IF(J77="","",MIN(1,J77+1.96*O77/100))</f>
        <v>0.40587488072869</v>
      </c>
      <c r="R77" s="32" t="str">
        <f aca="false">IF(L77="","",IF(ABS(L77)&lt;=O77,"Yes","No"))</f>
        <v>Yes</v>
      </c>
      <c r="S77" s="32" t="str">
        <f aca="false">IF(L77="","",IF(ABS(L77)&lt;=1.96*O77,"Yes","No"))</f>
        <v>Yes</v>
      </c>
      <c r="T77" s="59" t="n">
        <f aca="false">IF(D77="","",ROUND(SQRT(((D77+G77)*O77/100)^2+(J77*(D77+G77)*0.07048)^2),0))</f>
        <v>69</v>
      </c>
      <c r="U77" s="32"/>
    </row>
    <row r="78" customFormat="false" ht="15" hidden="false" customHeight="false" outlineLevel="0" collapsed="false">
      <c r="A78" s="32" t="s">
        <v>220</v>
      </c>
      <c r="B78" s="32" t="s">
        <v>244</v>
      </c>
      <c r="C78" s="32" t="s">
        <v>161</v>
      </c>
      <c r="D78" s="59" t="n">
        <v>1214</v>
      </c>
      <c r="E78" s="59" t="n">
        <v>1361</v>
      </c>
      <c r="F78" s="68" t="n">
        <f aca="false">IF(E78="","",D78-E78)</f>
        <v>-147</v>
      </c>
      <c r="G78" s="59" t="n">
        <v>2736</v>
      </c>
      <c r="H78" s="59" t="n">
        <v>2561</v>
      </c>
      <c r="I78" s="68" t="n">
        <f aca="false">IF(H78="","",G78-H78)</f>
        <v>175</v>
      </c>
      <c r="J78" s="40" t="n">
        <f aca="false">IF(OR(D78="",D78+G78=0),"",D78/(D78+G78))</f>
        <v>0.307341772151899</v>
      </c>
      <c r="K78" s="40" t="n">
        <f aca="false">IF(E78="","",E78/(E78+H78))</f>
        <v>0.347016828148904</v>
      </c>
      <c r="L78" s="69" t="n">
        <f aca="false">IF(OR(K78="",J78=""),"",(J78-K78)*100)</f>
        <v>-3.96750559970049</v>
      </c>
      <c r="M78" s="36" t="n">
        <v>1.81940560118152</v>
      </c>
      <c r="N78" s="36" t="n">
        <v>1.26699649100906</v>
      </c>
      <c r="O78" s="36" t="n">
        <f aca="false">SQRT(M78^2+N78^2)</f>
        <v>2.21709649087268</v>
      </c>
      <c r="P78" s="40" t="n">
        <f aca="false">IF(J78="","",MAX(0,J78-1.96*O78/100))</f>
        <v>0.263886680930794</v>
      </c>
      <c r="Q78" s="40" t="n">
        <f aca="false">IF(J78="","",MIN(1,J78+1.96*O78/100))</f>
        <v>0.350796863373003</v>
      </c>
      <c r="R78" s="32" t="str">
        <f aca="false">IF(L78="","",IF(ABS(L78)&lt;=O78,"Yes","No"))</f>
        <v>No</v>
      </c>
      <c r="S78" s="32" t="str">
        <f aca="false">IF(L78="","",IF(ABS(L78)&lt;=1.96*O78,"Yes","No"))</f>
        <v>Yes</v>
      </c>
      <c r="T78" s="59" t="n">
        <f aca="false">IF(D78="","",ROUND(SQRT(((D78+G78)*O78/100)^2+(J78*(D78+G78)*0.06406)^2),0))</f>
        <v>117</v>
      </c>
      <c r="U78" s="32"/>
    </row>
    <row r="79" customFormat="false" ht="15" hidden="false" customHeight="false" outlineLevel="0" collapsed="false">
      <c r="A79" s="32" t="s">
        <v>220</v>
      </c>
      <c r="B79" s="32" t="s">
        <v>245</v>
      </c>
      <c r="C79" s="32" t="s">
        <v>161</v>
      </c>
      <c r="D79" s="59" t="n">
        <v>73</v>
      </c>
      <c r="E79" s="59" t="n">
        <v>92</v>
      </c>
      <c r="F79" s="68" t="n">
        <f aca="false">IF(E79="","",D79-E79)</f>
        <v>-19</v>
      </c>
      <c r="G79" s="59" t="n">
        <v>176</v>
      </c>
      <c r="H79" s="59" t="n">
        <v>167</v>
      </c>
      <c r="I79" s="68" t="n">
        <f aca="false">IF(H79="","",G79-H79)</f>
        <v>9</v>
      </c>
      <c r="J79" s="40" t="n">
        <f aca="false">IF(OR(D79="",D79+G79=0),"",D79/(D79+G79))</f>
        <v>0.293172690763052</v>
      </c>
      <c r="K79" s="40" t="n">
        <f aca="false">IF(E79="","",E79/(E79+H79))</f>
        <v>0.355212355212355</v>
      </c>
      <c r="L79" s="69" t="n">
        <f aca="false">IF(OR(K79="",J79=""),"",(J79-K79)*100)</f>
        <v>-6.2039664449303</v>
      </c>
      <c r="M79" s="36" t="n">
        <v>3.7449094222202</v>
      </c>
      <c r="N79" s="36" t="n">
        <v>1.26699649100906</v>
      </c>
      <c r="O79" s="36" t="n">
        <f aca="false">SQRT(M79^2+N79^2)</f>
        <v>3.95343226688695</v>
      </c>
      <c r="P79" s="40" t="n">
        <f aca="false">IF(J79="","",MAX(0,J79-1.96*O79/100))</f>
        <v>0.215685418332068</v>
      </c>
      <c r="Q79" s="40" t="n">
        <f aca="false">IF(J79="","",MIN(1,J79+1.96*O79/100))</f>
        <v>0.370659963194036</v>
      </c>
      <c r="R79" s="32" t="str">
        <f aca="false">IF(L79="","",IF(ABS(L79)&lt;=O79,"Yes","No"))</f>
        <v>No</v>
      </c>
      <c r="S79" s="32" t="str">
        <f aca="false">IF(L79="","",IF(ABS(L79)&lt;=1.96*O79,"Yes","No"))</f>
        <v>Yes</v>
      </c>
      <c r="T79" s="59" t="n">
        <f aca="false">IF(D79="","",ROUND(SQRT(((D79+G79)*O79/100)^2+(J79*(D79+G79)*0.09173)^2),0))</f>
        <v>12</v>
      </c>
      <c r="U79" s="32"/>
    </row>
    <row r="80" customFormat="false" ht="15" hidden="false" customHeight="false" outlineLevel="0" collapsed="false">
      <c r="A80" s="32" t="s">
        <v>220</v>
      </c>
      <c r="B80" s="32" t="s">
        <v>246</v>
      </c>
      <c r="C80" s="32" t="s">
        <v>161</v>
      </c>
      <c r="D80" s="59" t="n">
        <v>316</v>
      </c>
      <c r="E80" s="59" t="n">
        <v>335</v>
      </c>
      <c r="F80" s="68" t="n">
        <f aca="false">IF(E80="","",D80-E80)</f>
        <v>-19</v>
      </c>
      <c r="G80" s="59" t="n">
        <v>616</v>
      </c>
      <c r="H80" s="59" t="n">
        <v>581</v>
      </c>
      <c r="I80" s="68" t="n">
        <f aca="false">IF(H80="","",G80-H80)</f>
        <v>35</v>
      </c>
      <c r="J80" s="40" t="n">
        <f aca="false">IF(OR(D80="",D80+G80=0),"",D80/(D80+G80))</f>
        <v>0.339055793991416</v>
      </c>
      <c r="K80" s="40" t="n">
        <f aca="false">IF(E80="","",E80/(E80+H80))</f>
        <v>0.365720524017467</v>
      </c>
      <c r="L80" s="69" t="n">
        <f aca="false">IF(OR(K80="",J80=""),"",(J80-K80)*100)</f>
        <v>-2.66647300260509</v>
      </c>
      <c r="M80" s="36" t="n">
        <v>3.7449094222202</v>
      </c>
      <c r="N80" s="36" t="n">
        <v>1.26699649100906</v>
      </c>
      <c r="O80" s="36" t="n">
        <f aca="false">SQRT(M80^2+N80^2)</f>
        <v>3.95343226688695</v>
      </c>
      <c r="P80" s="40" t="n">
        <f aca="false">IF(J80="","",MAX(0,J80-1.96*O80/100))</f>
        <v>0.261568521560432</v>
      </c>
      <c r="Q80" s="40" t="n">
        <f aca="false">IF(J80="","",MIN(1,J80+1.96*O80/100))</f>
        <v>0.416543066422401</v>
      </c>
      <c r="R80" s="32" t="str">
        <f aca="false">IF(L80="","",IF(ABS(L80)&lt;=O80,"Yes","No"))</f>
        <v>Yes</v>
      </c>
      <c r="S80" s="32" t="str">
        <f aca="false">IF(L80="","",IF(ABS(L80)&lt;=1.96*O80,"Yes","No"))</f>
        <v>Yes</v>
      </c>
      <c r="T80" s="59" t="n">
        <f aca="false">IF(D80="","",ROUND(SQRT(((D80+G80)*O80/100)^2+(J80*(D80+G80)*0.09173)^2),0))</f>
        <v>47</v>
      </c>
      <c r="U80" s="32"/>
    </row>
    <row r="81" customFormat="false" ht="15" hidden="false" customHeight="false" outlineLevel="0" collapsed="false">
      <c r="A81" s="32" t="s">
        <v>220</v>
      </c>
      <c r="B81" s="32" t="s">
        <v>247</v>
      </c>
      <c r="C81" s="32" t="s">
        <v>161</v>
      </c>
      <c r="D81" s="59" t="n">
        <v>198</v>
      </c>
      <c r="E81" s="59" t="n">
        <v>210</v>
      </c>
      <c r="F81" s="68" t="n">
        <f aca="false">IF(E81="","",D81-E81)</f>
        <v>-12</v>
      </c>
      <c r="G81" s="59" t="n">
        <v>316</v>
      </c>
      <c r="H81" s="59" t="n">
        <v>309</v>
      </c>
      <c r="I81" s="68" t="n">
        <f aca="false">IF(H81="","",G81-H81)</f>
        <v>7</v>
      </c>
      <c r="J81" s="40" t="n">
        <f aca="false">IF(OR(D81="",D81+G81=0),"",D81/(D81+G81))</f>
        <v>0.385214007782101</v>
      </c>
      <c r="K81" s="40" t="n">
        <f aca="false">IF(E81="","",E81/(E81+H81))</f>
        <v>0.404624277456647</v>
      </c>
      <c r="L81" s="69" t="n">
        <f aca="false">IF(OR(K81="",J81=""),"",(J81-K81)*100)</f>
        <v>-1.94102696745462</v>
      </c>
      <c r="M81" s="36" t="n">
        <v>3.7449094222202</v>
      </c>
      <c r="N81" s="36" t="n">
        <v>1.26699649100906</v>
      </c>
      <c r="O81" s="36" t="n">
        <f aca="false">SQRT(M81^2+N81^2)</f>
        <v>3.95343226688695</v>
      </c>
      <c r="P81" s="40" t="n">
        <f aca="false">IF(J81="","",MAX(0,J81-1.96*O81/100))</f>
        <v>0.307726735351117</v>
      </c>
      <c r="Q81" s="40" t="n">
        <f aca="false">IF(J81="","",MIN(1,J81+1.96*O81/100))</f>
        <v>0.462701280213085</v>
      </c>
      <c r="R81" s="32" t="str">
        <f aca="false">IF(L81="","",IF(ABS(L81)&lt;=O81,"Yes","No"))</f>
        <v>Yes</v>
      </c>
      <c r="S81" s="32" t="str">
        <f aca="false">IF(L81="","",IF(ABS(L81)&lt;=1.96*O81,"Yes","No"))</f>
        <v>Yes</v>
      </c>
      <c r="T81" s="59" t="n">
        <f aca="false">IF(D81="","",ROUND(SQRT(((D81+G81)*O81/100)^2+(J81*(D81+G81)*0.09173)^2),0))</f>
        <v>27</v>
      </c>
      <c r="U81" s="32"/>
    </row>
    <row r="82" customFormat="false" ht="15" hidden="false" customHeight="false" outlineLevel="0" collapsed="false">
      <c r="A82" s="32" t="s">
        <v>220</v>
      </c>
      <c r="B82" s="32" t="s">
        <v>248</v>
      </c>
      <c r="C82" s="32" t="s">
        <v>161</v>
      </c>
      <c r="D82" s="59" t="n">
        <v>304</v>
      </c>
      <c r="E82" s="59" t="n">
        <v>331</v>
      </c>
      <c r="F82" s="68" t="n">
        <f aca="false">IF(E82="","",D82-E82)</f>
        <v>-27</v>
      </c>
      <c r="G82" s="59" t="n">
        <v>468</v>
      </c>
      <c r="H82" s="59" t="n">
        <v>458</v>
      </c>
      <c r="I82" s="68" t="n">
        <f aca="false">IF(H82="","",G82-H82)</f>
        <v>10</v>
      </c>
      <c r="J82" s="40" t="n">
        <f aca="false">IF(OR(D82="",D82+G82=0),"",D82/(D82+G82))</f>
        <v>0.393782383419689</v>
      </c>
      <c r="K82" s="40" t="n">
        <f aca="false">IF(E82="","",E82/(E82+H82))</f>
        <v>0.419518377693283</v>
      </c>
      <c r="L82" s="69" t="n">
        <f aca="false">IF(OR(K82="",J82=""),"",(J82-K82)*100)</f>
        <v>-2.57359942735935</v>
      </c>
      <c r="M82" s="36" t="n">
        <v>3.7449094222202</v>
      </c>
      <c r="N82" s="36" t="n">
        <v>1.26699649100906</v>
      </c>
      <c r="O82" s="36" t="n">
        <f aca="false">SQRT(M82^2+N82^2)</f>
        <v>3.95343226688695</v>
      </c>
      <c r="P82" s="40" t="n">
        <f aca="false">IF(J82="","",MAX(0,J82-1.96*O82/100))</f>
        <v>0.316295110988705</v>
      </c>
      <c r="Q82" s="40" t="n">
        <f aca="false">IF(J82="","",MIN(1,J82+1.96*O82/100))</f>
        <v>0.471269655850673</v>
      </c>
      <c r="R82" s="32" t="str">
        <f aca="false">IF(L82="","",IF(ABS(L82)&lt;=O82,"Yes","No"))</f>
        <v>Yes</v>
      </c>
      <c r="S82" s="32" t="str">
        <f aca="false">IF(L82="","",IF(ABS(L82)&lt;=1.96*O82,"Yes","No"))</f>
        <v>Yes</v>
      </c>
      <c r="T82" s="59" t="n">
        <f aca="false">IF(D82="","",ROUND(SQRT(((D82+G82)*O82/100)^2+(J82*(D82+G82)*0.09173)^2),0))</f>
        <v>41</v>
      </c>
      <c r="U82" s="32"/>
    </row>
    <row r="83" customFormat="false" ht="15" hidden="false" customHeight="false" outlineLevel="0" collapsed="false">
      <c r="A83" s="32" t="s">
        <v>220</v>
      </c>
      <c r="B83" s="32" t="s">
        <v>249</v>
      </c>
      <c r="C83" s="32" t="s">
        <v>161</v>
      </c>
      <c r="D83" s="59" t="n">
        <v>1083</v>
      </c>
      <c r="E83" s="59" t="n">
        <v>1242</v>
      </c>
      <c r="F83" s="68" t="n">
        <f aca="false">IF(E83="","",D83-E83)</f>
        <v>-159</v>
      </c>
      <c r="G83" s="59" t="n">
        <v>2775</v>
      </c>
      <c r="H83" s="59" t="n">
        <v>2716</v>
      </c>
      <c r="I83" s="68" t="n">
        <f aca="false">IF(H83="","",G83-H83)</f>
        <v>59</v>
      </c>
      <c r="J83" s="40" t="n">
        <f aca="false">IF(OR(D83="",D83+G83=0),"",D83/(D83+G83))</f>
        <v>0.280715396578538</v>
      </c>
      <c r="K83" s="40" t="n">
        <f aca="false">IF(E83="","",E83/(E83+H83))</f>
        <v>0.313794845881759</v>
      </c>
      <c r="L83" s="69" t="n">
        <f aca="false">IF(OR(K83="",J83=""),"",(J83-K83)*100)</f>
        <v>-3.30794493032204</v>
      </c>
      <c r="M83" s="36" t="n">
        <v>1.81940560118152</v>
      </c>
      <c r="N83" s="36" t="n">
        <v>1.26699649100906</v>
      </c>
      <c r="O83" s="36" t="n">
        <f aca="false">SQRT(M83^2+N83^2)</f>
        <v>2.21709649087268</v>
      </c>
      <c r="P83" s="40" t="n">
        <f aca="false">IF(J83="","",MAX(0,J83-1.96*O83/100))</f>
        <v>0.237260305357434</v>
      </c>
      <c r="Q83" s="40" t="n">
        <f aca="false">IF(J83="","",MIN(1,J83+1.96*O83/100))</f>
        <v>0.324170487799643</v>
      </c>
      <c r="R83" s="32" t="str">
        <f aca="false">IF(L83="","",IF(ABS(L83)&lt;=O83,"Yes","No"))</f>
        <v>No</v>
      </c>
      <c r="S83" s="32" t="str">
        <f aca="false">IF(L83="","",IF(ABS(L83)&lt;=1.96*O83,"Yes","No"))</f>
        <v>Yes</v>
      </c>
      <c r="T83" s="59" t="n">
        <f aca="false">IF(D83="","",ROUND(SQRT(((D83+G83)*O83/100)^2+(J83*(D83+G83)*0.06406)^2),0))</f>
        <v>110</v>
      </c>
      <c r="U83" s="32"/>
    </row>
    <row r="84" customFormat="false" ht="15" hidden="false" customHeight="false" outlineLevel="0" collapsed="false">
      <c r="A84" s="32" t="s">
        <v>220</v>
      </c>
      <c r="B84" s="32" t="s">
        <v>250</v>
      </c>
      <c r="C84" s="32" t="s">
        <v>161</v>
      </c>
      <c r="D84" s="59" t="n">
        <v>1851</v>
      </c>
      <c r="E84" s="59" t="n">
        <v>1964</v>
      </c>
      <c r="F84" s="68" t="n">
        <f aca="false">IF(E84="","",D84-E84)</f>
        <v>-113</v>
      </c>
      <c r="G84" s="59" t="n">
        <v>2218</v>
      </c>
      <c r="H84" s="59" t="n">
        <v>2147</v>
      </c>
      <c r="I84" s="68" t="n">
        <f aca="false">IF(H84="","",G84-H84)</f>
        <v>71</v>
      </c>
      <c r="J84" s="40" t="n">
        <f aca="false">IF(OR(D84="",D84+G84=0),"",D84/(D84+G84))</f>
        <v>0.454902924551487</v>
      </c>
      <c r="K84" s="40" t="n">
        <f aca="false">IF(E84="","",E84/(E84+H84))</f>
        <v>0.477742641693019</v>
      </c>
      <c r="L84" s="69" t="n">
        <f aca="false">IF(OR(K84="",J84=""),"",(J84-K84)*100)</f>
        <v>-2.28397171415319</v>
      </c>
      <c r="M84" s="36" t="n">
        <v>1.81940560118152</v>
      </c>
      <c r="N84" s="36" t="n">
        <v>1.26699649100906</v>
      </c>
      <c r="O84" s="36" t="n">
        <f aca="false">SQRT(M84^2+N84^2)</f>
        <v>2.21709649087268</v>
      </c>
      <c r="P84" s="40" t="n">
        <f aca="false">IF(J84="","",MAX(0,J84-1.96*O84/100))</f>
        <v>0.411447833330382</v>
      </c>
      <c r="Q84" s="40" t="n">
        <f aca="false">IF(J84="","",MIN(1,J84+1.96*O84/100))</f>
        <v>0.498358015772591</v>
      </c>
      <c r="R84" s="32" t="str">
        <f aca="false">IF(L84="","",IF(ABS(L84)&lt;=O84,"Yes","No"))</f>
        <v>No</v>
      </c>
      <c r="S84" s="32" t="str">
        <f aca="false">IF(L84="","",IF(ABS(L84)&lt;=1.96*O84,"Yes","No"))</f>
        <v>Yes</v>
      </c>
      <c r="T84" s="59" t="n">
        <f aca="false">IF(D84="","",ROUND(SQRT(((D84+G84)*O84/100)^2+(J84*(D84+G84)*0.06406)^2),0))</f>
        <v>149</v>
      </c>
      <c r="U84" s="32"/>
    </row>
    <row r="85" customFormat="false" ht="15" hidden="false" customHeight="false" outlineLevel="0" collapsed="false">
      <c r="A85" s="32" t="s">
        <v>220</v>
      </c>
      <c r="B85" s="32" t="s">
        <v>251</v>
      </c>
      <c r="C85" s="32" t="s">
        <v>161</v>
      </c>
      <c r="D85" s="59" t="n">
        <v>403</v>
      </c>
      <c r="E85" s="59" t="n">
        <v>416</v>
      </c>
      <c r="F85" s="68" t="n">
        <f aca="false">IF(E85="","",D85-E85)</f>
        <v>-13</v>
      </c>
      <c r="G85" s="59" t="n">
        <v>658</v>
      </c>
      <c r="H85" s="59" t="n">
        <v>658</v>
      </c>
      <c r="I85" s="68" t="n">
        <f aca="false">IF(H85="","",G85-H85)</f>
        <v>0</v>
      </c>
      <c r="J85" s="40" t="n">
        <f aca="false">IF(OR(D85="",D85+G85=0),"",D85/(D85+G85))</f>
        <v>0.379830348727615</v>
      </c>
      <c r="K85" s="40" t="n">
        <f aca="false">IF(E85="","",E85/(E85+H85))</f>
        <v>0.387337057728119</v>
      </c>
      <c r="L85" s="69" t="n">
        <f aca="false">IF(OR(K85="",J85=""),"",(J85-K85)*100)</f>
        <v>-0.750670900050371</v>
      </c>
      <c r="M85" s="36" t="n">
        <v>3.7449094222202</v>
      </c>
      <c r="N85" s="36" t="n">
        <v>1.26699649100906</v>
      </c>
      <c r="O85" s="36" t="n">
        <f aca="false">SQRT(M85^2+N85^2)</f>
        <v>3.95343226688695</v>
      </c>
      <c r="P85" s="40" t="n">
        <f aca="false">IF(J85="","",MAX(0,J85-1.96*O85/100))</f>
        <v>0.302343076296631</v>
      </c>
      <c r="Q85" s="40" t="n">
        <f aca="false">IF(J85="","",MIN(1,J85+1.96*O85/100))</f>
        <v>0.4573176211586</v>
      </c>
      <c r="R85" s="32" t="str">
        <f aca="false">IF(L85="","",IF(ABS(L85)&lt;=O85,"Yes","No"))</f>
        <v>Yes</v>
      </c>
      <c r="S85" s="32" t="str">
        <f aca="false">IF(L85="","",IF(ABS(L85)&lt;=1.96*O85,"Yes","No"))</f>
        <v>Yes</v>
      </c>
      <c r="T85" s="59" t="n">
        <f aca="false">IF(D85="","",ROUND(SQRT(((D85+G85)*O85/100)^2+(J85*(D85+G85)*0.09173)^2),0))</f>
        <v>56</v>
      </c>
      <c r="U85" s="32"/>
    </row>
    <row r="86" customFormat="false" ht="15" hidden="false" customHeight="false" outlineLevel="0" collapsed="false">
      <c r="A86" s="32" t="s">
        <v>220</v>
      </c>
      <c r="B86" s="32" t="s">
        <v>212</v>
      </c>
      <c r="C86" s="32" t="s">
        <v>161</v>
      </c>
      <c r="D86" s="59" t="n">
        <v>959</v>
      </c>
      <c r="E86" s="59" t="n">
        <v>1041</v>
      </c>
      <c r="F86" s="68" t="n">
        <f aca="false">IF(E86="","",D86-E86)</f>
        <v>-82</v>
      </c>
      <c r="G86" s="59" t="n">
        <v>2117</v>
      </c>
      <c r="H86" s="59" t="n">
        <v>2088</v>
      </c>
      <c r="I86" s="68" t="n">
        <f aca="false">IF(H86="","",G86-H86)</f>
        <v>29</v>
      </c>
      <c r="J86" s="40" t="n">
        <f aca="false">IF(OR(D86="",D86+G86=0),"",D86/(D86+G86))</f>
        <v>0.311768530559168</v>
      </c>
      <c r="K86" s="40" t="n">
        <f aca="false">IF(E86="","",E86/(E86+H86))</f>
        <v>0.332694151486098</v>
      </c>
      <c r="L86" s="69" t="n">
        <f aca="false">IF(OR(K86="",J86=""),"",(J86-K86)*100)</f>
        <v>-2.09256209269301</v>
      </c>
      <c r="M86" s="36" t="n">
        <v>2.54601243465806</v>
      </c>
      <c r="N86" s="36" t="n">
        <v>1.26699649100906</v>
      </c>
      <c r="O86" s="36" t="n">
        <f aca="false">SQRT(M86^2+N86^2)</f>
        <v>2.84384588641205</v>
      </c>
      <c r="P86" s="40" t="n">
        <f aca="false">IF(J86="","",MAX(0,J86-1.96*O86/100))</f>
        <v>0.256029151185492</v>
      </c>
      <c r="Q86" s="40" t="n">
        <f aca="false">IF(J86="","",MIN(1,J86+1.96*O86/100))</f>
        <v>0.367507909932844</v>
      </c>
      <c r="R86" s="32" t="str">
        <f aca="false">IF(L86="","",IF(ABS(L86)&lt;=O86,"Yes","No"))</f>
        <v>Yes</v>
      </c>
      <c r="S86" s="32" t="str">
        <f aca="false">IF(L86="","",IF(ABS(L86)&lt;=1.96*O86,"Yes","No"))</f>
        <v>Yes</v>
      </c>
      <c r="T86" s="59" t="n">
        <f aca="false">IF(D86="","",ROUND(SQRT(((D86+G86)*O86/100)^2+(J86*(D86+G86)*0.07048)^2),0))</f>
        <v>111</v>
      </c>
      <c r="U86" s="32"/>
    </row>
    <row r="87" customFormat="false" ht="15" hidden="false" customHeight="false" outlineLevel="0" collapsed="false">
      <c r="A87" s="32" t="s">
        <v>220</v>
      </c>
      <c r="B87" s="32" t="s">
        <v>252</v>
      </c>
      <c r="C87" s="32" t="s">
        <v>161</v>
      </c>
      <c r="D87" s="59" t="n">
        <v>249</v>
      </c>
      <c r="E87" s="59" t="n">
        <v>281</v>
      </c>
      <c r="F87" s="68" t="n">
        <f aca="false">IF(E87="","",D87-E87)</f>
        <v>-32</v>
      </c>
      <c r="G87" s="59" t="n">
        <v>358</v>
      </c>
      <c r="H87" s="59" t="n">
        <v>310</v>
      </c>
      <c r="I87" s="68" t="n">
        <f aca="false">IF(H87="","",G87-H87)</f>
        <v>48</v>
      </c>
      <c r="J87" s="40" t="n">
        <f aca="false">IF(OR(D87="",D87+G87=0),"",D87/(D87+G87))</f>
        <v>0.410214168039539</v>
      </c>
      <c r="K87" s="40" t="n">
        <f aca="false">IF(E87="","",E87/(E87+H87))</f>
        <v>0.475465313028765</v>
      </c>
      <c r="L87" s="69" t="n">
        <f aca="false">IF(OR(K87="",J87=""),"",(J87-K87)*100)</f>
        <v>-6.52511449892261</v>
      </c>
      <c r="M87" s="36" t="n">
        <v>3.7449094222202</v>
      </c>
      <c r="N87" s="36" t="n">
        <v>1.26699649100906</v>
      </c>
      <c r="O87" s="36" t="n">
        <f aca="false">SQRT(M87^2+N87^2)</f>
        <v>3.95343226688695</v>
      </c>
      <c r="P87" s="40" t="n">
        <f aca="false">IF(J87="","",MAX(0,J87-1.96*O87/100))</f>
        <v>0.332726895608555</v>
      </c>
      <c r="Q87" s="40" t="n">
        <f aca="false">IF(J87="","",MIN(1,J87+1.96*O87/100))</f>
        <v>0.487701440470523</v>
      </c>
      <c r="R87" s="32" t="str">
        <f aca="false">IF(L87="","",IF(ABS(L87)&lt;=O87,"Yes","No"))</f>
        <v>No</v>
      </c>
      <c r="S87" s="32" t="str">
        <f aca="false">IF(L87="","",IF(ABS(L87)&lt;=1.96*O87,"Yes","No"))</f>
        <v>Yes</v>
      </c>
      <c r="T87" s="59" t="n">
        <f aca="false">IF(D87="","",ROUND(SQRT(((D87+G87)*O87/100)^2+(J87*(D87+G87)*0.09173)^2),0))</f>
        <v>33</v>
      </c>
      <c r="U87" s="32"/>
    </row>
    <row r="88" customFormat="false" ht="15" hidden="false" customHeight="false" outlineLevel="0" collapsed="false">
      <c r="A88" s="32" t="s">
        <v>220</v>
      </c>
      <c r="B88" s="32" t="s">
        <v>253</v>
      </c>
      <c r="C88" s="32" t="s">
        <v>161</v>
      </c>
      <c r="D88" s="59" t="n">
        <v>1693</v>
      </c>
      <c r="E88" s="59" t="n">
        <v>1847</v>
      </c>
      <c r="F88" s="68" t="n">
        <f aca="false">IF(E88="","",D88-E88)</f>
        <v>-154</v>
      </c>
      <c r="G88" s="59" t="n">
        <v>2496</v>
      </c>
      <c r="H88" s="59" t="n">
        <v>2401</v>
      </c>
      <c r="I88" s="68" t="n">
        <f aca="false">IF(H88="","",G88-H88)</f>
        <v>95</v>
      </c>
      <c r="J88" s="40" t="n">
        <f aca="false">IF(OR(D88="",D88+G88=0),"",D88/(D88+G88))</f>
        <v>0.404153735975173</v>
      </c>
      <c r="K88" s="40" t="n">
        <f aca="false">IF(E88="","",E88/(E88+H88))</f>
        <v>0.434792843691149</v>
      </c>
      <c r="L88" s="69" t="n">
        <f aca="false">IF(OR(K88="",J88=""),"",(J88-K88)*100)</f>
        <v>-3.06391077159757</v>
      </c>
      <c r="M88" s="36" t="n">
        <v>1.81940560118152</v>
      </c>
      <c r="N88" s="36" t="n">
        <v>1.26699649100906</v>
      </c>
      <c r="O88" s="36" t="n">
        <f aca="false">SQRT(M88^2+N88^2)</f>
        <v>2.21709649087268</v>
      </c>
      <c r="P88" s="40" t="n">
        <f aca="false">IF(J88="","",MAX(0,J88-1.96*O88/100))</f>
        <v>0.360698644754069</v>
      </c>
      <c r="Q88" s="40" t="n">
        <f aca="false">IF(J88="","",MIN(1,J88+1.96*O88/100))</f>
        <v>0.447608827196278</v>
      </c>
      <c r="R88" s="32" t="str">
        <f aca="false">IF(L88="","",IF(ABS(L88)&lt;=O88,"Yes","No"))</f>
        <v>No</v>
      </c>
      <c r="S88" s="32" t="str">
        <f aca="false">IF(L88="","",IF(ABS(L88)&lt;=1.96*O88,"Yes","No"))</f>
        <v>Yes</v>
      </c>
      <c r="T88" s="59" t="n">
        <f aca="false">IF(D88="","",ROUND(SQRT(((D88+G88)*O88/100)^2+(J88*(D88+G88)*0.06406)^2),0))</f>
        <v>143</v>
      </c>
      <c r="U88" s="32"/>
    </row>
    <row r="89" customFormat="false" ht="15" hidden="false" customHeight="false" outlineLevel="0" collapsed="false">
      <c r="A89" s="32" t="s">
        <v>220</v>
      </c>
      <c r="B89" s="32" t="s">
        <v>254</v>
      </c>
      <c r="C89" s="32" t="s">
        <v>161</v>
      </c>
      <c r="D89" s="59" t="n">
        <v>1843</v>
      </c>
      <c r="E89" s="59" t="n">
        <v>1897</v>
      </c>
      <c r="F89" s="68" t="n">
        <f aca="false">IF(E89="","",D89-E89)</f>
        <v>-54</v>
      </c>
      <c r="G89" s="59" t="n">
        <v>1563</v>
      </c>
      <c r="H89" s="59" t="n">
        <v>1538</v>
      </c>
      <c r="I89" s="68" t="n">
        <f aca="false">IF(H89="","",G89-H89)</f>
        <v>25</v>
      </c>
      <c r="J89" s="40" t="n">
        <f aca="false">IF(OR(D89="",D89+G89=0),"",D89/(D89+G89))</f>
        <v>0.541103934233705</v>
      </c>
      <c r="K89" s="40" t="n">
        <f aca="false">IF(E89="","",E89/(E89+H89))</f>
        <v>0.552256186317322</v>
      </c>
      <c r="L89" s="69" t="n">
        <f aca="false">IF(OR(K89="",J89=""),"",(J89-K89)*100)</f>
        <v>-1.11522520836165</v>
      </c>
      <c r="M89" s="36" t="n">
        <v>2.54601243465806</v>
      </c>
      <c r="N89" s="36" t="n">
        <v>1.26699649100906</v>
      </c>
      <c r="O89" s="36" t="n">
        <f aca="false">SQRT(M89^2+N89^2)</f>
        <v>2.84384588641205</v>
      </c>
      <c r="P89" s="40" t="n">
        <f aca="false">IF(J89="","",MAX(0,J89-1.96*O89/100))</f>
        <v>0.485364554860029</v>
      </c>
      <c r="Q89" s="40" t="n">
        <f aca="false">IF(J89="","",MIN(1,J89+1.96*O89/100))</f>
        <v>0.596843313607381</v>
      </c>
      <c r="R89" s="32" t="str">
        <f aca="false">IF(L89="","",IF(ABS(L89)&lt;=O89,"Yes","No"))</f>
        <v>Yes</v>
      </c>
      <c r="S89" s="32" t="str">
        <f aca="false">IF(L89="","",IF(ABS(L89)&lt;=1.96*O89,"Yes","No"))</f>
        <v>Yes</v>
      </c>
      <c r="T89" s="59" t="n">
        <f aca="false">IF(D89="","",ROUND(SQRT(((D89+G89)*O89/100)^2+(J89*(D89+G89)*0.07048)^2),0))</f>
        <v>162</v>
      </c>
      <c r="U89" s="32"/>
    </row>
    <row r="90" customFormat="false" ht="15" hidden="false" customHeight="false" outlineLevel="0" collapsed="false">
      <c r="A90" s="32" t="s">
        <v>220</v>
      </c>
      <c r="B90" s="32" t="s">
        <v>255</v>
      </c>
      <c r="C90" s="32" t="s">
        <v>161</v>
      </c>
      <c r="D90" s="59" t="n">
        <v>598</v>
      </c>
      <c r="E90" s="59" t="n">
        <v>634</v>
      </c>
      <c r="F90" s="68" t="n">
        <f aca="false">IF(E90="","",D90-E90)</f>
        <v>-36</v>
      </c>
      <c r="G90" s="59" t="n">
        <v>928</v>
      </c>
      <c r="H90" s="59" t="n">
        <v>856</v>
      </c>
      <c r="I90" s="68" t="n">
        <f aca="false">IF(H90="","",G90-H90)</f>
        <v>72</v>
      </c>
      <c r="J90" s="40" t="n">
        <f aca="false">IF(OR(D90="",D90+G90=0),"",D90/(D90+G90))</f>
        <v>0.391874180865007</v>
      </c>
      <c r="K90" s="40" t="n">
        <f aca="false">IF(E90="","",E90/(E90+H90))</f>
        <v>0.425503355704698</v>
      </c>
      <c r="L90" s="69" t="n">
        <f aca="false">IF(OR(K90="",J90=""),"",(J90-K90)*100)</f>
        <v>-3.36291748396915</v>
      </c>
      <c r="M90" s="36" t="n">
        <v>3.7449094222202</v>
      </c>
      <c r="N90" s="36" t="n">
        <v>1.26699649100906</v>
      </c>
      <c r="O90" s="36" t="n">
        <f aca="false">SQRT(M90^2+N90^2)</f>
        <v>3.95343226688695</v>
      </c>
      <c r="P90" s="40" t="n">
        <f aca="false">IF(J90="","",MAX(0,J90-1.96*O90/100))</f>
        <v>0.314386908434022</v>
      </c>
      <c r="Q90" s="40" t="n">
        <f aca="false">IF(J90="","",MIN(1,J90+1.96*O90/100))</f>
        <v>0.469361453295991</v>
      </c>
      <c r="R90" s="32" t="str">
        <f aca="false">IF(L90="","",IF(ABS(L90)&lt;=O90,"Yes","No"))</f>
        <v>Yes</v>
      </c>
      <c r="S90" s="32" t="str">
        <f aca="false">IF(L90="","",IF(ABS(L90)&lt;=1.96*O90,"Yes","No"))</f>
        <v>Yes</v>
      </c>
      <c r="T90" s="59" t="n">
        <f aca="false">IF(D90="","",ROUND(SQRT(((D90+G90)*O90/100)^2+(J90*(D90+G90)*0.09173)^2),0))</f>
        <v>82</v>
      </c>
      <c r="U90" s="32"/>
    </row>
    <row r="92" customFormat="false" ht="15" hidden="false" customHeight="false" outlineLevel="0" collapsed="false">
      <c r="A92" s="20" t="s">
        <v>383</v>
      </c>
      <c r="B92" s="70"/>
      <c r="C92" s="70"/>
      <c r="D92" s="71" t="n">
        <f aca="false">SUMIF(E2:E90,"&lt;&gt;",D2:D90)</f>
        <v>193336</v>
      </c>
      <c r="E92" s="71" t="n">
        <f aca="false">SUM(E2:E90)</f>
        <v>199626</v>
      </c>
      <c r="F92" s="72" t="n">
        <f aca="false">D92-E92</f>
        <v>-6290</v>
      </c>
      <c r="G92" s="71" t="n">
        <f aca="false">SUMIF(H2:H90,"&lt;&gt;",G2:G90)</f>
        <v>207787</v>
      </c>
      <c r="H92" s="71" t="n">
        <f aca="false">SUM(H2:H90)</f>
        <v>203688</v>
      </c>
      <c r="I92" s="72" t="n">
        <f aca="false">G92-H92</f>
        <v>4099</v>
      </c>
      <c r="J92" s="73" t="n">
        <f aca="false">D92/(D92+G92)</f>
        <v>0.481986821997243</v>
      </c>
      <c r="K92" s="73" t="n">
        <f aca="false">E92/(E92+H92)</f>
        <v>0.49496422142549</v>
      </c>
      <c r="L92" s="74" t="n">
        <f aca="false">(J92-K92)*100</f>
        <v>-1.29773994282471</v>
      </c>
      <c r="M92" s="75" t="n">
        <v>0</v>
      </c>
      <c r="N92" s="75" t="n">
        <v>1.26699649100906</v>
      </c>
      <c r="O92" s="75" t="n">
        <f aca="false">SQRT(M92^2+N92^2)</f>
        <v>1.26699649100906</v>
      </c>
      <c r="P92" s="73" t="n">
        <f aca="false">J92-1.96*O92/100</f>
        <v>0.457153690773465</v>
      </c>
      <c r="Q92" s="73" t="n">
        <f aca="false">J92+1.96*O92/100</f>
        <v>0.50681995322102</v>
      </c>
      <c r="R92" s="70" t="str">
        <f aca="false">IF(ABS(L92)&lt;=O92,"Yes","No")</f>
        <v>No</v>
      </c>
      <c r="S92" s="70" t="str">
        <f aca="false">IF(ABS(L92)&lt;=1.96*O92,"Yes","No")</f>
        <v>Yes</v>
      </c>
      <c r="T92" s="71" t="n">
        <f aca="false">ROUND(SQRT(((D92+G92)*O92/100)^2+(J92*(D92+G92)*0.05028)^2),0)</f>
        <v>10969</v>
      </c>
    </row>
    <row r="93" customFormat="false" ht="15" hidden="false" customHeight="false" outlineLevel="0" collapsed="false">
      <c r="A93" s="20" t="s">
        <v>384</v>
      </c>
      <c r="B93" s="70"/>
      <c r="C93" s="70"/>
      <c r="D93" s="71" t="n">
        <f aca="false">SUM(D2:D90)</f>
        <v>193336</v>
      </c>
      <c r="E93" s="71"/>
      <c r="F93" s="72"/>
      <c r="G93" s="71" t="n">
        <f aca="false">SUM(G2:G90)</f>
        <v>207787</v>
      </c>
      <c r="H93" s="71"/>
      <c r="I93" s="72"/>
      <c r="J93" s="73" t="n">
        <f aca="false">D93/(D93+G93)</f>
        <v>0.481986821997243</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109.573033707865</v>
      </c>
    </row>
    <row r="96" customFormat="false" ht="15" hidden="false" customHeight="false" outlineLevel="0" collapsed="false">
      <c r="A96" s="2" t="s">
        <v>386</v>
      </c>
      <c r="F96" s="76" t="n">
        <f aca="false">(SUMIF(I2:I90,"&gt;0")-SUMIF(I2:I90,"&lt;0"))/COUNT(I2:I90)</f>
        <v>85.4943820224719</v>
      </c>
    </row>
    <row r="97" customFormat="false" ht="15" hidden="false" customHeight="false" outlineLevel="0" collapsed="false">
      <c r="A97" s="2" t="s">
        <v>387</v>
      </c>
      <c r="F97" s="77" t="n">
        <f aca="false">(SUMIF(L2:L90,"&gt;0")-SUMIF(L2:L90,"&lt;0"))/COUNT(L2:L90)</f>
        <v>2.4617493927057</v>
      </c>
    </row>
    <row r="98" customFormat="false" ht="15" hidden="false" customHeight="false" outlineLevel="0" collapsed="false">
      <c r="A98" s="5" t="s">
        <v>388</v>
      </c>
      <c r="F98" s="78" t="n">
        <f aca="false">SQRT(SUMSQ(L2:L90)/COUNT(L2:L90))</f>
        <v>2.95798013904256</v>
      </c>
    </row>
    <row r="99" customFormat="false" ht="15" hidden="false" customHeight="false" outlineLevel="0" collapsed="false">
      <c r="A99" s="5" t="s">
        <v>389</v>
      </c>
      <c r="F99" s="79" t="n">
        <f aca="false">L92</f>
        <v>-1.29773994282471</v>
      </c>
    </row>
    <row r="100" customFormat="false" ht="15" hidden="false" customHeight="false" outlineLevel="0" collapsed="false">
      <c r="A100" s="5" t="s">
        <v>390</v>
      </c>
      <c r="F100" s="78" t="n">
        <f aca="false">SQRT((SUMSQ(L2:L90)-2*L92*SUM(L2:L90)+COUNT(L2:L90)*L92^2)/COUNT(L2:L90))</f>
        <v>2.17146259768931</v>
      </c>
    </row>
    <row r="101" customFormat="false" ht="15" hidden="false" customHeight="false" outlineLevel="0" collapsed="false">
      <c r="A101" s="2" t="s">
        <v>391</v>
      </c>
      <c r="F101" s="80" t="n">
        <f aca="false">D92/E92-1</f>
        <v>-0.0315089216835482</v>
      </c>
    </row>
    <row r="102" customFormat="false" ht="15" hidden="false" customHeight="false" outlineLevel="0" collapsed="false">
      <c r="A102" s="5" t="s">
        <v>392</v>
      </c>
      <c r="F102" s="81" t="n">
        <f aca="false">G92/H92-1</f>
        <v>0.0201239150072661</v>
      </c>
    </row>
    <row r="103" customFormat="false" ht="15" hidden="false" customHeight="false" outlineLevel="0" collapsed="false">
      <c r="A103" s="2" t="s">
        <v>393</v>
      </c>
      <c r="F103" s="80" t="n">
        <f aca="false">(D92+G92)/(E92+H92)-1</f>
        <v>-0.00543249180539229</v>
      </c>
    </row>
    <row r="104" customFormat="false" ht="15" hidden="false" customHeight="false" outlineLevel="0" collapsed="false">
      <c r="A104" s="2" t="s">
        <v>394</v>
      </c>
      <c r="F104" s="77" t="n">
        <f aca="false">AVERAGE(O2:O90)</f>
        <v>3.00659992627796</v>
      </c>
    </row>
    <row r="105" customFormat="false" ht="15" hidden="false" customHeight="false" outlineLevel="0" collapsed="false">
      <c r="A105" s="5" t="s">
        <v>395</v>
      </c>
      <c r="F105" s="82" t="n">
        <f aca="false">COUNTIF(R2:R90,"Yes")/(COUNTIF(R2:R90,"Yes")+COUNTIF(R2:R90,"No"))</f>
        <v>0.651685393258427</v>
      </c>
    </row>
    <row r="106" customFormat="false" ht="15" hidden="false" customHeight="false" outlineLevel="0" collapsed="false">
      <c r="A106" s="5" t="s">
        <v>396</v>
      </c>
      <c r="F106" s="82" t="n">
        <f aca="false">COUNTIF(S2:S90,"Yes")/(COUNTIF(S2:S90,"Yes")+COUNTIF(S2:S90,"No"))</f>
        <v>0.966292134831461</v>
      </c>
    </row>
    <row r="107" customFormat="false" ht="15" hidden="false" customHeight="false" outlineLevel="0" collapsed="false">
      <c r="A107" s="2" t="s">
        <v>397</v>
      </c>
      <c r="F107" s="83" t="n">
        <f aca="false">COUNTIFS(L2:L90,"&gt;=-3",L2:L90,"&lt;=3")/COUNT(L2:L90)</f>
        <v>0.685393258426966</v>
      </c>
    </row>
    <row r="108" customFormat="false" ht="15" hidden="false" customHeight="false" outlineLevel="0" collapsed="false">
      <c r="A108" s="2" t="s">
        <v>398</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-1084.46660914325</v>
      </c>
    </row>
    <row r="112" customFormat="false" ht="15" hidden="false" customHeight="false" outlineLevel="0" collapsed="false">
      <c r="A112" s="2" t="s">
        <v>402</v>
      </c>
      <c r="F112" s="85" t="n">
        <f aca="false">F92-((D92+G92)-(E92+H92))*K92</f>
        <v>-5205.53339085675</v>
      </c>
    </row>
    <row r="113" customFormat="false" ht="15" hidden="false" customHeight="false" outlineLevel="0" collapsed="false">
      <c r="A113" s="2" t="s">
        <v>403</v>
      </c>
      <c r="F113" s="85" t="n">
        <f aca="false">((D92+G92)-(E92+H92))*(1-K92)</f>
        <v>-1106.53339085675</v>
      </c>
    </row>
    <row r="114" customFormat="false" ht="15" hidden="false" customHeight="false" outlineLevel="0" collapsed="false">
      <c r="A114" s="2" t="s">
        <v>404</v>
      </c>
      <c r="F114" s="85" t="n">
        <f aca="false">I92-((D92+G92)-(E92+H92))*(1-K92)</f>
        <v>5205.53339085675</v>
      </c>
    </row>
    <row r="115" customFormat="false" ht="15" hidden="false" customHeight="false" outlineLevel="0" collapsed="false">
      <c r="A115" s="2" t="s">
        <v>405</v>
      </c>
      <c r="F115" s="80" t="n">
        <f aca="false">(F92-((D92+G92)-(E92+H92))*K92)/E92</f>
        <v>-0.0260764298781559</v>
      </c>
    </row>
    <row r="116" customFormat="false" ht="15" hidden="false" customHeight="false" outlineLevel="0" collapsed="false">
      <c r="A116" s="2" t="s">
        <v>406</v>
      </c>
      <c r="F116" s="80" t="n">
        <f aca="false">(I92-((D92+G92)-(E92+H92))*(1-K92))/H92</f>
        <v>0.0255564068126583</v>
      </c>
    </row>
    <row r="118" customFormat="false" ht="15" hidden="false" customHeight="false" outlineLevel="0" collapsed="false">
      <c r="U118" s="5" t="s">
        <v>136</v>
      </c>
    </row>
    <row r="119" customFormat="false" ht="28.35" hidden="false" customHeight="false" outlineLevel="0" collapsed="false">
      <c r="U119" s="67" t="s">
        <v>407</v>
      </c>
    </row>
    <row r="120" customFormat="false" ht="15" hidden="false" customHeight="false" outlineLevel="0" collapsed="false">
      <c r="U120" s="67" t="s">
        <v>408</v>
      </c>
    </row>
    <row r="121" customFormat="false" ht="41.75" hidden="false" customHeight="false" outlineLevel="0" collapsed="false">
      <c r="U121" s="67" t="s">
        <v>417</v>
      </c>
    </row>
    <row r="122" customFormat="false" ht="15" hidden="false" customHeight="false" outlineLevel="0" collapsed="false">
      <c r="U122" s="67" t="s">
        <v>410</v>
      </c>
    </row>
    <row r="123" customFormat="false" ht="41.75" hidden="false" customHeight="false" outlineLevel="0" collapsed="false">
      <c r="U123" s="67" t="s">
        <v>411</v>
      </c>
    </row>
    <row r="124" customFormat="false" ht="28.35" hidden="false" customHeight="false" outlineLevel="0" collapsed="false">
      <c r="U124" s="67" t="s">
        <v>412</v>
      </c>
    </row>
    <row r="125" customFormat="false" ht="28.35" hidden="false" customHeight="false" outlineLevel="0" collapsed="false">
      <c r="U125" s="67" t="s">
        <v>413</v>
      </c>
    </row>
    <row r="126" customFormat="false" ht="41.75" hidden="false" customHeight="false" outlineLevel="0" collapsed="false">
      <c r="U126" s="67" t="s">
        <v>414</v>
      </c>
    </row>
    <row r="127" customFormat="false" ht="15" hidden="false" customHeight="false" outlineLevel="0" collapsed="false">
      <c r="U127" s="67" t="s">
        <v>415</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418</v>
      </c>
      <c r="H1" s="8" t="s">
        <v>370</v>
      </c>
      <c r="I1" s="8" t="s">
        <v>371</v>
      </c>
      <c r="J1" s="8" t="s">
        <v>372</v>
      </c>
      <c r="K1" s="8" t="s">
        <v>373</v>
      </c>
      <c r="L1" s="8" t="s">
        <v>374</v>
      </c>
      <c r="M1" s="8" t="s">
        <v>419</v>
      </c>
      <c r="N1" s="8" t="s">
        <v>420</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133</v>
      </c>
      <c r="E2" s="59" t="n">
        <v>137</v>
      </c>
      <c r="F2" s="68" t="n">
        <f aca="false">IF(E2="","",D2-E2)</f>
        <v>-4</v>
      </c>
      <c r="G2" s="59" t="n">
        <v>212</v>
      </c>
      <c r="H2" s="59" t="n">
        <v>249</v>
      </c>
      <c r="I2" s="68" t="n">
        <f aca="false">IF(H2="","",G2-H2)</f>
        <v>-37</v>
      </c>
      <c r="J2" s="40" t="n">
        <f aca="false">IF(OR(D2="",D2+G2=0),"",D2/(D2+G2))</f>
        <v>0.385507246376812</v>
      </c>
      <c r="K2" s="40" t="n">
        <f aca="false">IF(E2="","",E2/(E2+H2))</f>
        <v>0.354922279792746</v>
      </c>
      <c r="L2" s="69" t="n">
        <f aca="false">IF(OR(K2="",J2=""),"",(J2-K2)*100)</f>
        <v>3.05849665840655</v>
      </c>
      <c r="M2" s="36" t="n">
        <v>3.73271957548748</v>
      </c>
      <c r="N2" s="36" t="n">
        <v>1.39811870411602</v>
      </c>
      <c r="O2" s="36" t="n">
        <f aca="false">SQRT(M2^2+N2^2)</f>
        <v>3.98596680116963</v>
      </c>
      <c r="P2" s="40" t="n">
        <f aca="false">IF(J2="","",MAX(0,J2-1.96*O2/100))</f>
        <v>0.307382297073887</v>
      </c>
      <c r="Q2" s="40" t="n">
        <f aca="false">IF(J2="","",MIN(1,J2+1.96*O2/100))</f>
        <v>0.463632195679736</v>
      </c>
      <c r="R2" s="32" t="str">
        <f aca="false">IF(L2="","",IF(ABS(L2)&lt;=O2,"Yes","No"))</f>
        <v>Yes</v>
      </c>
      <c r="S2" s="32" t="str">
        <f aca="false">IF(L2="","",IF(ABS(L2)&lt;=1.96*O2,"Yes","No"))</f>
        <v>Yes</v>
      </c>
      <c r="T2" s="59" t="n">
        <f aca="false">IF(D2="","",ROUND(SQRT(((D2+G2)*O2/100)^2+(J2*(D2+G2)*0.07872)^2),0))</f>
        <v>17</v>
      </c>
      <c r="U2" s="32"/>
    </row>
    <row r="3" customFormat="false" ht="15" hidden="false" customHeight="false" outlineLevel="0" collapsed="false">
      <c r="A3" s="32" t="s">
        <v>159</v>
      </c>
      <c r="B3" s="32" t="s">
        <v>165</v>
      </c>
      <c r="C3" s="32" t="s">
        <v>161</v>
      </c>
      <c r="D3" s="59" t="n">
        <v>79</v>
      </c>
      <c r="E3" s="59" t="n">
        <v>84</v>
      </c>
      <c r="F3" s="68" t="n">
        <f aca="false">IF(E3="","",D3-E3)</f>
        <v>-5</v>
      </c>
      <c r="G3" s="59" t="n">
        <v>199</v>
      </c>
      <c r="H3" s="59" t="n">
        <v>230</v>
      </c>
      <c r="I3" s="68" t="n">
        <f aca="false">IF(H3="","",G3-H3)</f>
        <v>-31</v>
      </c>
      <c r="J3" s="40" t="n">
        <f aca="false">IF(OR(D3="",D3+G3=0),"",D3/(D3+G3))</f>
        <v>0.284172661870504</v>
      </c>
      <c r="K3" s="40" t="n">
        <f aca="false">IF(E3="","",E3/(E3+H3))</f>
        <v>0.267515923566879</v>
      </c>
      <c r="L3" s="69" t="n">
        <f aca="false">IF(OR(K3="",J3=""),"",(J3-K3)*100)</f>
        <v>1.66567383036246</v>
      </c>
      <c r="M3" s="36" t="n">
        <v>3.73271957548748</v>
      </c>
      <c r="N3" s="36" t="n">
        <v>1.39811870411602</v>
      </c>
      <c r="O3" s="36" t="n">
        <f aca="false">SQRT(M3^2+N3^2)</f>
        <v>3.98596680116963</v>
      </c>
      <c r="P3" s="40" t="n">
        <f aca="false">IF(J3="","",MAX(0,J3-1.96*O3/100))</f>
        <v>0.206047712567579</v>
      </c>
      <c r="Q3" s="40" t="n">
        <f aca="false">IF(J3="","",MIN(1,J3+1.96*O3/100))</f>
        <v>0.362297611173428</v>
      </c>
      <c r="R3" s="32" t="str">
        <f aca="false">IF(L3="","",IF(ABS(L3)&lt;=O3,"Yes","No"))</f>
        <v>Yes</v>
      </c>
      <c r="S3" s="32" t="str">
        <f aca="false">IF(L3="","",IF(ABS(L3)&lt;=1.96*O3,"Yes","No"))</f>
        <v>Yes</v>
      </c>
      <c r="T3" s="59" t="n">
        <f aca="false">IF(D3="","",ROUND(SQRT(((D3+G3)*O3/100)^2+(J3*(D3+G3)*0.07872)^2),0))</f>
        <v>13</v>
      </c>
      <c r="U3" s="32"/>
    </row>
    <row r="4" customFormat="false" ht="15" hidden="false" customHeight="false" outlineLevel="0" collapsed="false">
      <c r="A4" s="32" t="s">
        <v>159</v>
      </c>
      <c r="B4" s="32" t="s">
        <v>166</v>
      </c>
      <c r="C4" s="32" t="s">
        <v>161</v>
      </c>
      <c r="D4" s="59" t="n">
        <v>89</v>
      </c>
      <c r="E4" s="59" t="n">
        <v>125</v>
      </c>
      <c r="F4" s="68" t="n">
        <f aca="false">IF(E4="","",D4-E4)</f>
        <v>-36</v>
      </c>
      <c r="G4" s="59" t="n">
        <v>199</v>
      </c>
      <c r="H4" s="59" t="n">
        <v>223</v>
      </c>
      <c r="I4" s="68" t="n">
        <f aca="false">IF(H4="","",G4-H4)</f>
        <v>-24</v>
      </c>
      <c r="J4" s="40" t="n">
        <f aca="false">IF(OR(D4="",D4+G4=0),"",D4/(D4+G4))</f>
        <v>0.309027777777778</v>
      </c>
      <c r="K4" s="40" t="n">
        <f aca="false">IF(E4="","",E4/(E4+H4))</f>
        <v>0.359195402298851</v>
      </c>
      <c r="L4" s="69" t="n">
        <f aca="false">IF(OR(K4="",J4=""),"",(J4-K4)*100)</f>
        <v>-5.01676245210728</v>
      </c>
      <c r="M4" s="36" t="n">
        <v>3.73271957548748</v>
      </c>
      <c r="N4" s="36" t="n">
        <v>1.39811870411602</v>
      </c>
      <c r="O4" s="36" t="n">
        <f aca="false">SQRT(M4^2+N4^2)</f>
        <v>3.98596680116963</v>
      </c>
      <c r="P4" s="40" t="n">
        <f aca="false">IF(J4="","",MAX(0,J4-1.96*O4/100))</f>
        <v>0.230902828474853</v>
      </c>
      <c r="Q4" s="40" t="n">
        <f aca="false">IF(J4="","",MIN(1,J4+1.96*O4/100))</f>
        <v>0.387152727080703</v>
      </c>
      <c r="R4" s="32" t="str">
        <f aca="false">IF(L4="","",IF(ABS(L4)&lt;=O4,"Yes","No"))</f>
        <v>No</v>
      </c>
      <c r="S4" s="32" t="str">
        <f aca="false">IF(L4="","",IF(ABS(L4)&lt;=1.96*O4,"Yes","No"))</f>
        <v>Yes</v>
      </c>
      <c r="T4" s="59" t="n">
        <f aca="false">IF(D4="","",ROUND(SQRT(((D4+G4)*O4/100)^2+(J4*(D4+G4)*0.07872)^2),0))</f>
        <v>13</v>
      </c>
      <c r="U4" s="32"/>
    </row>
    <row r="5" customFormat="false" ht="15" hidden="false" customHeight="false" outlineLevel="0" collapsed="false">
      <c r="A5" s="32" t="s">
        <v>159</v>
      </c>
      <c r="B5" s="32" t="s">
        <v>167</v>
      </c>
      <c r="C5" s="32" t="s">
        <v>161</v>
      </c>
      <c r="D5" s="59" t="n">
        <v>315</v>
      </c>
      <c r="E5" s="59" t="n">
        <v>372</v>
      </c>
      <c r="F5" s="68" t="n">
        <f aca="false">IF(E5="","",D5-E5)</f>
        <v>-57</v>
      </c>
      <c r="G5" s="59" t="n">
        <v>816</v>
      </c>
      <c r="H5" s="59" t="n">
        <v>925</v>
      </c>
      <c r="I5" s="68" t="n">
        <f aca="false">IF(H5="","",G5-H5)</f>
        <v>-109</v>
      </c>
      <c r="J5" s="40" t="n">
        <f aca="false">IF(OR(D5="",D5+G5=0),"",D5/(D5+G5))</f>
        <v>0.278514588859416</v>
      </c>
      <c r="K5" s="40" t="n">
        <f aca="false">IF(E5="","",E5/(E5+H5))</f>
        <v>0.286815728604472</v>
      </c>
      <c r="L5" s="69" t="n">
        <f aca="false">IF(OR(K5="",J5=""),"",(J5-K5)*100)</f>
        <v>-0.830113974505542</v>
      </c>
      <c r="M5" s="36" t="n">
        <v>2.07957502812653</v>
      </c>
      <c r="N5" s="36" t="n">
        <v>1.39811870411602</v>
      </c>
      <c r="O5" s="36" t="n">
        <f aca="false">SQRT(M5^2+N5^2)</f>
        <v>2.50586675791162</v>
      </c>
      <c r="P5" s="40" t="n">
        <f aca="false">IF(J5="","",MAX(0,J5-1.96*O5/100))</f>
        <v>0.229399600404349</v>
      </c>
      <c r="Q5" s="40" t="n">
        <f aca="false">IF(J5="","",MIN(1,J5+1.96*O5/100))</f>
        <v>0.327629577314484</v>
      </c>
      <c r="R5" s="32" t="str">
        <f aca="false">IF(L5="","",IF(ABS(L5)&lt;=O5,"Yes","No"))</f>
        <v>Yes</v>
      </c>
      <c r="S5" s="32" t="str">
        <f aca="false">IF(L5="","",IF(ABS(L5)&lt;=1.96*O5,"Yes","No"))</f>
        <v>Yes</v>
      </c>
      <c r="T5" s="59" t="n">
        <f aca="false">IF(D5="","",ROUND(SQRT(((D5+G5)*O5/100)^2+(J5*(D5+G5)*0.05883)^2),0))</f>
        <v>34</v>
      </c>
      <c r="U5" s="32"/>
    </row>
    <row r="6" customFormat="false" ht="15" hidden="false" customHeight="false" outlineLevel="0" collapsed="false">
      <c r="A6" s="32" t="s">
        <v>159</v>
      </c>
      <c r="B6" s="32" t="s">
        <v>169</v>
      </c>
      <c r="C6" s="32" t="s">
        <v>161</v>
      </c>
      <c r="D6" s="59" t="n">
        <v>31</v>
      </c>
      <c r="E6" s="59" t="n">
        <v>33</v>
      </c>
      <c r="F6" s="68" t="n">
        <f aca="false">IF(E6="","",D6-E6)</f>
        <v>-2</v>
      </c>
      <c r="G6" s="59" t="n">
        <v>45</v>
      </c>
      <c r="H6" s="59" t="n">
        <v>61</v>
      </c>
      <c r="I6" s="68" t="n">
        <f aca="false">IF(H6="","",G6-H6)</f>
        <v>-16</v>
      </c>
      <c r="J6" s="40" t="n">
        <f aca="false">IF(OR(D6="",D6+G6=0),"",D6/(D6+G6))</f>
        <v>0.407894736842105</v>
      </c>
      <c r="K6" s="40" t="n">
        <f aca="false">IF(E6="","",E6/(E6+H6))</f>
        <v>0.351063829787234</v>
      </c>
      <c r="L6" s="69" t="n">
        <f aca="false">IF(OR(K6="",J6=""),"",(J6-K6)*100)</f>
        <v>5.68309070548712</v>
      </c>
      <c r="M6" s="36" t="n">
        <v>3.73271957548748</v>
      </c>
      <c r="N6" s="36" t="n">
        <v>1.39811870411602</v>
      </c>
      <c r="O6" s="36" t="n">
        <f aca="false">SQRT(M6^2+N6^2)</f>
        <v>3.98596680116963</v>
      </c>
      <c r="P6" s="40" t="n">
        <f aca="false">IF(J6="","",MAX(0,J6-1.96*O6/100))</f>
        <v>0.32976978753918</v>
      </c>
      <c r="Q6" s="40" t="n">
        <f aca="false">IF(J6="","",MIN(1,J6+1.96*O6/100))</f>
        <v>0.48601968614503</v>
      </c>
      <c r="R6" s="32" t="str">
        <f aca="false">IF(L6="","",IF(ABS(L6)&lt;=O6,"Yes","No"))</f>
        <v>No</v>
      </c>
      <c r="S6" s="32" t="str">
        <f aca="false">IF(L6="","",IF(ABS(L6)&lt;=1.96*O6,"Yes","No"))</f>
        <v>Yes</v>
      </c>
      <c r="T6" s="59" t="n">
        <f aca="false">IF(D6="","",ROUND(SQRT(((D6+G6)*O6/100)^2+(J6*(D6+G6)*0.07872)^2),0))</f>
        <v>4</v>
      </c>
      <c r="U6" s="32"/>
    </row>
    <row r="7" customFormat="false" ht="15" hidden="false" customHeight="false" outlineLevel="0" collapsed="false">
      <c r="A7" s="32" t="s">
        <v>159</v>
      </c>
      <c r="B7" s="32" t="s">
        <v>170</v>
      </c>
      <c r="C7" s="32" t="s">
        <v>161</v>
      </c>
      <c r="D7" s="59" t="n">
        <v>488</v>
      </c>
      <c r="E7" s="59" t="n">
        <v>560</v>
      </c>
      <c r="F7" s="68" t="n">
        <f aca="false">IF(E7="","",D7-E7)</f>
        <v>-72</v>
      </c>
      <c r="G7" s="59" t="n">
        <v>1241</v>
      </c>
      <c r="H7" s="59" t="n">
        <v>1398</v>
      </c>
      <c r="I7" s="68" t="n">
        <f aca="false">IF(H7="","",G7-H7)</f>
        <v>-157</v>
      </c>
      <c r="J7" s="40" t="n">
        <f aca="false">IF(OR(D7="",D7+G7=0),"",D7/(D7+G7))</f>
        <v>0.282244071717756</v>
      </c>
      <c r="K7" s="40" t="n">
        <f aca="false">IF(E7="","",E7/(E7+H7))</f>
        <v>0.286006128702758</v>
      </c>
      <c r="L7" s="69" t="n">
        <f aca="false">IF(OR(K7="",J7=""),"",(J7-K7)*100)</f>
        <v>-0.376205698500198</v>
      </c>
      <c r="M7" s="36" t="n">
        <v>2.07957502812653</v>
      </c>
      <c r="N7" s="36" t="n">
        <v>1.39811870411602</v>
      </c>
      <c r="O7" s="36" t="n">
        <f aca="false">SQRT(M7^2+N7^2)</f>
        <v>2.50586675791162</v>
      </c>
      <c r="P7" s="40" t="n">
        <f aca="false">IF(J7="","",MAX(0,J7-1.96*O7/100))</f>
        <v>0.233129083262688</v>
      </c>
      <c r="Q7" s="40" t="n">
        <f aca="false">IF(J7="","",MIN(1,J7+1.96*O7/100))</f>
        <v>0.331359060172824</v>
      </c>
      <c r="R7" s="32" t="str">
        <f aca="false">IF(L7="","",IF(ABS(L7)&lt;=O7,"Yes","No"))</f>
        <v>Yes</v>
      </c>
      <c r="S7" s="32" t="str">
        <f aca="false">IF(L7="","",IF(ABS(L7)&lt;=1.96*O7,"Yes","No"))</f>
        <v>Yes</v>
      </c>
      <c r="T7" s="59" t="n">
        <f aca="false">IF(D7="","",ROUND(SQRT(((D7+G7)*O7/100)^2+(J7*(D7+G7)*0.05883)^2),0))</f>
        <v>52</v>
      </c>
      <c r="U7" s="32"/>
    </row>
    <row r="8" customFormat="false" ht="15" hidden="false" customHeight="false" outlineLevel="0" collapsed="false">
      <c r="A8" s="32" t="s">
        <v>159</v>
      </c>
      <c r="B8" s="32" t="s">
        <v>171</v>
      </c>
      <c r="C8" s="32" t="s">
        <v>161</v>
      </c>
      <c r="D8" s="59" t="n">
        <v>808</v>
      </c>
      <c r="E8" s="59" t="n">
        <v>979</v>
      </c>
      <c r="F8" s="68" t="n">
        <f aca="false">IF(E8="","",D8-E8)</f>
        <v>-171</v>
      </c>
      <c r="G8" s="59" t="n">
        <v>1043</v>
      </c>
      <c r="H8" s="59" t="n">
        <v>1157</v>
      </c>
      <c r="I8" s="68" t="n">
        <f aca="false">IF(H8="","",G8-H8)</f>
        <v>-114</v>
      </c>
      <c r="J8" s="40" t="n">
        <f aca="false">IF(OR(D8="",D8+G8=0),"",D8/(D8+G8))</f>
        <v>0.436520799567801</v>
      </c>
      <c r="K8" s="40" t="n">
        <f aca="false">IF(E8="","",E8/(E8+H8))</f>
        <v>0.458333333333333</v>
      </c>
      <c r="L8" s="69" t="n">
        <f aca="false">IF(OR(K8="",J8=""),"",(J8-K8)*100)</f>
        <v>-2.18125337655321</v>
      </c>
      <c r="M8" s="36" t="n">
        <v>2.07957502812653</v>
      </c>
      <c r="N8" s="36" t="n">
        <v>1.39811870411602</v>
      </c>
      <c r="O8" s="36" t="n">
        <f aca="false">SQRT(M8^2+N8^2)</f>
        <v>2.50586675791162</v>
      </c>
      <c r="P8" s="40" t="n">
        <f aca="false">IF(J8="","",MAX(0,J8-1.96*O8/100))</f>
        <v>0.387405811112734</v>
      </c>
      <c r="Q8" s="40" t="n">
        <f aca="false">IF(J8="","",MIN(1,J8+1.96*O8/100))</f>
        <v>0.485635788022869</v>
      </c>
      <c r="R8" s="32" t="str">
        <f aca="false">IF(L8="","",IF(ABS(L8)&lt;=O8,"Yes","No"))</f>
        <v>Yes</v>
      </c>
      <c r="S8" s="32" t="str">
        <f aca="false">IF(L8="","",IF(ABS(L8)&lt;=1.96*O8,"Yes","No"))</f>
        <v>Yes</v>
      </c>
      <c r="T8" s="59" t="n">
        <f aca="false">IF(D8="","",ROUND(SQRT(((D8+G8)*O8/100)^2+(J8*(D8+G8)*0.05883)^2),0))</f>
        <v>66</v>
      </c>
      <c r="U8" s="32"/>
    </row>
    <row r="9" customFormat="false" ht="15" hidden="false" customHeight="false" outlineLevel="0" collapsed="false">
      <c r="A9" s="32" t="s">
        <v>159</v>
      </c>
      <c r="B9" s="32" t="s">
        <v>172</v>
      </c>
      <c r="C9" s="32" t="s">
        <v>161</v>
      </c>
      <c r="D9" s="59" t="n">
        <v>262</v>
      </c>
      <c r="E9" s="59" t="n">
        <v>277</v>
      </c>
      <c r="F9" s="68" t="n">
        <f aca="false">IF(E9="","",D9-E9)</f>
        <v>-15</v>
      </c>
      <c r="G9" s="59" t="n">
        <v>547</v>
      </c>
      <c r="H9" s="59" t="n">
        <v>560</v>
      </c>
      <c r="I9" s="68" t="n">
        <f aca="false">IF(H9="","",G9-H9)</f>
        <v>-13</v>
      </c>
      <c r="J9" s="40" t="n">
        <f aca="false">IF(OR(D9="",D9+G9=0),"",D9/(D9+G9))</f>
        <v>0.323856613102596</v>
      </c>
      <c r="K9" s="40" t="n">
        <f aca="false">IF(E9="","",E9/(E9+H9))</f>
        <v>0.330943847072879</v>
      </c>
      <c r="L9" s="69" t="n">
        <f aca="false">IF(OR(K9="",J9=""),"",(J9-K9)*100)</f>
        <v>-0.708723397028355</v>
      </c>
      <c r="M9" s="36" t="n">
        <v>3.73271957548748</v>
      </c>
      <c r="N9" s="36" t="n">
        <v>1.39811870411602</v>
      </c>
      <c r="O9" s="36" t="n">
        <f aca="false">SQRT(M9^2+N9^2)</f>
        <v>3.98596680116963</v>
      </c>
      <c r="P9" s="40" t="n">
        <f aca="false">IF(J9="","",MAX(0,J9-1.96*O9/100))</f>
        <v>0.245731663799671</v>
      </c>
      <c r="Q9" s="40" t="n">
        <f aca="false">IF(J9="","",MIN(1,J9+1.96*O9/100))</f>
        <v>0.401981562405521</v>
      </c>
      <c r="R9" s="32" t="str">
        <f aca="false">IF(L9="","",IF(ABS(L9)&lt;=O9,"Yes","No"))</f>
        <v>Yes</v>
      </c>
      <c r="S9" s="32" t="str">
        <f aca="false">IF(L9="","",IF(ABS(L9)&lt;=1.96*O9,"Yes","No"))</f>
        <v>Yes</v>
      </c>
      <c r="T9" s="59" t="n">
        <f aca="false">IF(D9="","",ROUND(SQRT(((D9+G9)*O9/100)^2+(J9*(D9+G9)*0.07872)^2),0))</f>
        <v>38</v>
      </c>
      <c r="U9" s="32"/>
    </row>
    <row r="10" customFormat="false" ht="15" hidden="false" customHeight="false" outlineLevel="0" collapsed="false">
      <c r="A10" s="32" t="s">
        <v>159</v>
      </c>
      <c r="B10" s="32" t="s">
        <v>173</v>
      </c>
      <c r="C10" s="32" t="s">
        <v>161</v>
      </c>
      <c r="D10" s="59" t="n">
        <v>402</v>
      </c>
      <c r="E10" s="59" t="n">
        <v>420</v>
      </c>
      <c r="F10" s="68" t="n">
        <f aca="false">IF(E10="","",D10-E10)</f>
        <v>-18</v>
      </c>
      <c r="G10" s="59" t="n">
        <v>509</v>
      </c>
      <c r="H10" s="59" t="n">
        <v>580</v>
      </c>
      <c r="I10" s="68" t="n">
        <f aca="false">IF(H10="","",G10-H10)</f>
        <v>-71</v>
      </c>
      <c r="J10" s="40" t="n">
        <f aca="false">IF(OR(D10="",D10+G10=0),"",D10/(D10+G10))</f>
        <v>0.441273326015368</v>
      </c>
      <c r="K10" s="40" t="n">
        <f aca="false">IF(E10="","",E10/(E10+H10))</f>
        <v>0.42</v>
      </c>
      <c r="L10" s="69" t="n">
        <f aca="false">IF(OR(K10="",J10=""),"",(J10-K10)*100)</f>
        <v>2.12733260153677</v>
      </c>
      <c r="M10" s="36" t="n">
        <v>3.73271957548748</v>
      </c>
      <c r="N10" s="36" t="n">
        <v>1.39811870411602</v>
      </c>
      <c r="O10" s="36" t="n">
        <f aca="false">SQRT(M10^2+N10^2)</f>
        <v>3.98596680116963</v>
      </c>
      <c r="P10" s="40" t="n">
        <f aca="false">IF(J10="","",MAX(0,J10-1.96*O10/100))</f>
        <v>0.363148376712443</v>
      </c>
      <c r="Q10" s="40" t="n">
        <f aca="false">IF(J10="","",MIN(1,J10+1.96*O10/100))</f>
        <v>0.519398275318293</v>
      </c>
      <c r="R10" s="32" t="str">
        <f aca="false">IF(L10="","",IF(ABS(L10)&lt;=O10,"Yes","No"))</f>
        <v>Yes</v>
      </c>
      <c r="S10" s="32" t="str">
        <f aca="false">IF(L10="","",IF(ABS(L10)&lt;=1.96*O10,"Yes","No"))</f>
        <v>Yes</v>
      </c>
      <c r="T10" s="59" t="n">
        <f aca="false">IF(D10="","",ROUND(SQRT(((D10+G10)*O10/100)^2+(J10*(D10+G10)*0.07872)^2),0))</f>
        <v>48</v>
      </c>
      <c r="U10" s="32"/>
    </row>
    <row r="11" customFormat="false" ht="15" hidden="false" customHeight="false" outlineLevel="0" collapsed="false">
      <c r="A11" s="32" t="s">
        <v>159</v>
      </c>
      <c r="B11" s="32" t="s">
        <v>174</v>
      </c>
      <c r="C11" s="32" t="s">
        <v>161</v>
      </c>
      <c r="D11" s="59" t="n">
        <v>26</v>
      </c>
      <c r="E11" s="59" t="n">
        <v>36</v>
      </c>
      <c r="F11" s="68" t="n">
        <f aca="false">IF(E11="","",D11-E11)</f>
        <v>-10</v>
      </c>
      <c r="G11" s="59" t="n">
        <v>65</v>
      </c>
      <c r="H11" s="59" t="n">
        <v>79</v>
      </c>
      <c r="I11" s="68" t="n">
        <f aca="false">IF(H11="","",G11-H11)</f>
        <v>-14</v>
      </c>
      <c r="J11" s="40" t="n">
        <f aca="false">IF(OR(D11="",D11+G11=0),"",D11/(D11+G11))</f>
        <v>0.285714285714286</v>
      </c>
      <c r="K11" s="40" t="n">
        <f aca="false">IF(E11="","",E11/(E11+H11))</f>
        <v>0.31304347826087</v>
      </c>
      <c r="L11" s="69" t="n">
        <f aca="false">IF(OR(K11="",J11=""),"",(J11-K11)*100)</f>
        <v>-2.73291925465839</v>
      </c>
      <c r="M11" s="36" t="n">
        <v>3.73271957548748</v>
      </c>
      <c r="N11" s="36" t="n">
        <v>1.39811870411602</v>
      </c>
      <c r="O11" s="36" t="n">
        <f aca="false">SQRT(M11^2+N11^2)</f>
        <v>3.98596680116963</v>
      </c>
      <c r="P11" s="40" t="n">
        <f aca="false">IF(J11="","",MAX(0,J11-1.96*O11/100))</f>
        <v>0.207589336411361</v>
      </c>
      <c r="Q11" s="40" t="n">
        <f aca="false">IF(J11="","",MIN(1,J11+1.96*O11/100))</f>
        <v>0.363839235017211</v>
      </c>
      <c r="R11" s="32" t="str">
        <f aca="false">IF(L11="","",IF(ABS(L11)&lt;=O11,"Yes","No"))</f>
        <v>Yes</v>
      </c>
      <c r="S11" s="32" t="str">
        <f aca="false">IF(L11="","",IF(ABS(L11)&lt;=1.96*O11,"Yes","No"))</f>
        <v>Yes</v>
      </c>
      <c r="T11" s="59" t="n">
        <f aca="false">IF(D11="","",ROUND(SQRT(((D11+G11)*O11/100)^2+(J11*(D11+G11)*0.07872)^2),0))</f>
        <v>4</v>
      </c>
      <c r="U11" s="32"/>
    </row>
    <row r="12" customFormat="false" ht="15" hidden="false" customHeight="false" outlineLevel="0" collapsed="false">
      <c r="A12" s="32" t="s">
        <v>159</v>
      </c>
      <c r="B12" s="32" t="s">
        <v>175</v>
      </c>
      <c r="C12" s="32" t="s">
        <v>161</v>
      </c>
      <c r="D12" s="59" t="n">
        <v>52</v>
      </c>
      <c r="E12" s="59" t="n">
        <v>52</v>
      </c>
      <c r="F12" s="68" t="n">
        <f aca="false">IF(E12="","",D12-E12)</f>
        <v>0</v>
      </c>
      <c r="G12" s="59" t="n">
        <v>147</v>
      </c>
      <c r="H12" s="59" t="n">
        <v>189</v>
      </c>
      <c r="I12" s="68" t="n">
        <f aca="false">IF(H12="","",G12-H12)</f>
        <v>-42</v>
      </c>
      <c r="J12" s="40" t="n">
        <f aca="false">IF(OR(D12="",D12+G12=0),"",D12/(D12+G12))</f>
        <v>0.261306532663317</v>
      </c>
      <c r="K12" s="40" t="n">
        <f aca="false">IF(E12="","",E12/(E12+H12))</f>
        <v>0.215767634854772</v>
      </c>
      <c r="L12" s="69" t="n">
        <f aca="false">IF(OR(K12="",J12=""),"",(J12-K12)*100)</f>
        <v>4.55388978085448</v>
      </c>
      <c r="M12" s="36" t="n">
        <v>3.73271957548748</v>
      </c>
      <c r="N12" s="36" t="n">
        <v>1.39811870411602</v>
      </c>
      <c r="O12" s="36" t="n">
        <f aca="false">SQRT(M12^2+N12^2)</f>
        <v>3.98596680116963</v>
      </c>
      <c r="P12" s="40" t="n">
        <f aca="false">IF(J12="","",MAX(0,J12-1.96*O12/100))</f>
        <v>0.183181583360392</v>
      </c>
      <c r="Q12" s="40" t="n">
        <f aca="false">IF(J12="","",MIN(1,J12+1.96*O12/100))</f>
        <v>0.339431481966241</v>
      </c>
      <c r="R12" s="32" t="str">
        <f aca="false">IF(L12="","",IF(ABS(L12)&lt;=O12,"Yes","No"))</f>
        <v>No</v>
      </c>
      <c r="S12" s="32" t="str">
        <f aca="false">IF(L12="","",IF(ABS(L12)&lt;=1.96*O12,"Yes","No"))</f>
        <v>Yes</v>
      </c>
      <c r="T12" s="59" t="n">
        <f aca="false">IF(D12="","",ROUND(SQRT(((D12+G12)*O12/100)^2+(J12*(D12+G12)*0.07872)^2),0))</f>
        <v>9</v>
      </c>
      <c r="U12" s="32"/>
    </row>
    <row r="13" customFormat="false" ht="15" hidden="false" customHeight="false" outlineLevel="0" collapsed="false">
      <c r="A13" s="32" t="s">
        <v>159</v>
      </c>
      <c r="B13" s="32" t="s">
        <v>176</v>
      </c>
      <c r="C13" s="32" t="s">
        <v>161</v>
      </c>
      <c r="D13" s="59" t="n">
        <v>619</v>
      </c>
      <c r="E13" s="59" t="n">
        <v>719</v>
      </c>
      <c r="F13" s="68" t="n">
        <f aca="false">IF(E13="","",D13-E13)</f>
        <v>-100</v>
      </c>
      <c r="G13" s="59" t="n">
        <v>857</v>
      </c>
      <c r="H13" s="59" t="n">
        <v>948</v>
      </c>
      <c r="I13" s="68" t="n">
        <f aca="false">IF(H13="","",G13-H13)</f>
        <v>-91</v>
      </c>
      <c r="J13" s="40" t="n">
        <f aca="false">IF(OR(D13="",D13+G13=0),"",D13/(D13+G13))</f>
        <v>0.419376693766938</v>
      </c>
      <c r="K13" s="40" t="n">
        <f aca="false">IF(E13="","",E13/(E13+H13))</f>
        <v>0.43131373725255</v>
      </c>
      <c r="L13" s="69" t="n">
        <f aca="false">IF(OR(K13="",J13=""),"",(J13-K13)*100)</f>
        <v>-1.19370434856119</v>
      </c>
      <c r="M13" s="36" t="n">
        <v>2.07957502812653</v>
      </c>
      <c r="N13" s="36" t="n">
        <v>1.39811870411602</v>
      </c>
      <c r="O13" s="36" t="n">
        <f aca="false">SQRT(M13^2+N13^2)</f>
        <v>2.50586675791162</v>
      </c>
      <c r="P13" s="40" t="n">
        <f aca="false">IF(J13="","",MAX(0,J13-1.96*O13/100))</f>
        <v>0.37026170531187</v>
      </c>
      <c r="Q13" s="40" t="n">
        <f aca="false">IF(J13="","",MIN(1,J13+1.96*O13/100))</f>
        <v>0.468491682222005</v>
      </c>
      <c r="R13" s="32" t="str">
        <f aca="false">IF(L13="","",IF(ABS(L13)&lt;=O13,"Yes","No"))</f>
        <v>Yes</v>
      </c>
      <c r="S13" s="32" t="str">
        <f aca="false">IF(L13="","",IF(ABS(L13)&lt;=1.96*O13,"Yes","No"))</f>
        <v>Yes</v>
      </c>
      <c r="T13" s="59" t="n">
        <f aca="false">IF(D13="","",ROUND(SQRT(((D13+G13)*O13/100)^2+(J13*(D13+G13)*0.05883)^2),0))</f>
        <v>52</v>
      </c>
      <c r="U13" s="32"/>
    </row>
    <row r="14" customFormat="false" ht="15" hidden="false" customHeight="false" outlineLevel="0" collapsed="false">
      <c r="A14" s="32" t="s">
        <v>159</v>
      </c>
      <c r="B14" s="32" t="s">
        <v>177</v>
      </c>
      <c r="C14" s="32" t="s">
        <v>161</v>
      </c>
      <c r="D14" s="59" t="n">
        <v>384</v>
      </c>
      <c r="E14" s="59" t="n">
        <v>430</v>
      </c>
      <c r="F14" s="68" t="n">
        <f aca="false">IF(E14="","",D14-E14)</f>
        <v>-46</v>
      </c>
      <c r="G14" s="59" t="n">
        <v>772</v>
      </c>
      <c r="H14" s="59" t="n">
        <v>916</v>
      </c>
      <c r="I14" s="68" t="n">
        <f aca="false">IF(H14="","",G14-H14)</f>
        <v>-144</v>
      </c>
      <c r="J14" s="40" t="n">
        <f aca="false">IF(OR(D14="",D14+G14=0),"",D14/(D14+G14))</f>
        <v>0.332179930795848</v>
      </c>
      <c r="K14" s="40" t="n">
        <f aca="false">IF(E14="","",E14/(E14+H14))</f>
        <v>0.319465081723626</v>
      </c>
      <c r="L14" s="69" t="n">
        <f aca="false">IF(OR(K14="",J14=""),"",(J14-K14)*100)</f>
        <v>1.27148490722222</v>
      </c>
      <c r="M14" s="36" t="n">
        <v>2.07957502812653</v>
      </c>
      <c r="N14" s="36" t="n">
        <v>1.39811870411602</v>
      </c>
      <c r="O14" s="36" t="n">
        <f aca="false">SQRT(M14^2+N14^2)</f>
        <v>2.50586675791162</v>
      </c>
      <c r="P14" s="40" t="n">
        <f aca="false">IF(J14="","",MAX(0,J14-1.96*O14/100))</f>
        <v>0.28306494234078</v>
      </c>
      <c r="Q14" s="40" t="n">
        <f aca="false">IF(J14="","",MIN(1,J14+1.96*O14/100))</f>
        <v>0.381294919250915</v>
      </c>
      <c r="R14" s="32" t="str">
        <f aca="false">IF(L14="","",IF(ABS(L14)&lt;=O14,"Yes","No"))</f>
        <v>Yes</v>
      </c>
      <c r="S14" s="32" t="str">
        <f aca="false">IF(L14="","",IF(ABS(L14)&lt;=1.96*O14,"Yes","No"))</f>
        <v>Yes</v>
      </c>
      <c r="T14" s="59" t="n">
        <f aca="false">IF(D14="","",ROUND(SQRT(((D14+G14)*O14/100)^2+(J14*(D14+G14)*0.05883)^2),0))</f>
        <v>37</v>
      </c>
      <c r="U14" s="32"/>
    </row>
    <row r="15" customFormat="false" ht="15" hidden="false" customHeight="false" outlineLevel="0" collapsed="false">
      <c r="A15" s="32" t="s">
        <v>159</v>
      </c>
      <c r="B15" s="32" t="s">
        <v>178</v>
      </c>
      <c r="C15" s="32" t="s">
        <v>161</v>
      </c>
      <c r="D15" s="59" t="n">
        <v>442</v>
      </c>
      <c r="E15" s="59" t="n">
        <v>546</v>
      </c>
      <c r="F15" s="68" t="n">
        <f aca="false">IF(E15="","",D15-E15)</f>
        <v>-104</v>
      </c>
      <c r="G15" s="59" t="n">
        <v>1117</v>
      </c>
      <c r="H15" s="59" t="n">
        <v>1227</v>
      </c>
      <c r="I15" s="68" t="n">
        <f aca="false">IF(H15="","",G15-H15)</f>
        <v>-110</v>
      </c>
      <c r="J15" s="40" t="n">
        <f aca="false">IF(OR(D15="",D15+G15=0),"",D15/(D15+G15))</f>
        <v>0.283515073765234</v>
      </c>
      <c r="K15" s="40" t="n">
        <f aca="false">IF(E15="","",E15/(E15+H15))</f>
        <v>0.307952622673435</v>
      </c>
      <c r="L15" s="69" t="n">
        <f aca="false">IF(OR(K15="",J15=""),"",(J15-K15)*100)</f>
        <v>-2.44375489082008</v>
      </c>
      <c r="M15" s="36" t="n">
        <v>2.07957502812653</v>
      </c>
      <c r="N15" s="36" t="n">
        <v>1.39811870411602</v>
      </c>
      <c r="O15" s="36" t="n">
        <f aca="false">SQRT(M15^2+N15^2)</f>
        <v>2.50586675791162</v>
      </c>
      <c r="P15" s="40" t="n">
        <f aca="false">IF(J15="","",MAX(0,J15-1.96*O15/100))</f>
        <v>0.234400085310166</v>
      </c>
      <c r="Q15" s="40" t="n">
        <f aca="false">IF(J15="","",MIN(1,J15+1.96*O15/100))</f>
        <v>0.332630062220302</v>
      </c>
      <c r="R15" s="32" t="str">
        <f aca="false">IF(L15="","",IF(ABS(L15)&lt;=O15,"Yes","No"))</f>
        <v>Yes</v>
      </c>
      <c r="S15" s="32" t="str">
        <f aca="false">IF(L15="","",IF(ABS(L15)&lt;=1.96*O15,"Yes","No"))</f>
        <v>Yes</v>
      </c>
      <c r="T15" s="59" t="n">
        <f aca="false">IF(D15="","",ROUND(SQRT(((D15+G15)*O15/100)^2+(J15*(D15+G15)*0.05883)^2),0))</f>
        <v>47</v>
      </c>
      <c r="U15" s="32"/>
    </row>
    <row r="16" customFormat="false" ht="15" hidden="false" customHeight="false" outlineLevel="0" collapsed="false">
      <c r="A16" s="32" t="s">
        <v>159</v>
      </c>
      <c r="B16" s="32" t="s">
        <v>179</v>
      </c>
      <c r="C16" s="32" t="s">
        <v>161</v>
      </c>
      <c r="D16" s="59" t="n">
        <v>418</v>
      </c>
      <c r="E16" s="59" t="n">
        <v>488</v>
      </c>
      <c r="F16" s="68" t="n">
        <f aca="false">IF(E16="","",D16-E16)</f>
        <v>-70</v>
      </c>
      <c r="G16" s="59" t="n">
        <v>605</v>
      </c>
      <c r="H16" s="59" t="n">
        <v>706</v>
      </c>
      <c r="I16" s="68" t="n">
        <f aca="false">IF(H16="","",G16-H16)</f>
        <v>-101</v>
      </c>
      <c r="J16" s="40" t="n">
        <f aca="false">IF(OR(D16="",D16+G16=0),"",D16/(D16+G16))</f>
        <v>0.408602150537634</v>
      </c>
      <c r="K16" s="40" t="n">
        <f aca="false">IF(E16="","",E16/(E16+H16))</f>
        <v>0.408710217755444</v>
      </c>
      <c r="L16" s="69" t="n">
        <f aca="false">IF(OR(K16="",J16=""),"",(J16-K16)*100)</f>
        <v>-0.0108067217809427</v>
      </c>
      <c r="M16" s="36" t="n">
        <v>3.73271957548748</v>
      </c>
      <c r="N16" s="36" t="n">
        <v>1.39811870411602</v>
      </c>
      <c r="O16" s="36" t="n">
        <f aca="false">SQRT(M16^2+N16^2)</f>
        <v>3.98596680116963</v>
      </c>
      <c r="P16" s="40" t="n">
        <f aca="false">IF(J16="","",MAX(0,J16-1.96*O16/100))</f>
        <v>0.33047720123471</v>
      </c>
      <c r="Q16" s="40" t="n">
        <f aca="false">IF(J16="","",MIN(1,J16+1.96*O16/100))</f>
        <v>0.486727099840559</v>
      </c>
      <c r="R16" s="32" t="str">
        <f aca="false">IF(L16="","",IF(ABS(L16)&lt;=O16,"Yes","No"))</f>
        <v>Yes</v>
      </c>
      <c r="S16" s="32" t="str">
        <f aca="false">IF(L16="","",IF(ABS(L16)&lt;=1.96*O16,"Yes","No"))</f>
        <v>Yes</v>
      </c>
      <c r="T16" s="59" t="n">
        <f aca="false">IF(D16="","",ROUND(SQRT(((D16+G16)*O16/100)^2+(J16*(D16+G16)*0.07872)^2),0))</f>
        <v>52</v>
      </c>
      <c r="U16" s="32"/>
    </row>
    <row r="17" customFormat="false" ht="15" hidden="false" customHeight="false" outlineLevel="0" collapsed="false">
      <c r="A17" s="32" t="s">
        <v>159</v>
      </c>
      <c r="B17" s="32" t="s">
        <v>180</v>
      </c>
      <c r="C17" s="32" t="s">
        <v>161</v>
      </c>
      <c r="D17" s="59" t="n">
        <v>127</v>
      </c>
      <c r="E17" s="59" t="n">
        <v>96</v>
      </c>
      <c r="F17" s="68" t="n">
        <f aca="false">IF(E17="","",D17-E17)</f>
        <v>31</v>
      </c>
      <c r="G17" s="59" t="n">
        <v>365</v>
      </c>
      <c r="H17" s="59" t="n">
        <v>444</v>
      </c>
      <c r="I17" s="68" t="n">
        <f aca="false">IF(H17="","",G17-H17)</f>
        <v>-79</v>
      </c>
      <c r="J17" s="40" t="n">
        <f aca="false">IF(OR(D17="",D17+G17=0),"",D17/(D17+G17))</f>
        <v>0.258130081300813</v>
      </c>
      <c r="K17" s="40" t="n">
        <f aca="false">IF(E17="","",E17/(E17+H17))</f>
        <v>0.177777777777778</v>
      </c>
      <c r="L17" s="69" t="n">
        <f aca="false">IF(OR(K17="",J17=""),"",(J17-K17)*100)</f>
        <v>8.03523035230352</v>
      </c>
      <c r="M17" s="36" t="n">
        <v>3.73271957548748</v>
      </c>
      <c r="N17" s="36" t="n">
        <v>1.39811870411602</v>
      </c>
      <c r="O17" s="36" t="n">
        <f aca="false">SQRT(M17^2+N17^2)</f>
        <v>3.98596680116963</v>
      </c>
      <c r="P17" s="40" t="n">
        <f aca="false">IF(J17="","",MAX(0,J17-1.96*O17/100))</f>
        <v>0.180005131997888</v>
      </c>
      <c r="Q17" s="40" t="n">
        <f aca="false">IF(J17="","",MIN(1,J17+1.96*O17/100))</f>
        <v>0.336255030603738</v>
      </c>
      <c r="R17" s="32" t="str">
        <f aca="false">IF(L17="","",IF(ABS(L17)&lt;=O17,"Yes","No"))</f>
        <v>No</v>
      </c>
      <c r="S17" s="32" t="str">
        <f aca="false">IF(L17="","",IF(ABS(L17)&lt;=1.96*O17,"Yes","No"))</f>
        <v>No</v>
      </c>
      <c r="T17" s="59" t="n">
        <f aca="false">IF(D17="","",ROUND(SQRT(((D17+G17)*O17/100)^2+(J17*(D17+G17)*0.07872)^2),0))</f>
        <v>22</v>
      </c>
      <c r="U17" s="32"/>
    </row>
    <row r="18" customFormat="false" ht="15" hidden="false" customHeight="false" outlineLevel="0" collapsed="false">
      <c r="A18" s="32" t="s">
        <v>159</v>
      </c>
      <c r="B18" s="32" t="s">
        <v>181</v>
      </c>
      <c r="C18" s="32" t="s">
        <v>161</v>
      </c>
      <c r="D18" s="59" t="n">
        <v>671</v>
      </c>
      <c r="E18" s="59" t="n">
        <v>737</v>
      </c>
      <c r="F18" s="68" t="n">
        <f aca="false">IF(E18="","",D18-E18)</f>
        <v>-66</v>
      </c>
      <c r="G18" s="59" t="n">
        <v>1063</v>
      </c>
      <c r="H18" s="59" t="n">
        <v>1172</v>
      </c>
      <c r="I18" s="68" t="n">
        <f aca="false">IF(H18="","",G18-H18)</f>
        <v>-109</v>
      </c>
      <c r="J18" s="40" t="n">
        <f aca="false">IF(OR(D18="",D18+G18=0),"",D18/(D18+G18))</f>
        <v>0.386966551326413</v>
      </c>
      <c r="K18" s="40" t="n">
        <f aca="false">IF(E18="","",E18/(E18+H18))</f>
        <v>0.386066003143007</v>
      </c>
      <c r="L18" s="69" t="n">
        <f aca="false">IF(OR(K18="",J18=""),"",(J18-K18)*100)</f>
        <v>0.0900548183406125</v>
      </c>
      <c r="M18" s="36" t="n">
        <v>2.07957502812653</v>
      </c>
      <c r="N18" s="36" t="n">
        <v>1.39811870411602</v>
      </c>
      <c r="O18" s="36" t="n">
        <f aca="false">SQRT(M18^2+N18^2)</f>
        <v>2.50586675791162</v>
      </c>
      <c r="P18" s="40" t="n">
        <f aca="false">IF(J18="","",MAX(0,J18-1.96*O18/100))</f>
        <v>0.337851562871345</v>
      </c>
      <c r="Q18" s="40" t="n">
        <f aca="false">IF(J18="","",MIN(1,J18+1.96*O18/100))</f>
        <v>0.436081539781481</v>
      </c>
      <c r="R18" s="32" t="str">
        <f aca="false">IF(L18="","",IF(ABS(L18)&lt;=O18,"Yes","No"))</f>
        <v>Yes</v>
      </c>
      <c r="S18" s="32" t="str">
        <f aca="false">IF(L18="","",IF(ABS(L18)&lt;=1.96*O18,"Yes","No"))</f>
        <v>Yes</v>
      </c>
      <c r="T18" s="59" t="n">
        <f aca="false">IF(D18="","",ROUND(SQRT(((D18+G18)*O18/100)^2+(J18*(D18+G18)*0.05883)^2),0))</f>
        <v>59</v>
      </c>
      <c r="U18" s="32"/>
    </row>
    <row r="19" customFormat="false" ht="15" hidden="false" customHeight="false" outlineLevel="0" collapsed="false">
      <c r="A19" s="32" t="s">
        <v>159</v>
      </c>
      <c r="B19" s="32" t="s">
        <v>182</v>
      </c>
      <c r="C19" s="32" t="s">
        <v>161</v>
      </c>
      <c r="D19" s="59" t="n">
        <v>52</v>
      </c>
      <c r="E19" s="59" t="n">
        <v>51</v>
      </c>
      <c r="F19" s="68" t="n">
        <f aca="false">IF(E19="","",D19-E19)</f>
        <v>1</v>
      </c>
      <c r="G19" s="59" t="n">
        <v>123</v>
      </c>
      <c r="H19" s="59" t="n">
        <v>136</v>
      </c>
      <c r="I19" s="68" t="n">
        <f aca="false">IF(H19="","",G19-H19)</f>
        <v>-13</v>
      </c>
      <c r="J19" s="40" t="n">
        <f aca="false">IF(OR(D19="",D19+G19=0),"",D19/(D19+G19))</f>
        <v>0.297142857142857</v>
      </c>
      <c r="K19" s="40" t="n">
        <f aca="false">IF(E19="","",E19/(E19+H19))</f>
        <v>0.272727272727273</v>
      </c>
      <c r="L19" s="69" t="n">
        <f aca="false">IF(OR(K19="",J19=""),"",(J19-K19)*100)</f>
        <v>2.44155844155844</v>
      </c>
      <c r="M19" s="36" t="n">
        <v>3.73271957548748</v>
      </c>
      <c r="N19" s="36" t="n">
        <v>1.39811870411602</v>
      </c>
      <c r="O19" s="36" t="n">
        <f aca="false">SQRT(M19^2+N19^2)</f>
        <v>3.98596680116963</v>
      </c>
      <c r="P19" s="40" t="n">
        <f aca="false">IF(J19="","",MAX(0,J19-1.96*O19/100))</f>
        <v>0.219017907839932</v>
      </c>
      <c r="Q19" s="40" t="n">
        <f aca="false">IF(J19="","",MIN(1,J19+1.96*O19/100))</f>
        <v>0.375267806445782</v>
      </c>
      <c r="R19" s="32" t="str">
        <f aca="false">IF(L19="","",IF(ABS(L19)&lt;=O19,"Yes","No"))</f>
        <v>Yes</v>
      </c>
      <c r="S19" s="32" t="str">
        <f aca="false">IF(L19="","",IF(ABS(L19)&lt;=1.96*O19,"Yes","No"))</f>
        <v>Yes</v>
      </c>
      <c r="T19" s="59" t="n">
        <f aca="false">IF(D19="","",ROUND(SQRT(((D19+G19)*O19/100)^2+(J19*(D19+G19)*0.07872)^2),0))</f>
        <v>8</v>
      </c>
      <c r="U19" s="32"/>
    </row>
    <row r="20" customFormat="false" ht="15" hidden="false" customHeight="false" outlineLevel="0" collapsed="false">
      <c r="A20" s="32" t="s">
        <v>159</v>
      </c>
      <c r="B20" s="32" t="s">
        <v>183</v>
      </c>
      <c r="C20" s="32" t="s">
        <v>161</v>
      </c>
      <c r="D20" s="59" t="n">
        <v>1437</v>
      </c>
      <c r="E20" s="59" t="n">
        <v>1574</v>
      </c>
      <c r="F20" s="68" t="n">
        <f aca="false">IF(E20="","",D20-E20)</f>
        <v>-137</v>
      </c>
      <c r="G20" s="59" t="n">
        <v>2207</v>
      </c>
      <c r="H20" s="59" t="n">
        <v>2750</v>
      </c>
      <c r="I20" s="68" t="n">
        <f aca="false">IF(H20="","",G20-H20)</f>
        <v>-543</v>
      </c>
      <c r="J20" s="40" t="n">
        <f aca="false">IF(OR(D20="",D20+G20=0),"",D20/(D20+G20))</f>
        <v>0.394346871569704</v>
      </c>
      <c r="K20" s="40" t="n">
        <f aca="false">IF(E20="","",E20/(E20+H20))</f>
        <v>0.364014801110083</v>
      </c>
      <c r="L20" s="69" t="n">
        <f aca="false">IF(OR(K20="",J20=""),"",(J20-K20)*100)</f>
        <v>3.03320704596203</v>
      </c>
      <c r="M20" s="36" t="n">
        <v>1.9194706348173</v>
      </c>
      <c r="N20" s="36" t="n">
        <v>1.39811870411602</v>
      </c>
      <c r="O20" s="36" t="n">
        <f aca="false">SQRT(M20^2+N20^2)</f>
        <v>2.37467964759986</v>
      </c>
      <c r="P20" s="40" t="n">
        <f aca="false">IF(J20="","",MAX(0,J20-1.96*O20/100))</f>
        <v>0.347803150476746</v>
      </c>
      <c r="Q20" s="40" t="n">
        <f aca="false">IF(J20="","",MIN(1,J20+1.96*O20/100))</f>
        <v>0.440890592662661</v>
      </c>
      <c r="R20" s="32" t="str">
        <f aca="false">IF(L20="","",IF(ABS(L20)&lt;=O20,"Yes","No"))</f>
        <v>No</v>
      </c>
      <c r="S20" s="32" t="str">
        <f aca="false">IF(L20="","",IF(ABS(L20)&lt;=1.96*O20,"Yes","No"))</f>
        <v>Yes</v>
      </c>
      <c r="T20" s="59" t="n">
        <f aca="false">IF(D20="","",ROUND(SQRT(((D20+G20)*O20/100)^2+(J20*(D20+G20)*0.04942)^2),0))</f>
        <v>112</v>
      </c>
      <c r="U20" s="32"/>
    </row>
    <row r="21" customFormat="false" ht="15" hidden="false" customHeight="false" outlineLevel="0" collapsed="false">
      <c r="A21" s="32" t="s">
        <v>159</v>
      </c>
      <c r="B21" s="32" t="s">
        <v>185</v>
      </c>
      <c r="C21" s="32" t="s">
        <v>161</v>
      </c>
      <c r="D21" s="59" t="n">
        <v>499</v>
      </c>
      <c r="E21" s="59" t="n">
        <v>557</v>
      </c>
      <c r="F21" s="68" t="n">
        <f aca="false">IF(E21="","",D21-E21)</f>
        <v>-58</v>
      </c>
      <c r="G21" s="59" t="n">
        <v>645</v>
      </c>
      <c r="H21" s="59" t="n">
        <v>678</v>
      </c>
      <c r="I21" s="68" t="n">
        <f aca="false">IF(H21="","",G21-H21)</f>
        <v>-33</v>
      </c>
      <c r="J21" s="40" t="n">
        <f aca="false">IF(OR(D21="",D21+G21=0),"",D21/(D21+G21))</f>
        <v>0.436188811188811</v>
      </c>
      <c r="K21" s="40" t="n">
        <f aca="false">IF(E21="","",E21/(E21+H21))</f>
        <v>0.451012145748988</v>
      </c>
      <c r="L21" s="69" t="n">
        <f aca="false">IF(OR(K21="",J21=""),"",(J21-K21)*100)</f>
        <v>-1.48233345601766</v>
      </c>
      <c r="M21" s="36" t="n">
        <v>2.07957502812653</v>
      </c>
      <c r="N21" s="36" t="n">
        <v>1.39811870411602</v>
      </c>
      <c r="O21" s="36" t="n">
        <f aca="false">SQRT(M21^2+N21^2)</f>
        <v>2.50586675791162</v>
      </c>
      <c r="P21" s="40" t="n">
        <f aca="false">IF(J21="","",MAX(0,J21-1.96*O21/100))</f>
        <v>0.387073822733743</v>
      </c>
      <c r="Q21" s="40" t="n">
        <f aca="false">IF(J21="","",MIN(1,J21+1.96*O21/100))</f>
        <v>0.485303799643879</v>
      </c>
      <c r="R21" s="32" t="str">
        <f aca="false">IF(L21="","",IF(ABS(L21)&lt;=O21,"Yes","No"))</f>
        <v>Yes</v>
      </c>
      <c r="S21" s="32" t="str">
        <f aca="false">IF(L21="","",IF(ABS(L21)&lt;=1.96*O21,"Yes","No"))</f>
        <v>Yes</v>
      </c>
      <c r="T21" s="59" t="n">
        <f aca="false">IF(D21="","",ROUND(SQRT(((D21+G21)*O21/100)^2+(J21*(D21+G21)*0.05883)^2),0))</f>
        <v>41</v>
      </c>
      <c r="U21" s="32"/>
    </row>
    <row r="22" customFormat="false" ht="15" hidden="false" customHeight="false" outlineLevel="0" collapsed="false">
      <c r="A22" s="32" t="s">
        <v>159</v>
      </c>
      <c r="B22" s="32" t="s">
        <v>186</v>
      </c>
      <c r="C22" s="32" t="s">
        <v>161</v>
      </c>
      <c r="D22" s="59" t="n">
        <v>560</v>
      </c>
      <c r="E22" s="59" t="n">
        <v>625</v>
      </c>
      <c r="F22" s="68" t="n">
        <f aca="false">IF(E22="","",D22-E22)</f>
        <v>-65</v>
      </c>
      <c r="G22" s="59" t="n">
        <v>1287</v>
      </c>
      <c r="H22" s="59" t="n">
        <v>1506</v>
      </c>
      <c r="I22" s="68" t="n">
        <f aca="false">IF(H22="","",G22-H22)</f>
        <v>-219</v>
      </c>
      <c r="J22" s="40" t="n">
        <f aca="false">IF(OR(D22="",D22+G22=0),"",D22/(D22+G22))</f>
        <v>0.303194369247428</v>
      </c>
      <c r="K22" s="40" t="n">
        <f aca="false">IF(E22="","",E22/(E22+H22))</f>
        <v>0.293289535429376</v>
      </c>
      <c r="L22" s="69" t="n">
        <f aca="false">IF(OR(K22="",J22=""),"",(J22-K22)*100)</f>
        <v>0.990483381805241</v>
      </c>
      <c r="M22" s="36" t="n">
        <v>2.07957502812653</v>
      </c>
      <c r="N22" s="36" t="n">
        <v>1.39811870411602</v>
      </c>
      <c r="O22" s="36" t="n">
        <f aca="false">SQRT(M22^2+N22^2)</f>
        <v>2.50586675791162</v>
      </c>
      <c r="P22" s="40" t="n">
        <f aca="false">IF(J22="","",MAX(0,J22-1.96*O22/100))</f>
        <v>0.254079380792361</v>
      </c>
      <c r="Q22" s="40" t="n">
        <f aca="false">IF(J22="","",MIN(1,J22+1.96*O22/100))</f>
        <v>0.352309357702496</v>
      </c>
      <c r="R22" s="32" t="str">
        <f aca="false">IF(L22="","",IF(ABS(L22)&lt;=O22,"Yes","No"))</f>
        <v>Yes</v>
      </c>
      <c r="S22" s="32" t="str">
        <f aca="false">IF(L22="","",IF(ABS(L22)&lt;=1.96*O22,"Yes","No"))</f>
        <v>Yes</v>
      </c>
      <c r="T22" s="59" t="n">
        <f aca="false">IF(D22="","",ROUND(SQRT(((D22+G22)*O22/100)^2+(J22*(D22+G22)*0.05883)^2),0))</f>
        <v>57</v>
      </c>
      <c r="U22" s="32"/>
    </row>
    <row r="23" customFormat="false" ht="15" hidden="false" customHeight="false" outlineLevel="0" collapsed="false">
      <c r="A23" s="32" t="s">
        <v>159</v>
      </c>
      <c r="B23" s="32" t="s">
        <v>187</v>
      </c>
      <c r="C23" s="32" t="s">
        <v>161</v>
      </c>
      <c r="D23" s="59" t="n">
        <v>248</v>
      </c>
      <c r="E23" s="59" t="n">
        <v>245</v>
      </c>
      <c r="F23" s="68" t="n">
        <f aca="false">IF(E23="","",D23-E23)</f>
        <v>3</v>
      </c>
      <c r="G23" s="59" t="n">
        <v>602</v>
      </c>
      <c r="H23" s="59" t="n">
        <v>656</v>
      </c>
      <c r="I23" s="68" t="n">
        <f aca="false">IF(H23="","",G23-H23)</f>
        <v>-54</v>
      </c>
      <c r="J23" s="40" t="n">
        <f aca="false">IF(OR(D23="",D23+G23=0),"",D23/(D23+G23))</f>
        <v>0.291764705882353</v>
      </c>
      <c r="K23" s="40" t="n">
        <f aca="false">IF(E23="","",E23/(E23+H23))</f>
        <v>0.271920088790233</v>
      </c>
      <c r="L23" s="69" t="n">
        <f aca="false">IF(OR(K23="",J23=""),"",(J23-K23)*100)</f>
        <v>1.98446170921199</v>
      </c>
      <c r="M23" s="36" t="n">
        <v>3.73271957548748</v>
      </c>
      <c r="N23" s="36" t="n">
        <v>1.39811870411602</v>
      </c>
      <c r="O23" s="36" t="n">
        <f aca="false">SQRT(M23^2+N23^2)</f>
        <v>3.98596680116963</v>
      </c>
      <c r="P23" s="40" t="n">
        <f aca="false">IF(J23="","",MAX(0,J23-1.96*O23/100))</f>
        <v>0.213639756579428</v>
      </c>
      <c r="Q23" s="40" t="n">
        <f aca="false">IF(J23="","",MIN(1,J23+1.96*O23/100))</f>
        <v>0.369889655185278</v>
      </c>
      <c r="R23" s="32" t="str">
        <f aca="false">IF(L23="","",IF(ABS(L23)&lt;=O23,"Yes","No"))</f>
        <v>Yes</v>
      </c>
      <c r="S23" s="32" t="str">
        <f aca="false">IF(L23="","",IF(ABS(L23)&lt;=1.96*O23,"Yes","No"))</f>
        <v>Yes</v>
      </c>
      <c r="T23" s="59" t="n">
        <f aca="false">IF(D23="","",ROUND(SQRT(((D23+G23)*O23/100)^2+(J23*(D23+G23)*0.07872)^2),0))</f>
        <v>39</v>
      </c>
      <c r="U23" s="32"/>
    </row>
    <row r="24" customFormat="false" ht="15" hidden="false" customHeight="false" outlineLevel="0" collapsed="false">
      <c r="A24" s="32" t="s">
        <v>159</v>
      </c>
      <c r="B24" s="32" t="s">
        <v>188</v>
      </c>
      <c r="C24" s="32" t="s">
        <v>161</v>
      </c>
      <c r="D24" s="59" t="n">
        <v>39</v>
      </c>
      <c r="E24" s="59" t="n">
        <v>46</v>
      </c>
      <c r="F24" s="68" t="n">
        <f aca="false">IF(E24="","",D24-E24)</f>
        <v>-7</v>
      </c>
      <c r="G24" s="59" t="n">
        <v>53</v>
      </c>
      <c r="H24" s="59" t="n">
        <v>54</v>
      </c>
      <c r="I24" s="68" t="n">
        <f aca="false">IF(H24="","",G24-H24)</f>
        <v>-1</v>
      </c>
      <c r="J24" s="40" t="n">
        <f aca="false">IF(OR(D24="",D24+G24=0),"",D24/(D24+G24))</f>
        <v>0.423913043478261</v>
      </c>
      <c r="K24" s="40" t="n">
        <f aca="false">IF(E24="","",E24/(E24+H24))</f>
        <v>0.46</v>
      </c>
      <c r="L24" s="69" t="n">
        <f aca="false">IF(OR(K24="",J24=""),"",(J24-K24)*100)</f>
        <v>-3.60869565217392</v>
      </c>
      <c r="M24" s="36" t="n">
        <v>3.73271957548748</v>
      </c>
      <c r="N24" s="36" t="n">
        <v>1.39811870411602</v>
      </c>
      <c r="O24" s="36" t="n">
        <f aca="false">SQRT(M24^2+N24^2)</f>
        <v>3.98596680116963</v>
      </c>
      <c r="P24" s="40" t="n">
        <f aca="false">IF(J24="","",MAX(0,J24-1.96*O24/100))</f>
        <v>0.345788094175336</v>
      </c>
      <c r="Q24" s="40" t="n">
        <f aca="false">IF(J24="","",MIN(1,J24+1.96*O24/100))</f>
        <v>0.502037992781186</v>
      </c>
      <c r="R24" s="32" t="str">
        <f aca="false">IF(L24="","",IF(ABS(L24)&lt;=O24,"Yes","No"))</f>
        <v>Yes</v>
      </c>
      <c r="S24" s="32" t="str">
        <f aca="false">IF(L24="","",IF(ABS(L24)&lt;=1.96*O24,"Yes","No"))</f>
        <v>Yes</v>
      </c>
      <c r="T24" s="59" t="n">
        <f aca="false">IF(D24="","",ROUND(SQRT(((D24+G24)*O24/100)^2+(J24*(D24+G24)*0.07872)^2),0))</f>
        <v>5</v>
      </c>
      <c r="U24" s="32"/>
    </row>
    <row r="25" customFormat="false" ht="15" hidden="false" customHeight="false" outlineLevel="0" collapsed="false">
      <c r="A25" s="32" t="s">
        <v>189</v>
      </c>
      <c r="B25" s="32" t="s">
        <v>190</v>
      </c>
      <c r="C25" s="32" t="s">
        <v>161</v>
      </c>
      <c r="D25" s="59" t="n">
        <v>479</v>
      </c>
      <c r="E25" s="59" t="n">
        <v>494</v>
      </c>
      <c r="F25" s="68" t="n">
        <f aca="false">IF(E25="","",D25-E25)</f>
        <v>-15</v>
      </c>
      <c r="G25" s="59" t="n">
        <v>447</v>
      </c>
      <c r="H25" s="59" t="n">
        <v>519</v>
      </c>
      <c r="I25" s="68" t="n">
        <f aca="false">IF(H25="","",G25-H25)</f>
        <v>-72</v>
      </c>
      <c r="J25" s="40" t="n">
        <f aca="false">IF(OR(D25="",D25+G25=0),"",D25/(D25+G25))</f>
        <v>0.517278617710583</v>
      </c>
      <c r="K25" s="40" t="n">
        <f aca="false">IF(E25="","",E25/(E25+H25))</f>
        <v>0.487660414610069</v>
      </c>
      <c r="L25" s="69" t="n">
        <f aca="false">IF(OR(K25="",J25=""),"",(J25-K25)*100)</f>
        <v>2.96182031005141</v>
      </c>
      <c r="M25" s="36" t="n">
        <v>3.73271957548748</v>
      </c>
      <c r="N25" s="36" t="n">
        <v>1.39811870411602</v>
      </c>
      <c r="O25" s="36" t="n">
        <f aca="false">SQRT(M25^2+N25^2)</f>
        <v>3.98596680116963</v>
      </c>
      <c r="P25" s="40" t="n">
        <f aca="false">IF(J25="","",MAX(0,J25-1.96*O25/100))</f>
        <v>0.439153668407658</v>
      </c>
      <c r="Q25" s="40" t="n">
        <f aca="false">IF(J25="","",MIN(1,J25+1.96*O25/100))</f>
        <v>0.595403567013508</v>
      </c>
      <c r="R25" s="32" t="str">
        <f aca="false">IF(L25="","",IF(ABS(L25)&lt;=O25,"Yes","No"))</f>
        <v>Yes</v>
      </c>
      <c r="S25" s="32" t="str">
        <f aca="false">IF(L25="","",IF(ABS(L25)&lt;=1.96*O25,"Yes","No"))</f>
        <v>Yes</v>
      </c>
      <c r="T25" s="59" t="n">
        <f aca="false">IF(D25="","",ROUND(SQRT(((D25+G25)*O25/100)^2+(J25*(D25+G25)*0.07872)^2),0))</f>
        <v>53</v>
      </c>
      <c r="U25" s="32"/>
    </row>
    <row r="26" customFormat="false" ht="15" hidden="false" customHeight="false" outlineLevel="0" collapsed="false">
      <c r="A26" s="32" t="s">
        <v>189</v>
      </c>
      <c r="B26" s="32" t="s">
        <v>191</v>
      </c>
      <c r="C26" s="32" t="s">
        <v>161</v>
      </c>
      <c r="D26" s="59" t="n">
        <v>18008</v>
      </c>
      <c r="E26" s="59" t="n">
        <v>16965</v>
      </c>
      <c r="F26" s="68" t="n">
        <f aca="false">IF(E26="","",D26-E26)</f>
        <v>1043</v>
      </c>
      <c r="G26" s="59" t="n">
        <v>8795</v>
      </c>
      <c r="H26" s="59" t="n">
        <v>7936</v>
      </c>
      <c r="I26" s="68" t="n">
        <f aca="false">IF(H26="","",G26-H26)</f>
        <v>859</v>
      </c>
      <c r="J26" s="40" t="n">
        <f aca="false">IF(OR(D26="",D26+G26=0),"",D26/(D26+G26))</f>
        <v>0.671865089728762</v>
      </c>
      <c r="K26" s="40" t="n">
        <f aca="false">IF(E26="","",E26/(E26+H26))</f>
        <v>0.681297939841773</v>
      </c>
      <c r="L26" s="69" t="n">
        <f aca="false">IF(OR(K26="",J26=""),"",(J26-K26)*100)</f>
        <v>-0.943285011301176</v>
      </c>
      <c r="M26" s="36" t="n">
        <v>1.9194706348173</v>
      </c>
      <c r="N26" s="36" t="n">
        <v>1.39811870411602</v>
      </c>
      <c r="O26" s="36" t="n">
        <f aca="false">SQRT(M26^2+N26^2)</f>
        <v>2.37467964759986</v>
      </c>
      <c r="P26" s="40" t="n">
        <f aca="false">IF(J26="","",MAX(0,J26-1.96*O26/100))</f>
        <v>0.625321368635805</v>
      </c>
      <c r="Q26" s="40" t="n">
        <f aca="false">IF(J26="","",MIN(1,J26+1.96*O26/100))</f>
        <v>0.718408810821719</v>
      </c>
      <c r="R26" s="32" t="str">
        <f aca="false">IF(L26="","",IF(ABS(L26)&lt;=O26,"Yes","No"))</f>
        <v>Yes</v>
      </c>
      <c r="S26" s="32" t="str">
        <f aca="false">IF(L26="","",IF(ABS(L26)&lt;=1.96*O26,"Yes","No"))</f>
        <v>Yes</v>
      </c>
      <c r="T26" s="59" t="n">
        <f aca="false">IF(D26="","",ROUND(SQRT(((D26+G26)*O26/100)^2+(J26*(D26+G26)*0.04942)^2),0))</f>
        <v>1094</v>
      </c>
      <c r="U26" s="32"/>
    </row>
    <row r="27" customFormat="false" ht="15" hidden="false" customHeight="false" outlineLevel="0" collapsed="false">
      <c r="A27" s="32" t="s">
        <v>189</v>
      </c>
      <c r="B27" s="32" t="s">
        <v>192</v>
      </c>
      <c r="C27" s="32" t="s">
        <v>161</v>
      </c>
      <c r="D27" s="59" t="n">
        <v>4960</v>
      </c>
      <c r="E27" s="59" t="n">
        <v>5186</v>
      </c>
      <c r="F27" s="68" t="n">
        <f aca="false">IF(E27="","",D27-E27)</f>
        <v>-226</v>
      </c>
      <c r="G27" s="59" t="n">
        <v>2554</v>
      </c>
      <c r="H27" s="59" t="n">
        <v>2705</v>
      </c>
      <c r="I27" s="68" t="n">
        <f aca="false">IF(H27="","",G27-H27)</f>
        <v>-151</v>
      </c>
      <c r="J27" s="40" t="n">
        <f aca="false">IF(OR(D27="",D27+G27=0),"",D27/(D27+G27))</f>
        <v>0.66010114453021</v>
      </c>
      <c r="K27" s="40" t="n">
        <f aca="false">IF(E27="","",E27/(E27+H27))</f>
        <v>0.657204410087441</v>
      </c>
      <c r="L27" s="69" t="n">
        <f aca="false">IF(OR(K27="",J27=""),"",(J27-K27)*100)</f>
        <v>0.289673444276894</v>
      </c>
      <c r="M27" s="36" t="n">
        <v>1.9194706348173</v>
      </c>
      <c r="N27" s="36" t="n">
        <v>1.39811870411602</v>
      </c>
      <c r="O27" s="36" t="n">
        <f aca="false">SQRT(M27^2+N27^2)</f>
        <v>2.37467964759986</v>
      </c>
      <c r="P27" s="40" t="n">
        <f aca="false">IF(J27="","",MAX(0,J27-1.96*O27/100))</f>
        <v>0.613557423437253</v>
      </c>
      <c r="Q27" s="40" t="n">
        <f aca="false">IF(J27="","",MIN(1,J27+1.96*O27/100))</f>
        <v>0.706644865623167</v>
      </c>
      <c r="R27" s="32" t="str">
        <f aca="false">IF(L27="","",IF(ABS(L27)&lt;=O27,"Yes","No"))</f>
        <v>Yes</v>
      </c>
      <c r="S27" s="32" t="str">
        <f aca="false">IF(L27="","",IF(ABS(L27)&lt;=1.96*O27,"Yes","No"))</f>
        <v>Yes</v>
      </c>
      <c r="T27" s="59" t="n">
        <f aca="false">IF(D27="","",ROUND(SQRT(((D27+G27)*O27/100)^2+(J27*(D27+G27)*0.04942)^2),0))</f>
        <v>303</v>
      </c>
      <c r="U27" s="32"/>
    </row>
    <row r="28" customFormat="false" ht="15" hidden="false" customHeight="false" outlineLevel="0" collapsed="false">
      <c r="A28" s="32" t="s">
        <v>189</v>
      </c>
      <c r="B28" s="32" t="s">
        <v>193</v>
      </c>
      <c r="C28" s="32" t="s">
        <v>161</v>
      </c>
      <c r="D28" s="59" t="n">
        <v>1142</v>
      </c>
      <c r="E28" s="59" t="n">
        <v>1135</v>
      </c>
      <c r="F28" s="68" t="n">
        <f aca="false">IF(E28="","",D28-E28)</f>
        <v>7</v>
      </c>
      <c r="G28" s="59" t="n">
        <v>901</v>
      </c>
      <c r="H28" s="59" t="n">
        <v>975</v>
      </c>
      <c r="I28" s="68" t="n">
        <f aca="false">IF(H28="","",G28-H28)</f>
        <v>-74</v>
      </c>
      <c r="J28" s="40" t="n">
        <f aca="false">IF(OR(D28="",D28+G28=0),"",D28/(D28+G28))</f>
        <v>0.558981889378365</v>
      </c>
      <c r="K28" s="40" t="n">
        <f aca="false">IF(E28="","",E28/(E28+H28))</f>
        <v>0.537914691943128</v>
      </c>
      <c r="L28" s="69" t="n">
        <f aca="false">IF(OR(K28="",J28=""),"",(J28-K28)*100)</f>
        <v>2.10671974352372</v>
      </c>
      <c r="M28" s="36" t="n">
        <v>2.07957502812653</v>
      </c>
      <c r="N28" s="36" t="n">
        <v>1.39811870411602</v>
      </c>
      <c r="O28" s="36" t="n">
        <f aca="false">SQRT(M28^2+N28^2)</f>
        <v>2.50586675791162</v>
      </c>
      <c r="P28" s="40" t="n">
        <f aca="false">IF(J28="","",MAX(0,J28-1.96*O28/100))</f>
        <v>0.509866900923297</v>
      </c>
      <c r="Q28" s="40" t="n">
        <f aca="false">IF(J28="","",MIN(1,J28+1.96*O28/100))</f>
        <v>0.608096877833433</v>
      </c>
      <c r="R28" s="32" t="str">
        <f aca="false">IF(L28="","",IF(ABS(L28)&lt;=O28,"Yes","No"))</f>
        <v>Yes</v>
      </c>
      <c r="S28" s="32" t="str">
        <f aca="false">IF(L28="","",IF(ABS(L28)&lt;=1.96*O28,"Yes","No"))</f>
        <v>Yes</v>
      </c>
      <c r="T28" s="59" t="n">
        <f aca="false">IF(D28="","",ROUND(SQRT(((D28+G28)*O28/100)^2+(J28*(D28+G28)*0.05883)^2),0))</f>
        <v>84</v>
      </c>
      <c r="U28" s="32"/>
    </row>
    <row r="29" customFormat="false" ht="15" hidden="false" customHeight="false" outlineLevel="0" collapsed="false">
      <c r="A29" s="32" t="s">
        <v>189</v>
      </c>
      <c r="B29" s="32" t="s">
        <v>194</v>
      </c>
      <c r="C29" s="32" t="s">
        <v>161</v>
      </c>
      <c r="D29" s="59" t="n">
        <v>548</v>
      </c>
      <c r="E29" s="59" t="n">
        <v>621</v>
      </c>
      <c r="F29" s="68" t="n">
        <f aca="false">IF(E29="","",D29-E29)</f>
        <v>-73</v>
      </c>
      <c r="G29" s="59" t="n">
        <v>539</v>
      </c>
      <c r="H29" s="59" t="n">
        <v>598</v>
      </c>
      <c r="I29" s="68" t="n">
        <f aca="false">IF(H29="","",G29-H29)</f>
        <v>-59</v>
      </c>
      <c r="J29" s="40" t="n">
        <f aca="false">IF(OR(D29="",D29+G29=0),"",D29/(D29+G29))</f>
        <v>0.504139834406624</v>
      </c>
      <c r="K29" s="40" t="n">
        <f aca="false">IF(E29="","",E29/(E29+H29))</f>
        <v>0.509433962264151</v>
      </c>
      <c r="L29" s="69" t="n">
        <f aca="false">IF(OR(K29="",J29=""),"",(J29-K29)*100)</f>
        <v>-0.529412785752725</v>
      </c>
      <c r="M29" s="36" t="n">
        <v>3.73271957548748</v>
      </c>
      <c r="N29" s="36" t="n">
        <v>1.39811870411602</v>
      </c>
      <c r="O29" s="36" t="n">
        <f aca="false">SQRT(M29^2+N29^2)</f>
        <v>3.98596680116963</v>
      </c>
      <c r="P29" s="40" t="n">
        <f aca="false">IF(J29="","",MAX(0,J29-1.96*O29/100))</f>
        <v>0.426014885103699</v>
      </c>
      <c r="Q29" s="40" t="n">
        <f aca="false">IF(J29="","",MIN(1,J29+1.96*O29/100))</f>
        <v>0.582264783709549</v>
      </c>
      <c r="R29" s="32" t="str">
        <f aca="false">IF(L29="","",IF(ABS(L29)&lt;=O29,"Yes","No"))</f>
        <v>Yes</v>
      </c>
      <c r="S29" s="32" t="str">
        <f aca="false">IF(L29="","",IF(ABS(L29)&lt;=1.96*O29,"Yes","No"))</f>
        <v>Yes</v>
      </c>
      <c r="T29" s="59" t="n">
        <f aca="false">IF(D29="","",ROUND(SQRT(((D29+G29)*O29/100)^2+(J29*(D29+G29)*0.07872)^2),0))</f>
        <v>61</v>
      </c>
      <c r="U29" s="32"/>
    </row>
    <row r="30" customFormat="false" ht="15" hidden="false" customHeight="false" outlineLevel="0" collapsed="false">
      <c r="A30" s="32" t="s">
        <v>189</v>
      </c>
      <c r="B30" s="32" t="s">
        <v>195</v>
      </c>
      <c r="C30" s="32" t="s">
        <v>161</v>
      </c>
      <c r="D30" s="59" t="n">
        <v>690</v>
      </c>
      <c r="E30" s="59" t="n">
        <v>691</v>
      </c>
      <c r="F30" s="68" t="n">
        <f aca="false">IF(E30="","",D30-E30)</f>
        <v>-1</v>
      </c>
      <c r="G30" s="59" t="n">
        <v>568</v>
      </c>
      <c r="H30" s="59" t="n">
        <v>606</v>
      </c>
      <c r="I30" s="68" t="n">
        <f aca="false">IF(H30="","",G30-H30)</f>
        <v>-38</v>
      </c>
      <c r="J30" s="40" t="n">
        <f aca="false">IF(OR(D30="",D30+G30=0),"",D30/(D30+G30))</f>
        <v>0.548489666136725</v>
      </c>
      <c r="K30" s="40" t="n">
        <f aca="false">IF(E30="","",E30/(E30+H30))</f>
        <v>0.532767925983038</v>
      </c>
      <c r="L30" s="69" t="n">
        <f aca="false">IF(OR(K30="",J30=""),"",(J30-K30)*100)</f>
        <v>1.57217401536872</v>
      </c>
      <c r="M30" s="36" t="n">
        <v>2.07957502812653</v>
      </c>
      <c r="N30" s="36" t="n">
        <v>1.39811870411602</v>
      </c>
      <c r="O30" s="36" t="n">
        <f aca="false">SQRT(M30^2+N30^2)</f>
        <v>2.50586675791162</v>
      </c>
      <c r="P30" s="40" t="n">
        <f aca="false">IF(J30="","",MAX(0,J30-1.96*O30/100))</f>
        <v>0.499374677681657</v>
      </c>
      <c r="Q30" s="40" t="n">
        <f aca="false">IF(J30="","",MIN(1,J30+1.96*O30/100))</f>
        <v>0.597604654591793</v>
      </c>
      <c r="R30" s="32" t="str">
        <f aca="false">IF(L30="","",IF(ABS(L30)&lt;=O30,"Yes","No"))</f>
        <v>Yes</v>
      </c>
      <c r="S30" s="32" t="str">
        <f aca="false">IF(L30="","",IF(ABS(L30)&lt;=1.96*O30,"Yes","No"))</f>
        <v>Yes</v>
      </c>
      <c r="T30" s="59" t="n">
        <f aca="false">IF(D30="","",ROUND(SQRT(((D30+G30)*O30/100)^2+(J30*(D30+G30)*0.05883)^2),0))</f>
        <v>51</v>
      </c>
      <c r="U30" s="32"/>
    </row>
    <row r="31" customFormat="false" ht="15" hidden="false" customHeight="false" outlineLevel="0" collapsed="false">
      <c r="A31" s="32" t="s">
        <v>189</v>
      </c>
      <c r="B31" s="32" t="s">
        <v>196</v>
      </c>
      <c r="C31" s="32" t="s">
        <v>161</v>
      </c>
      <c r="D31" s="59" t="n">
        <v>2627</v>
      </c>
      <c r="E31" s="59" t="n">
        <v>2834</v>
      </c>
      <c r="F31" s="68" t="n">
        <f aca="false">IF(E31="","",D31-E31)</f>
        <v>-207</v>
      </c>
      <c r="G31" s="59" t="n">
        <v>2086</v>
      </c>
      <c r="H31" s="59" t="n">
        <v>2250</v>
      </c>
      <c r="I31" s="68" t="n">
        <f aca="false">IF(H31="","",G31-H31)</f>
        <v>-164</v>
      </c>
      <c r="J31" s="40" t="n">
        <f aca="false">IF(OR(D31="",D31+G31=0),"",D31/(D31+G31))</f>
        <v>0.557394440908127</v>
      </c>
      <c r="K31" s="40" t="n">
        <f aca="false">IF(E31="","",E31/(E31+H31))</f>
        <v>0.557435090479937</v>
      </c>
      <c r="L31" s="69" t="n">
        <f aca="false">IF(OR(K31="",J31=""),"",(J31-K31)*100)</f>
        <v>-0.00406495718106026</v>
      </c>
      <c r="M31" s="36" t="n">
        <v>1.9194706348173</v>
      </c>
      <c r="N31" s="36" t="n">
        <v>1.39811870411602</v>
      </c>
      <c r="O31" s="36" t="n">
        <f aca="false">SQRT(M31^2+N31^2)</f>
        <v>2.37467964759986</v>
      </c>
      <c r="P31" s="40" t="n">
        <f aca="false">IF(J31="","",MAX(0,J31-1.96*O31/100))</f>
        <v>0.510850719815169</v>
      </c>
      <c r="Q31" s="40" t="n">
        <f aca="false">IF(J31="","",MIN(1,J31+1.96*O31/100))</f>
        <v>0.603938162001084</v>
      </c>
      <c r="R31" s="32" t="str">
        <f aca="false">IF(L31="","",IF(ABS(L31)&lt;=O31,"Yes","No"))</f>
        <v>Yes</v>
      </c>
      <c r="S31" s="32" t="str">
        <f aca="false">IF(L31="","",IF(ABS(L31)&lt;=1.96*O31,"Yes","No"))</f>
        <v>Yes</v>
      </c>
      <c r="T31" s="59" t="n">
        <f aca="false">IF(D31="","",ROUND(SQRT(((D31+G31)*O31/100)^2+(J31*(D31+G31)*0.04942)^2),0))</f>
        <v>171</v>
      </c>
      <c r="U31" s="32"/>
    </row>
    <row r="32" customFormat="false" ht="15" hidden="false" customHeight="false" outlineLevel="0" collapsed="false">
      <c r="A32" s="32" t="s">
        <v>189</v>
      </c>
      <c r="B32" s="32" t="s">
        <v>197</v>
      </c>
      <c r="C32" s="32" t="s">
        <v>161</v>
      </c>
      <c r="D32" s="59" t="n">
        <v>1073</v>
      </c>
      <c r="E32" s="59" t="n">
        <v>1070</v>
      </c>
      <c r="F32" s="68" t="n">
        <f aca="false">IF(E32="","",D32-E32)</f>
        <v>3</v>
      </c>
      <c r="G32" s="59" t="n">
        <v>542</v>
      </c>
      <c r="H32" s="59" t="n">
        <v>479</v>
      </c>
      <c r="I32" s="68" t="n">
        <f aca="false">IF(H32="","",G32-H32)</f>
        <v>63</v>
      </c>
      <c r="J32" s="40" t="n">
        <f aca="false">IF(OR(D32="",D32+G32=0),"",D32/(D32+G32))</f>
        <v>0.664396284829721</v>
      </c>
      <c r="K32" s="40" t="n">
        <f aca="false">IF(E32="","",E32/(E32+H32))</f>
        <v>0.690768237572628</v>
      </c>
      <c r="L32" s="69" t="n">
        <f aca="false">IF(OR(K32="",J32=""),"",(J32-K32)*100)</f>
        <v>-2.63719527429062</v>
      </c>
      <c r="M32" s="36" t="n">
        <v>2.07957502812653</v>
      </c>
      <c r="N32" s="36" t="n">
        <v>1.39811870411602</v>
      </c>
      <c r="O32" s="36" t="n">
        <f aca="false">SQRT(M32^2+N32^2)</f>
        <v>2.50586675791162</v>
      </c>
      <c r="P32" s="40" t="n">
        <f aca="false">IF(J32="","",MAX(0,J32-1.96*O32/100))</f>
        <v>0.615281296374654</v>
      </c>
      <c r="Q32" s="40" t="n">
        <f aca="false">IF(J32="","",MIN(1,J32+1.96*O32/100))</f>
        <v>0.713511273284789</v>
      </c>
      <c r="R32" s="32" t="str">
        <f aca="false">IF(L32="","",IF(ABS(L32)&lt;=O32,"Yes","No"))</f>
        <v>No</v>
      </c>
      <c r="S32" s="32" t="str">
        <f aca="false">IF(L32="","",IF(ABS(L32)&lt;=1.96*O32,"Yes","No"))</f>
        <v>Yes</v>
      </c>
      <c r="T32" s="59" t="n">
        <f aca="false">IF(D32="","",ROUND(SQRT(((D32+G32)*O32/100)^2+(J32*(D32+G32)*0.05883)^2),0))</f>
        <v>75</v>
      </c>
      <c r="U32" s="32"/>
    </row>
    <row r="33" customFormat="false" ht="15" hidden="false" customHeight="false" outlineLevel="0" collapsed="false">
      <c r="A33" s="32" t="s">
        <v>189</v>
      </c>
      <c r="B33" s="32" t="s">
        <v>198</v>
      </c>
      <c r="C33" s="32" t="s">
        <v>161</v>
      </c>
      <c r="D33" s="59" t="n">
        <v>283</v>
      </c>
      <c r="E33" s="59" t="n">
        <v>262</v>
      </c>
      <c r="F33" s="68" t="n">
        <f aca="false">IF(E33="","",D33-E33)</f>
        <v>21</v>
      </c>
      <c r="G33" s="59" t="n">
        <v>206</v>
      </c>
      <c r="H33" s="59" t="n">
        <v>205</v>
      </c>
      <c r="I33" s="68" t="n">
        <f aca="false">IF(H33="","",G33-H33)</f>
        <v>1</v>
      </c>
      <c r="J33" s="40" t="n">
        <f aca="false">IF(OR(D33="",D33+G33=0),"",D33/(D33+G33))</f>
        <v>0.578732106339468</v>
      </c>
      <c r="K33" s="40" t="n">
        <f aca="false">IF(E33="","",E33/(E33+H33))</f>
        <v>0.561027837259101</v>
      </c>
      <c r="L33" s="69" t="n">
        <f aca="false">IF(OR(K33="",J33=""),"",(J33-K33)*100)</f>
        <v>1.77042690803676</v>
      </c>
      <c r="M33" s="36" t="n">
        <v>3.73271957548748</v>
      </c>
      <c r="N33" s="36" t="n">
        <v>1.39811870411602</v>
      </c>
      <c r="O33" s="36" t="n">
        <f aca="false">SQRT(M33^2+N33^2)</f>
        <v>3.98596680116963</v>
      </c>
      <c r="P33" s="40" t="n">
        <f aca="false">IF(J33="","",MAX(0,J33-1.96*O33/100))</f>
        <v>0.500607157036544</v>
      </c>
      <c r="Q33" s="40" t="n">
        <f aca="false">IF(J33="","",MIN(1,J33+1.96*O33/100))</f>
        <v>0.656857055642393</v>
      </c>
      <c r="R33" s="32" t="str">
        <f aca="false">IF(L33="","",IF(ABS(L33)&lt;=O33,"Yes","No"))</f>
        <v>Yes</v>
      </c>
      <c r="S33" s="32" t="str">
        <f aca="false">IF(L33="","",IF(ABS(L33)&lt;=1.96*O33,"Yes","No"))</f>
        <v>Yes</v>
      </c>
      <c r="T33" s="59" t="n">
        <f aca="false">IF(D33="","",ROUND(SQRT(((D33+G33)*O33/100)^2+(J33*(D33+G33)*0.07872)^2),0))</f>
        <v>30</v>
      </c>
      <c r="U33" s="32"/>
    </row>
    <row r="34" customFormat="false" ht="15" hidden="false" customHeight="false" outlineLevel="0" collapsed="false">
      <c r="A34" s="32" t="s">
        <v>189</v>
      </c>
      <c r="B34" s="32" t="s">
        <v>199</v>
      </c>
      <c r="C34" s="32" t="s">
        <v>161</v>
      </c>
      <c r="D34" s="59" t="n">
        <v>496</v>
      </c>
      <c r="E34" s="59" t="n">
        <v>532</v>
      </c>
      <c r="F34" s="68" t="n">
        <f aca="false">IF(E34="","",D34-E34)</f>
        <v>-36</v>
      </c>
      <c r="G34" s="59" t="n">
        <v>977</v>
      </c>
      <c r="H34" s="59" t="n">
        <v>1068</v>
      </c>
      <c r="I34" s="68" t="n">
        <f aca="false">IF(H34="","",G34-H34)</f>
        <v>-91</v>
      </c>
      <c r="J34" s="40" t="n">
        <f aca="false">IF(OR(D34="",D34+G34=0),"",D34/(D34+G34))</f>
        <v>0.336727766463001</v>
      </c>
      <c r="K34" s="40" t="n">
        <f aca="false">IF(E34="","",E34/(E34+H34))</f>
        <v>0.3325</v>
      </c>
      <c r="L34" s="69" t="n">
        <f aca="false">IF(OR(K34="",J34=""),"",(J34-K34)*100)</f>
        <v>0.422776646300066</v>
      </c>
      <c r="M34" s="36" t="n">
        <v>2.07957502812653</v>
      </c>
      <c r="N34" s="36" t="n">
        <v>1.39811870411602</v>
      </c>
      <c r="O34" s="36" t="n">
        <f aca="false">SQRT(M34^2+N34^2)</f>
        <v>2.50586675791162</v>
      </c>
      <c r="P34" s="40" t="n">
        <f aca="false">IF(J34="","",MAX(0,J34-1.96*O34/100))</f>
        <v>0.287612778007933</v>
      </c>
      <c r="Q34" s="40" t="n">
        <f aca="false">IF(J34="","",MIN(1,J34+1.96*O34/100))</f>
        <v>0.385842754918068</v>
      </c>
      <c r="R34" s="32" t="str">
        <f aca="false">IF(L34="","",IF(ABS(L34)&lt;=O34,"Yes","No"))</f>
        <v>Yes</v>
      </c>
      <c r="S34" s="32" t="str">
        <f aca="false">IF(L34="","",IF(ABS(L34)&lt;=1.96*O34,"Yes","No"))</f>
        <v>Yes</v>
      </c>
      <c r="T34" s="59" t="n">
        <f aca="false">IF(D34="","",ROUND(SQRT(((D34+G34)*O34/100)^2+(J34*(D34+G34)*0.05883)^2),0))</f>
        <v>47</v>
      </c>
      <c r="U34" s="32"/>
    </row>
    <row r="35" customFormat="false" ht="15" hidden="false" customHeight="false" outlineLevel="0" collapsed="false">
      <c r="A35" s="32" t="s">
        <v>189</v>
      </c>
      <c r="B35" s="32" t="s">
        <v>200</v>
      </c>
      <c r="C35" s="32" t="s">
        <v>161</v>
      </c>
      <c r="D35" s="59" t="n">
        <v>8016</v>
      </c>
      <c r="E35" s="59" t="n">
        <v>8358</v>
      </c>
      <c r="F35" s="68" t="n">
        <f aca="false">IF(E35="","",D35-E35)</f>
        <v>-342</v>
      </c>
      <c r="G35" s="59" t="n">
        <v>7046</v>
      </c>
      <c r="H35" s="59" t="n">
        <v>7595</v>
      </c>
      <c r="I35" s="68" t="n">
        <f aca="false">IF(H35="","",G35-H35)</f>
        <v>-549</v>
      </c>
      <c r="J35" s="40" t="n">
        <f aca="false">IF(OR(D35="",D35+G35=0),"",D35/(D35+G35))</f>
        <v>0.532200239012083</v>
      </c>
      <c r="K35" s="40" t="n">
        <f aca="false">IF(E35="","",E35/(E35+H35))</f>
        <v>0.523913997367266</v>
      </c>
      <c r="L35" s="69" t="n">
        <f aca="false">IF(OR(K35="",J35=""),"",(J35-K35)*100)</f>
        <v>0.828624164481706</v>
      </c>
      <c r="M35" s="36" t="n">
        <v>1.9194706348173</v>
      </c>
      <c r="N35" s="36" t="n">
        <v>1.39811870411602</v>
      </c>
      <c r="O35" s="36" t="n">
        <f aca="false">SQRT(M35^2+N35^2)</f>
        <v>2.37467964759986</v>
      </c>
      <c r="P35" s="40" t="n">
        <f aca="false">IF(J35="","",MAX(0,J35-1.96*O35/100))</f>
        <v>0.485656517919126</v>
      </c>
      <c r="Q35" s="40" t="n">
        <f aca="false">IF(J35="","",MIN(1,J35+1.96*O35/100))</f>
        <v>0.578743960105041</v>
      </c>
      <c r="R35" s="32" t="str">
        <f aca="false">IF(L35="","",IF(ABS(L35)&lt;=O35,"Yes","No"))</f>
        <v>Yes</v>
      </c>
      <c r="S35" s="32" t="str">
        <f aca="false">IF(L35="","",IF(ABS(L35)&lt;=1.96*O35,"Yes","No"))</f>
        <v>Yes</v>
      </c>
      <c r="T35" s="59" t="n">
        <f aca="false">IF(D35="","",ROUND(SQRT(((D35+G35)*O35/100)^2+(J35*(D35+G35)*0.04942)^2),0))</f>
        <v>534</v>
      </c>
      <c r="U35" s="32"/>
    </row>
    <row r="36" customFormat="false" ht="15" hidden="false" customHeight="false" outlineLevel="0" collapsed="false">
      <c r="A36" s="32" t="s">
        <v>189</v>
      </c>
      <c r="B36" s="32" t="s">
        <v>201</v>
      </c>
      <c r="C36" s="32" t="s">
        <v>161</v>
      </c>
      <c r="D36" s="59" t="n">
        <v>768</v>
      </c>
      <c r="E36" s="59" t="n">
        <v>850</v>
      </c>
      <c r="F36" s="68" t="n">
        <f aca="false">IF(E36="","",D36-E36)</f>
        <v>-82</v>
      </c>
      <c r="G36" s="59" t="n">
        <v>1244</v>
      </c>
      <c r="H36" s="59" t="n">
        <v>1311</v>
      </c>
      <c r="I36" s="68" t="n">
        <f aca="false">IF(H36="","",G36-H36)</f>
        <v>-67</v>
      </c>
      <c r="J36" s="40" t="n">
        <f aca="false">IF(OR(D36="",D36+G36=0),"",D36/(D36+G36))</f>
        <v>0.381709741550696</v>
      </c>
      <c r="K36" s="40" t="n">
        <f aca="false">IF(E36="","",E36/(E36+H36))</f>
        <v>0.39333641832485</v>
      </c>
      <c r="L36" s="69" t="n">
        <f aca="false">IF(OR(K36="",J36=""),"",(J36-K36)*100)</f>
        <v>-1.16266767741538</v>
      </c>
      <c r="M36" s="36" t="n">
        <v>2.07957502812653</v>
      </c>
      <c r="N36" s="36" t="n">
        <v>1.39811870411602</v>
      </c>
      <c r="O36" s="36" t="n">
        <f aca="false">SQRT(M36^2+N36^2)</f>
        <v>2.50586675791162</v>
      </c>
      <c r="P36" s="40" t="n">
        <f aca="false">IF(J36="","",MAX(0,J36-1.96*O36/100))</f>
        <v>0.332594753095628</v>
      </c>
      <c r="Q36" s="40" t="n">
        <f aca="false">IF(J36="","",MIN(1,J36+1.96*O36/100))</f>
        <v>0.430824730005764</v>
      </c>
      <c r="R36" s="32" t="str">
        <f aca="false">IF(L36="","",IF(ABS(L36)&lt;=O36,"Yes","No"))</f>
        <v>Yes</v>
      </c>
      <c r="S36" s="32" t="str">
        <f aca="false">IF(L36="","",IF(ABS(L36)&lt;=1.96*O36,"Yes","No"))</f>
        <v>Yes</v>
      </c>
      <c r="T36" s="59" t="n">
        <f aca="false">IF(D36="","",ROUND(SQRT(((D36+G36)*O36/100)^2+(J36*(D36+G36)*0.05883)^2),0))</f>
        <v>68</v>
      </c>
      <c r="U36" s="32"/>
    </row>
    <row r="37" customFormat="false" ht="15" hidden="false" customHeight="false" outlineLevel="0" collapsed="false">
      <c r="A37" s="32" t="s">
        <v>189</v>
      </c>
      <c r="B37" s="32" t="s">
        <v>202</v>
      </c>
      <c r="C37" s="32" t="s">
        <v>161</v>
      </c>
      <c r="D37" s="59" t="n">
        <v>435</v>
      </c>
      <c r="E37" s="59" t="n">
        <v>457</v>
      </c>
      <c r="F37" s="68" t="n">
        <f aca="false">IF(E37="","",D37-E37)</f>
        <v>-22</v>
      </c>
      <c r="G37" s="59" t="n">
        <v>743</v>
      </c>
      <c r="H37" s="59" t="n">
        <v>760</v>
      </c>
      <c r="I37" s="68" t="n">
        <f aca="false">IF(H37="","",G37-H37)</f>
        <v>-17</v>
      </c>
      <c r="J37" s="40" t="n">
        <f aca="false">IF(OR(D37="",D37+G37=0),"",D37/(D37+G37))</f>
        <v>0.369269949066214</v>
      </c>
      <c r="K37" s="40" t="n">
        <f aca="false">IF(E37="","",E37/(E37+H37))</f>
        <v>0.375513557929334</v>
      </c>
      <c r="L37" s="69" t="n">
        <f aca="false">IF(OR(K37="",J37=""),"",(J37-K37)*100)</f>
        <v>-0.624360886312053</v>
      </c>
      <c r="M37" s="36" t="n">
        <v>2.07957502812653</v>
      </c>
      <c r="N37" s="36" t="n">
        <v>1.39811870411602</v>
      </c>
      <c r="O37" s="36" t="n">
        <f aca="false">SQRT(M37^2+N37^2)</f>
        <v>2.50586675791162</v>
      </c>
      <c r="P37" s="40" t="n">
        <f aca="false">IF(J37="","",MAX(0,J37-1.96*O37/100))</f>
        <v>0.320154960611146</v>
      </c>
      <c r="Q37" s="40" t="n">
        <f aca="false">IF(J37="","",MIN(1,J37+1.96*O37/100))</f>
        <v>0.418384937521282</v>
      </c>
      <c r="R37" s="32" t="str">
        <f aca="false">IF(L37="","",IF(ABS(L37)&lt;=O37,"Yes","No"))</f>
        <v>Yes</v>
      </c>
      <c r="S37" s="32" t="str">
        <f aca="false">IF(L37="","",IF(ABS(L37)&lt;=1.96*O37,"Yes","No"))</f>
        <v>Yes</v>
      </c>
      <c r="T37" s="59" t="n">
        <f aca="false">IF(D37="","",ROUND(SQRT(((D37+G37)*O37/100)^2+(J37*(D37+G37)*0.05883)^2),0))</f>
        <v>39</v>
      </c>
      <c r="U37" s="32"/>
    </row>
    <row r="38" customFormat="false" ht="15" hidden="false" customHeight="false" outlineLevel="0" collapsed="false">
      <c r="A38" s="32" t="s">
        <v>189</v>
      </c>
      <c r="B38" s="32" t="s">
        <v>203</v>
      </c>
      <c r="C38" s="32" t="s">
        <v>161</v>
      </c>
      <c r="D38" s="59" t="n">
        <v>677</v>
      </c>
      <c r="E38" s="59" t="n">
        <v>719</v>
      </c>
      <c r="F38" s="68" t="n">
        <f aca="false">IF(E38="","",D38-E38)</f>
        <v>-42</v>
      </c>
      <c r="G38" s="59" t="n">
        <v>1315</v>
      </c>
      <c r="H38" s="59" t="n">
        <v>1434</v>
      </c>
      <c r="I38" s="68" t="n">
        <f aca="false">IF(H38="","",G38-H38)</f>
        <v>-119</v>
      </c>
      <c r="J38" s="40" t="n">
        <f aca="false">IF(OR(D38="",D38+G38=0),"",D38/(D38+G38))</f>
        <v>0.339859437751004</v>
      </c>
      <c r="K38" s="40" t="n">
        <f aca="false">IF(E38="","",E38/(E38+H38))</f>
        <v>0.333952624245239</v>
      </c>
      <c r="L38" s="69" t="n">
        <f aca="false">IF(OR(K38="",J38=""),"",(J38-K38)*100)</f>
        <v>0.590681350576483</v>
      </c>
      <c r="M38" s="36" t="n">
        <v>2.07957502812653</v>
      </c>
      <c r="N38" s="36" t="n">
        <v>1.39811870411602</v>
      </c>
      <c r="O38" s="36" t="n">
        <f aca="false">SQRT(M38^2+N38^2)</f>
        <v>2.50586675791162</v>
      </c>
      <c r="P38" s="40" t="n">
        <f aca="false">IF(J38="","",MAX(0,J38-1.96*O38/100))</f>
        <v>0.290744449295936</v>
      </c>
      <c r="Q38" s="40" t="n">
        <f aca="false">IF(J38="","",MIN(1,J38+1.96*O38/100))</f>
        <v>0.388974426206072</v>
      </c>
      <c r="R38" s="32" t="str">
        <f aca="false">IF(L38="","",IF(ABS(L38)&lt;=O38,"Yes","No"))</f>
        <v>Yes</v>
      </c>
      <c r="S38" s="32" t="str">
        <f aca="false">IF(L38="","",IF(ABS(L38)&lt;=1.96*O38,"Yes","No"))</f>
        <v>Yes</v>
      </c>
      <c r="T38" s="59" t="n">
        <f aca="false">IF(D38="","",ROUND(SQRT(((D38+G38)*O38/100)^2+(J38*(D38+G38)*0.05883)^2),0))</f>
        <v>64</v>
      </c>
      <c r="U38" s="32"/>
    </row>
    <row r="39" customFormat="false" ht="15" hidden="false" customHeight="false" outlineLevel="0" collapsed="false">
      <c r="A39" s="32" t="s">
        <v>189</v>
      </c>
      <c r="B39" s="32" t="s">
        <v>204</v>
      </c>
      <c r="C39" s="32" t="s">
        <v>161</v>
      </c>
      <c r="D39" s="59" t="n">
        <v>739</v>
      </c>
      <c r="E39" s="59" t="n">
        <v>788</v>
      </c>
      <c r="F39" s="68" t="n">
        <f aca="false">IF(E39="","",D39-E39)</f>
        <v>-49</v>
      </c>
      <c r="G39" s="59" t="n">
        <v>606</v>
      </c>
      <c r="H39" s="59" t="n">
        <v>628</v>
      </c>
      <c r="I39" s="68" t="n">
        <f aca="false">IF(H39="","",G39-H39)</f>
        <v>-22</v>
      </c>
      <c r="J39" s="40" t="n">
        <f aca="false">IF(OR(D39="",D39+G39=0),"",D39/(D39+G39))</f>
        <v>0.549442379182156</v>
      </c>
      <c r="K39" s="40" t="n">
        <f aca="false">IF(E39="","",E39/(E39+H39))</f>
        <v>0.556497175141243</v>
      </c>
      <c r="L39" s="69" t="n">
        <f aca="false">IF(OR(K39="",J39=""),"",(J39-K39)*100)</f>
        <v>-0.705479595908687</v>
      </c>
      <c r="M39" s="36" t="n">
        <v>2.07957502812653</v>
      </c>
      <c r="N39" s="36" t="n">
        <v>1.39811870411602</v>
      </c>
      <c r="O39" s="36" t="n">
        <f aca="false">SQRT(M39^2+N39^2)</f>
        <v>2.50586675791162</v>
      </c>
      <c r="P39" s="40" t="n">
        <f aca="false">IF(J39="","",MAX(0,J39-1.96*O39/100))</f>
        <v>0.500327390727088</v>
      </c>
      <c r="Q39" s="40" t="n">
        <f aca="false">IF(J39="","",MIN(1,J39+1.96*O39/100))</f>
        <v>0.598557367637224</v>
      </c>
      <c r="R39" s="32" t="str">
        <f aca="false">IF(L39="","",IF(ABS(L39)&lt;=O39,"Yes","No"))</f>
        <v>Yes</v>
      </c>
      <c r="S39" s="32" t="str">
        <f aca="false">IF(L39="","",IF(ABS(L39)&lt;=1.96*O39,"Yes","No"))</f>
        <v>Yes</v>
      </c>
      <c r="T39" s="59" t="n">
        <f aca="false">IF(D39="","",ROUND(SQRT(((D39+G39)*O39/100)^2+(J39*(D39+G39)*0.05883)^2),0))</f>
        <v>55</v>
      </c>
      <c r="U39" s="32"/>
    </row>
    <row r="40" customFormat="false" ht="15" hidden="false" customHeight="false" outlineLevel="0" collapsed="false">
      <c r="A40" s="32" t="s">
        <v>189</v>
      </c>
      <c r="B40" s="32" t="s">
        <v>205</v>
      </c>
      <c r="C40" s="32" t="s">
        <v>161</v>
      </c>
      <c r="D40" s="59" t="n">
        <v>2964</v>
      </c>
      <c r="E40" s="59" t="n">
        <v>3255</v>
      </c>
      <c r="F40" s="68" t="n">
        <f aca="false">IF(E40="","",D40-E40)</f>
        <v>-291</v>
      </c>
      <c r="G40" s="59" t="n">
        <v>4054</v>
      </c>
      <c r="H40" s="59" t="n">
        <v>4462</v>
      </c>
      <c r="I40" s="68" t="n">
        <f aca="false">IF(H40="","",G40-H40)</f>
        <v>-408</v>
      </c>
      <c r="J40" s="40" t="n">
        <f aca="false">IF(OR(D40="",D40+G40=0),"",D40/(D40+G40))</f>
        <v>0.422342547734397</v>
      </c>
      <c r="K40" s="40" t="n">
        <f aca="false">IF(E40="","",E40/(E40+H40))</f>
        <v>0.421796034728521</v>
      </c>
      <c r="L40" s="69" t="n">
        <f aca="false">IF(OR(K40="",J40=""),"",(J40-K40)*100)</f>
        <v>0.0546513005875826</v>
      </c>
      <c r="M40" s="36" t="n">
        <v>1.9194706348173</v>
      </c>
      <c r="N40" s="36" t="n">
        <v>1.39811870411602</v>
      </c>
      <c r="O40" s="36" t="n">
        <f aca="false">SQRT(M40^2+N40^2)</f>
        <v>2.37467964759986</v>
      </c>
      <c r="P40" s="40" t="n">
        <f aca="false">IF(J40="","",MAX(0,J40-1.96*O40/100))</f>
        <v>0.37579882664144</v>
      </c>
      <c r="Q40" s="40" t="n">
        <f aca="false">IF(J40="","",MIN(1,J40+1.96*O40/100))</f>
        <v>0.468886268827354</v>
      </c>
      <c r="R40" s="32" t="str">
        <f aca="false">IF(L40="","",IF(ABS(L40)&lt;=O40,"Yes","No"))</f>
        <v>Yes</v>
      </c>
      <c r="S40" s="32" t="str">
        <f aca="false">IF(L40="","",IF(ABS(L40)&lt;=1.96*O40,"Yes","No"))</f>
        <v>Yes</v>
      </c>
      <c r="T40" s="59" t="n">
        <f aca="false">IF(D40="","",ROUND(SQRT(((D40+G40)*O40/100)^2+(J40*(D40+G40)*0.04942)^2),0))</f>
        <v>222</v>
      </c>
      <c r="U40" s="32"/>
    </row>
    <row r="41" customFormat="false" ht="15" hidden="false" customHeight="false" outlineLevel="0" collapsed="false">
      <c r="A41" s="32" t="s">
        <v>189</v>
      </c>
      <c r="B41" s="32" t="s">
        <v>206</v>
      </c>
      <c r="C41" s="32" t="s">
        <v>161</v>
      </c>
      <c r="D41" s="59" t="n">
        <v>3218</v>
      </c>
      <c r="E41" s="59" t="n">
        <v>3239</v>
      </c>
      <c r="F41" s="68" t="n">
        <f aca="false">IF(E41="","",D41-E41)</f>
        <v>-21</v>
      </c>
      <c r="G41" s="59" t="n">
        <v>2805</v>
      </c>
      <c r="H41" s="59" t="n">
        <v>3129</v>
      </c>
      <c r="I41" s="68" t="n">
        <f aca="false">IF(H41="","",G41-H41)</f>
        <v>-324</v>
      </c>
      <c r="J41" s="40" t="n">
        <f aca="false">IF(OR(D41="",D41+G41=0),"",D41/(D41+G41))</f>
        <v>0.534285239913664</v>
      </c>
      <c r="K41" s="40" t="n">
        <f aca="false">IF(E41="","",E41/(E41+H41))</f>
        <v>0.508636934673367</v>
      </c>
      <c r="L41" s="69" t="n">
        <f aca="false">IF(OR(K41="",J41=""),"",(J41-K41)*100)</f>
        <v>2.56483052402975</v>
      </c>
      <c r="M41" s="36" t="n">
        <v>1.9194706348173</v>
      </c>
      <c r="N41" s="36" t="n">
        <v>1.39811870411602</v>
      </c>
      <c r="O41" s="36" t="n">
        <f aca="false">SQRT(M41^2+N41^2)</f>
        <v>2.37467964759986</v>
      </c>
      <c r="P41" s="40" t="n">
        <f aca="false">IF(J41="","",MAX(0,J41-1.96*O41/100))</f>
        <v>0.487741518820707</v>
      </c>
      <c r="Q41" s="40" t="n">
        <f aca="false">IF(J41="","",MIN(1,J41+1.96*O41/100))</f>
        <v>0.580828961006622</v>
      </c>
      <c r="R41" s="32" t="str">
        <f aca="false">IF(L41="","",IF(ABS(L41)&lt;=O41,"Yes","No"))</f>
        <v>No</v>
      </c>
      <c r="S41" s="32" t="str">
        <f aca="false">IF(L41="","",IF(ABS(L41)&lt;=1.96*O41,"Yes","No"))</f>
        <v>Yes</v>
      </c>
      <c r="T41" s="59" t="n">
        <f aca="false">IF(D41="","",ROUND(SQRT(((D41+G41)*O41/100)^2+(J41*(D41+G41)*0.04942)^2),0))</f>
        <v>214</v>
      </c>
      <c r="U41" s="32"/>
    </row>
    <row r="42" customFormat="false" ht="15" hidden="false" customHeight="false" outlineLevel="0" collapsed="false">
      <c r="A42" s="32" t="s">
        <v>189</v>
      </c>
      <c r="B42" s="32" t="s">
        <v>207</v>
      </c>
      <c r="C42" s="32" t="s">
        <v>161</v>
      </c>
      <c r="D42" s="59" t="n">
        <v>566</v>
      </c>
      <c r="E42" s="59" t="n">
        <v>611</v>
      </c>
      <c r="F42" s="68" t="n">
        <f aca="false">IF(E42="","",D42-E42)</f>
        <v>-45</v>
      </c>
      <c r="G42" s="59" t="n">
        <v>747</v>
      </c>
      <c r="H42" s="59" t="n">
        <v>740</v>
      </c>
      <c r="I42" s="68" t="n">
        <f aca="false">IF(H42="","",G42-H42)</f>
        <v>7</v>
      </c>
      <c r="J42" s="40" t="n">
        <f aca="false">IF(OR(D42="",D42+G42=0),"",D42/(D42+G42))</f>
        <v>0.431073876618431</v>
      </c>
      <c r="K42" s="40" t="n">
        <f aca="false">IF(E42="","",E42/(E42+H42))</f>
        <v>0.452257586972613</v>
      </c>
      <c r="L42" s="69" t="n">
        <f aca="false">IF(OR(K42="",J42=""),"",(J42-K42)*100)</f>
        <v>-2.11837103541818</v>
      </c>
      <c r="M42" s="36" t="n">
        <v>2.07957502812653</v>
      </c>
      <c r="N42" s="36" t="n">
        <v>1.39811870411602</v>
      </c>
      <c r="O42" s="36" t="n">
        <f aca="false">SQRT(M42^2+N42^2)</f>
        <v>2.50586675791162</v>
      </c>
      <c r="P42" s="40" t="n">
        <f aca="false">IF(J42="","",MAX(0,J42-1.96*O42/100))</f>
        <v>0.381958888163363</v>
      </c>
      <c r="Q42" s="40" t="n">
        <f aca="false">IF(J42="","",MIN(1,J42+1.96*O42/100))</f>
        <v>0.480188865073499</v>
      </c>
      <c r="R42" s="32" t="str">
        <f aca="false">IF(L42="","",IF(ABS(L42)&lt;=O42,"Yes","No"))</f>
        <v>Yes</v>
      </c>
      <c r="S42" s="32" t="str">
        <f aca="false">IF(L42="","",IF(ABS(L42)&lt;=1.96*O42,"Yes","No"))</f>
        <v>Yes</v>
      </c>
      <c r="T42" s="59" t="n">
        <f aca="false">IF(D42="","",ROUND(SQRT(((D42+G42)*O42/100)^2+(J42*(D42+G42)*0.05883)^2),0))</f>
        <v>47</v>
      </c>
      <c r="U42" s="32"/>
    </row>
    <row r="43" customFormat="false" ht="15" hidden="false" customHeight="false" outlineLevel="0" collapsed="false">
      <c r="A43" s="32" t="s">
        <v>189</v>
      </c>
      <c r="B43" s="32" t="s">
        <v>208</v>
      </c>
      <c r="C43" s="32" t="s">
        <v>161</v>
      </c>
      <c r="D43" s="59" t="n">
        <v>5386</v>
      </c>
      <c r="E43" s="59" t="n">
        <v>5699</v>
      </c>
      <c r="F43" s="68" t="n">
        <f aca="false">IF(E43="","",D43-E43)</f>
        <v>-313</v>
      </c>
      <c r="G43" s="59" t="n">
        <v>4273</v>
      </c>
      <c r="H43" s="59" t="n">
        <v>4420</v>
      </c>
      <c r="I43" s="68" t="n">
        <f aca="false">IF(H43="","",G43-H43)</f>
        <v>-147</v>
      </c>
      <c r="J43" s="40" t="n">
        <f aca="false">IF(OR(D43="",D43+G43=0),"",D43/(D43+G43))</f>
        <v>0.557614659902681</v>
      </c>
      <c r="K43" s="40" t="n">
        <f aca="false">IF(E43="","",E43/(E43+H43))</f>
        <v>0.563197944460915</v>
      </c>
      <c r="L43" s="69" t="n">
        <f aca="false">IF(OR(K43="",J43=""),"",(J43-K43)*100)</f>
        <v>-0.558328455823365</v>
      </c>
      <c r="M43" s="36" t="n">
        <v>1.9194706348173</v>
      </c>
      <c r="N43" s="36" t="n">
        <v>1.39811870411602</v>
      </c>
      <c r="O43" s="36" t="n">
        <f aca="false">SQRT(M43^2+N43^2)</f>
        <v>2.37467964759986</v>
      </c>
      <c r="P43" s="40" t="n">
        <f aca="false">IF(J43="","",MAX(0,J43-1.96*O43/100))</f>
        <v>0.511070938809724</v>
      </c>
      <c r="Q43" s="40" t="n">
        <f aca="false">IF(J43="","",MIN(1,J43+1.96*O43/100))</f>
        <v>0.604158380995639</v>
      </c>
      <c r="R43" s="32" t="str">
        <f aca="false">IF(L43="","",IF(ABS(L43)&lt;=O43,"Yes","No"))</f>
        <v>Yes</v>
      </c>
      <c r="S43" s="32" t="str">
        <f aca="false">IF(L43="","",IF(ABS(L43)&lt;=1.96*O43,"Yes","No"))</f>
        <v>Yes</v>
      </c>
      <c r="T43" s="59" t="n">
        <f aca="false">IF(D43="","",ROUND(SQRT(((D43+G43)*O43/100)^2+(J43*(D43+G43)*0.04942)^2),0))</f>
        <v>351</v>
      </c>
      <c r="U43" s="32"/>
    </row>
    <row r="44" customFormat="false" ht="15" hidden="false" customHeight="false" outlineLevel="0" collapsed="false">
      <c r="A44" s="32" t="s">
        <v>189</v>
      </c>
      <c r="B44" s="32" t="s">
        <v>209</v>
      </c>
      <c r="C44" s="32" t="s">
        <v>161</v>
      </c>
      <c r="D44" s="59" t="n">
        <v>5937</v>
      </c>
      <c r="E44" s="59" t="n">
        <v>6009</v>
      </c>
      <c r="F44" s="68" t="n">
        <f aca="false">IF(E44="","",D44-E44)</f>
        <v>-72</v>
      </c>
      <c r="G44" s="59" t="n">
        <v>4864</v>
      </c>
      <c r="H44" s="59" t="n">
        <v>5257</v>
      </c>
      <c r="I44" s="68" t="n">
        <f aca="false">IF(H44="","",G44-H44)</f>
        <v>-393</v>
      </c>
      <c r="J44" s="40" t="n">
        <f aca="false">IF(OR(D44="",D44+G44=0),"",D44/(D44+G44))</f>
        <v>0.549671326729007</v>
      </c>
      <c r="K44" s="40" t="n">
        <f aca="false">IF(E44="","",E44/(E44+H44))</f>
        <v>0.533374755902716</v>
      </c>
      <c r="L44" s="69" t="n">
        <f aca="false">IF(OR(K44="",J44=""),"",(J44-K44)*100)</f>
        <v>1.62965708262904</v>
      </c>
      <c r="M44" s="36" t="n">
        <v>1.9194706348173</v>
      </c>
      <c r="N44" s="36" t="n">
        <v>1.39811870411602</v>
      </c>
      <c r="O44" s="36" t="n">
        <f aca="false">SQRT(M44^2+N44^2)</f>
        <v>2.37467964759986</v>
      </c>
      <c r="P44" s="40" t="n">
        <f aca="false">IF(J44="","",MAX(0,J44-1.96*O44/100))</f>
        <v>0.503127605636049</v>
      </c>
      <c r="Q44" s="40" t="n">
        <f aca="false">IF(J44="","",MIN(1,J44+1.96*O44/100))</f>
        <v>0.596215047821964</v>
      </c>
      <c r="R44" s="32" t="str">
        <f aca="false">IF(L44="","",IF(ABS(L44)&lt;=O44,"Yes","No"))</f>
        <v>Yes</v>
      </c>
      <c r="S44" s="32" t="str">
        <f aca="false">IF(L44="","",IF(ABS(L44)&lt;=1.96*O44,"Yes","No"))</f>
        <v>Yes</v>
      </c>
      <c r="T44" s="59" t="n">
        <f aca="false">IF(D44="","",ROUND(SQRT(((D44+G44)*O44/100)^2+(J44*(D44+G44)*0.04942)^2),0))</f>
        <v>390</v>
      </c>
      <c r="U44" s="32"/>
    </row>
    <row r="45" customFormat="false" ht="15" hidden="false" customHeight="false" outlineLevel="0" collapsed="false">
      <c r="A45" s="32" t="s">
        <v>189</v>
      </c>
      <c r="B45" s="32" t="s">
        <v>210</v>
      </c>
      <c r="C45" s="32" t="s">
        <v>161</v>
      </c>
      <c r="D45" s="59" t="n">
        <v>1794</v>
      </c>
      <c r="E45" s="59" t="n">
        <v>2032</v>
      </c>
      <c r="F45" s="68" t="n">
        <f aca="false">IF(E45="","",D45-E45)</f>
        <v>-238</v>
      </c>
      <c r="G45" s="59" t="n">
        <v>2342</v>
      </c>
      <c r="H45" s="59" t="n">
        <v>2450</v>
      </c>
      <c r="I45" s="68" t="n">
        <f aca="false">IF(H45="","",G45-H45)</f>
        <v>-108</v>
      </c>
      <c r="J45" s="40" t="n">
        <f aca="false">IF(OR(D45="",D45+G45=0),"",D45/(D45+G45))</f>
        <v>0.433752417794971</v>
      </c>
      <c r="K45" s="40" t="n">
        <f aca="false">IF(E45="","",E45/(E45+H45))</f>
        <v>0.453369031682285</v>
      </c>
      <c r="L45" s="69" t="n">
        <f aca="false">IF(OR(K45="",J45=""),"",(J45-K45)*100)</f>
        <v>-1.96166138873137</v>
      </c>
      <c r="M45" s="36" t="n">
        <v>1.9194706348173</v>
      </c>
      <c r="N45" s="36" t="n">
        <v>1.39811870411602</v>
      </c>
      <c r="O45" s="36" t="n">
        <f aca="false">SQRT(M45^2+N45^2)</f>
        <v>2.37467964759986</v>
      </c>
      <c r="P45" s="40" t="n">
        <f aca="false">IF(J45="","",MAX(0,J45-1.96*O45/100))</f>
        <v>0.387208696702014</v>
      </c>
      <c r="Q45" s="40" t="n">
        <f aca="false">IF(J45="","",MIN(1,J45+1.96*O45/100))</f>
        <v>0.480296138887928</v>
      </c>
      <c r="R45" s="32" t="str">
        <f aca="false">IF(L45="","",IF(ABS(L45)&lt;=O45,"Yes","No"))</f>
        <v>Yes</v>
      </c>
      <c r="S45" s="32" t="str">
        <f aca="false">IF(L45="","",IF(ABS(L45)&lt;=1.96*O45,"Yes","No"))</f>
        <v>Yes</v>
      </c>
      <c r="T45" s="59" t="n">
        <f aca="false">IF(D45="","",ROUND(SQRT(((D45+G45)*O45/100)^2+(J45*(D45+G45)*0.04942)^2),0))</f>
        <v>132</v>
      </c>
      <c r="U45" s="32"/>
    </row>
    <row r="46" customFormat="false" ht="15" hidden="false" customHeight="false" outlineLevel="0" collapsed="false">
      <c r="A46" s="32" t="s">
        <v>189</v>
      </c>
      <c r="B46" s="32" t="s">
        <v>211</v>
      </c>
      <c r="C46" s="32" t="s">
        <v>161</v>
      </c>
      <c r="D46" s="59" t="n">
        <v>4033</v>
      </c>
      <c r="E46" s="59" t="n">
        <v>4406</v>
      </c>
      <c r="F46" s="68" t="n">
        <f aca="false">IF(E46="","",D46-E46)</f>
        <v>-373</v>
      </c>
      <c r="G46" s="59" t="n">
        <v>4056</v>
      </c>
      <c r="H46" s="59" t="n">
        <v>4369</v>
      </c>
      <c r="I46" s="68" t="n">
        <f aca="false">IF(H46="","",G46-H46)</f>
        <v>-313</v>
      </c>
      <c r="J46" s="40" t="n">
        <f aca="false">IF(OR(D46="",D46+G46=0),"",D46/(D46+G46))</f>
        <v>0.49857831623192</v>
      </c>
      <c r="K46" s="40" t="n">
        <f aca="false">IF(E46="","",E46/(E46+H46))</f>
        <v>0.502108262108262</v>
      </c>
      <c r="L46" s="69" t="n">
        <f aca="false">IF(OR(K46="",J46=""),"",(J46-K46)*100)</f>
        <v>-0.35299458763422</v>
      </c>
      <c r="M46" s="36" t="n">
        <v>1.9194706348173</v>
      </c>
      <c r="N46" s="36" t="n">
        <v>1.39811870411602</v>
      </c>
      <c r="O46" s="36" t="n">
        <f aca="false">SQRT(M46^2+N46^2)</f>
        <v>2.37467964759986</v>
      </c>
      <c r="P46" s="40" t="n">
        <f aca="false">IF(J46="","",MAX(0,J46-1.96*O46/100))</f>
        <v>0.452034595138963</v>
      </c>
      <c r="Q46" s="40" t="n">
        <f aca="false">IF(J46="","",MIN(1,J46+1.96*O46/100))</f>
        <v>0.545122037324877</v>
      </c>
      <c r="R46" s="32" t="str">
        <f aca="false">IF(L46="","",IF(ABS(L46)&lt;=O46,"Yes","No"))</f>
        <v>Yes</v>
      </c>
      <c r="S46" s="32" t="str">
        <f aca="false">IF(L46="","",IF(ABS(L46)&lt;=1.96*O46,"Yes","No"))</f>
        <v>Yes</v>
      </c>
      <c r="T46" s="59" t="n">
        <f aca="false">IF(D46="","",ROUND(SQRT(((D46+G46)*O46/100)^2+(J46*(D46+G46)*0.04942)^2),0))</f>
        <v>277</v>
      </c>
      <c r="U46" s="32"/>
    </row>
    <row r="47" customFormat="false" ht="15" hidden="false" customHeight="false" outlineLevel="0" collapsed="false">
      <c r="A47" s="32" t="s">
        <v>189</v>
      </c>
      <c r="B47" s="32" t="s">
        <v>212</v>
      </c>
      <c r="C47" s="32" t="s">
        <v>161</v>
      </c>
      <c r="D47" s="59" t="n">
        <v>924</v>
      </c>
      <c r="E47" s="59" t="n">
        <v>1054</v>
      </c>
      <c r="F47" s="68" t="n">
        <f aca="false">IF(E47="","",D47-E47)</f>
        <v>-130</v>
      </c>
      <c r="G47" s="59" t="n">
        <v>1729</v>
      </c>
      <c r="H47" s="59" t="n">
        <v>1952</v>
      </c>
      <c r="I47" s="68" t="n">
        <f aca="false">IF(H47="","",G47-H47)</f>
        <v>-223</v>
      </c>
      <c r="J47" s="40" t="n">
        <f aca="false">IF(OR(D47="",D47+G47=0),"",D47/(D47+G47))</f>
        <v>0.348284960422164</v>
      </c>
      <c r="K47" s="40" t="n">
        <f aca="false">IF(E47="","",E47/(E47+H47))</f>
        <v>0.350632069194943</v>
      </c>
      <c r="L47" s="69" t="n">
        <f aca="false">IF(OR(K47="",J47=""),"",(J47-K47)*100)</f>
        <v>-0.234710877277983</v>
      </c>
      <c r="M47" s="36" t="n">
        <v>1.9194706348173</v>
      </c>
      <c r="N47" s="36" t="n">
        <v>1.39811870411602</v>
      </c>
      <c r="O47" s="36" t="n">
        <f aca="false">SQRT(M47^2+N47^2)</f>
        <v>2.37467964759986</v>
      </c>
      <c r="P47" s="40" t="n">
        <f aca="false">IF(J47="","",MAX(0,J47-1.96*O47/100))</f>
        <v>0.301741239329206</v>
      </c>
      <c r="Q47" s="40" t="n">
        <f aca="false">IF(J47="","",MIN(1,J47+1.96*O47/100))</f>
        <v>0.394828681515121</v>
      </c>
      <c r="R47" s="32" t="str">
        <f aca="false">IF(L47="","",IF(ABS(L47)&lt;=O47,"Yes","No"))</f>
        <v>Yes</v>
      </c>
      <c r="S47" s="32" t="str">
        <f aca="false">IF(L47="","",IF(ABS(L47)&lt;=1.96*O47,"Yes","No"))</f>
        <v>Yes</v>
      </c>
      <c r="T47" s="59" t="n">
        <f aca="false">IF(D47="","",ROUND(SQRT(((D47+G47)*O47/100)^2+(J47*(D47+G47)*0.04942)^2),0))</f>
        <v>78</v>
      </c>
      <c r="U47" s="32"/>
    </row>
    <row r="48" customFormat="false" ht="15" hidden="false" customHeight="false" outlineLevel="0" collapsed="false">
      <c r="A48" s="32" t="s">
        <v>189</v>
      </c>
      <c r="B48" s="32" t="s">
        <v>213</v>
      </c>
      <c r="C48" s="32" t="s">
        <v>161</v>
      </c>
      <c r="D48" s="59" t="n">
        <v>883</v>
      </c>
      <c r="E48" s="59" t="n">
        <v>981</v>
      </c>
      <c r="F48" s="68" t="n">
        <f aca="false">IF(E48="","",D48-E48)</f>
        <v>-98</v>
      </c>
      <c r="G48" s="59" t="n">
        <v>1646</v>
      </c>
      <c r="H48" s="59" t="n">
        <v>1711</v>
      </c>
      <c r="I48" s="68" t="n">
        <f aca="false">IF(H48="","",G48-H48)</f>
        <v>-65</v>
      </c>
      <c r="J48" s="40" t="n">
        <f aca="false">IF(OR(D48="",D48+G48=0),"",D48/(D48+G48))</f>
        <v>0.349149861605378</v>
      </c>
      <c r="K48" s="40" t="n">
        <f aca="false">IF(E48="","",E48/(E48+H48))</f>
        <v>0.364413075780089</v>
      </c>
      <c r="L48" s="69" t="n">
        <f aca="false">IF(OR(K48="",J48=""),"",(J48-K48)*100)</f>
        <v>-1.52632141747115</v>
      </c>
      <c r="M48" s="36" t="n">
        <v>2.07957502812653</v>
      </c>
      <c r="N48" s="36" t="n">
        <v>1.39811870411602</v>
      </c>
      <c r="O48" s="36" t="n">
        <f aca="false">SQRT(M48^2+N48^2)</f>
        <v>2.50586675791162</v>
      </c>
      <c r="P48" s="40" t="n">
        <f aca="false">IF(J48="","",MAX(0,J48-1.96*O48/100))</f>
        <v>0.30003487315031</v>
      </c>
      <c r="Q48" s="40" t="n">
        <f aca="false">IF(J48="","",MIN(1,J48+1.96*O48/100))</f>
        <v>0.398264850060445</v>
      </c>
      <c r="R48" s="32" t="str">
        <f aca="false">IF(L48="","",IF(ABS(L48)&lt;=O48,"Yes","No"))</f>
        <v>Yes</v>
      </c>
      <c r="S48" s="32" t="str">
        <f aca="false">IF(L48="","",IF(ABS(L48)&lt;=1.96*O48,"Yes","No"))</f>
        <v>Yes</v>
      </c>
      <c r="T48" s="59" t="n">
        <f aca="false">IF(D48="","",ROUND(SQRT(((D48+G48)*O48/100)^2+(J48*(D48+G48)*0.05883)^2),0))</f>
        <v>82</v>
      </c>
      <c r="U48" s="32"/>
    </row>
    <row r="49" customFormat="false" ht="15" hidden="false" customHeight="false" outlineLevel="0" collapsed="false">
      <c r="A49" s="32" t="s">
        <v>189</v>
      </c>
      <c r="B49" s="32" t="s">
        <v>214</v>
      </c>
      <c r="C49" s="32" t="s">
        <v>161</v>
      </c>
      <c r="D49" s="59" t="n">
        <v>5508</v>
      </c>
      <c r="E49" s="59" t="n">
        <v>5508</v>
      </c>
      <c r="F49" s="68" t="n">
        <f aca="false">IF(E49="","",D49-E49)</f>
        <v>0</v>
      </c>
      <c r="G49" s="59" t="n">
        <v>4352</v>
      </c>
      <c r="H49" s="59" t="n">
        <v>4784</v>
      </c>
      <c r="I49" s="68" t="n">
        <f aca="false">IF(H49="","",G49-H49)</f>
        <v>-432</v>
      </c>
      <c r="J49" s="40" t="n">
        <f aca="false">IF(OR(D49="",D49+G49=0),"",D49/(D49+G49))</f>
        <v>0.558620689655172</v>
      </c>
      <c r="K49" s="40" t="n">
        <f aca="false">IF(E49="","",E49/(E49+H49))</f>
        <v>0.535172949863972</v>
      </c>
      <c r="L49" s="69" t="n">
        <f aca="false">IF(OR(K49="",J49=""),"",(J49-K49)*100)</f>
        <v>2.34477397912004</v>
      </c>
      <c r="M49" s="36" t="n">
        <v>1.9194706348173</v>
      </c>
      <c r="N49" s="36" t="n">
        <v>1.39811870411602</v>
      </c>
      <c r="O49" s="36" t="n">
        <f aca="false">SQRT(M49^2+N49^2)</f>
        <v>2.37467964759986</v>
      </c>
      <c r="P49" s="40" t="n">
        <f aca="false">IF(J49="","",MAX(0,J49-1.96*O49/100))</f>
        <v>0.512076968562215</v>
      </c>
      <c r="Q49" s="40" t="n">
        <f aca="false">IF(J49="","",MIN(1,J49+1.96*O49/100))</f>
        <v>0.60516441074813</v>
      </c>
      <c r="R49" s="32" t="str">
        <f aca="false">IF(L49="","",IF(ABS(L49)&lt;=O49,"Yes","No"))</f>
        <v>Yes</v>
      </c>
      <c r="S49" s="32" t="str">
        <f aca="false">IF(L49="","",IF(ABS(L49)&lt;=1.96*O49,"Yes","No"))</f>
        <v>Yes</v>
      </c>
      <c r="T49" s="59" t="n">
        <f aca="false">IF(D49="","",ROUND(SQRT(((D49+G49)*O49/100)^2+(J49*(D49+G49)*0.04942)^2),0))</f>
        <v>359</v>
      </c>
      <c r="U49" s="32"/>
    </row>
    <row r="50" customFormat="false" ht="15" hidden="false" customHeight="false" outlineLevel="0" collapsed="false">
      <c r="A50" s="32" t="s">
        <v>215</v>
      </c>
      <c r="B50" s="32" t="s">
        <v>216</v>
      </c>
      <c r="C50" s="32" t="s">
        <v>161</v>
      </c>
      <c r="D50" s="59" t="n">
        <v>378</v>
      </c>
      <c r="E50" s="59" t="n">
        <v>361</v>
      </c>
      <c r="F50" s="68" t="n">
        <f aca="false">IF(E50="","",D50-E50)</f>
        <v>17</v>
      </c>
      <c r="G50" s="59" t="n">
        <v>670</v>
      </c>
      <c r="H50" s="59" t="n">
        <v>824</v>
      </c>
      <c r="I50" s="68" t="n">
        <f aca="false">IF(H50="","",G50-H50)</f>
        <v>-154</v>
      </c>
      <c r="J50" s="40" t="n">
        <f aca="false">IF(OR(D50="",D50+G50=0),"",D50/(D50+G50))</f>
        <v>0.360687022900763</v>
      </c>
      <c r="K50" s="40" t="n">
        <f aca="false">IF(E50="","",E50/(E50+H50))</f>
        <v>0.30464135021097</v>
      </c>
      <c r="L50" s="69" t="n">
        <f aca="false">IF(OR(K50="",J50=""),"",(J50-K50)*100)</f>
        <v>5.60456726897929</v>
      </c>
      <c r="M50" s="36" t="n">
        <v>3.73271957548748</v>
      </c>
      <c r="N50" s="36" t="n">
        <v>1.39811870411602</v>
      </c>
      <c r="O50" s="36" t="n">
        <f aca="false">SQRT(M50^2+N50^2)</f>
        <v>3.98596680116963</v>
      </c>
      <c r="P50" s="40" t="n">
        <f aca="false">IF(J50="","",MAX(0,J50-1.96*O50/100))</f>
        <v>0.282562073597839</v>
      </c>
      <c r="Q50" s="40" t="n">
        <f aca="false">IF(J50="","",MIN(1,J50+1.96*O50/100))</f>
        <v>0.438811972203688</v>
      </c>
      <c r="R50" s="32" t="str">
        <f aca="false">IF(L50="","",IF(ABS(L50)&lt;=O50,"Yes","No"))</f>
        <v>No</v>
      </c>
      <c r="S50" s="32" t="str">
        <f aca="false">IF(L50="","",IF(ABS(L50)&lt;=1.96*O50,"Yes","No"))</f>
        <v>Yes</v>
      </c>
      <c r="T50" s="59" t="n">
        <f aca="false">IF(D50="","",ROUND(SQRT(((D50+G50)*O50/100)^2+(J50*(D50+G50)*0.07872)^2),0))</f>
        <v>51</v>
      </c>
      <c r="U50" s="32"/>
    </row>
    <row r="51" customFormat="false" ht="15" hidden="false" customHeight="false" outlineLevel="0" collapsed="false">
      <c r="A51" s="32" t="s">
        <v>215</v>
      </c>
      <c r="B51" s="32" t="s">
        <v>218</v>
      </c>
      <c r="C51" s="32" t="s">
        <v>161</v>
      </c>
      <c r="D51" s="59" t="n">
        <v>1048</v>
      </c>
      <c r="E51" s="59" t="n">
        <v>1021</v>
      </c>
      <c r="F51" s="68" t="n">
        <f aca="false">IF(E51="","",D51-E51)</f>
        <v>27</v>
      </c>
      <c r="G51" s="59" t="n">
        <v>1740</v>
      </c>
      <c r="H51" s="59" t="n">
        <v>1984</v>
      </c>
      <c r="I51" s="68" t="n">
        <f aca="false">IF(H51="","",G51-H51)</f>
        <v>-244</v>
      </c>
      <c r="J51" s="40" t="n">
        <f aca="false">IF(OR(D51="",D51+G51=0),"",D51/(D51+G51))</f>
        <v>0.375896700143472</v>
      </c>
      <c r="K51" s="40" t="n">
        <f aca="false">IF(E51="","",E51/(E51+H51))</f>
        <v>0.339767054908486</v>
      </c>
      <c r="L51" s="69" t="n">
        <f aca="false">IF(OR(K51="",J51=""),"",(J51-K51)*100)</f>
        <v>3.61296452349862</v>
      </c>
      <c r="M51" s="36" t="n">
        <v>1.9194706348173</v>
      </c>
      <c r="N51" s="36" t="n">
        <v>1.39811870411602</v>
      </c>
      <c r="O51" s="36" t="n">
        <f aca="false">SQRT(M51^2+N51^2)</f>
        <v>2.37467964759986</v>
      </c>
      <c r="P51" s="40" t="n">
        <f aca="false">IF(J51="","",MAX(0,J51-1.96*O51/100))</f>
        <v>0.329352979050515</v>
      </c>
      <c r="Q51" s="40" t="n">
        <f aca="false">IF(J51="","",MIN(1,J51+1.96*O51/100))</f>
        <v>0.422440421236429</v>
      </c>
      <c r="R51" s="32" t="str">
        <f aca="false">IF(L51="","",IF(ABS(L51)&lt;=O51,"Yes","No"))</f>
        <v>No</v>
      </c>
      <c r="S51" s="32" t="str">
        <f aca="false">IF(L51="","",IF(ABS(L51)&lt;=1.96*O51,"Yes","No"))</f>
        <v>Yes</v>
      </c>
      <c r="T51" s="59" t="n">
        <f aca="false">IF(D51="","",ROUND(SQRT(((D51+G51)*O51/100)^2+(J51*(D51+G51)*0.04942)^2),0))</f>
        <v>84</v>
      </c>
      <c r="U51" s="32"/>
    </row>
    <row r="52" customFormat="false" ht="15" hidden="false" customHeight="false" outlineLevel="0" collapsed="false">
      <c r="A52" s="32" t="s">
        <v>215</v>
      </c>
      <c r="B52" s="32" t="s">
        <v>219</v>
      </c>
      <c r="C52" s="32" t="s">
        <v>161</v>
      </c>
      <c r="D52" s="59" t="n">
        <v>345</v>
      </c>
      <c r="E52" s="59" t="n">
        <v>380</v>
      </c>
      <c r="F52" s="68" t="n">
        <f aca="false">IF(E52="","",D52-E52)</f>
        <v>-35</v>
      </c>
      <c r="G52" s="59" t="n">
        <v>519</v>
      </c>
      <c r="H52" s="59" t="n">
        <v>732</v>
      </c>
      <c r="I52" s="68" t="n">
        <f aca="false">IF(H52="","",G52-H52)</f>
        <v>-213</v>
      </c>
      <c r="J52" s="40" t="n">
        <f aca="false">IF(OR(D52="",D52+G52=0),"",D52/(D52+G52))</f>
        <v>0.399305555555556</v>
      </c>
      <c r="K52" s="40" t="n">
        <f aca="false">IF(E52="","",E52/(E52+H52))</f>
        <v>0.341726618705036</v>
      </c>
      <c r="L52" s="69" t="n">
        <f aca="false">IF(OR(K52="",J52=""),"",(J52-K52)*100)</f>
        <v>5.75789368505196</v>
      </c>
      <c r="M52" s="36" t="n">
        <v>3.73271957548748</v>
      </c>
      <c r="N52" s="36" t="n">
        <v>1.39811870411602</v>
      </c>
      <c r="O52" s="36" t="n">
        <f aca="false">SQRT(M52^2+N52^2)</f>
        <v>3.98596680116963</v>
      </c>
      <c r="P52" s="40" t="n">
        <f aca="false">IF(J52="","",MAX(0,J52-1.96*O52/100))</f>
        <v>0.321180606252631</v>
      </c>
      <c r="Q52" s="40" t="n">
        <f aca="false">IF(J52="","",MIN(1,J52+1.96*O52/100))</f>
        <v>0.47743050485848</v>
      </c>
      <c r="R52" s="32" t="str">
        <f aca="false">IF(L52="","",IF(ABS(L52)&lt;=O52,"Yes","No"))</f>
        <v>No</v>
      </c>
      <c r="S52" s="32" t="str">
        <f aca="false">IF(L52="","",IF(ABS(L52)&lt;=1.96*O52,"Yes","No"))</f>
        <v>Yes</v>
      </c>
      <c r="T52" s="59" t="n">
        <f aca="false">IF(D52="","",ROUND(SQRT(((D52+G52)*O52/100)^2+(J52*(D52+G52)*0.07872)^2),0))</f>
        <v>44</v>
      </c>
      <c r="U52" s="32"/>
    </row>
    <row r="53" customFormat="false" ht="15" hidden="false" customHeight="false" outlineLevel="0" collapsed="false">
      <c r="A53" s="32" t="s">
        <v>220</v>
      </c>
      <c r="B53" s="32" t="s">
        <v>221</v>
      </c>
      <c r="C53" s="32" t="s">
        <v>161</v>
      </c>
      <c r="D53" s="59" t="n">
        <v>1032</v>
      </c>
      <c r="E53" s="59" t="n">
        <v>1174</v>
      </c>
      <c r="F53" s="68" t="n">
        <f aca="false">IF(E53="","",D53-E53)</f>
        <v>-142</v>
      </c>
      <c r="G53" s="59" t="n">
        <v>1315</v>
      </c>
      <c r="H53" s="59" t="n">
        <v>1426</v>
      </c>
      <c r="I53" s="68" t="n">
        <f aca="false">IF(H53="","",G53-H53)</f>
        <v>-111</v>
      </c>
      <c r="J53" s="40" t="n">
        <f aca="false">IF(OR(D53="",D53+G53=0),"",D53/(D53+G53))</f>
        <v>0.43971026842778</v>
      </c>
      <c r="K53" s="40" t="n">
        <f aca="false">IF(E53="","",E53/(E53+H53))</f>
        <v>0.451538461538462</v>
      </c>
      <c r="L53" s="69" t="n">
        <f aca="false">IF(OR(K53="",J53=""),"",(J53-K53)*100)</f>
        <v>-1.18281931106814</v>
      </c>
      <c r="M53" s="36" t="n">
        <v>2.07957502812653</v>
      </c>
      <c r="N53" s="36" t="n">
        <v>1.39811870411602</v>
      </c>
      <c r="O53" s="36" t="n">
        <f aca="false">SQRT(M53^2+N53^2)</f>
        <v>2.50586675791162</v>
      </c>
      <c r="P53" s="40" t="n">
        <f aca="false">IF(J53="","",MAX(0,J53-1.96*O53/100))</f>
        <v>0.390595279972712</v>
      </c>
      <c r="Q53" s="40" t="n">
        <f aca="false">IF(J53="","",MIN(1,J53+1.96*O53/100))</f>
        <v>0.488825256882848</v>
      </c>
      <c r="R53" s="32" t="str">
        <f aca="false">IF(L53="","",IF(ABS(L53)&lt;=O53,"Yes","No"))</f>
        <v>Yes</v>
      </c>
      <c r="S53" s="32" t="str">
        <f aca="false">IF(L53="","",IF(ABS(L53)&lt;=1.96*O53,"Yes","No"))</f>
        <v>Yes</v>
      </c>
      <c r="T53" s="59" t="n">
        <f aca="false">IF(D53="","",ROUND(SQRT(((D53+G53)*O53/100)^2+(J53*(D53+G53)*0.05883)^2),0))</f>
        <v>85</v>
      </c>
      <c r="U53" s="32"/>
    </row>
    <row r="54" customFormat="false" ht="15" hidden="false" customHeight="false" outlineLevel="0" collapsed="false">
      <c r="A54" s="32" t="s">
        <v>220</v>
      </c>
      <c r="B54" s="32" t="s">
        <v>222</v>
      </c>
      <c r="C54" s="32" t="s">
        <v>161</v>
      </c>
      <c r="D54" s="59" t="n">
        <v>685</v>
      </c>
      <c r="E54" s="59" t="n">
        <v>729</v>
      </c>
      <c r="F54" s="68" t="n">
        <f aca="false">IF(E54="","",D54-E54)</f>
        <v>-44</v>
      </c>
      <c r="G54" s="59" t="n">
        <v>889</v>
      </c>
      <c r="H54" s="59" t="n">
        <v>928</v>
      </c>
      <c r="I54" s="68" t="n">
        <f aca="false">IF(H54="","",G54-H54)</f>
        <v>-39</v>
      </c>
      <c r="J54" s="40" t="n">
        <f aca="false">IF(OR(D54="",D54+G54=0),"",D54/(D54+G54))</f>
        <v>0.435196950444727</v>
      </c>
      <c r="K54" s="40" t="n">
        <f aca="false">IF(E54="","",E54/(E54+H54))</f>
        <v>0.43995171997586</v>
      </c>
      <c r="L54" s="69" t="n">
        <f aca="false">IF(OR(K54="",J54=""),"",(J54-K54)*100)</f>
        <v>-0.475476953113313</v>
      </c>
      <c r="M54" s="36" t="n">
        <v>2.07957502812653</v>
      </c>
      <c r="N54" s="36" t="n">
        <v>1.39811870411602</v>
      </c>
      <c r="O54" s="36" t="n">
        <f aca="false">SQRT(M54^2+N54^2)</f>
        <v>2.50586675791162</v>
      </c>
      <c r="P54" s="40" t="n">
        <f aca="false">IF(J54="","",MAX(0,J54-1.96*O54/100))</f>
        <v>0.386081961989659</v>
      </c>
      <c r="Q54" s="40" t="n">
        <f aca="false">IF(J54="","",MIN(1,J54+1.96*O54/100))</f>
        <v>0.484311938899795</v>
      </c>
      <c r="R54" s="32" t="str">
        <f aca="false">IF(L54="","",IF(ABS(L54)&lt;=O54,"Yes","No"))</f>
        <v>Yes</v>
      </c>
      <c r="S54" s="32" t="str">
        <f aca="false">IF(L54="","",IF(ABS(L54)&lt;=1.96*O54,"Yes","No"))</f>
        <v>Yes</v>
      </c>
      <c r="T54" s="59" t="n">
        <f aca="false">IF(D54="","",ROUND(SQRT(((D54+G54)*O54/100)^2+(J54*(D54+G54)*0.05883)^2),0))</f>
        <v>56</v>
      </c>
      <c r="U54" s="32"/>
    </row>
    <row r="55" customFormat="false" ht="15" hidden="false" customHeight="false" outlineLevel="0" collapsed="false">
      <c r="A55" s="32" t="s">
        <v>220</v>
      </c>
      <c r="B55" s="32" t="s">
        <v>223</v>
      </c>
      <c r="C55" s="32" t="s">
        <v>161</v>
      </c>
      <c r="D55" s="59" t="n">
        <v>436</v>
      </c>
      <c r="E55" s="59" t="n">
        <v>441</v>
      </c>
      <c r="F55" s="68" t="n">
        <f aca="false">IF(E55="","",D55-E55)</f>
        <v>-5</v>
      </c>
      <c r="G55" s="59" t="n">
        <v>438</v>
      </c>
      <c r="H55" s="59" t="n">
        <v>513</v>
      </c>
      <c r="I55" s="68" t="n">
        <f aca="false">IF(H55="","",G55-H55)</f>
        <v>-75</v>
      </c>
      <c r="J55" s="40" t="n">
        <f aca="false">IF(OR(D55="",D55+G55=0),"",D55/(D55+G55))</f>
        <v>0.498855835240275</v>
      </c>
      <c r="K55" s="40" t="n">
        <f aca="false">IF(E55="","",E55/(E55+H55))</f>
        <v>0.462264150943396</v>
      </c>
      <c r="L55" s="69" t="n">
        <f aca="false">IF(OR(K55="",J55=""),"",(J55-K55)*100)</f>
        <v>3.65916842968784</v>
      </c>
      <c r="M55" s="36" t="n">
        <v>3.73271957548748</v>
      </c>
      <c r="N55" s="36" t="n">
        <v>1.39811870411602</v>
      </c>
      <c r="O55" s="36" t="n">
        <f aca="false">SQRT(M55^2+N55^2)</f>
        <v>3.98596680116963</v>
      </c>
      <c r="P55" s="40" t="n">
        <f aca="false">IF(J55="","",MAX(0,J55-1.96*O55/100))</f>
        <v>0.42073088593735</v>
      </c>
      <c r="Q55" s="40" t="n">
        <f aca="false">IF(J55="","",MIN(1,J55+1.96*O55/100))</f>
        <v>0.5769807845432</v>
      </c>
      <c r="R55" s="32" t="str">
        <f aca="false">IF(L55="","",IF(ABS(L55)&lt;=O55,"Yes","No"))</f>
        <v>Yes</v>
      </c>
      <c r="S55" s="32" t="str">
        <f aca="false">IF(L55="","",IF(ABS(L55)&lt;=1.96*O55,"Yes","No"))</f>
        <v>Yes</v>
      </c>
      <c r="T55" s="59" t="n">
        <f aca="false">IF(D55="","",ROUND(SQRT(((D55+G55)*O55/100)^2+(J55*(D55+G55)*0.07872)^2),0))</f>
        <v>49</v>
      </c>
      <c r="U55" s="32"/>
    </row>
    <row r="56" customFormat="false" ht="15" hidden="false" customHeight="false" outlineLevel="0" collapsed="false">
      <c r="A56" s="32" t="s">
        <v>220</v>
      </c>
      <c r="B56" s="32" t="s">
        <v>192</v>
      </c>
      <c r="C56" s="32" t="s">
        <v>161</v>
      </c>
      <c r="D56" s="59" t="n">
        <v>11873</v>
      </c>
      <c r="E56" s="59" t="n">
        <v>12402</v>
      </c>
      <c r="F56" s="68" t="n">
        <f aca="false">IF(E56="","",D56-E56)</f>
        <v>-529</v>
      </c>
      <c r="G56" s="59" t="n">
        <v>5795</v>
      </c>
      <c r="H56" s="59" t="n">
        <v>5692</v>
      </c>
      <c r="I56" s="68" t="n">
        <f aca="false">IF(H56="","",G56-H56)</f>
        <v>103</v>
      </c>
      <c r="J56" s="40" t="n">
        <f aca="false">IF(OR(D56="",D56+G56=0),"",D56/(D56+G56))</f>
        <v>0.6720058863482</v>
      </c>
      <c r="K56" s="40" t="n">
        <f aca="false">IF(E56="","",E56/(E56+H56))</f>
        <v>0.685420581408202</v>
      </c>
      <c r="L56" s="69" t="n">
        <f aca="false">IF(OR(K56="",J56=""),"",(J56-K56)*100)</f>
        <v>-1.34146950600015</v>
      </c>
      <c r="M56" s="36" t="n">
        <v>1.9194706348173</v>
      </c>
      <c r="N56" s="36" t="n">
        <v>1.39811870411602</v>
      </c>
      <c r="O56" s="36" t="n">
        <f aca="false">SQRT(M56^2+N56^2)</f>
        <v>2.37467964759986</v>
      </c>
      <c r="P56" s="40" t="n">
        <f aca="false">IF(J56="","",MAX(0,J56-1.96*O56/100))</f>
        <v>0.625462165255243</v>
      </c>
      <c r="Q56" s="40" t="n">
        <f aca="false">IF(J56="","",MIN(1,J56+1.96*O56/100))</f>
        <v>0.718549607441157</v>
      </c>
      <c r="R56" s="32" t="str">
        <f aca="false">IF(L56="","",IF(ABS(L56)&lt;=O56,"Yes","No"))</f>
        <v>Yes</v>
      </c>
      <c r="S56" s="32" t="str">
        <f aca="false">IF(L56="","",IF(ABS(L56)&lt;=1.96*O56,"Yes","No"))</f>
        <v>Yes</v>
      </c>
      <c r="T56" s="59" t="n">
        <f aca="false">IF(D56="","",ROUND(SQRT(((D56+G56)*O56/100)^2+(J56*(D56+G56)*0.04942)^2),0))</f>
        <v>721</v>
      </c>
      <c r="U56" s="32"/>
    </row>
    <row r="57" customFormat="false" ht="15" hidden="false" customHeight="false" outlineLevel="0" collapsed="false">
      <c r="A57" s="32" t="s">
        <v>220</v>
      </c>
      <c r="B57" s="32" t="s">
        <v>224</v>
      </c>
      <c r="C57" s="32" t="s">
        <v>161</v>
      </c>
      <c r="D57" s="59" t="n">
        <v>6225</v>
      </c>
      <c r="E57" s="59" t="n">
        <v>6681</v>
      </c>
      <c r="F57" s="68" t="n">
        <f aca="false">IF(E57="","",D57-E57)</f>
        <v>-456</v>
      </c>
      <c r="G57" s="59" t="n">
        <v>4976</v>
      </c>
      <c r="H57" s="59" t="n">
        <v>5562</v>
      </c>
      <c r="I57" s="68" t="n">
        <f aca="false">IF(H57="","",G57-H57)</f>
        <v>-586</v>
      </c>
      <c r="J57" s="40" t="n">
        <f aca="false">IF(OR(D57="",D57+G57=0),"",D57/(D57+G57))</f>
        <v>0.55575395054013</v>
      </c>
      <c r="K57" s="40" t="n">
        <f aca="false">IF(E57="","",E57/(E57+H57))</f>
        <v>0.545699583435433</v>
      </c>
      <c r="L57" s="69" t="n">
        <f aca="false">IF(OR(K57="",J57=""),"",(J57-K57)*100)</f>
        <v>1.00543671046979</v>
      </c>
      <c r="M57" s="36" t="n">
        <v>1.9194706348173</v>
      </c>
      <c r="N57" s="36" t="n">
        <v>1.39811870411602</v>
      </c>
      <c r="O57" s="36" t="n">
        <f aca="false">SQRT(M57^2+N57^2)</f>
        <v>2.37467964759986</v>
      </c>
      <c r="P57" s="40" t="n">
        <f aca="false">IF(J57="","",MAX(0,J57-1.96*O57/100))</f>
        <v>0.509210229447173</v>
      </c>
      <c r="Q57" s="40" t="n">
        <f aca="false">IF(J57="","",MIN(1,J57+1.96*O57/100))</f>
        <v>0.602297671633088</v>
      </c>
      <c r="R57" s="32" t="str">
        <f aca="false">IF(L57="","",IF(ABS(L57)&lt;=O57,"Yes","No"))</f>
        <v>Yes</v>
      </c>
      <c r="S57" s="32" t="str">
        <f aca="false">IF(L57="","",IF(ABS(L57)&lt;=1.96*O57,"Yes","No"))</f>
        <v>Yes</v>
      </c>
      <c r="T57" s="59" t="n">
        <f aca="false">IF(D57="","",ROUND(SQRT(((D57+G57)*O57/100)^2+(J57*(D57+G57)*0.04942)^2),0))</f>
        <v>407</v>
      </c>
      <c r="U57" s="32"/>
    </row>
    <row r="58" customFormat="false" ht="15" hidden="false" customHeight="false" outlineLevel="0" collapsed="false">
      <c r="A58" s="32" t="s">
        <v>220</v>
      </c>
      <c r="B58" s="32" t="s">
        <v>225</v>
      </c>
      <c r="C58" s="32" t="s">
        <v>161</v>
      </c>
      <c r="D58" s="59" t="n">
        <v>1533</v>
      </c>
      <c r="E58" s="59" t="n">
        <v>1737</v>
      </c>
      <c r="F58" s="68" t="n">
        <f aca="false">IF(E58="","",D58-E58)</f>
        <v>-204</v>
      </c>
      <c r="G58" s="59" t="n">
        <v>2309</v>
      </c>
      <c r="H58" s="59" t="n">
        <v>2662</v>
      </c>
      <c r="I58" s="68" t="n">
        <f aca="false">IF(H58="","",G58-H58)</f>
        <v>-353</v>
      </c>
      <c r="J58" s="40" t="n">
        <f aca="false">IF(OR(D58="",D58+G58=0),"",D58/(D58+G58))</f>
        <v>0.399010931806351</v>
      </c>
      <c r="K58" s="40" t="n">
        <f aca="false">IF(E58="","",E58/(E58+H58))</f>
        <v>0.394862468742896</v>
      </c>
      <c r="L58" s="69" t="n">
        <f aca="false">IF(OR(K58="",J58=""),"",(J58-K58)*100)</f>
        <v>0.414846306345473</v>
      </c>
      <c r="M58" s="36" t="n">
        <v>1.9194706348173</v>
      </c>
      <c r="N58" s="36" t="n">
        <v>1.39811870411602</v>
      </c>
      <c r="O58" s="36" t="n">
        <f aca="false">SQRT(M58^2+N58^2)</f>
        <v>2.37467964759986</v>
      </c>
      <c r="P58" s="40" t="n">
        <f aca="false">IF(J58="","",MAX(0,J58-1.96*O58/100))</f>
        <v>0.352467210713394</v>
      </c>
      <c r="Q58" s="40" t="n">
        <f aca="false">IF(J58="","",MIN(1,J58+1.96*O58/100))</f>
        <v>0.445554652899308</v>
      </c>
      <c r="R58" s="32" t="str">
        <f aca="false">IF(L58="","",IF(ABS(L58)&lt;=O58,"Yes","No"))</f>
        <v>Yes</v>
      </c>
      <c r="S58" s="32" t="str">
        <f aca="false">IF(L58="","",IF(ABS(L58)&lt;=1.96*O58,"Yes","No"))</f>
        <v>Yes</v>
      </c>
      <c r="T58" s="59" t="n">
        <f aca="false">IF(D58="","",ROUND(SQRT(((D58+G58)*O58/100)^2+(J58*(D58+G58)*0.04942)^2),0))</f>
        <v>119</v>
      </c>
      <c r="U58" s="32"/>
    </row>
    <row r="59" customFormat="false" ht="15" hidden="false" customHeight="false" outlineLevel="0" collapsed="false">
      <c r="A59" s="32" t="s">
        <v>220</v>
      </c>
      <c r="B59" s="32" t="s">
        <v>226</v>
      </c>
      <c r="C59" s="32" t="s">
        <v>161</v>
      </c>
      <c r="D59" s="59" t="n">
        <v>25</v>
      </c>
      <c r="E59" s="59" t="n">
        <v>31</v>
      </c>
      <c r="F59" s="68" t="n">
        <f aca="false">IF(E59="","",D59-E59)</f>
        <v>-6</v>
      </c>
      <c r="G59" s="59" t="n">
        <v>43</v>
      </c>
      <c r="H59" s="59" t="n">
        <v>55</v>
      </c>
      <c r="I59" s="68" t="n">
        <f aca="false">IF(H59="","",G59-H59)</f>
        <v>-12</v>
      </c>
      <c r="J59" s="40" t="n">
        <f aca="false">IF(OR(D59="",D59+G59=0),"",D59/(D59+G59))</f>
        <v>0.367647058823529</v>
      </c>
      <c r="K59" s="40" t="n">
        <f aca="false">IF(E59="","",E59/(E59+H59))</f>
        <v>0.36046511627907</v>
      </c>
      <c r="L59" s="69" t="n">
        <f aca="false">IF(OR(K59="",J59=""),"",(J59-K59)*100)</f>
        <v>0.71819425444597</v>
      </c>
      <c r="M59" s="36" t="n">
        <v>3.73271957548748</v>
      </c>
      <c r="N59" s="36" t="n">
        <v>1.39811870411602</v>
      </c>
      <c r="O59" s="36" t="n">
        <f aca="false">SQRT(M59^2+N59^2)</f>
        <v>3.98596680116963</v>
      </c>
      <c r="P59" s="40" t="n">
        <f aca="false">IF(J59="","",MAX(0,J59-1.96*O59/100))</f>
        <v>0.289522109520605</v>
      </c>
      <c r="Q59" s="40" t="n">
        <f aca="false">IF(J59="","",MIN(1,J59+1.96*O59/100))</f>
        <v>0.445772008126454</v>
      </c>
      <c r="R59" s="32" t="str">
        <f aca="false">IF(L59="","",IF(ABS(L59)&lt;=O59,"Yes","No"))</f>
        <v>Yes</v>
      </c>
      <c r="S59" s="32" t="str">
        <f aca="false">IF(L59="","",IF(ABS(L59)&lt;=1.96*O59,"Yes","No"))</f>
        <v>Yes</v>
      </c>
      <c r="T59" s="59" t="n">
        <f aca="false">IF(D59="","",ROUND(SQRT(((D59+G59)*O59/100)^2+(J59*(D59+G59)*0.07872)^2),0))</f>
        <v>3</v>
      </c>
      <c r="U59" s="32"/>
    </row>
    <row r="60" customFormat="false" ht="15" hidden="false" customHeight="false" outlineLevel="0" collapsed="false">
      <c r="A60" s="32" t="s">
        <v>220</v>
      </c>
      <c r="B60" s="32" t="s">
        <v>227</v>
      </c>
      <c r="C60" s="32" t="s">
        <v>161</v>
      </c>
      <c r="D60" s="59" t="n">
        <v>964</v>
      </c>
      <c r="E60" s="59" t="n">
        <v>1109</v>
      </c>
      <c r="F60" s="68" t="n">
        <f aca="false">IF(E60="","",D60-E60)</f>
        <v>-145</v>
      </c>
      <c r="G60" s="59" t="n">
        <v>1299</v>
      </c>
      <c r="H60" s="59" t="n">
        <v>1408</v>
      </c>
      <c r="I60" s="68" t="n">
        <f aca="false">IF(H60="","",G60-H60)</f>
        <v>-109</v>
      </c>
      <c r="J60" s="40" t="n">
        <f aca="false">IF(OR(D60="",D60+G60=0),"",D60/(D60+G60))</f>
        <v>0.4259832081308</v>
      </c>
      <c r="K60" s="40" t="n">
        <f aca="false">IF(E60="","",E60/(E60+H60))</f>
        <v>0.440603893524037</v>
      </c>
      <c r="L60" s="69" t="n">
        <f aca="false">IF(OR(K60="",J60=""),"",(J60-K60)*100)</f>
        <v>-1.46206853932367</v>
      </c>
      <c r="M60" s="36" t="n">
        <v>2.07957502812653</v>
      </c>
      <c r="N60" s="36" t="n">
        <v>1.39811870411602</v>
      </c>
      <c r="O60" s="36" t="n">
        <f aca="false">SQRT(M60^2+N60^2)</f>
        <v>2.50586675791162</v>
      </c>
      <c r="P60" s="40" t="n">
        <f aca="false">IF(J60="","",MAX(0,J60-1.96*O60/100))</f>
        <v>0.376868219675732</v>
      </c>
      <c r="Q60" s="40" t="n">
        <f aca="false">IF(J60="","",MIN(1,J60+1.96*O60/100))</f>
        <v>0.475098196585868</v>
      </c>
      <c r="R60" s="32" t="str">
        <f aca="false">IF(L60="","",IF(ABS(L60)&lt;=O60,"Yes","No"))</f>
        <v>Yes</v>
      </c>
      <c r="S60" s="32" t="str">
        <f aca="false">IF(L60="","",IF(ABS(L60)&lt;=1.96*O60,"Yes","No"))</f>
        <v>Yes</v>
      </c>
      <c r="T60" s="59" t="n">
        <f aca="false">IF(D60="","",ROUND(SQRT(((D60+G60)*O60/100)^2+(J60*(D60+G60)*0.05883)^2),0))</f>
        <v>80</v>
      </c>
      <c r="U60" s="32"/>
    </row>
    <row r="61" customFormat="false" ht="15" hidden="false" customHeight="false" outlineLevel="0" collapsed="false">
      <c r="A61" s="32" t="s">
        <v>220</v>
      </c>
      <c r="B61" s="32" t="s">
        <v>228</v>
      </c>
      <c r="C61" s="32" t="s">
        <v>161</v>
      </c>
      <c r="D61" s="59" t="n">
        <v>132</v>
      </c>
      <c r="E61" s="59" t="n">
        <v>137</v>
      </c>
      <c r="F61" s="68" t="n">
        <f aca="false">IF(E61="","",D61-E61)</f>
        <v>-5</v>
      </c>
      <c r="G61" s="59" t="n">
        <v>216</v>
      </c>
      <c r="H61" s="59" t="n">
        <v>214</v>
      </c>
      <c r="I61" s="68" t="n">
        <f aca="false">IF(H61="","",G61-H61)</f>
        <v>2</v>
      </c>
      <c r="J61" s="40" t="n">
        <f aca="false">IF(OR(D61="",D61+G61=0),"",D61/(D61+G61))</f>
        <v>0.379310344827586</v>
      </c>
      <c r="K61" s="40" t="n">
        <f aca="false">IF(E61="","",E61/(E61+H61))</f>
        <v>0.39031339031339</v>
      </c>
      <c r="L61" s="69" t="n">
        <f aca="false">IF(OR(K61="",J61=""),"",(J61-K61)*100)</f>
        <v>-1.10030454858041</v>
      </c>
      <c r="M61" s="36" t="n">
        <v>3.73271957548748</v>
      </c>
      <c r="N61" s="36" t="n">
        <v>1.39811870411602</v>
      </c>
      <c r="O61" s="36" t="n">
        <f aca="false">SQRT(M61^2+N61^2)</f>
        <v>3.98596680116963</v>
      </c>
      <c r="P61" s="40" t="n">
        <f aca="false">IF(J61="","",MAX(0,J61-1.96*O61/100))</f>
        <v>0.301185395524661</v>
      </c>
      <c r="Q61" s="40" t="n">
        <f aca="false">IF(J61="","",MIN(1,J61+1.96*O61/100))</f>
        <v>0.457435294130511</v>
      </c>
      <c r="R61" s="32" t="str">
        <f aca="false">IF(L61="","",IF(ABS(L61)&lt;=O61,"Yes","No"))</f>
        <v>Yes</v>
      </c>
      <c r="S61" s="32" t="str">
        <f aca="false">IF(L61="","",IF(ABS(L61)&lt;=1.96*O61,"Yes","No"))</f>
        <v>Yes</v>
      </c>
      <c r="T61" s="59" t="n">
        <f aca="false">IF(D61="","",ROUND(SQRT(((D61+G61)*O61/100)^2+(J61*(D61+G61)*0.07872)^2),0))</f>
        <v>17</v>
      </c>
      <c r="U61" s="32"/>
    </row>
    <row r="62" customFormat="false" ht="15" hidden="false" customHeight="false" outlineLevel="0" collapsed="false">
      <c r="A62" s="32" t="s">
        <v>220</v>
      </c>
      <c r="B62" s="32" t="s">
        <v>229</v>
      </c>
      <c r="C62" s="32" t="s">
        <v>161</v>
      </c>
      <c r="D62" s="59" t="n">
        <v>4672</v>
      </c>
      <c r="E62" s="59" t="n">
        <v>5210</v>
      </c>
      <c r="F62" s="68" t="n">
        <f aca="false">IF(E62="","",D62-E62)</f>
        <v>-538</v>
      </c>
      <c r="G62" s="59" t="n">
        <v>2278</v>
      </c>
      <c r="H62" s="59" t="n">
        <v>1883</v>
      </c>
      <c r="I62" s="68" t="n">
        <f aca="false">IF(H62="","",G62-H62)</f>
        <v>395</v>
      </c>
      <c r="J62" s="40" t="n">
        <f aca="false">IF(OR(D62="",D62+G62=0),"",D62/(D62+G62))</f>
        <v>0.672230215827338</v>
      </c>
      <c r="K62" s="40" t="n">
        <f aca="false">IF(E62="","",E62/(E62+H62))</f>
        <v>0.734526998449175</v>
      </c>
      <c r="L62" s="69" t="n">
        <f aca="false">IF(OR(K62="",J62=""),"",(J62-K62)*100)</f>
        <v>-6.22967826218371</v>
      </c>
      <c r="M62" s="36" t="n">
        <v>1.9194706348173</v>
      </c>
      <c r="N62" s="36" t="n">
        <v>1.39811870411602</v>
      </c>
      <c r="O62" s="36" t="n">
        <f aca="false">SQRT(M62^2+N62^2)</f>
        <v>2.37467964759986</v>
      </c>
      <c r="P62" s="40" t="n">
        <f aca="false">IF(J62="","",MAX(0,J62-1.96*O62/100))</f>
        <v>0.625686494734381</v>
      </c>
      <c r="Q62" s="40" t="n">
        <f aca="false">IF(J62="","",MIN(1,J62+1.96*O62/100))</f>
        <v>0.718773936920295</v>
      </c>
      <c r="R62" s="32" t="str">
        <f aca="false">IF(L62="","",IF(ABS(L62)&lt;=O62,"Yes","No"))</f>
        <v>No</v>
      </c>
      <c r="S62" s="32" t="str">
        <f aca="false">IF(L62="","",IF(ABS(L62)&lt;=1.96*O62,"Yes","No"))</f>
        <v>No</v>
      </c>
      <c r="T62" s="59" t="n">
        <f aca="false">IF(D62="","",ROUND(SQRT(((D62+G62)*O62/100)^2+(J62*(D62+G62)*0.04942)^2),0))</f>
        <v>284</v>
      </c>
      <c r="U62" s="32"/>
    </row>
    <row r="63" customFormat="false" ht="15" hidden="false" customHeight="false" outlineLevel="0" collapsed="false">
      <c r="A63" s="32" t="s">
        <v>220</v>
      </c>
      <c r="B63" s="32" t="s">
        <v>230</v>
      </c>
      <c r="C63" s="32" t="s">
        <v>161</v>
      </c>
      <c r="D63" s="59" t="n">
        <v>4011</v>
      </c>
      <c r="E63" s="59" t="n">
        <v>4158</v>
      </c>
      <c r="F63" s="68" t="n">
        <f aca="false">IF(E63="","",D63-E63)</f>
        <v>-147</v>
      </c>
      <c r="G63" s="59" t="n">
        <v>3244</v>
      </c>
      <c r="H63" s="59" t="n">
        <v>3782</v>
      </c>
      <c r="I63" s="68" t="n">
        <f aca="false">IF(H63="","",G63-H63)</f>
        <v>-538</v>
      </c>
      <c r="J63" s="40" t="n">
        <f aca="false">IF(OR(D63="",D63+G63=0),"",D63/(D63+G63))</f>
        <v>0.552860096485183</v>
      </c>
      <c r="K63" s="40" t="n">
        <f aca="false">IF(E63="","",E63/(E63+H63))</f>
        <v>0.52367758186398</v>
      </c>
      <c r="L63" s="69" t="n">
        <f aca="false">IF(OR(K63="",J63=""),"",(J63-K63)*100)</f>
        <v>2.91825146212028</v>
      </c>
      <c r="M63" s="36" t="n">
        <v>1.9194706348173</v>
      </c>
      <c r="N63" s="36" t="n">
        <v>1.39811870411602</v>
      </c>
      <c r="O63" s="36" t="n">
        <f aca="false">SQRT(M63^2+N63^2)</f>
        <v>2.37467964759986</v>
      </c>
      <c r="P63" s="40" t="n">
        <f aca="false">IF(J63="","",MAX(0,J63-1.96*O63/100))</f>
        <v>0.506316375392226</v>
      </c>
      <c r="Q63" s="40" t="n">
        <f aca="false">IF(J63="","",MIN(1,J63+1.96*O63/100))</f>
        <v>0.59940381757814</v>
      </c>
      <c r="R63" s="32" t="str">
        <f aca="false">IF(L63="","",IF(ABS(L63)&lt;=O63,"Yes","No"))</f>
        <v>No</v>
      </c>
      <c r="S63" s="32" t="str">
        <f aca="false">IF(L63="","",IF(ABS(L63)&lt;=1.96*O63,"Yes","No"))</f>
        <v>Yes</v>
      </c>
      <c r="T63" s="59" t="n">
        <f aca="false">IF(D63="","",ROUND(SQRT(((D63+G63)*O63/100)^2+(J63*(D63+G63)*0.04942)^2),0))</f>
        <v>263</v>
      </c>
      <c r="U63" s="32"/>
    </row>
    <row r="64" customFormat="false" ht="15" hidden="false" customHeight="false" outlineLevel="0" collapsed="false">
      <c r="A64" s="32" t="s">
        <v>220</v>
      </c>
      <c r="B64" s="32" t="s">
        <v>231</v>
      </c>
      <c r="C64" s="32" t="s">
        <v>161</v>
      </c>
      <c r="D64" s="59" t="n">
        <v>544</v>
      </c>
      <c r="E64" s="59" t="n">
        <v>480</v>
      </c>
      <c r="F64" s="68" t="n">
        <f aca="false">IF(E64="","",D64-E64)</f>
        <v>64</v>
      </c>
      <c r="G64" s="59" t="n">
        <v>287</v>
      </c>
      <c r="H64" s="59" t="n">
        <v>330</v>
      </c>
      <c r="I64" s="68" t="n">
        <f aca="false">IF(H64="","",G64-H64)</f>
        <v>-43</v>
      </c>
      <c r="J64" s="40" t="n">
        <f aca="false">IF(OR(D64="",D64+G64=0),"",D64/(D64+G64))</f>
        <v>0.654632972322503</v>
      </c>
      <c r="K64" s="40" t="n">
        <f aca="false">IF(E64="","",E64/(E64+H64))</f>
        <v>0.592592592592593</v>
      </c>
      <c r="L64" s="69" t="n">
        <f aca="false">IF(OR(K64="",J64=""),"",(J64-K64)*100)</f>
        <v>6.20403797299105</v>
      </c>
      <c r="M64" s="36" t="n">
        <v>3.73271957548748</v>
      </c>
      <c r="N64" s="36" t="n">
        <v>1.39811870411602</v>
      </c>
      <c r="O64" s="36" t="n">
        <f aca="false">SQRT(M64^2+N64^2)</f>
        <v>3.98596680116963</v>
      </c>
      <c r="P64" s="40" t="n">
        <f aca="false">IF(J64="","",MAX(0,J64-1.96*O64/100))</f>
        <v>0.576508023019578</v>
      </c>
      <c r="Q64" s="40" t="n">
        <f aca="false">IF(J64="","",MIN(1,J64+1.96*O64/100))</f>
        <v>0.732757921625428</v>
      </c>
      <c r="R64" s="32" t="str">
        <f aca="false">IF(L64="","",IF(ABS(L64)&lt;=O64,"Yes","No"))</f>
        <v>No</v>
      </c>
      <c r="S64" s="32" t="str">
        <f aca="false">IF(L64="","",IF(ABS(L64)&lt;=1.96*O64,"Yes","No"))</f>
        <v>Yes</v>
      </c>
      <c r="T64" s="59" t="n">
        <f aca="false">IF(D64="","",ROUND(SQRT(((D64+G64)*O64/100)^2+(J64*(D64+G64)*0.07872)^2),0))</f>
        <v>54</v>
      </c>
      <c r="U64" s="32"/>
    </row>
    <row r="65" customFormat="false" ht="15" hidden="false" customHeight="false" outlineLevel="0" collapsed="false">
      <c r="A65" s="32" t="s">
        <v>220</v>
      </c>
      <c r="B65" s="32" t="s">
        <v>232</v>
      </c>
      <c r="C65" s="32" t="s">
        <v>161</v>
      </c>
      <c r="D65" s="59" t="n">
        <v>70</v>
      </c>
      <c r="E65" s="59" t="n">
        <v>72</v>
      </c>
      <c r="F65" s="68" t="n">
        <f aca="false">IF(E65="","",D65-E65)</f>
        <v>-2</v>
      </c>
      <c r="G65" s="59" t="n">
        <v>58</v>
      </c>
      <c r="H65" s="59" t="n">
        <v>69</v>
      </c>
      <c r="I65" s="68" t="n">
        <f aca="false">IF(H65="","",G65-H65)</f>
        <v>-11</v>
      </c>
      <c r="J65" s="40" t="n">
        <f aca="false">IF(OR(D65="",D65+G65=0),"",D65/(D65+G65))</f>
        <v>0.546875</v>
      </c>
      <c r="K65" s="40" t="n">
        <f aca="false">IF(E65="","",E65/(E65+H65))</f>
        <v>0.51063829787234</v>
      </c>
      <c r="L65" s="69" t="n">
        <f aca="false">IF(OR(K65="",J65=""),"",(J65-K65)*100)</f>
        <v>3.62367021276596</v>
      </c>
      <c r="M65" s="36" t="n">
        <v>3.73271957548748</v>
      </c>
      <c r="N65" s="36" t="n">
        <v>1.39811870411602</v>
      </c>
      <c r="O65" s="36" t="n">
        <f aca="false">SQRT(M65^2+N65^2)</f>
        <v>3.98596680116963</v>
      </c>
      <c r="P65" s="40" t="n">
        <f aca="false">IF(J65="","",MAX(0,J65-1.96*O65/100))</f>
        <v>0.468750050697075</v>
      </c>
      <c r="Q65" s="40" t="n">
        <f aca="false">IF(J65="","",MIN(1,J65+1.96*O65/100))</f>
        <v>0.624999949302925</v>
      </c>
      <c r="R65" s="32" t="str">
        <f aca="false">IF(L65="","",IF(ABS(L65)&lt;=O65,"Yes","No"))</f>
        <v>Yes</v>
      </c>
      <c r="S65" s="32" t="str">
        <f aca="false">IF(L65="","",IF(ABS(L65)&lt;=1.96*O65,"Yes","No"))</f>
        <v>Yes</v>
      </c>
      <c r="T65" s="59" t="n">
        <f aca="false">IF(D65="","",ROUND(SQRT(((D65+G65)*O65/100)^2+(J65*(D65+G65)*0.07872)^2),0))</f>
        <v>8</v>
      </c>
      <c r="U65" s="32"/>
    </row>
    <row r="66" customFormat="false" ht="15" hidden="false" customHeight="false" outlineLevel="0" collapsed="false">
      <c r="A66" s="32" t="s">
        <v>220</v>
      </c>
      <c r="B66" s="32" t="s">
        <v>198</v>
      </c>
      <c r="C66" s="32" t="s">
        <v>161</v>
      </c>
      <c r="D66" s="59" t="n">
        <v>3345</v>
      </c>
      <c r="E66" s="59" t="n">
        <v>3570</v>
      </c>
      <c r="F66" s="68" t="n">
        <f aca="false">IF(E66="","",D66-E66)</f>
        <v>-225</v>
      </c>
      <c r="G66" s="59" t="n">
        <v>2659</v>
      </c>
      <c r="H66" s="59" t="n">
        <v>2883</v>
      </c>
      <c r="I66" s="68" t="n">
        <f aca="false">IF(H66="","",G66-H66)</f>
        <v>-224</v>
      </c>
      <c r="J66" s="40" t="n">
        <f aca="false">IF(OR(D66="",D66+G66=0),"",D66/(D66+G66))</f>
        <v>0.557128580946036</v>
      </c>
      <c r="K66" s="40" t="n">
        <f aca="false">IF(E66="","",E66/(E66+H66))</f>
        <v>0.553231055323106</v>
      </c>
      <c r="L66" s="69" t="n">
        <f aca="false">IF(OR(K66="",J66=""),"",(J66-K66)*100)</f>
        <v>0.389752562293044</v>
      </c>
      <c r="M66" s="36" t="n">
        <v>1.9194706348173</v>
      </c>
      <c r="N66" s="36" t="n">
        <v>1.39811870411602</v>
      </c>
      <c r="O66" s="36" t="n">
        <f aca="false">SQRT(M66^2+N66^2)</f>
        <v>2.37467964759986</v>
      </c>
      <c r="P66" s="40" t="n">
        <f aca="false">IF(J66="","",MAX(0,J66-1.96*O66/100))</f>
        <v>0.510584859853079</v>
      </c>
      <c r="Q66" s="40" t="n">
        <f aca="false">IF(J66="","",MIN(1,J66+1.96*O66/100))</f>
        <v>0.603672302038993</v>
      </c>
      <c r="R66" s="32" t="str">
        <f aca="false">IF(L66="","",IF(ABS(L66)&lt;=O66,"Yes","No"))</f>
        <v>Yes</v>
      </c>
      <c r="S66" s="32" t="str">
        <f aca="false">IF(L66="","",IF(ABS(L66)&lt;=1.96*O66,"Yes","No"))</f>
        <v>Yes</v>
      </c>
      <c r="T66" s="59" t="n">
        <f aca="false">IF(D66="","",ROUND(SQRT(((D66+G66)*O66/100)^2+(J66*(D66+G66)*0.04942)^2),0))</f>
        <v>218</v>
      </c>
      <c r="U66" s="32"/>
    </row>
    <row r="67" customFormat="false" ht="15" hidden="false" customHeight="false" outlineLevel="0" collapsed="false">
      <c r="A67" s="32" t="s">
        <v>220</v>
      </c>
      <c r="B67" s="32" t="s">
        <v>233</v>
      </c>
      <c r="C67" s="32" t="s">
        <v>161</v>
      </c>
      <c r="D67" s="59" t="n">
        <v>1335</v>
      </c>
      <c r="E67" s="59" t="n">
        <v>1372</v>
      </c>
      <c r="F67" s="68" t="n">
        <f aca="false">IF(E67="","",D67-E67)</f>
        <v>-37</v>
      </c>
      <c r="G67" s="59" t="n">
        <v>1088</v>
      </c>
      <c r="H67" s="59" t="n">
        <v>1201</v>
      </c>
      <c r="I67" s="68" t="n">
        <f aca="false">IF(H67="","",G67-H67)</f>
        <v>-113</v>
      </c>
      <c r="J67" s="40" t="n">
        <f aca="false">IF(OR(D67="",D67+G67=0),"",D67/(D67+G67))</f>
        <v>0.550969872059431</v>
      </c>
      <c r="K67" s="40" t="n">
        <f aca="false">IF(E67="","",E67/(E67+H67))</f>
        <v>0.53322969296541</v>
      </c>
      <c r="L67" s="69" t="n">
        <f aca="false">IF(OR(K67="",J67=""),"",(J67-K67)*100)</f>
        <v>1.77401790940205</v>
      </c>
      <c r="M67" s="36" t="n">
        <v>2.07957502812653</v>
      </c>
      <c r="N67" s="36" t="n">
        <v>1.39811870411602</v>
      </c>
      <c r="O67" s="36" t="n">
        <f aca="false">SQRT(M67^2+N67^2)</f>
        <v>2.50586675791162</v>
      </c>
      <c r="P67" s="40" t="n">
        <f aca="false">IF(J67="","",MAX(0,J67-1.96*O67/100))</f>
        <v>0.501854883604363</v>
      </c>
      <c r="Q67" s="40" t="n">
        <f aca="false">IF(J67="","",MIN(1,J67+1.96*O67/100))</f>
        <v>0.600084860514498</v>
      </c>
      <c r="R67" s="32" t="str">
        <f aca="false">IF(L67="","",IF(ABS(L67)&lt;=O67,"Yes","No"))</f>
        <v>Yes</v>
      </c>
      <c r="S67" s="32" t="str">
        <f aca="false">IF(L67="","",IF(ABS(L67)&lt;=1.96*O67,"Yes","No"))</f>
        <v>Yes</v>
      </c>
      <c r="T67" s="59" t="n">
        <f aca="false">IF(D67="","",ROUND(SQRT(((D67+G67)*O67/100)^2+(J67*(D67+G67)*0.05883)^2),0))</f>
        <v>99</v>
      </c>
      <c r="U67" s="32"/>
    </row>
    <row r="68" customFormat="false" ht="15" hidden="false" customHeight="false" outlineLevel="0" collapsed="false">
      <c r="A68" s="32" t="s">
        <v>220</v>
      </c>
      <c r="B68" s="32" t="s">
        <v>234</v>
      </c>
      <c r="C68" s="32" t="s">
        <v>161</v>
      </c>
      <c r="D68" s="59" t="n">
        <v>1653</v>
      </c>
      <c r="E68" s="59" t="n">
        <v>1803</v>
      </c>
      <c r="F68" s="68" t="n">
        <f aca="false">IF(E68="","",D68-E68)</f>
        <v>-150</v>
      </c>
      <c r="G68" s="59" t="n">
        <v>2936</v>
      </c>
      <c r="H68" s="59" t="n">
        <v>3303</v>
      </c>
      <c r="I68" s="68" t="n">
        <f aca="false">IF(H68="","",G68-H68)</f>
        <v>-367</v>
      </c>
      <c r="J68" s="40" t="n">
        <f aca="false">IF(OR(D68="",D68+G68=0),"",D68/(D68+G68))</f>
        <v>0.360209195903247</v>
      </c>
      <c r="K68" s="40" t="n">
        <f aca="false">IF(E68="","",E68/(E68+H68))</f>
        <v>0.353113983548766</v>
      </c>
      <c r="L68" s="69" t="n">
        <f aca="false">IF(OR(K68="",J68=""),"",(J68-K68)*100)</f>
        <v>0.709521235448074</v>
      </c>
      <c r="M68" s="36" t="n">
        <v>1.9194706348173</v>
      </c>
      <c r="N68" s="36" t="n">
        <v>1.39811870411602</v>
      </c>
      <c r="O68" s="36" t="n">
        <f aca="false">SQRT(M68^2+N68^2)</f>
        <v>2.37467964759986</v>
      </c>
      <c r="P68" s="40" t="n">
        <f aca="false">IF(J68="","",MAX(0,J68-1.96*O68/100))</f>
        <v>0.31366547481029</v>
      </c>
      <c r="Q68" s="40" t="n">
        <f aca="false">IF(J68="","",MIN(1,J68+1.96*O68/100))</f>
        <v>0.406752916996204</v>
      </c>
      <c r="R68" s="32" t="str">
        <f aca="false">IF(L68="","",IF(ABS(L68)&lt;=O68,"Yes","No"))</f>
        <v>Yes</v>
      </c>
      <c r="S68" s="32" t="str">
        <f aca="false">IF(L68="","",IF(ABS(L68)&lt;=1.96*O68,"Yes","No"))</f>
        <v>Yes</v>
      </c>
      <c r="T68" s="59" t="n">
        <f aca="false">IF(D68="","",ROUND(SQRT(((D68+G68)*O68/100)^2+(J68*(D68+G68)*0.04942)^2),0))</f>
        <v>136</v>
      </c>
      <c r="U68" s="32"/>
    </row>
    <row r="69" customFormat="false" ht="15" hidden="false" customHeight="false" outlineLevel="0" collapsed="false">
      <c r="A69" s="32" t="s">
        <v>220</v>
      </c>
      <c r="B69" s="32" t="s">
        <v>235</v>
      </c>
      <c r="C69" s="32" t="s">
        <v>161</v>
      </c>
      <c r="D69" s="59" t="n">
        <v>437</v>
      </c>
      <c r="E69" s="59" t="n">
        <v>511</v>
      </c>
      <c r="F69" s="68" t="n">
        <f aca="false">IF(E69="","",D69-E69)</f>
        <v>-74</v>
      </c>
      <c r="G69" s="59" t="n">
        <v>773</v>
      </c>
      <c r="H69" s="59" t="n">
        <v>889</v>
      </c>
      <c r="I69" s="68" t="n">
        <f aca="false">IF(H69="","",G69-H69)</f>
        <v>-116</v>
      </c>
      <c r="J69" s="40" t="n">
        <f aca="false">IF(OR(D69="",D69+G69=0),"",D69/(D69+G69))</f>
        <v>0.361157024793388</v>
      </c>
      <c r="K69" s="40" t="n">
        <f aca="false">IF(E69="","",E69/(E69+H69))</f>
        <v>0.365</v>
      </c>
      <c r="L69" s="69" t="n">
        <f aca="false">IF(OR(K69="",J69=""),"",(J69-K69)*100)</f>
        <v>-0.384297520661159</v>
      </c>
      <c r="M69" s="36" t="n">
        <v>2.07957502812653</v>
      </c>
      <c r="N69" s="36" t="n">
        <v>1.39811870411602</v>
      </c>
      <c r="O69" s="36" t="n">
        <f aca="false">SQRT(M69^2+N69^2)</f>
        <v>2.50586675791162</v>
      </c>
      <c r="P69" s="40" t="n">
        <f aca="false">IF(J69="","",MAX(0,J69-1.96*O69/100))</f>
        <v>0.312042036338321</v>
      </c>
      <c r="Q69" s="40" t="n">
        <f aca="false">IF(J69="","",MIN(1,J69+1.96*O69/100))</f>
        <v>0.410272013248456</v>
      </c>
      <c r="R69" s="32" t="str">
        <f aca="false">IF(L69="","",IF(ABS(L69)&lt;=O69,"Yes","No"))</f>
        <v>Yes</v>
      </c>
      <c r="S69" s="32" t="str">
        <f aca="false">IF(L69="","",IF(ABS(L69)&lt;=1.96*O69,"Yes","No"))</f>
        <v>Yes</v>
      </c>
      <c r="T69" s="59" t="n">
        <f aca="false">IF(D69="","",ROUND(SQRT(((D69+G69)*O69/100)^2+(J69*(D69+G69)*0.05883)^2),0))</f>
        <v>40</v>
      </c>
      <c r="U69" s="32"/>
    </row>
    <row r="70" customFormat="false" ht="15" hidden="false" customHeight="false" outlineLevel="0" collapsed="false">
      <c r="A70" s="32" t="s">
        <v>220</v>
      </c>
      <c r="B70" s="32" t="s">
        <v>236</v>
      </c>
      <c r="C70" s="32" t="s">
        <v>161</v>
      </c>
      <c r="D70" s="59" t="n">
        <v>1461</v>
      </c>
      <c r="E70" s="59" t="n">
        <v>1632</v>
      </c>
      <c r="F70" s="68" t="n">
        <f aca="false">IF(E70="","",D70-E70)</f>
        <v>-171</v>
      </c>
      <c r="G70" s="59" t="n">
        <v>1885</v>
      </c>
      <c r="H70" s="59" t="n">
        <v>2067</v>
      </c>
      <c r="I70" s="68" t="n">
        <f aca="false">IF(H70="","",G70-H70)</f>
        <v>-182</v>
      </c>
      <c r="J70" s="40" t="n">
        <f aca="false">IF(OR(D70="",D70+G70=0),"",D70/(D70+G70))</f>
        <v>0.436640765092648</v>
      </c>
      <c r="K70" s="40" t="n">
        <f aca="false">IF(E70="","",E70/(E70+H70))</f>
        <v>0.441200324412003</v>
      </c>
      <c r="L70" s="69" t="n">
        <f aca="false">IF(OR(K70="",J70=""),"",(J70-K70)*100)</f>
        <v>-0.455955931935531</v>
      </c>
      <c r="M70" s="36" t="n">
        <v>1.9194706348173</v>
      </c>
      <c r="N70" s="36" t="n">
        <v>1.39811870411602</v>
      </c>
      <c r="O70" s="36" t="n">
        <f aca="false">SQRT(M70^2+N70^2)</f>
        <v>2.37467964759986</v>
      </c>
      <c r="P70" s="40" t="n">
        <f aca="false">IF(J70="","",MAX(0,J70-1.96*O70/100))</f>
        <v>0.390097043999691</v>
      </c>
      <c r="Q70" s="40" t="n">
        <f aca="false">IF(J70="","",MIN(1,J70+1.96*O70/100))</f>
        <v>0.483184486185605</v>
      </c>
      <c r="R70" s="32" t="str">
        <f aca="false">IF(L70="","",IF(ABS(L70)&lt;=O70,"Yes","No"))</f>
        <v>Yes</v>
      </c>
      <c r="S70" s="32" t="str">
        <f aca="false">IF(L70="","",IF(ABS(L70)&lt;=1.96*O70,"Yes","No"))</f>
        <v>Yes</v>
      </c>
      <c r="T70" s="59" t="n">
        <f aca="false">IF(D70="","",ROUND(SQRT(((D70+G70)*O70/100)^2+(J70*(D70+G70)*0.04942)^2),0))</f>
        <v>107</v>
      </c>
      <c r="U70" s="32"/>
    </row>
    <row r="71" customFormat="false" ht="15" hidden="false" customHeight="false" outlineLevel="0" collapsed="false">
      <c r="A71" s="32" t="s">
        <v>220</v>
      </c>
      <c r="B71" s="32" t="s">
        <v>237</v>
      </c>
      <c r="C71" s="32" t="s">
        <v>161</v>
      </c>
      <c r="D71" s="59" t="n">
        <v>2720</v>
      </c>
      <c r="E71" s="59" t="n">
        <v>2919</v>
      </c>
      <c r="F71" s="68" t="n">
        <f aca="false">IF(E71="","",D71-E71)</f>
        <v>-199</v>
      </c>
      <c r="G71" s="59" t="n">
        <v>2734</v>
      </c>
      <c r="H71" s="59" t="n">
        <v>3008</v>
      </c>
      <c r="I71" s="68" t="n">
        <f aca="false">IF(H71="","",G71-H71)</f>
        <v>-274</v>
      </c>
      <c r="J71" s="40" t="n">
        <f aca="false">IF(OR(D71="",D71+G71=0),"",D71/(D71+G71))</f>
        <v>0.498716538320499</v>
      </c>
      <c r="K71" s="40" t="n">
        <f aca="false">IF(E71="","",E71/(E71+H71))</f>
        <v>0.492491985827569</v>
      </c>
      <c r="L71" s="69" t="n">
        <f aca="false">IF(OR(K71="",J71=""),"",(J71-K71)*100)</f>
        <v>0.622455249292997</v>
      </c>
      <c r="M71" s="36" t="n">
        <v>1.9194706348173</v>
      </c>
      <c r="N71" s="36" t="n">
        <v>1.39811870411602</v>
      </c>
      <c r="O71" s="36" t="n">
        <f aca="false">SQRT(M71^2+N71^2)</f>
        <v>2.37467964759986</v>
      </c>
      <c r="P71" s="40" t="n">
        <f aca="false">IF(J71="","",MAX(0,J71-1.96*O71/100))</f>
        <v>0.452172817227542</v>
      </c>
      <c r="Q71" s="40" t="n">
        <f aca="false">IF(J71="","",MIN(1,J71+1.96*O71/100))</f>
        <v>0.545260259413456</v>
      </c>
      <c r="R71" s="32" t="str">
        <f aca="false">IF(L71="","",IF(ABS(L71)&lt;=O71,"Yes","No"))</f>
        <v>Yes</v>
      </c>
      <c r="S71" s="32" t="str">
        <f aca="false">IF(L71="","",IF(ABS(L71)&lt;=1.96*O71,"Yes","No"))</f>
        <v>Yes</v>
      </c>
      <c r="T71" s="59" t="n">
        <f aca="false">IF(D71="","",ROUND(SQRT(((D71+G71)*O71/100)^2+(J71*(D71+G71)*0.04942)^2),0))</f>
        <v>187</v>
      </c>
      <c r="U71" s="32"/>
    </row>
    <row r="72" customFormat="false" ht="15" hidden="false" customHeight="false" outlineLevel="0" collapsed="false">
      <c r="A72" s="32" t="s">
        <v>220</v>
      </c>
      <c r="B72" s="32" t="s">
        <v>238</v>
      </c>
      <c r="C72" s="32" t="s">
        <v>161</v>
      </c>
      <c r="D72" s="59" t="n">
        <v>1497</v>
      </c>
      <c r="E72" s="59" t="n">
        <v>1661</v>
      </c>
      <c r="F72" s="68" t="n">
        <f aca="false">IF(E72="","",D72-E72)</f>
        <v>-164</v>
      </c>
      <c r="G72" s="59" t="n">
        <v>2777</v>
      </c>
      <c r="H72" s="59" t="n">
        <v>3091</v>
      </c>
      <c r="I72" s="68" t="n">
        <f aca="false">IF(H72="","",G72-H72)</f>
        <v>-314</v>
      </c>
      <c r="J72" s="40" t="n">
        <f aca="false">IF(OR(D72="",D72+G72=0),"",D72/(D72+G72))</f>
        <v>0.350257370145063</v>
      </c>
      <c r="K72" s="40" t="n">
        <f aca="false">IF(E72="","",E72/(E72+H72))</f>
        <v>0.349537037037037</v>
      </c>
      <c r="L72" s="69" t="n">
        <f aca="false">IF(OR(K72="",J72=""),"",(J72-K72)*100)</f>
        <v>0.0720333108026161</v>
      </c>
      <c r="M72" s="36" t="n">
        <v>1.9194706348173</v>
      </c>
      <c r="N72" s="36" t="n">
        <v>1.39811870411602</v>
      </c>
      <c r="O72" s="36" t="n">
        <f aca="false">SQRT(M72^2+N72^2)</f>
        <v>2.37467964759986</v>
      </c>
      <c r="P72" s="40" t="n">
        <f aca="false">IF(J72="","",MAX(0,J72-1.96*O72/100))</f>
        <v>0.303713649052106</v>
      </c>
      <c r="Q72" s="40" t="n">
        <f aca="false">IF(J72="","",MIN(1,J72+1.96*O72/100))</f>
        <v>0.39680109123802</v>
      </c>
      <c r="R72" s="32" t="str">
        <f aca="false">IF(L72="","",IF(ABS(L72)&lt;=O72,"Yes","No"))</f>
        <v>Yes</v>
      </c>
      <c r="S72" s="32" t="str">
        <f aca="false">IF(L72="","",IF(ABS(L72)&lt;=1.96*O72,"Yes","No"))</f>
        <v>Yes</v>
      </c>
      <c r="T72" s="59" t="n">
        <f aca="false">IF(D72="","",ROUND(SQRT(((D72+G72)*O72/100)^2+(J72*(D72+G72)*0.04942)^2),0))</f>
        <v>126</v>
      </c>
      <c r="U72" s="32"/>
    </row>
    <row r="73" customFormat="false" ht="15" hidden="false" customHeight="false" outlineLevel="0" collapsed="false">
      <c r="A73" s="32" t="s">
        <v>220</v>
      </c>
      <c r="B73" s="32" t="s">
        <v>239</v>
      </c>
      <c r="C73" s="32" t="s">
        <v>161</v>
      </c>
      <c r="D73" s="59" t="n">
        <v>1165</v>
      </c>
      <c r="E73" s="59" t="n">
        <v>1272</v>
      </c>
      <c r="F73" s="68" t="n">
        <f aca="false">IF(E73="","",D73-E73)</f>
        <v>-107</v>
      </c>
      <c r="G73" s="59" t="n">
        <v>1061</v>
      </c>
      <c r="H73" s="59" t="n">
        <v>1188</v>
      </c>
      <c r="I73" s="68" t="n">
        <f aca="false">IF(H73="","",G73-H73)</f>
        <v>-127</v>
      </c>
      <c r="J73" s="40" t="n">
        <f aca="false">IF(OR(D73="",D73+G73=0),"",D73/(D73+G73))</f>
        <v>0.523360287511231</v>
      </c>
      <c r="K73" s="40" t="n">
        <f aca="false">IF(E73="","",E73/(E73+H73))</f>
        <v>0.517073170731707</v>
      </c>
      <c r="L73" s="69" t="n">
        <f aca="false">IF(OR(K73="",J73=""),"",(J73-K73)*100)</f>
        <v>0.628711677952354</v>
      </c>
      <c r="M73" s="36" t="n">
        <v>2.07957502812653</v>
      </c>
      <c r="N73" s="36" t="n">
        <v>1.39811870411602</v>
      </c>
      <c r="O73" s="36" t="n">
        <f aca="false">SQRT(M73^2+N73^2)</f>
        <v>2.50586675791162</v>
      </c>
      <c r="P73" s="40" t="n">
        <f aca="false">IF(J73="","",MAX(0,J73-1.96*O73/100))</f>
        <v>0.474245299056163</v>
      </c>
      <c r="Q73" s="40" t="n">
        <f aca="false">IF(J73="","",MIN(1,J73+1.96*O73/100))</f>
        <v>0.572475275966299</v>
      </c>
      <c r="R73" s="32" t="str">
        <f aca="false">IF(L73="","",IF(ABS(L73)&lt;=O73,"Yes","No"))</f>
        <v>Yes</v>
      </c>
      <c r="S73" s="32" t="str">
        <f aca="false">IF(L73="","",IF(ABS(L73)&lt;=1.96*O73,"Yes","No"))</f>
        <v>Yes</v>
      </c>
      <c r="T73" s="59" t="n">
        <f aca="false">IF(D73="","",ROUND(SQRT(((D73+G73)*O73/100)^2+(J73*(D73+G73)*0.05883)^2),0))</f>
        <v>88</v>
      </c>
      <c r="U73" s="32"/>
    </row>
    <row r="74" customFormat="false" ht="15" hidden="false" customHeight="false" outlineLevel="0" collapsed="false">
      <c r="A74" s="32" t="s">
        <v>220</v>
      </c>
      <c r="B74" s="32" t="s">
        <v>240</v>
      </c>
      <c r="C74" s="32" t="s">
        <v>161</v>
      </c>
      <c r="D74" s="59" t="n">
        <v>601</v>
      </c>
      <c r="E74" s="59" t="n">
        <v>644</v>
      </c>
      <c r="F74" s="68" t="n">
        <f aca="false">IF(E74="","",D74-E74)</f>
        <v>-43</v>
      </c>
      <c r="G74" s="59" t="n">
        <v>576</v>
      </c>
      <c r="H74" s="59" t="n">
        <v>634</v>
      </c>
      <c r="I74" s="68" t="n">
        <f aca="false">IF(H74="","",G74-H74)</f>
        <v>-58</v>
      </c>
      <c r="J74" s="40" t="n">
        <f aca="false">IF(OR(D74="",D74+G74=0),"",D74/(D74+G74))</f>
        <v>0.510620220900595</v>
      </c>
      <c r="K74" s="40" t="n">
        <f aca="false">IF(E74="","",E74/(E74+H74))</f>
        <v>0.503912363067293</v>
      </c>
      <c r="L74" s="69" t="n">
        <f aca="false">IF(OR(K74="",J74=""),"",(J74-K74)*100)</f>
        <v>0.670785783330219</v>
      </c>
      <c r="M74" s="36" t="n">
        <v>2.07957502812653</v>
      </c>
      <c r="N74" s="36" t="n">
        <v>1.39811870411602</v>
      </c>
      <c r="O74" s="36" t="n">
        <f aca="false">SQRT(M74^2+N74^2)</f>
        <v>2.50586675791162</v>
      </c>
      <c r="P74" s="40" t="n">
        <f aca="false">IF(J74="","",MAX(0,J74-1.96*O74/100))</f>
        <v>0.461505232445527</v>
      </c>
      <c r="Q74" s="40" t="n">
        <f aca="false">IF(J74="","",MIN(1,J74+1.96*O74/100))</f>
        <v>0.559735209355663</v>
      </c>
      <c r="R74" s="32" t="str">
        <f aca="false">IF(L74="","",IF(ABS(L74)&lt;=O74,"Yes","No"))</f>
        <v>Yes</v>
      </c>
      <c r="S74" s="32" t="str">
        <f aca="false">IF(L74="","",IF(ABS(L74)&lt;=1.96*O74,"Yes","No"))</f>
        <v>Yes</v>
      </c>
      <c r="T74" s="59" t="n">
        <f aca="false">IF(D74="","",ROUND(SQRT(((D74+G74)*O74/100)^2+(J74*(D74+G74)*0.05883)^2),0))</f>
        <v>46</v>
      </c>
      <c r="U74" s="32"/>
    </row>
    <row r="75" customFormat="false" ht="15" hidden="false" customHeight="false" outlineLevel="0" collapsed="false">
      <c r="A75" s="32" t="s">
        <v>220</v>
      </c>
      <c r="B75" s="32" t="s">
        <v>241</v>
      </c>
      <c r="C75" s="32" t="s">
        <v>161</v>
      </c>
      <c r="D75" s="59" t="n">
        <v>1834</v>
      </c>
      <c r="E75" s="59" t="n">
        <v>1957</v>
      </c>
      <c r="F75" s="68" t="n">
        <f aca="false">IF(E75="","",D75-E75)</f>
        <v>-123</v>
      </c>
      <c r="G75" s="59" t="n">
        <v>1795</v>
      </c>
      <c r="H75" s="59" t="n">
        <v>1970</v>
      </c>
      <c r="I75" s="68" t="n">
        <f aca="false">IF(H75="","",G75-H75)</f>
        <v>-175</v>
      </c>
      <c r="J75" s="40" t="n">
        <f aca="false">IF(OR(D75="",D75+G75=0),"",D75/(D75+G75))</f>
        <v>0.505373381096721</v>
      </c>
      <c r="K75" s="40" t="n">
        <f aca="false">IF(E75="","",E75/(E75+H75))</f>
        <v>0.49834479246244</v>
      </c>
      <c r="L75" s="69" t="n">
        <f aca="false">IF(OR(K75="",J75=""),"",(J75-K75)*100)</f>
        <v>0.70285886342813</v>
      </c>
      <c r="M75" s="36" t="n">
        <v>1.9194706348173</v>
      </c>
      <c r="N75" s="36" t="n">
        <v>1.39811870411602</v>
      </c>
      <c r="O75" s="36" t="n">
        <f aca="false">SQRT(M75^2+N75^2)</f>
        <v>2.37467964759986</v>
      </c>
      <c r="P75" s="40" t="n">
        <f aca="false">IF(J75="","",MAX(0,J75-1.96*O75/100))</f>
        <v>0.458829660003764</v>
      </c>
      <c r="Q75" s="40" t="n">
        <f aca="false">IF(J75="","",MIN(1,J75+1.96*O75/100))</f>
        <v>0.551917102189678</v>
      </c>
      <c r="R75" s="32" t="str">
        <f aca="false">IF(L75="","",IF(ABS(L75)&lt;=O75,"Yes","No"))</f>
        <v>Yes</v>
      </c>
      <c r="S75" s="32" t="str">
        <f aca="false">IF(L75="","",IF(ABS(L75)&lt;=1.96*O75,"Yes","No"))</f>
        <v>Yes</v>
      </c>
      <c r="T75" s="59" t="n">
        <f aca="false">IF(D75="","",ROUND(SQRT(((D75+G75)*O75/100)^2+(J75*(D75+G75)*0.04942)^2),0))</f>
        <v>125</v>
      </c>
      <c r="U75" s="32"/>
    </row>
    <row r="76" customFormat="false" ht="15" hidden="false" customHeight="false" outlineLevel="0" collapsed="false">
      <c r="A76" s="32" t="s">
        <v>220</v>
      </c>
      <c r="B76" s="32" t="s">
        <v>242</v>
      </c>
      <c r="C76" s="32" t="s">
        <v>161</v>
      </c>
      <c r="D76" s="59" t="n">
        <v>5301</v>
      </c>
      <c r="E76" s="59" t="n">
        <v>5403</v>
      </c>
      <c r="F76" s="68" t="n">
        <f aca="false">IF(E76="","",D76-E76)</f>
        <v>-102</v>
      </c>
      <c r="G76" s="59" t="n">
        <v>4376</v>
      </c>
      <c r="H76" s="59" t="n">
        <v>4910</v>
      </c>
      <c r="I76" s="68" t="n">
        <f aca="false">IF(H76="","",G76-H76)</f>
        <v>-534</v>
      </c>
      <c r="J76" s="40" t="n">
        <f aca="false">IF(OR(D76="",D76+G76=0),"",D76/(D76+G76))</f>
        <v>0.547793737728635</v>
      </c>
      <c r="K76" s="40" t="n">
        <f aca="false">IF(E76="","",E76/(E76+H76))</f>
        <v>0.523901871424416</v>
      </c>
      <c r="L76" s="69" t="n">
        <f aca="false">IF(OR(K76="",J76=""),"",(J76-K76)*100)</f>
        <v>2.38918663042191</v>
      </c>
      <c r="M76" s="36" t="n">
        <v>1.9194706348173</v>
      </c>
      <c r="N76" s="36" t="n">
        <v>1.39811870411602</v>
      </c>
      <c r="O76" s="36" t="n">
        <f aca="false">SQRT(M76^2+N76^2)</f>
        <v>2.37467964759986</v>
      </c>
      <c r="P76" s="40" t="n">
        <f aca="false">IF(J76="","",MAX(0,J76-1.96*O76/100))</f>
        <v>0.501250016635678</v>
      </c>
      <c r="Q76" s="40" t="n">
        <f aca="false">IF(J76="","",MIN(1,J76+1.96*O76/100))</f>
        <v>0.594337458821592</v>
      </c>
      <c r="R76" s="32" t="str">
        <f aca="false">IF(L76="","",IF(ABS(L76)&lt;=O76,"Yes","No"))</f>
        <v>No</v>
      </c>
      <c r="S76" s="32" t="str">
        <f aca="false">IF(L76="","",IF(ABS(L76)&lt;=1.96*O76,"Yes","No"))</f>
        <v>Yes</v>
      </c>
      <c r="T76" s="59" t="n">
        <f aca="false">IF(D76="","",ROUND(SQRT(((D76+G76)*O76/100)^2+(J76*(D76+G76)*0.04942)^2),0))</f>
        <v>348</v>
      </c>
      <c r="U76" s="32"/>
    </row>
    <row r="77" customFormat="false" ht="15" hidden="false" customHeight="false" outlineLevel="0" collapsed="false">
      <c r="A77" s="32" t="s">
        <v>220</v>
      </c>
      <c r="B77" s="32" t="s">
        <v>243</v>
      </c>
      <c r="C77" s="32" t="s">
        <v>161</v>
      </c>
      <c r="D77" s="59" t="n">
        <v>497</v>
      </c>
      <c r="E77" s="59" t="n">
        <v>511</v>
      </c>
      <c r="F77" s="68" t="n">
        <f aca="false">IF(E77="","",D77-E77)</f>
        <v>-14</v>
      </c>
      <c r="G77" s="59" t="n">
        <v>708</v>
      </c>
      <c r="H77" s="59" t="n">
        <v>778</v>
      </c>
      <c r="I77" s="68" t="n">
        <f aca="false">IF(H77="","",G77-H77)</f>
        <v>-70</v>
      </c>
      <c r="J77" s="40" t="n">
        <f aca="false">IF(OR(D77="",D77+G77=0),"",D77/(D77+G77))</f>
        <v>0.412448132780083</v>
      </c>
      <c r="K77" s="40" t="n">
        <f aca="false">IF(E77="","",E77/(E77+H77))</f>
        <v>0.396431342125679</v>
      </c>
      <c r="L77" s="69" t="n">
        <f aca="false">IF(OR(K77="",J77=""),"",(J77-K77)*100)</f>
        <v>1.60167906544041</v>
      </c>
      <c r="M77" s="36" t="n">
        <v>2.07957502812653</v>
      </c>
      <c r="N77" s="36" t="n">
        <v>1.39811870411602</v>
      </c>
      <c r="O77" s="36" t="n">
        <f aca="false">SQRT(M77^2+N77^2)</f>
        <v>2.50586675791162</v>
      </c>
      <c r="P77" s="40" t="n">
        <f aca="false">IF(J77="","",MAX(0,J77-1.96*O77/100))</f>
        <v>0.363333144325015</v>
      </c>
      <c r="Q77" s="40" t="n">
        <f aca="false">IF(J77="","",MIN(1,J77+1.96*O77/100))</f>
        <v>0.461563121235151</v>
      </c>
      <c r="R77" s="32" t="str">
        <f aca="false">IF(L77="","",IF(ABS(L77)&lt;=O77,"Yes","No"))</f>
        <v>Yes</v>
      </c>
      <c r="S77" s="32" t="str">
        <f aca="false">IF(L77="","",IF(ABS(L77)&lt;=1.96*O77,"Yes","No"))</f>
        <v>Yes</v>
      </c>
      <c r="T77" s="59" t="n">
        <f aca="false">IF(D77="","",ROUND(SQRT(((D77+G77)*O77/100)^2+(J77*(D77+G77)*0.05883)^2),0))</f>
        <v>42</v>
      </c>
      <c r="U77" s="32"/>
    </row>
    <row r="78" customFormat="false" ht="15" hidden="false" customHeight="false" outlineLevel="0" collapsed="false">
      <c r="A78" s="32" t="s">
        <v>220</v>
      </c>
      <c r="B78" s="32" t="s">
        <v>244</v>
      </c>
      <c r="C78" s="32" t="s">
        <v>161</v>
      </c>
      <c r="D78" s="59" t="n">
        <v>1026</v>
      </c>
      <c r="E78" s="59" t="n">
        <v>1076</v>
      </c>
      <c r="F78" s="68" t="n">
        <f aca="false">IF(E78="","",D78-E78)</f>
        <v>-50</v>
      </c>
      <c r="G78" s="59" t="n">
        <v>1724</v>
      </c>
      <c r="H78" s="59" t="n">
        <v>1998</v>
      </c>
      <c r="I78" s="68" t="n">
        <f aca="false">IF(H78="","",G78-H78)</f>
        <v>-274</v>
      </c>
      <c r="J78" s="40" t="n">
        <f aca="false">IF(OR(D78="",D78+G78=0),"",D78/(D78+G78))</f>
        <v>0.373090909090909</v>
      </c>
      <c r="K78" s="40" t="n">
        <f aca="false">IF(E78="","",E78/(E78+H78))</f>
        <v>0.350032530904359</v>
      </c>
      <c r="L78" s="69" t="n">
        <f aca="false">IF(OR(K78="",J78=""),"",(J78-K78)*100)</f>
        <v>2.30583781865499</v>
      </c>
      <c r="M78" s="36" t="n">
        <v>1.9194706348173</v>
      </c>
      <c r="N78" s="36" t="n">
        <v>1.39811870411602</v>
      </c>
      <c r="O78" s="36" t="n">
        <f aca="false">SQRT(M78^2+N78^2)</f>
        <v>2.37467964759986</v>
      </c>
      <c r="P78" s="40" t="n">
        <f aca="false">IF(J78="","",MAX(0,J78-1.96*O78/100))</f>
        <v>0.326547187997952</v>
      </c>
      <c r="Q78" s="40" t="n">
        <f aca="false">IF(J78="","",MIN(1,J78+1.96*O78/100))</f>
        <v>0.419634630183866</v>
      </c>
      <c r="R78" s="32" t="str">
        <f aca="false">IF(L78="","",IF(ABS(L78)&lt;=O78,"Yes","No"))</f>
        <v>Yes</v>
      </c>
      <c r="S78" s="32" t="str">
        <f aca="false">IF(L78="","",IF(ABS(L78)&lt;=1.96*O78,"Yes","No"))</f>
        <v>Yes</v>
      </c>
      <c r="T78" s="59" t="n">
        <f aca="false">IF(D78="","",ROUND(SQRT(((D78+G78)*O78/100)^2+(J78*(D78+G78)*0.04942)^2),0))</f>
        <v>83</v>
      </c>
      <c r="U78" s="32"/>
    </row>
    <row r="79" customFormat="false" ht="15" hidden="false" customHeight="false" outlineLevel="0" collapsed="false">
      <c r="A79" s="32" t="s">
        <v>220</v>
      </c>
      <c r="B79" s="32" t="s">
        <v>245</v>
      </c>
      <c r="C79" s="32" t="s">
        <v>161</v>
      </c>
      <c r="D79" s="59" t="n">
        <v>62</v>
      </c>
      <c r="E79" s="59" t="n">
        <v>65</v>
      </c>
      <c r="F79" s="68" t="n">
        <f aca="false">IF(E79="","",D79-E79)</f>
        <v>-3</v>
      </c>
      <c r="G79" s="59" t="n">
        <v>116</v>
      </c>
      <c r="H79" s="59" t="n">
        <v>129</v>
      </c>
      <c r="I79" s="68" t="n">
        <f aca="false">IF(H79="","",G79-H79)</f>
        <v>-13</v>
      </c>
      <c r="J79" s="40" t="n">
        <f aca="false">IF(OR(D79="",D79+G79=0),"",D79/(D79+G79))</f>
        <v>0.348314606741573</v>
      </c>
      <c r="K79" s="40" t="n">
        <f aca="false">IF(E79="","",E79/(E79+H79))</f>
        <v>0.335051546391753</v>
      </c>
      <c r="L79" s="69" t="n">
        <f aca="false">IF(OR(K79="",J79=""),"",(J79-K79)*100)</f>
        <v>1.32630603498205</v>
      </c>
      <c r="M79" s="36" t="n">
        <v>3.73271957548748</v>
      </c>
      <c r="N79" s="36" t="n">
        <v>1.39811870411602</v>
      </c>
      <c r="O79" s="36" t="n">
        <f aca="false">SQRT(M79^2+N79^2)</f>
        <v>3.98596680116963</v>
      </c>
      <c r="P79" s="40" t="n">
        <f aca="false">IF(J79="","",MAX(0,J79-1.96*O79/100))</f>
        <v>0.270189657438648</v>
      </c>
      <c r="Q79" s="40" t="n">
        <f aca="false">IF(J79="","",MIN(1,J79+1.96*O79/100))</f>
        <v>0.426439556044498</v>
      </c>
      <c r="R79" s="32" t="str">
        <f aca="false">IF(L79="","",IF(ABS(L79)&lt;=O79,"Yes","No"))</f>
        <v>Yes</v>
      </c>
      <c r="S79" s="32" t="str">
        <f aca="false">IF(L79="","",IF(ABS(L79)&lt;=1.96*O79,"Yes","No"))</f>
        <v>Yes</v>
      </c>
      <c r="T79" s="59" t="n">
        <f aca="false">IF(D79="","",ROUND(SQRT(((D79+G79)*O79/100)^2+(J79*(D79+G79)*0.07872)^2),0))</f>
        <v>9</v>
      </c>
      <c r="U79" s="32"/>
    </row>
    <row r="80" customFormat="false" ht="15" hidden="false" customHeight="false" outlineLevel="0" collapsed="false">
      <c r="A80" s="32" t="s">
        <v>220</v>
      </c>
      <c r="B80" s="32" t="s">
        <v>246</v>
      </c>
      <c r="C80" s="32" t="s">
        <v>161</v>
      </c>
      <c r="D80" s="59" t="n">
        <v>264</v>
      </c>
      <c r="E80" s="59" t="n">
        <v>258</v>
      </c>
      <c r="F80" s="68" t="n">
        <f aca="false">IF(E80="","",D80-E80)</f>
        <v>6</v>
      </c>
      <c r="G80" s="59" t="n">
        <v>391</v>
      </c>
      <c r="H80" s="59" t="n">
        <v>418</v>
      </c>
      <c r="I80" s="68" t="n">
        <f aca="false">IF(H80="","",G80-H80)</f>
        <v>-27</v>
      </c>
      <c r="J80" s="40" t="n">
        <f aca="false">IF(OR(D80="",D80+G80=0),"",D80/(D80+G80))</f>
        <v>0.403053435114504</v>
      </c>
      <c r="K80" s="40" t="n">
        <f aca="false">IF(E80="","",E80/(E80+H80))</f>
        <v>0.381656804733728</v>
      </c>
      <c r="L80" s="69" t="n">
        <f aca="false">IF(OR(K80="",J80=""),"",(J80-K80)*100)</f>
        <v>2.1396630380776</v>
      </c>
      <c r="M80" s="36" t="n">
        <v>3.73271957548748</v>
      </c>
      <c r="N80" s="36" t="n">
        <v>1.39811870411602</v>
      </c>
      <c r="O80" s="36" t="n">
        <f aca="false">SQRT(M80^2+N80^2)</f>
        <v>3.98596680116963</v>
      </c>
      <c r="P80" s="40" t="n">
        <f aca="false">IF(J80="","",MAX(0,J80-1.96*O80/100))</f>
        <v>0.324928485811579</v>
      </c>
      <c r="Q80" s="40" t="n">
        <f aca="false">IF(J80="","",MIN(1,J80+1.96*O80/100))</f>
        <v>0.481178384417429</v>
      </c>
      <c r="R80" s="32" t="str">
        <f aca="false">IF(L80="","",IF(ABS(L80)&lt;=O80,"Yes","No"))</f>
        <v>Yes</v>
      </c>
      <c r="S80" s="32" t="str">
        <f aca="false">IF(L80="","",IF(ABS(L80)&lt;=1.96*O80,"Yes","No"))</f>
        <v>Yes</v>
      </c>
      <c r="T80" s="59" t="n">
        <f aca="false">IF(D80="","",ROUND(SQRT(((D80+G80)*O80/100)^2+(J80*(D80+G80)*0.07872)^2),0))</f>
        <v>33</v>
      </c>
      <c r="U80" s="32"/>
    </row>
    <row r="81" customFormat="false" ht="15" hidden="false" customHeight="false" outlineLevel="0" collapsed="false">
      <c r="A81" s="32" t="s">
        <v>220</v>
      </c>
      <c r="B81" s="32" t="s">
        <v>247</v>
      </c>
      <c r="C81" s="32" t="s">
        <v>161</v>
      </c>
      <c r="D81" s="59" t="n">
        <v>142</v>
      </c>
      <c r="E81" s="59" t="n">
        <v>160</v>
      </c>
      <c r="F81" s="68" t="n">
        <f aca="false">IF(E81="","",D81-E81)</f>
        <v>-18</v>
      </c>
      <c r="G81" s="59" t="n">
        <v>192</v>
      </c>
      <c r="H81" s="59" t="n">
        <v>227</v>
      </c>
      <c r="I81" s="68" t="n">
        <f aca="false">IF(H81="","",G81-H81)</f>
        <v>-35</v>
      </c>
      <c r="J81" s="40" t="n">
        <f aca="false">IF(OR(D81="",D81+G81=0),"",D81/(D81+G81))</f>
        <v>0.425149700598802</v>
      </c>
      <c r="K81" s="40" t="n">
        <f aca="false">IF(E81="","",E81/(E81+H81))</f>
        <v>0.41343669250646</v>
      </c>
      <c r="L81" s="69" t="n">
        <f aca="false">IF(OR(K81="",J81=""),"",(J81-K81)*100)</f>
        <v>1.17130080923425</v>
      </c>
      <c r="M81" s="36" t="n">
        <v>3.73271957548748</v>
      </c>
      <c r="N81" s="36" t="n">
        <v>1.39811870411602</v>
      </c>
      <c r="O81" s="36" t="n">
        <f aca="false">SQRT(M81^2+N81^2)</f>
        <v>3.98596680116963</v>
      </c>
      <c r="P81" s="40" t="n">
        <f aca="false">IF(J81="","",MAX(0,J81-1.96*O81/100))</f>
        <v>0.347024751295878</v>
      </c>
      <c r="Q81" s="40" t="n">
        <f aca="false">IF(J81="","",MIN(1,J81+1.96*O81/100))</f>
        <v>0.503274649901727</v>
      </c>
      <c r="R81" s="32" t="str">
        <f aca="false">IF(L81="","",IF(ABS(L81)&lt;=O81,"Yes","No"))</f>
        <v>Yes</v>
      </c>
      <c r="S81" s="32" t="str">
        <f aca="false">IF(L81="","",IF(ABS(L81)&lt;=1.96*O81,"Yes","No"))</f>
        <v>Yes</v>
      </c>
      <c r="T81" s="59" t="n">
        <f aca="false">IF(D81="","",ROUND(SQRT(((D81+G81)*O81/100)^2+(J81*(D81+G81)*0.07872)^2),0))</f>
        <v>17</v>
      </c>
      <c r="U81" s="32"/>
    </row>
    <row r="82" customFormat="false" ht="15" hidden="false" customHeight="false" outlineLevel="0" collapsed="false">
      <c r="A82" s="32" t="s">
        <v>220</v>
      </c>
      <c r="B82" s="32" t="s">
        <v>248</v>
      </c>
      <c r="C82" s="32" t="s">
        <v>161</v>
      </c>
      <c r="D82" s="59" t="n">
        <v>226</v>
      </c>
      <c r="E82" s="59" t="n">
        <v>243</v>
      </c>
      <c r="F82" s="68" t="n">
        <f aca="false">IF(E82="","",D82-E82)</f>
        <v>-17</v>
      </c>
      <c r="G82" s="59" t="n">
        <v>297</v>
      </c>
      <c r="H82" s="59" t="n">
        <v>318</v>
      </c>
      <c r="I82" s="68" t="n">
        <f aca="false">IF(H82="","",G82-H82)</f>
        <v>-21</v>
      </c>
      <c r="J82" s="40" t="n">
        <f aca="false">IF(OR(D82="",D82+G82=0),"",D82/(D82+G82))</f>
        <v>0.432122370936903</v>
      </c>
      <c r="K82" s="40" t="n">
        <f aca="false">IF(E82="","",E82/(E82+H82))</f>
        <v>0.433155080213904</v>
      </c>
      <c r="L82" s="69" t="n">
        <f aca="false">IF(OR(K82="",J82=""),"",(J82-K82)*100)</f>
        <v>-0.103270927700128</v>
      </c>
      <c r="M82" s="36" t="n">
        <v>3.73271957548748</v>
      </c>
      <c r="N82" s="36" t="n">
        <v>1.39811870411602</v>
      </c>
      <c r="O82" s="36" t="n">
        <f aca="false">SQRT(M82^2+N82^2)</f>
        <v>3.98596680116963</v>
      </c>
      <c r="P82" s="40" t="n">
        <f aca="false">IF(J82="","",MAX(0,J82-1.96*O82/100))</f>
        <v>0.353997421633978</v>
      </c>
      <c r="Q82" s="40" t="n">
        <f aca="false">IF(J82="","",MIN(1,J82+1.96*O82/100))</f>
        <v>0.510247320239827</v>
      </c>
      <c r="R82" s="32" t="str">
        <f aca="false">IF(L82="","",IF(ABS(L82)&lt;=O82,"Yes","No"))</f>
        <v>Yes</v>
      </c>
      <c r="S82" s="32" t="str">
        <f aca="false">IF(L82="","",IF(ABS(L82)&lt;=1.96*O82,"Yes","No"))</f>
        <v>Yes</v>
      </c>
      <c r="T82" s="59" t="n">
        <f aca="false">IF(D82="","",ROUND(SQRT(((D82+G82)*O82/100)^2+(J82*(D82+G82)*0.07872)^2),0))</f>
        <v>27</v>
      </c>
      <c r="U82" s="32"/>
    </row>
    <row r="83" customFormat="false" ht="15" hidden="false" customHeight="false" outlineLevel="0" collapsed="false">
      <c r="A83" s="32" t="s">
        <v>220</v>
      </c>
      <c r="B83" s="32" t="s">
        <v>249</v>
      </c>
      <c r="C83" s="32" t="s">
        <v>161</v>
      </c>
      <c r="D83" s="59" t="n">
        <v>995</v>
      </c>
      <c r="E83" s="59" t="n">
        <v>1030</v>
      </c>
      <c r="F83" s="68" t="n">
        <f aca="false">IF(E83="","",D83-E83)</f>
        <v>-35</v>
      </c>
      <c r="G83" s="59" t="n">
        <v>1852</v>
      </c>
      <c r="H83" s="59" t="n">
        <v>2095</v>
      </c>
      <c r="I83" s="68" t="n">
        <f aca="false">IF(H83="","",G83-H83)</f>
        <v>-243</v>
      </c>
      <c r="J83" s="40" t="n">
        <f aca="false">IF(OR(D83="",D83+G83=0),"",D83/(D83+G83))</f>
        <v>0.349490691956445</v>
      </c>
      <c r="K83" s="40" t="n">
        <f aca="false">IF(E83="","",E83/(E83+H83))</f>
        <v>0.3296</v>
      </c>
      <c r="L83" s="69" t="n">
        <f aca="false">IF(OR(K83="",J83=""),"",(J83-K83)*100)</f>
        <v>1.98906919564454</v>
      </c>
      <c r="M83" s="36" t="n">
        <v>1.9194706348173</v>
      </c>
      <c r="N83" s="36" t="n">
        <v>1.39811870411602</v>
      </c>
      <c r="O83" s="36" t="n">
        <f aca="false">SQRT(M83^2+N83^2)</f>
        <v>2.37467964759986</v>
      </c>
      <c r="P83" s="40" t="n">
        <f aca="false">IF(J83="","",MAX(0,J83-1.96*O83/100))</f>
        <v>0.302946970863488</v>
      </c>
      <c r="Q83" s="40" t="n">
        <f aca="false">IF(J83="","",MIN(1,J83+1.96*O83/100))</f>
        <v>0.396034413049403</v>
      </c>
      <c r="R83" s="32" t="str">
        <f aca="false">IF(L83="","",IF(ABS(L83)&lt;=O83,"Yes","No"))</f>
        <v>Yes</v>
      </c>
      <c r="S83" s="32" t="str">
        <f aca="false">IF(L83="","",IF(ABS(L83)&lt;=1.96*O83,"Yes","No"))</f>
        <v>Yes</v>
      </c>
      <c r="T83" s="59" t="n">
        <f aca="false">IF(D83="","",ROUND(SQRT(((D83+G83)*O83/100)^2+(J83*(D83+G83)*0.04942)^2),0))</f>
        <v>84</v>
      </c>
      <c r="U83" s="32"/>
    </row>
    <row r="84" customFormat="false" ht="15" hidden="false" customHeight="false" outlineLevel="0" collapsed="false">
      <c r="A84" s="32" t="s">
        <v>220</v>
      </c>
      <c r="B84" s="32" t="s">
        <v>250</v>
      </c>
      <c r="C84" s="32" t="s">
        <v>161</v>
      </c>
      <c r="D84" s="59" t="n">
        <v>1408</v>
      </c>
      <c r="E84" s="59" t="n">
        <v>1575</v>
      </c>
      <c r="F84" s="68" t="n">
        <f aca="false">IF(E84="","",D84-E84)</f>
        <v>-167</v>
      </c>
      <c r="G84" s="59" t="n">
        <v>1379</v>
      </c>
      <c r="H84" s="59" t="n">
        <v>1588</v>
      </c>
      <c r="I84" s="68" t="n">
        <f aca="false">IF(H84="","",G84-H84)</f>
        <v>-209</v>
      </c>
      <c r="J84" s="40" t="n">
        <f aca="false">IF(OR(D84="",D84+G84=0),"",D84/(D84+G84))</f>
        <v>0.505202726946538</v>
      </c>
      <c r="K84" s="40" t="n">
        <f aca="false">IF(E84="","",E84/(E84+H84))</f>
        <v>0.497944988934556</v>
      </c>
      <c r="L84" s="69" t="n">
        <f aca="false">IF(OR(K84="",J84=""),"",(J84-K84)*100)</f>
        <v>0.725773801198165</v>
      </c>
      <c r="M84" s="36" t="n">
        <v>1.9194706348173</v>
      </c>
      <c r="N84" s="36" t="n">
        <v>1.39811870411602</v>
      </c>
      <c r="O84" s="36" t="n">
        <f aca="false">SQRT(M84^2+N84^2)</f>
        <v>2.37467964759986</v>
      </c>
      <c r="P84" s="40" t="n">
        <f aca="false">IF(J84="","",MAX(0,J84-1.96*O84/100))</f>
        <v>0.45865900585358</v>
      </c>
      <c r="Q84" s="40" t="n">
        <f aca="false">IF(J84="","",MIN(1,J84+1.96*O84/100))</f>
        <v>0.551746448039495</v>
      </c>
      <c r="R84" s="32" t="str">
        <f aca="false">IF(L84="","",IF(ABS(L84)&lt;=O84,"Yes","No"))</f>
        <v>Yes</v>
      </c>
      <c r="S84" s="32" t="str">
        <f aca="false">IF(L84="","",IF(ABS(L84)&lt;=1.96*O84,"Yes","No"))</f>
        <v>Yes</v>
      </c>
      <c r="T84" s="59" t="n">
        <f aca="false">IF(D84="","",ROUND(SQRT(((D84+G84)*O84/100)^2+(J84*(D84+G84)*0.04942)^2),0))</f>
        <v>96</v>
      </c>
      <c r="U84" s="32"/>
    </row>
    <row r="85" customFormat="false" ht="15" hidden="false" customHeight="false" outlineLevel="0" collapsed="false">
      <c r="A85" s="32" t="s">
        <v>220</v>
      </c>
      <c r="B85" s="32" t="s">
        <v>251</v>
      </c>
      <c r="C85" s="32" t="s">
        <v>161</v>
      </c>
      <c r="D85" s="59" t="n">
        <v>276</v>
      </c>
      <c r="E85" s="59" t="n">
        <v>305</v>
      </c>
      <c r="F85" s="68" t="n">
        <f aca="false">IF(E85="","",D85-E85)</f>
        <v>-29</v>
      </c>
      <c r="G85" s="59" t="n">
        <v>390</v>
      </c>
      <c r="H85" s="59" t="n">
        <v>419</v>
      </c>
      <c r="I85" s="68" t="n">
        <f aca="false">IF(H85="","",G85-H85)</f>
        <v>-29</v>
      </c>
      <c r="J85" s="40" t="n">
        <f aca="false">IF(OR(D85="",D85+G85=0),"",D85/(D85+G85))</f>
        <v>0.414414414414414</v>
      </c>
      <c r="K85" s="40" t="n">
        <f aca="false">IF(E85="","",E85/(E85+H85))</f>
        <v>0.421270718232044</v>
      </c>
      <c r="L85" s="69" t="n">
        <f aca="false">IF(OR(K85="",J85=""),"",(J85-K85)*100)</f>
        <v>-0.685630381762981</v>
      </c>
      <c r="M85" s="36" t="n">
        <v>3.73271957548748</v>
      </c>
      <c r="N85" s="36" t="n">
        <v>1.39811870411602</v>
      </c>
      <c r="O85" s="36" t="n">
        <f aca="false">SQRT(M85^2+N85^2)</f>
        <v>3.98596680116963</v>
      </c>
      <c r="P85" s="40" t="n">
        <f aca="false">IF(J85="","",MAX(0,J85-1.96*O85/100))</f>
        <v>0.33628946511149</v>
      </c>
      <c r="Q85" s="40" t="n">
        <f aca="false">IF(J85="","",MIN(1,J85+1.96*O85/100))</f>
        <v>0.492539363717339</v>
      </c>
      <c r="R85" s="32" t="str">
        <f aca="false">IF(L85="","",IF(ABS(L85)&lt;=O85,"Yes","No"))</f>
        <v>Yes</v>
      </c>
      <c r="S85" s="32" t="str">
        <f aca="false">IF(L85="","",IF(ABS(L85)&lt;=1.96*O85,"Yes","No"))</f>
        <v>Yes</v>
      </c>
      <c r="T85" s="59" t="n">
        <f aca="false">IF(D85="","",ROUND(SQRT(((D85+G85)*O85/100)^2+(J85*(D85+G85)*0.07872)^2),0))</f>
        <v>34</v>
      </c>
      <c r="U85" s="32"/>
    </row>
    <row r="86" customFormat="false" ht="15" hidden="false" customHeight="false" outlineLevel="0" collapsed="false">
      <c r="A86" s="32" t="s">
        <v>220</v>
      </c>
      <c r="B86" s="32" t="s">
        <v>212</v>
      </c>
      <c r="C86" s="32" t="s">
        <v>161</v>
      </c>
      <c r="D86" s="59" t="n">
        <v>752</v>
      </c>
      <c r="E86" s="59" t="n">
        <v>840</v>
      </c>
      <c r="F86" s="68" t="n">
        <f aca="false">IF(E86="","",D86-E86)</f>
        <v>-88</v>
      </c>
      <c r="G86" s="59" t="n">
        <v>1287</v>
      </c>
      <c r="H86" s="59" t="n">
        <v>1533</v>
      </c>
      <c r="I86" s="68" t="n">
        <f aca="false">IF(H86="","",G86-H86)</f>
        <v>-246</v>
      </c>
      <c r="J86" s="40" t="n">
        <f aca="false">IF(OR(D86="",D86+G86=0),"",D86/(D86+G86))</f>
        <v>0.368808239333006</v>
      </c>
      <c r="K86" s="40" t="n">
        <f aca="false">IF(E86="","",E86/(E86+H86))</f>
        <v>0.353982300884956</v>
      </c>
      <c r="L86" s="69" t="n">
        <f aca="false">IF(OR(K86="",J86=""),"",(J86-K86)*100)</f>
        <v>1.48259384480506</v>
      </c>
      <c r="M86" s="36" t="n">
        <v>2.07957502812653</v>
      </c>
      <c r="N86" s="36" t="n">
        <v>1.39811870411602</v>
      </c>
      <c r="O86" s="36" t="n">
        <f aca="false">SQRT(M86^2+N86^2)</f>
        <v>2.50586675791162</v>
      </c>
      <c r="P86" s="40" t="n">
        <f aca="false">IF(J86="","",MAX(0,J86-1.96*O86/100))</f>
        <v>0.319693250877939</v>
      </c>
      <c r="Q86" s="40" t="n">
        <f aca="false">IF(J86="","",MIN(1,J86+1.96*O86/100))</f>
        <v>0.417923227788074</v>
      </c>
      <c r="R86" s="32" t="str">
        <f aca="false">IF(L86="","",IF(ABS(L86)&lt;=O86,"Yes","No"))</f>
        <v>Yes</v>
      </c>
      <c r="S86" s="32" t="str">
        <f aca="false">IF(L86="","",IF(ABS(L86)&lt;=1.96*O86,"Yes","No"))</f>
        <v>Yes</v>
      </c>
      <c r="T86" s="59" t="n">
        <f aca="false">IF(D86="","",ROUND(SQRT(((D86+G86)*O86/100)^2+(J86*(D86+G86)*0.05883)^2),0))</f>
        <v>68</v>
      </c>
      <c r="U86" s="32"/>
    </row>
    <row r="87" customFormat="false" ht="15" hidden="false" customHeight="false" outlineLevel="0" collapsed="false">
      <c r="A87" s="32" t="s">
        <v>220</v>
      </c>
      <c r="B87" s="32" t="s">
        <v>252</v>
      </c>
      <c r="C87" s="32" t="s">
        <v>161</v>
      </c>
      <c r="D87" s="59" t="n">
        <v>181</v>
      </c>
      <c r="E87" s="59" t="n">
        <v>199</v>
      </c>
      <c r="F87" s="68" t="n">
        <f aca="false">IF(E87="","",D87-E87)</f>
        <v>-18</v>
      </c>
      <c r="G87" s="59" t="n">
        <v>187</v>
      </c>
      <c r="H87" s="59" t="n">
        <v>215</v>
      </c>
      <c r="I87" s="68" t="n">
        <f aca="false">IF(H87="","",G87-H87)</f>
        <v>-28</v>
      </c>
      <c r="J87" s="40" t="n">
        <f aca="false">IF(OR(D87="",D87+G87=0),"",D87/(D87+G87))</f>
        <v>0.491847826086957</v>
      </c>
      <c r="K87" s="40" t="n">
        <f aca="false">IF(E87="","",E87/(E87+H87))</f>
        <v>0.480676328502416</v>
      </c>
      <c r="L87" s="69" t="n">
        <f aca="false">IF(OR(K87="",J87=""),"",(J87-K87)*100)</f>
        <v>1.11714975845411</v>
      </c>
      <c r="M87" s="36" t="n">
        <v>3.73271957548748</v>
      </c>
      <c r="N87" s="36" t="n">
        <v>1.39811870411602</v>
      </c>
      <c r="O87" s="36" t="n">
        <f aca="false">SQRT(M87^2+N87^2)</f>
        <v>3.98596680116963</v>
      </c>
      <c r="P87" s="40" t="n">
        <f aca="false">IF(J87="","",MAX(0,J87-1.96*O87/100))</f>
        <v>0.413722876784032</v>
      </c>
      <c r="Q87" s="40" t="n">
        <f aca="false">IF(J87="","",MIN(1,J87+1.96*O87/100))</f>
        <v>0.569972775389881</v>
      </c>
      <c r="R87" s="32" t="str">
        <f aca="false">IF(L87="","",IF(ABS(L87)&lt;=O87,"Yes","No"))</f>
        <v>Yes</v>
      </c>
      <c r="S87" s="32" t="str">
        <f aca="false">IF(L87="","",IF(ABS(L87)&lt;=1.96*O87,"Yes","No"))</f>
        <v>Yes</v>
      </c>
      <c r="T87" s="59" t="n">
        <f aca="false">IF(D87="","",ROUND(SQRT(((D87+G87)*O87/100)^2+(J87*(D87+G87)*0.07872)^2),0))</f>
        <v>20</v>
      </c>
      <c r="U87" s="32"/>
    </row>
    <row r="88" customFormat="false" ht="15" hidden="false" customHeight="false" outlineLevel="0" collapsed="false">
      <c r="A88" s="32" t="s">
        <v>220</v>
      </c>
      <c r="B88" s="32" t="s">
        <v>253</v>
      </c>
      <c r="C88" s="32" t="s">
        <v>161</v>
      </c>
      <c r="D88" s="59" t="n">
        <v>1350</v>
      </c>
      <c r="E88" s="59" t="n">
        <v>1456</v>
      </c>
      <c r="F88" s="68" t="n">
        <f aca="false">IF(E88="","",D88-E88)</f>
        <v>-106</v>
      </c>
      <c r="G88" s="59" t="n">
        <v>1701</v>
      </c>
      <c r="H88" s="59" t="n">
        <v>1860</v>
      </c>
      <c r="I88" s="68" t="n">
        <f aca="false">IF(H88="","",G88-H88)</f>
        <v>-159</v>
      </c>
      <c r="J88" s="40" t="n">
        <f aca="false">IF(OR(D88="",D88+G88=0),"",D88/(D88+G88))</f>
        <v>0.442477876106195</v>
      </c>
      <c r="K88" s="40" t="n">
        <f aca="false">IF(E88="","",E88/(E88+H88))</f>
        <v>0.439083232810615</v>
      </c>
      <c r="L88" s="69" t="n">
        <f aca="false">IF(OR(K88="",J88=""),"",(J88-K88)*100)</f>
        <v>0.339464329557954</v>
      </c>
      <c r="M88" s="36" t="n">
        <v>1.9194706348173</v>
      </c>
      <c r="N88" s="36" t="n">
        <v>1.39811870411602</v>
      </c>
      <c r="O88" s="36" t="n">
        <f aca="false">SQRT(M88^2+N88^2)</f>
        <v>2.37467964759986</v>
      </c>
      <c r="P88" s="40" t="n">
        <f aca="false">IF(J88="","",MAX(0,J88-1.96*O88/100))</f>
        <v>0.395934155013238</v>
      </c>
      <c r="Q88" s="40" t="n">
        <f aca="false">IF(J88="","",MIN(1,J88+1.96*O88/100))</f>
        <v>0.489021597199152</v>
      </c>
      <c r="R88" s="32" t="str">
        <f aca="false">IF(L88="","",IF(ABS(L88)&lt;=O88,"Yes","No"))</f>
        <v>Yes</v>
      </c>
      <c r="S88" s="32" t="str">
        <f aca="false">IF(L88="","",IF(ABS(L88)&lt;=1.96*O88,"Yes","No"))</f>
        <v>Yes</v>
      </c>
      <c r="T88" s="59" t="n">
        <f aca="false">IF(D88="","",ROUND(SQRT(((D88+G88)*O88/100)^2+(J88*(D88+G88)*0.04942)^2),0))</f>
        <v>98</v>
      </c>
      <c r="U88" s="32"/>
    </row>
    <row r="89" customFormat="false" ht="15" hidden="false" customHeight="false" outlineLevel="0" collapsed="false">
      <c r="A89" s="32" t="s">
        <v>220</v>
      </c>
      <c r="B89" s="32" t="s">
        <v>254</v>
      </c>
      <c r="C89" s="32" t="s">
        <v>161</v>
      </c>
      <c r="D89" s="59" t="n">
        <v>1242</v>
      </c>
      <c r="E89" s="59" t="n">
        <v>1340</v>
      </c>
      <c r="F89" s="68" t="n">
        <f aca="false">IF(E89="","",D89-E89)</f>
        <v>-98</v>
      </c>
      <c r="G89" s="59" t="n">
        <v>886</v>
      </c>
      <c r="H89" s="59" t="n">
        <v>953</v>
      </c>
      <c r="I89" s="68" t="n">
        <f aca="false">IF(H89="","",G89-H89)</f>
        <v>-67</v>
      </c>
      <c r="J89" s="40" t="n">
        <f aca="false">IF(OR(D89="",D89+G89=0),"",D89/(D89+G89))</f>
        <v>0.583646616541353</v>
      </c>
      <c r="K89" s="40" t="n">
        <f aca="false">IF(E89="","",E89/(E89+H89))</f>
        <v>0.584387265590929</v>
      </c>
      <c r="L89" s="69" t="n">
        <f aca="false">IF(OR(K89="",J89=""),"",(J89-K89)*100)</f>
        <v>-0.0740649049575493</v>
      </c>
      <c r="M89" s="36" t="n">
        <v>2.07957502812653</v>
      </c>
      <c r="N89" s="36" t="n">
        <v>1.39811870411602</v>
      </c>
      <c r="O89" s="36" t="n">
        <f aca="false">SQRT(M89^2+N89^2)</f>
        <v>2.50586675791162</v>
      </c>
      <c r="P89" s="40" t="n">
        <f aca="false">IF(J89="","",MAX(0,J89-1.96*O89/100))</f>
        <v>0.534531628086286</v>
      </c>
      <c r="Q89" s="40" t="n">
        <f aca="false">IF(J89="","",MIN(1,J89+1.96*O89/100))</f>
        <v>0.632761604996421</v>
      </c>
      <c r="R89" s="32" t="str">
        <f aca="false">IF(L89="","",IF(ABS(L89)&lt;=O89,"Yes","No"))</f>
        <v>Yes</v>
      </c>
      <c r="S89" s="32" t="str">
        <f aca="false">IF(L89="","",IF(ABS(L89)&lt;=1.96*O89,"Yes","No"))</f>
        <v>Yes</v>
      </c>
      <c r="T89" s="59" t="n">
        <f aca="false">IF(D89="","",ROUND(SQRT(((D89+G89)*O89/100)^2+(J89*(D89+G89)*0.05883)^2),0))</f>
        <v>90</v>
      </c>
      <c r="U89" s="32"/>
    </row>
    <row r="90" customFormat="false" ht="15" hidden="false" customHeight="false" outlineLevel="0" collapsed="false">
      <c r="A90" s="32" t="s">
        <v>220</v>
      </c>
      <c r="B90" s="32" t="s">
        <v>255</v>
      </c>
      <c r="C90" s="32" t="s">
        <v>161</v>
      </c>
      <c r="D90" s="59" t="n">
        <v>419</v>
      </c>
      <c r="E90" s="59" t="n">
        <v>494</v>
      </c>
      <c r="F90" s="68" t="n">
        <f aca="false">IF(E90="","",D90-E90)</f>
        <v>-75</v>
      </c>
      <c r="G90" s="59" t="n">
        <v>548</v>
      </c>
      <c r="H90" s="59" t="n">
        <v>601</v>
      </c>
      <c r="I90" s="68" t="n">
        <f aca="false">IF(H90="","",G90-H90)</f>
        <v>-53</v>
      </c>
      <c r="J90" s="40" t="n">
        <f aca="false">IF(OR(D90="",D90+G90=0),"",D90/(D90+G90))</f>
        <v>0.43329886246122</v>
      </c>
      <c r="K90" s="40" t="n">
        <f aca="false">IF(E90="","",E90/(E90+H90))</f>
        <v>0.451141552511416</v>
      </c>
      <c r="L90" s="69" t="n">
        <f aca="false">IF(OR(K90="",J90=""),"",(J90-K90)*100)</f>
        <v>-1.78426900501952</v>
      </c>
      <c r="M90" s="36" t="n">
        <v>3.73271957548748</v>
      </c>
      <c r="N90" s="36" t="n">
        <v>1.39811870411602</v>
      </c>
      <c r="O90" s="36" t="n">
        <f aca="false">SQRT(M90^2+N90^2)</f>
        <v>3.98596680116963</v>
      </c>
      <c r="P90" s="40" t="n">
        <f aca="false">IF(J90="","",MAX(0,J90-1.96*O90/100))</f>
        <v>0.355173913158296</v>
      </c>
      <c r="Q90" s="40" t="n">
        <f aca="false">IF(J90="","",MIN(1,J90+1.96*O90/100))</f>
        <v>0.511423811764145</v>
      </c>
      <c r="R90" s="32" t="str">
        <f aca="false">IF(L90="","",IF(ABS(L90)&lt;=O90,"Yes","No"))</f>
        <v>Yes</v>
      </c>
      <c r="S90" s="32" t="str">
        <f aca="false">IF(L90="","",IF(ABS(L90)&lt;=1.96*O90,"Yes","No"))</f>
        <v>Yes</v>
      </c>
      <c r="T90" s="59" t="n">
        <f aca="false">IF(D90="","",ROUND(SQRT(((D90+G90)*O90/100)^2+(J90*(D90+G90)*0.07872)^2),0))</f>
        <v>51</v>
      </c>
      <c r="U90" s="32"/>
    </row>
    <row r="92" customFormat="false" ht="15" hidden="false" customHeight="false" outlineLevel="0" collapsed="false">
      <c r="A92" s="20" t="s">
        <v>383</v>
      </c>
      <c r="B92" s="70"/>
      <c r="C92" s="70"/>
      <c r="D92" s="71" t="n">
        <f aca="false">SUMIF(E2:E90,"&lt;&gt;",D2:D90)</f>
        <v>144497</v>
      </c>
      <c r="E92" s="71" t="n">
        <f aca="false">SUM(E2:E90)</f>
        <v>151364</v>
      </c>
      <c r="F92" s="72" t="n">
        <f aca="false">D92-E92</f>
        <v>-6867</v>
      </c>
      <c r="G92" s="71" t="n">
        <f aca="false">SUMIF(H2:H90,"&lt;&gt;",G2:G90)</f>
        <v>134550</v>
      </c>
      <c r="H92" s="71" t="n">
        <f aca="false">SUM(H2:H90)</f>
        <v>145527</v>
      </c>
      <c r="I92" s="72" t="n">
        <f aca="false">G92-H92</f>
        <v>-10977</v>
      </c>
      <c r="J92" s="73" t="n">
        <f aca="false">D92/(D92+G92)</f>
        <v>0.517823162406333</v>
      </c>
      <c r="K92" s="73" t="n">
        <f aca="false">E92/(E92+H92)</f>
        <v>0.509830207045683</v>
      </c>
      <c r="L92" s="74" t="n">
        <f aca="false">(J92-K92)*100</f>
        <v>0.799295536064959</v>
      </c>
      <c r="M92" s="75" t="n">
        <v>0</v>
      </c>
      <c r="N92" s="75" t="n">
        <v>1.39811870411602</v>
      </c>
      <c r="O92" s="75" t="n">
        <f aca="false">SQRT(M92^2+N92^2)</f>
        <v>1.39811870411602</v>
      </c>
      <c r="P92" s="73" t="n">
        <f aca="false">J92-1.96*O92/100</f>
        <v>0.490420035805659</v>
      </c>
      <c r="Q92" s="73" t="n">
        <f aca="false">J92+1.96*O92/100</f>
        <v>0.545226289007007</v>
      </c>
      <c r="R92" s="70" t="str">
        <f aca="false">IF(ABS(L92)&lt;=O92,"Yes","No")</f>
        <v>Yes</v>
      </c>
      <c r="S92" s="70" t="str">
        <f aca="false">IF(ABS(L92)&lt;=1.96*O92,"Yes","No")</f>
        <v>Yes</v>
      </c>
      <c r="T92" s="71" t="n">
        <f aca="false">ROUND(SQRT(((D92+G92)*O92/100)^2+(J92*(D92+G92)*0.03653)^2),0)</f>
        <v>6564</v>
      </c>
    </row>
    <row r="93" customFormat="false" ht="15" hidden="false" customHeight="false" outlineLevel="0" collapsed="false">
      <c r="A93" s="20" t="s">
        <v>384</v>
      </c>
      <c r="B93" s="70"/>
      <c r="C93" s="70"/>
      <c r="D93" s="71" t="n">
        <f aca="false">SUM(D2:D90)</f>
        <v>144497</v>
      </c>
      <c r="E93" s="71"/>
      <c r="F93" s="72"/>
      <c r="G93" s="71" t="n">
        <f aca="false">SUM(G2:G90)</f>
        <v>134550</v>
      </c>
      <c r="H93" s="71"/>
      <c r="I93" s="72"/>
      <c r="J93" s="73" t="n">
        <f aca="false">D93/(D93+G93)</f>
        <v>0.517823162406333</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104.640449438202</v>
      </c>
    </row>
    <row r="96" customFormat="false" ht="15" hidden="false" customHeight="false" outlineLevel="0" collapsed="false">
      <c r="A96" s="2" t="s">
        <v>386</v>
      </c>
      <c r="F96" s="76" t="n">
        <f aca="false">(SUMIF(I2:I90,"&gt;0")-SUMIF(I2:I90,"&lt;0"))/COUNT(I2:I90)</f>
        <v>155.47191011236</v>
      </c>
    </row>
    <row r="97" customFormat="false" ht="15" hidden="false" customHeight="false" outlineLevel="0" collapsed="false">
      <c r="A97" s="2" t="s">
        <v>387</v>
      </c>
      <c r="F97" s="77" t="n">
        <f aca="false">(SUMIF(L2:L90,"&gt;0")-SUMIF(L2:L90,"&lt;0"))/COUNT(L2:L90)</f>
        <v>1.76373481362181</v>
      </c>
    </row>
    <row r="98" customFormat="false" ht="15" hidden="false" customHeight="false" outlineLevel="0" collapsed="false">
      <c r="A98" s="5" t="s">
        <v>388</v>
      </c>
      <c r="F98" s="78" t="n">
        <f aca="false">SQRT(SUMSQ(L2:L90)/COUNT(L2:L90))</f>
        <v>2.39617005040446</v>
      </c>
    </row>
    <row r="99" customFormat="false" ht="15" hidden="false" customHeight="false" outlineLevel="0" collapsed="false">
      <c r="A99" s="5" t="s">
        <v>389</v>
      </c>
      <c r="F99" s="79" t="n">
        <f aca="false">L92</f>
        <v>0.799295536064959</v>
      </c>
    </row>
    <row r="100" customFormat="false" ht="15" hidden="false" customHeight="false" outlineLevel="0" collapsed="false">
      <c r="A100" s="5" t="s">
        <v>390</v>
      </c>
      <c r="F100" s="78" t="n">
        <f aca="false">SQRT((SUMSQ(L2:L90)-2*L92*SUM(L2:L90)+COUNT(L2:L90)*L92^2)/COUNT(L2:L90))</f>
        <v>2.3085247145103</v>
      </c>
    </row>
    <row r="101" customFormat="false" ht="15" hidden="false" customHeight="false" outlineLevel="0" collapsed="false">
      <c r="A101" s="2" t="s">
        <v>391</v>
      </c>
      <c r="F101" s="80" t="n">
        <f aca="false">D92/E92-1</f>
        <v>-0.0453674585766761</v>
      </c>
    </row>
    <row r="102" customFormat="false" ht="15" hidden="false" customHeight="false" outlineLevel="0" collapsed="false">
      <c r="A102" s="5" t="s">
        <v>392</v>
      </c>
      <c r="F102" s="81" t="n">
        <f aca="false">G92/H92-1</f>
        <v>-0.0754293017790513</v>
      </c>
    </row>
    <row r="103" customFormat="false" ht="15" hidden="false" customHeight="false" outlineLevel="0" collapsed="false">
      <c r="A103" s="2" t="s">
        <v>393</v>
      </c>
      <c r="F103" s="80" t="n">
        <f aca="false">(D92+G92)/(E92+H92)-1</f>
        <v>-0.0601028660350095</v>
      </c>
    </row>
    <row r="104" customFormat="false" ht="15" hidden="false" customHeight="false" outlineLevel="0" collapsed="false">
      <c r="A104" s="2" t="s">
        <v>394</v>
      </c>
      <c r="F104" s="77" t="n">
        <f aca="false">AVERAGE(O2:O90)</f>
        <v>2.96055651059013</v>
      </c>
    </row>
    <row r="105" customFormat="false" ht="15" hidden="false" customHeight="false" outlineLevel="0" collapsed="false">
      <c r="A105" s="5" t="s">
        <v>395</v>
      </c>
      <c r="F105" s="82" t="n">
        <f aca="false">COUNTIF(R2:R90,"Yes")/(COUNTIF(R2:R90,"Yes")+COUNTIF(R2:R90,"No"))</f>
        <v>0.842696629213483</v>
      </c>
    </row>
    <row r="106" customFormat="false" ht="15" hidden="false" customHeight="false" outlineLevel="0" collapsed="false">
      <c r="A106" s="5" t="s">
        <v>396</v>
      </c>
      <c r="F106" s="82" t="n">
        <f aca="false">COUNTIF(S2:S90,"Yes")/(COUNTIF(S2:S90,"Yes")+COUNTIF(S2:S90,"No"))</f>
        <v>0.97752808988764</v>
      </c>
    </row>
    <row r="107" customFormat="false" ht="15" hidden="false" customHeight="false" outlineLevel="0" collapsed="false">
      <c r="A107" s="2" t="s">
        <v>397</v>
      </c>
      <c r="F107" s="83" t="n">
        <f aca="false">COUNTIFS(L2:L90,"&gt;=-3",L2:L90,"&lt;=3")/COUNT(L2:L90)</f>
        <v>0.842696629213483</v>
      </c>
    </row>
    <row r="108" customFormat="false" ht="15" hidden="false" customHeight="false" outlineLevel="0" collapsed="false">
      <c r="A108" s="2" t="s">
        <v>421</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-9097.41021452317</v>
      </c>
    </row>
    <row r="112" customFormat="false" ht="15" hidden="false" customHeight="false" outlineLevel="0" collapsed="false">
      <c r="A112" s="2" t="s">
        <v>402</v>
      </c>
      <c r="F112" s="85" t="n">
        <f aca="false">F92-((D92+G92)-(E92+H92))*K92</f>
        <v>2230.41021452317</v>
      </c>
    </row>
    <row r="113" customFormat="false" ht="15" hidden="false" customHeight="false" outlineLevel="0" collapsed="false">
      <c r="A113" s="2" t="s">
        <v>403</v>
      </c>
      <c r="F113" s="85" t="n">
        <f aca="false">((D92+G92)-(E92+H92))*(1-K92)</f>
        <v>-8746.58978547683</v>
      </c>
    </row>
    <row r="114" customFormat="false" ht="15" hidden="false" customHeight="false" outlineLevel="0" collapsed="false">
      <c r="A114" s="2" t="s">
        <v>404</v>
      </c>
      <c r="F114" s="85" t="n">
        <f aca="false">I92-((D92+G92)-(E92+H92))*(1-K92)</f>
        <v>-2230.41021452317</v>
      </c>
    </row>
    <row r="115" customFormat="false" ht="15" hidden="false" customHeight="false" outlineLevel="0" collapsed="false">
      <c r="A115" s="2" t="s">
        <v>405</v>
      </c>
      <c r="F115" s="80" t="n">
        <f aca="false">(F92-((D92+G92)-(E92+H92))*K92)/E92</f>
        <v>0.0147354074583334</v>
      </c>
    </row>
    <row r="116" customFormat="false" ht="15" hidden="false" customHeight="false" outlineLevel="0" collapsed="false">
      <c r="A116" s="2" t="s">
        <v>406</v>
      </c>
      <c r="F116" s="80" t="n">
        <f aca="false">(I92-((D92+G92)-(E92+H92))*(1-K92))/H92</f>
        <v>-0.0153264357440418</v>
      </c>
    </row>
    <row r="118" customFormat="false" ht="15" hidden="false" customHeight="false" outlineLevel="0" collapsed="false">
      <c r="U118" s="5" t="s">
        <v>136</v>
      </c>
    </row>
    <row r="119" customFormat="false" ht="28.35" hidden="false" customHeight="false" outlineLevel="0" collapsed="false">
      <c r="U119" s="67" t="s">
        <v>422</v>
      </c>
    </row>
    <row r="120" customFormat="false" ht="15" hidden="false" customHeight="false" outlineLevel="0" collapsed="false">
      <c r="U120" s="67" t="s">
        <v>408</v>
      </c>
    </row>
    <row r="121" customFormat="false" ht="15" hidden="false" customHeight="false" outlineLevel="0" collapsed="false">
      <c r="U121" s="67" t="s">
        <v>423</v>
      </c>
    </row>
    <row r="122" customFormat="false" ht="15" hidden="false" customHeight="false" outlineLevel="0" collapsed="false">
      <c r="U122" s="67" t="s">
        <v>424</v>
      </c>
    </row>
    <row r="123" customFormat="false" ht="41.75" hidden="false" customHeight="false" outlineLevel="0" collapsed="false">
      <c r="U123" s="67" t="s">
        <v>425</v>
      </c>
    </row>
    <row r="124" customFormat="false" ht="28.35" hidden="false" customHeight="false" outlineLevel="0" collapsed="false">
      <c r="U124" s="67" t="s">
        <v>426</v>
      </c>
    </row>
    <row r="125" customFormat="false" ht="28.35" hidden="false" customHeight="false" outlineLevel="0" collapsed="false">
      <c r="U125" s="67" t="s">
        <v>413</v>
      </c>
    </row>
    <row r="126" customFormat="false" ht="41.75" hidden="false" customHeight="false" outlineLevel="0" collapsed="false">
      <c r="U126" s="67" t="s">
        <v>427</v>
      </c>
    </row>
    <row r="127" customFormat="false" ht="15" hidden="false" customHeight="false" outlineLevel="0" collapsed="false">
      <c r="U127" s="67" t="s">
        <v>428</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418</v>
      </c>
      <c r="H1" s="8" t="s">
        <v>370</v>
      </c>
      <c r="I1" s="8" t="s">
        <v>371</v>
      </c>
      <c r="J1" s="8" t="s">
        <v>372</v>
      </c>
      <c r="K1" s="8" t="s">
        <v>373</v>
      </c>
      <c r="L1" s="8" t="s">
        <v>374</v>
      </c>
      <c r="M1" s="8" t="s">
        <v>419</v>
      </c>
      <c r="N1" s="8" t="s">
        <v>420</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128</v>
      </c>
      <c r="E2" s="59" t="n">
        <v>137</v>
      </c>
      <c r="F2" s="68" t="n">
        <f aca="false">IF(E2="","",D2-E2)</f>
        <v>-9</v>
      </c>
      <c r="G2" s="59" t="n">
        <v>217</v>
      </c>
      <c r="H2" s="59" t="n">
        <v>249</v>
      </c>
      <c r="I2" s="68" t="n">
        <f aca="false">IF(H2="","",G2-H2)</f>
        <v>-32</v>
      </c>
      <c r="J2" s="40" t="n">
        <f aca="false">IF(OR(D2="",D2+G2=0),"",D2/(D2+G2))</f>
        <v>0.371014492753623</v>
      </c>
      <c r="K2" s="40" t="n">
        <f aca="false">IF(E2="","",E2/(E2+H2))</f>
        <v>0.354922279792746</v>
      </c>
      <c r="L2" s="69" t="n">
        <f aca="false">IF(OR(K2="",J2=""),"",(J2-K2)*100)</f>
        <v>1.60922129608771</v>
      </c>
      <c r="M2" s="36" t="n">
        <v>3.67166727778771</v>
      </c>
      <c r="N2" s="36" t="n">
        <v>1.39766310953213</v>
      </c>
      <c r="O2" s="36" t="n">
        <f aca="false">SQRT(M2^2+N2^2)</f>
        <v>3.92868970097207</v>
      </c>
      <c r="P2" s="40" t="n">
        <f aca="false">IF(J2="","",MAX(0,J2-1.96*O2/100))</f>
        <v>0.294012174614571</v>
      </c>
      <c r="Q2" s="40" t="n">
        <f aca="false">IF(J2="","",MIN(1,J2+1.96*O2/100))</f>
        <v>0.448016810892676</v>
      </c>
      <c r="R2" s="32" t="str">
        <f aca="false">IF(L2="","",IF(ABS(L2)&lt;=O2,"Yes","No"))</f>
        <v>Yes</v>
      </c>
      <c r="S2" s="32" t="str">
        <f aca="false">IF(L2="","",IF(ABS(L2)&lt;=1.96*O2,"Yes","No"))</f>
        <v>Yes</v>
      </c>
      <c r="T2" s="59" t="n">
        <f aca="false">IF(D2="","",ROUND(SQRT(((D2+G2)*O2/100)^2+(J2*(D2+G2)*0.07872)^2),0))</f>
        <v>17</v>
      </c>
      <c r="U2" s="32"/>
    </row>
    <row r="3" customFormat="false" ht="15" hidden="false" customHeight="false" outlineLevel="0" collapsed="false">
      <c r="A3" s="32" t="s">
        <v>159</v>
      </c>
      <c r="B3" s="32" t="s">
        <v>165</v>
      </c>
      <c r="C3" s="32" t="s">
        <v>161</v>
      </c>
      <c r="D3" s="59" t="n">
        <v>79</v>
      </c>
      <c r="E3" s="59" t="n">
        <v>84</v>
      </c>
      <c r="F3" s="68" t="n">
        <f aca="false">IF(E3="","",D3-E3)</f>
        <v>-5</v>
      </c>
      <c r="G3" s="59" t="n">
        <v>199</v>
      </c>
      <c r="H3" s="59" t="n">
        <v>230</v>
      </c>
      <c r="I3" s="68" t="n">
        <f aca="false">IF(H3="","",G3-H3)</f>
        <v>-31</v>
      </c>
      <c r="J3" s="40" t="n">
        <f aca="false">IF(OR(D3="",D3+G3=0),"",D3/(D3+G3))</f>
        <v>0.284172661870504</v>
      </c>
      <c r="K3" s="40" t="n">
        <f aca="false">IF(E3="","",E3/(E3+H3))</f>
        <v>0.267515923566879</v>
      </c>
      <c r="L3" s="69" t="n">
        <f aca="false">IF(OR(K3="",J3=""),"",(J3-K3)*100)</f>
        <v>1.66567383036246</v>
      </c>
      <c r="M3" s="36" t="n">
        <v>3.67166727778771</v>
      </c>
      <c r="N3" s="36" t="n">
        <v>1.39766310953213</v>
      </c>
      <c r="O3" s="36" t="n">
        <f aca="false">SQRT(M3^2+N3^2)</f>
        <v>3.92868970097207</v>
      </c>
      <c r="P3" s="40" t="n">
        <f aca="false">IF(J3="","",MAX(0,J3-1.96*O3/100))</f>
        <v>0.207170343731451</v>
      </c>
      <c r="Q3" s="40" t="n">
        <f aca="false">IF(J3="","",MIN(1,J3+1.96*O3/100))</f>
        <v>0.361174980009556</v>
      </c>
      <c r="R3" s="32" t="str">
        <f aca="false">IF(L3="","",IF(ABS(L3)&lt;=O3,"Yes","No"))</f>
        <v>Yes</v>
      </c>
      <c r="S3" s="32" t="str">
        <f aca="false">IF(L3="","",IF(ABS(L3)&lt;=1.96*O3,"Yes","No"))</f>
        <v>Yes</v>
      </c>
      <c r="T3" s="59" t="n">
        <f aca="false">IF(D3="","",ROUND(SQRT(((D3+G3)*O3/100)^2+(J3*(D3+G3)*0.07872)^2),0))</f>
        <v>13</v>
      </c>
      <c r="U3" s="32"/>
    </row>
    <row r="4" customFormat="false" ht="15" hidden="false" customHeight="false" outlineLevel="0" collapsed="false">
      <c r="A4" s="32" t="s">
        <v>159</v>
      </c>
      <c r="B4" s="32" t="s">
        <v>166</v>
      </c>
      <c r="C4" s="32" t="s">
        <v>161</v>
      </c>
      <c r="D4" s="59" t="n">
        <v>88</v>
      </c>
      <c r="E4" s="59" t="n">
        <v>125</v>
      </c>
      <c r="F4" s="68" t="n">
        <f aca="false">IF(E4="","",D4-E4)</f>
        <v>-37</v>
      </c>
      <c r="G4" s="59" t="n">
        <v>200</v>
      </c>
      <c r="H4" s="59" t="n">
        <v>223</v>
      </c>
      <c r="I4" s="68" t="n">
        <f aca="false">IF(H4="","",G4-H4)</f>
        <v>-23</v>
      </c>
      <c r="J4" s="40" t="n">
        <f aca="false">IF(OR(D4="",D4+G4=0),"",D4/(D4+G4))</f>
        <v>0.305555555555556</v>
      </c>
      <c r="K4" s="40" t="n">
        <f aca="false">IF(E4="","",E4/(E4+H4))</f>
        <v>0.359195402298851</v>
      </c>
      <c r="L4" s="69" t="n">
        <f aca="false">IF(OR(K4="",J4=""),"",(J4-K4)*100)</f>
        <v>-5.3639846743295</v>
      </c>
      <c r="M4" s="36" t="n">
        <v>3.67166727778771</v>
      </c>
      <c r="N4" s="36" t="n">
        <v>1.39766310953213</v>
      </c>
      <c r="O4" s="36" t="n">
        <f aca="false">SQRT(M4^2+N4^2)</f>
        <v>3.92868970097207</v>
      </c>
      <c r="P4" s="40" t="n">
        <f aca="false">IF(J4="","",MAX(0,J4-1.96*O4/100))</f>
        <v>0.228553237416503</v>
      </c>
      <c r="Q4" s="40" t="n">
        <f aca="false">IF(J4="","",MIN(1,J4+1.96*O4/100))</f>
        <v>0.382557873694608</v>
      </c>
      <c r="R4" s="32" t="str">
        <f aca="false">IF(L4="","",IF(ABS(L4)&lt;=O4,"Yes","No"))</f>
        <v>No</v>
      </c>
      <c r="S4" s="32" t="str">
        <f aca="false">IF(L4="","",IF(ABS(L4)&lt;=1.96*O4,"Yes","No"))</f>
        <v>Yes</v>
      </c>
      <c r="T4" s="59" t="n">
        <f aca="false">IF(D4="","",ROUND(SQRT(((D4+G4)*O4/100)^2+(J4*(D4+G4)*0.07872)^2),0))</f>
        <v>13</v>
      </c>
      <c r="U4" s="32"/>
    </row>
    <row r="5" customFormat="false" ht="15" hidden="false" customHeight="false" outlineLevel="0" collapsed="false">
      <c r="A5" s="32" t="s">
        <v>159</v>
      </c>
      <c r="B5" s="32" t="s">
        <v>167</v>
      </c>
      <c r="C5" s="32" t="s">
        <v>161</v>
      </c>
      <c r="D5" s="59" t="n">
        <v>328</v>
      </c>
      <c r="E5" s="59" t="n">
        <v>372</v>
      </c>
      <c r="F5" s="68" t="n">
        <f aca="false">IF(E5="","",D5-E5)</f>
        <v>-44</v>
      </c>
      <c r="G5" s="59" t="n">
        <v>803</v>
      </c>
      <c r="H5" s="59" t="n">
        <v>925</v>
      </c>
      <c r="I5" s="68" t="n">
        <f aca="false">IF(H5="","",G5-H5)</f>
        <v>-122</v>
      </c>
      <c r="J5" s="40" t="n">
        <f aca="false">IF(OR(D5="",D5+G5=0),"",D5/(D5+G5))</f>
        <v>0.29000884173298</v>
      </c>
      <c r="K5" s="40" t="n">
        <f aca="false">IF(E5="","",E5/(E5+H5))</f>
        <v>0.286815728604472</v>
      </c>
      <c r="L5" s="69" t="n">
        <f aca="false">IF(OR(K5="",J5=""),"",(J5-K5)*100)</f>
        <v>0.319311312850779</v>
      </c>
      <c r="M5" s="36" t="n">
        <v>2.25214308303964</v>
      </c>
      <c r="N5" s="36" t="n">
        <v>1.39766310953213</v>
      </c>
      <c r="O5" s="36" t="n">
        <f aca="false">SQRT(M5^2+N5^2)</f>
        <v>2.65058684713976</v>
      </c>
      <c r="P5" s="40" t="n">
        <f aca="false">IF(J5="","",MAX(0,J5-1.96*O5/100))</f>
        <v>0.23805733952904</v>
      </c>
      <c r="Q5" s="40" t="n">
        <f aca="false">IF(J5="","",MIN(1,J5+1.96*O5/100))</f>
        <v>0.341960343936919</v>
      </c>
      <c r="R5" s="32" t="str">
        <f aca="false">IF(L5="","",IF(ABS(L5)&lt;=O5,"Yes","No"))</f>
        <v>Yes</v>
      </c>
      <c r="S5" s="32" t="str">
        <f aca="false">IF(L5="","",IF(ABS(L5)&lt;=1.96*O5,"Yes","No"))</f>
        <v>Yes</v>
      </c>
      <c r="T5" s="59" t="n">
        <f aca="false">IF(D5="","",ROUND(SQRT(((D5+G5)*O5/100)^2+(J5*(D5+G5)*0.05883)^2),0))</f>
        <v>36</v>
      </c>
      <c r="U5" s="32"/>
    </row>
    <row r="6" customFormat="false" ht="15" hidden="false" customHeight="false" outlineLevel="0" collapsed="false">
      <c r="A6" s="32" t="s">
        <v>159</v>
      </c>
      <c r="B6" s="32" t="s">
        <v>169</v>
      </c>
      <c r="C6" s="32" t="s">
        <v>161</v>
      </c>
      <c r="D6" s="59" t="n">
        <v>31</v>
      </c>
      <c r="E6" s="59" t="n">
        <v>33</v>
      </c>
      <c r="F6" s="68" t="n">
        <f aca="false">IF(E6="","",D6-E6)</f>
        <v>-2</v>
      </c>
      <c r="G6" s="59" t="n">
        <v>45</v>
      </c>
      <c r="H6" s="59" t="n">
        <v>61</v>
      </c>
      <c r="I6" s="68" t="n">
        <f aca="false">IF(H6="","",G6-H6)</f>
        <v>-16</v>
      </c>
      <c r="J6" s="40" t="n">
        <f aca="false">IF(OR(D6="",D6+G6=0),"",D6/(D6+G6))</f>
        <v>0.407894736842105</v>
      </c>
      <c r="K6" s="40" t="n">
        <f aca="false">IF(E6="","",E6/(E6+H6))</f>
        <v>0.351063829787234</v>
      </c>
      <c r="L6" s="69" t="n">
        <f aca="false">IF(OR(K6="",J6=""),"",(J6-K6)*100)</f>
        <v>5.68309070548712</v>
      </c>
      <c r="M6" s="36" t="n">
        <v>3.67166727778771</v>
      </c>
      <c r="N6" s="36" t="n">
        <v>1.39766310953213</v>
      </c>
      <c r="O6" s="36" t="n">
        <f aca="false">SQRT(M6^2+N6^2)</f>
        <v>3.92868970097207</v>
      </c>
      <c r="P6" s="40" t="n">
        <f aca="false">IF(J6="","",MAX(0,J6-1.96*O6/100))</f>
        <v>0.330892418703053</v>
      </c>
      <c r="Q6" s="40" t="n">
        <f aca="false">IF(J6="","",MIN(1,J6+1.96*O6/100))</f>
        <v>0.484897054981158</v>
      </c>
      <c r="R6" s="32" t="str">
        <f aca="false">IF(L6="","",IF(ABS(L6)&lt;=O6,"Yes","No"))</f>
        <v>No</v>
      </c>
      <c r="S6" s="32" t="str">
        <f aca="false">IF(L6="","",IF(ABS(L6)&lt;=1.96*O6,"Yes","No"))</f>
        <v>Yes</v>
      </c>
      <c r="T6" s="59" t="n">
        <f aca="false">IF(D6="","",ROUND(SQRT(((D6+G6)*O6/100)^2+(J6*(D6+G6)*0.07872)^2),0))</f>
        <v>4</v>
      </c>
      <c r="U6" s="32"/>
    </row>
    <row r="7" customFormat="false" ht="15" hidden="false" customHeight="false" outlineLevel="0" collapsed="false">
      <c r="A7" s="32" t="s">
        <v>159</v>
      </c>
      <c r="B7" s="32" t="s">
        <v>170</v>
      </c>
      <c r="C7" s="32" t="s">
        <v>161</v>
      </c>
      <c r="D7" s="59" t="n">
        <v>495</v>
      </c>
      <c r="E7" s="59" t="n">
        <v>560</v>
      </c>
      <c r="F7" s="68" t="n">
        <f aca="false">IF(E7="","",D7-E7)</f>
        <v>-65</v>
      </c>
      <c r="G7" s="59" t="n">
        <v>1234</v>
      </c>
      <c r="H7" s="59" t="n">
        <v>1398</v>
      </c>
      <c r="I7" s="68" t="n">
        <f aca="false">IF(H7="","",G7-H7)</f>
        <v>-164</v>
      </c>
      <c r="J7" s="40" t="n">
        <f aca="false">IF(OR(D7="",D7+G7=0),"",D7/(D7+G7))</f>
        <v>0.286292654713707</v>
      </c>
      <c r="K7" s="40" t="n">
        <f aca="false">IF(E7="","",E7/(E7+H7))</f>
        <v>0.286006128702758</v>
      </c>
      <c r="L7" s="69" t="n">
        <f aca="false">IF(OR(K7="",J7=""),"",(J7-K7)*100)</f>
        <v>0.0286526010949417</v>
      </c>
      <c r="M7" s="36" t="n">
        <v>2.25214308303964</v>
      </c>
      <c r="N7" s="36" t="n">
        <v>1.39766310953213</v>
      </c>
      <c r="O7" s="36" t="n">
        <f aca="false">SQRT(M7^2+N7^2)</f>
        <v>2.65058684713976</v>
      </c>
      <c r="P7" s="40" t="n">
        <f aca="false">IF(J7="","",MAX(0,J7-1.96*O7/100))</f>
        <v>0.234341152509768</v>
      </c>
      <c r="Q7" s="40" t="n">
        <f aca="false">IF(J7="","",MIN(1,J7+1.96*O7/100))</f>
        <v>0.338244156917647</v>
      </c>
      <c r="R7" s="32" t="str">
        <f aca="false">IF(L7="","",IF(ABS(L7)&lt;=O7,"Yes","No"))</f>
        <v>Yes</v>
      </c>
      <c r="S7" s="32" t="str">
        <f aca="false">IF(L7="","",IF(ABS(L7)&lt;=1.96*O7,"Yes","No"))</f>
        <v>Yes</v>
      </c>
      <c r="T7" s="59" t="n">
        <f aca="false">IF(D7="","",ROUND(SQRT(((D7+G7)*O7/100)^2+(J7*(D7+G7)*0.05883)^2),0))</f>
        <v>54</v>
      </c>
      <c r="U7" s="32"/>
    </row>
    <row r="8" customFormat="false" ht="15" hidden="false" customHeight="false" outlineLevel="0" collapsed="false">
      <c r="A8" s="32" t="s">
        <v>159</v>
      </c>
      <c r="B8" s="32" t="s">
        <v>171</v>
      </c>
      <c r="C8" s="32" t="s">
        <v>161</v>
      </c>
      <c r="D8" s="59" t="n">
        <v>795</v>
      </c>
      <c r="E8" s="59" t="n">
        <v>979</v>
      </c>
      <c r="F8" s="68" t="n">
        <f aca="false">IF(E8="","",D8-E8)</f>
        <v>-184</v>
      </c>
      <c r="G8" s="59" t="n">
        <v>1056</v>
      </c>
      <c r="H8" s="59" t="n">
        <v>1157</v>
      </c>
      <c r="I8" s="68" t="n">
        <f aca="false">IF(H8="","",G8-H8)</f>
        <v>-101</v>
      </c>
      <c r="J8" s="40" t="n">
        <f aca="false">IF(OR(D8="",D8+G8=0),"",D8/(D8+G8))</f>
        <v>0.429497568881686</v>
      </c>
      <c r="K8" s="40" t="n">
        <f aca="false">IF(E8="","",E8/(E8+H8))</f>
        <v>0.458333333333333</v>
      </c>
      <c r="L8" s="69" t="n">
        <f aca="false">IF(OR(K8="",J8=""),"",(J8-K8)*100)</f>
        <v>-2.88357644516478</v>
      </c>
      <c r="M8" s="36" t="n">
        <v>2.25214308303964</v>
      </c>
      <c r="N8" s="36" t="n">
        <v>1.39766310953213</v>
      </c>
      <c r="O8" s="36" t="n">
        <f aca="false">SQRT(M8^2+N8^2)</f>
        <v>2.65058684713976</v>
      </c>
      <c r="P8" s="40" t="n">
        <f aca="false">IF(J8="","",MAX(0,J8-1.96*O8/100))</f>
        <v>0.377546066677746</v>
      </c>
      <c r="Q8" s="40" t="n">
        <f aca="false">IF(J8="","",MIN(1,J8+1.96*O8/100))</f>
        <v>0.481449071085625</v>
      </c>
      <c r="R8" s="32" t="str">
        <f aca="false">IF(L8="","",IF(ABS(L8)&lt;=O8,"Yes","No"))</f>
        <v>No</v>
      </c>
      <c r="S8" s="32" t="str">
        <f aca="false">IF(L8="","",IF(ABS(L8)&lt;=1.96*O8,"Yes","No"))</f>
        <v>Yes</v>
      </c>
      <c r="T8" s="59" t="n">
        <f aca="false">IF(D8="","",ROUND(SQRT(((D8+G8)*O8/100)^2+(J8*(D8+G8)*0.05883)^2),0))</f>
        <v>68</v>
      </c>
      <c r="U8" s="32"/>
    </row>
    <row r="9" customFormat="false" ht="15" hidden="false" customHeight="false" outlineLevel="0" collapsed="false">
      <c r="A9" s="32" t="s">
        <v>159</v>
      </c>
      <c r="B9" s="32" t="s">
        <v>172</v>
      </c>
      <c r="C9" s="32" t="s">
        <v>161</v>
      </c>
      <c r="D9" s="59" t="n">
        <v>267</v>
      </c>
      <c r="E9" s="59" t="n">
        <v>277</v>
      </c>
      <c r="F9" s="68" t="n">
        <f aca="false">IF(E9="","",D9-E9)</f>
        <v>-10</v>
      </c>
      <c r="G9" s="59" t="n">
        <v>542</v>
      </c>
      <c r="H9" s="59" t="n">
        <v>560</v>
      </c>
      <c r="I9" s="68" t="n">
        <f aca="false">IF(H9="","",G9-H9)</f>
        <v>-18</v>
      </c>
      <c r="J9" s="40" t="n">
        <f aca="false">IF(OR(D9="",D9+G9=0),"",D9/(D9+G9))</f>
        <v>0.330037082818294</v>
      </c>
      <c r="K9" s="40" t="n">
        <f aca="false">IF(E9="","",E9/(E9+H9))</f>
        <v>0.330943847072879</v>
      </c>
      <c r="L9" s="69" t="n">
        <f aca="false">IF(OR(K9="",J9=""),"",(J9-K9)*100)</f>
        <v>-0.0906764254585135</v>
      </c>
      <c r="M9" s="36" t="n">
        <v>3.67166727778771</v>
      </c>
      <c r="N9" s="36" t="n">
        <v>1.39766310953213</v>
      </c>
      <c r="O9" s="36" t="n">
        <f aca="false">SQRT(M9^2+N9^2)</f>
        <v>3.92868970097207</v>
      </c>
      <c r="P9" s="40" t="n">
        <f aca="false">IF(J9="","",MAX(0,J9-1.96*O9/100))</f>
        <v>0.253034764679242</v>
      </c>
      <c r="Q9" s="40" t="n">
        <f aca="false">IF(J9="","",MIN(1,J9+1.96*O9/100))</f>
        <v>0.407039400957347</v>
      </c>
      <c r="R9" s="32" t="str">
        <f aca="false">IF(L9="","",IF(ABS(L9)&lt;=O9,"Yes","No"))</f>
        <v>Yes</v>
      </c>
      <c r="S9" s="32" t="str">
        <f aca="false">IF(L9="","",IF(ABS(L9)&lt;=1.96*O9,"Yes","No"))</f>
        <v>Yes</v>
      </c>
      <c r="T9" s="59" t="n">
        <f aca="false">IF(D9="","",ROUND(SQRT(((D9+G9)*O9/100)^2+(J9*(D9+G9)*0.07872)^2),0))</f>
        <v>38</v>
      </c>
      <c r="U9" s="32"/>
    </row>
    <row r="10" customFormat="false" ht="15" hidden="false" customHeight="false" outlineLevel="0" collapsed="false">
      <c r="A10" s="32" t="s">
        <v>159</v>
      </c>
      <c r="B10" s="32" t="s">
        <v>173</v>
      </c>
      <c r="C10" s="32" t="s">
        <v>161</v>
      </c>
      <c r="D10" s="59" t="n">
        <v>397</v>
      </c>
      <c r="E10" s="59" t="n">
        <v>420</v>
      </c>
      <c r="F10" s="68" t="n">
        <f aca="false">IF(E10="","",D10-E10)</f>
        <v>-23</v>
      </c>
      <c r="G10" s="59" t="n">
        <v>514</v>
      </c>
      <c r="H10" s="59" t="n">
        <v>580</v>
      </c>
      <c r="I10" s="68" t="n">
        <f aca="false">IF(H10="","",G10-H10)</f>
        <v>-66</v>
      </c>
      <c r="J10" s="40" t="n">
        <f aca="false">IF(OR(D10="",D10+G10=0),"",D10/(D10+G10))</f>
        <v>0.435784851811196</v>
      </c>
      <c r="K10" s="40" t="n">
        <f aca="false">IF(E10="","",E10/(E10+H10))</f>
        <v>0.42</v>
      </c>
      <c r="L10" s="69" t="n">
        <f aca="false">IF(OR(K10="",J10=""),"",(J10-K10)*100)</f>
        <v>1.57848518111965</v>
      </c>
      <c r="M10" s="36" t="n">
        <v>3.67166727778771</v>
      </c>
      <c r="N10" s="36" t="n">
        <v>1.39766310953213</v>
      </c>
      <c r="O10" s="36" t="n">
        <f aca="false">SQRT(M10^2+N10^2)</f>
        <v>3.92868970097207</v>
      </c>
      <c r="P10" s="40" t="n">
        <f aca="false">IF(J10="","",MAX(0,J10-1.96*O10/100))</f>
        <v>0.358782533672144</v>
      </c>
      <c r="Q10" s="40" t="n">
        <f aca="false">IF(J10="","",MIN(1,J10+1.96*O10/100))</f>
        <v>0.512787169950249</v>
      </c>
      <c r="R10" s="32" t="str">
        <f aca="false">IF(L10="","",IF(ABS(L10)&lt;=O10,"Yes","No"))</f>
        <v>Yes</v>
      </c>
      <c r="S10" s="32" t="str">
        <f aca="false">IF(L10="","",IF(ABS(L10)&lt;=1.96*O10,"Yes","No"))</f>
        <v>Yes</v>
      </c>
      <c r="T10" s="59" t="n">
        <f aca="false">IF(D10="","",ROUND(SQRT(((D10+G10)*O10/100)^2+(J10*(D10+G10)*0.07872)^2),0))</f>
        <v>48</v>
      </c>
      <c r="U10" s="32"/>
    </row>
    <row r="11" customFormat="false" ht="15" hidden="false" customHeight="false" outlineLevel="0" collapsed="false">
      <c r="A11" s="32" t="s">
        <v>159</v>
      </c>
      <c r="B11" s="32" t="s">
        <v>174</v>
      </c>
      <c r="C11" s="32" t="s">
        <v>161</v>
      </c>
      <c r="D11" s="59" t="n">
        <v>27</v>
      </c>
      <c r="E11" s="59" t="n">
        <v>36</v>
      </c>
      <c r="F11" s="68" t="n">
        <f aca="false">IF(E11="","",D11-E11)</f>
        <v>-9</v>
      </c>
      <c r="G11" s="59" t="n">
        <v>64</v>
      </c>
      <c r="H11" s="59" t="n">
        <v>79</v>
      </c>
      <c r="I11" s="68" t="n">
        <f aca="false">IF(H11="","",G11-H11)</f>
        <v>-15</v>
      </c>
      <c r="J11" s="40" t="n">
        <f aca="false">IF(OR(D11="",D11+G11=0),"",D11/(D11+G11))</f>
        <v>0.296703296703297</v>
      </c>
      <c r="K11" s="40" t="n">
        <f aca="false">IF(E11="","",E11/(E11+H11))</f>
        <v>0.31304347826087</v>
      </c>
      <c r="L11" s="69" t="n">
        <f aca="false">IF(OR(K11="",J11=""),"",(J11-K11)*100)</f>
        <v>-1.63401815575729</v>
      </c>
      <c r="M11" s="36" t="n">
        <v>3.67166727778771</v>
      </c>
      <c r="N11" s="36" t="n">
        <v>1.39766310953213</v>
      </c>
      <c r="O11" s="36" t="n">
        <f aca="false">SQRT(M11^2+N11^2)</f>
        <v>3.92868970097207</v>
      </c>
      <c r="P11" s="40" t="n">
        <f aca="false">IF(J11="","",MAX(0,J11-1.96*O11/100))</f>
        <v>0.219700978564244</v>
      </c>
      <c r="Q11" s="40" t="n">
        <f aca="false">IF(J11="","",MIN(1,J11+1.96*O11/100))</f>
        <v>0.373705614842349</v>
      </c>
      <c r="R11" s="32" t="str">
        <f aca="false">IF(L11="","",IF(ABS(L11)&lt;=O11,"Yes","No"))</f>
        <v>Yes</v>
      </c>
      <c r="S11" s="32" t="str">
        <f aca="false">IF(L11="","",IF(ABS(L11)&lt;=1.96*O11,"Yes","No"))</f>
        <v>Yes</v>
      </c>
      <c r="T11" s="59" t="n">
        <f aca="false">IF(D11="","",ROUND(SQRT(((D11+G11)*O11/100)^2+(J11*(D11+G11)*0.07872)^2),0))</f>
        <v>4</v>
      </c>
      <c r="U11" s="32"/>
    </row>
    <row r="12" customFormat="false" ht="15" hidden="false" customHeight="false" outlineLevel="0" collapsed="false">
      <c r="A12" s="32" t="s">
        <v>159</v>
      </c>
      <c r="B12" s="32" t="s">
        <v>175</v>
      </c>
      <c r="C12" s="32" t="s">
        <v>161</v>
      </c>
      <c r="D12" s="59" t="n">
        <v>43</v>
      </c>
      <c r="E12" s="59" t="n">
        <v>52</v>
      </c>
      <c r="F12" s="68" t="n">
        <f aca="false">IF(E12="","",D12-E12)</f>
        <v>-9</v>
      </c>
      <c r="G12" s="59" t="n">
        <v>156</v>
      </c>
      <c r="H12" s="59" t="n">
        <v>189</v>
      </c>
      <c r="I12" s="68" t="n">
        <f aca="false">IF(H12="","",G12-H12)</f>
        <v>-33</v>
      </c>
      <c r="J12" s="40" t="n">
        <f aca="false">IF(OR(D12="",D12+G12=0),"",D12/(D12+G12))</f>
        <v>0.21608040201005</v>
      </c>
      <c r="K12" s="40" t="n">
        <f aca="false">IF(E12="","",E12/(E12+H12))</f>
        <v>0.215767634854772</v>
      </c>
      <c r="L12" s="69" t="n">
        <f aca="false">IF(OR(K12="",J12=""),"",(J12-K12)*100)</f>
        <v>0.0312767155278448</v>
      </c>
      <c r="M12" s="36" t="n">
        <v>3.67166727778771</v>
      </c>
      <c r="N12" s="36" t="n">
        <v>1.39766310953213</v>
      </c>
      <c r="O12" s="36" t="n">
        <f aca="false">SQRT(M12^2+N12^2)</f>
        <v>3.92868970097207</v>
      </c>
      <c r="P12" s="40" t="n">
        <f aca="false">IF(J12="","",MAX(0,J12-1.96*O12/100))</f>
        <v>0.139078083870998</v>
      </c>
      <c r="Q12" s="40" t="n">
        <f aca="false">IF(J12="","",MIN(1,J12+1.96*O12/100))</f>
        <v>0.293082720149103</v>
      </c>
      <c r="R12" s="32" t="str">
        <f aca="false">IF(L12="","",IF(ABS(L12)&lt;=O12,"Yes","No"))</f>
        <v>Yes</v>
      </c>
      <c r="S12" s="32" t="str">
        <f aca="false">IF(L12="","",IF(ABS(L12)&lt;=1.96*O12,"Yes","No"))</f>
        <v>Yes</v>
      </c>
      <c r="T12" s="59" t="n">
        <f aca="false">IF(D12="","",ROUND(SQRT(((D12+G12)*O12/100)^2+(J12*(D12+G12)*0.07872)^2),0))</f>
        <v>9</v>
      </c>
      <c r="U12" s="32"/>
    </row>
    <row r="13" customFormat="false" ht="15" hidden="false" customHeight="false" outlineLevel="0" collapsed="false">
      <c r="A13" s="32" t="s">
        <v>159</v>
      </c>
      <c r="B13" s="32" t="s">
        <v>176</v>
      </c>
      <c r="C13" s="32" t="s">
        <v>161</v>
      </c>
      <c r="D13" s="59" t="n">
        <v>611</v>
      </c>
      <c r="E13" s="59" t="n">
        <v>719</v>
      </c>
      <c r="F13" s="68" t="n">
        <f aca="false">IF(E13="","",D13-E13)</f>
        <v>-108</v>
      </c>
      <c r="G13" s="59" t="n">
        <v>865</v>
      </c>
      <c r="H13" s="59" t="n">
        <v>948</v>
      </c>
      <c r="I13" s="68" t="n">
        <f aca="false">IF(H13="","",G13-H13)</f>
        <v>-83</v>
      </c>
      <c r="J13" s="40" t="n">
        <f aca="false">IF(OR(D13="",D13+G13=0),"",D13/(D13+G13))</f>
        <v>0.413956639566396</v>
      </c>
      <c r="K13" s="40" t="n">
        <f aca="false">IF(E13="","",E13/(E13+H13))</f>
        <v>0.43131373725255</v>
      </c>
      <c r="L13" s="69" t="n">
        <f aca="false">IF(OR(K13="",J13=""),"",(J13-K13)*100)</f>
        <v>-1.73570976861538</v>
      </c>
      <c r="M13" s="36" t="n">
        <v>2.25214308303964</v>
      </c>
      <c r="N13" s="36" t="n">
        <v>1.39766310953213</v>
      </c>
      <c r="O13" s="36" t="n">
        <f aca="false">SQRT(M13^2+N13^2)</f>
        <v>2.65058684713976</v>
      </c>
      <c r="P13" s="40" t="n">
        <f aca="false">IF(J13="","",MAX(0,J13-1.96*O13/100))</f>
        <v>0.362005137362456</v>
      </c>
      <c r="Q13" s="40" t="n">
        <f aca="false">IF(J13="","",MIN(1,J13+1.96*O13/100))</f>
        <v>0.465908141770335</v>
      </c>
      <c r="R13" s="32" t="str">
        <f aca="false">IF(L13="","",IF(ABS(L13)&lt;=O13,"Yes","No"))</f>
        <v>Yes</v>
      </c>
      <c r="S13" s="32" t="str">
        <f aca="false">IF(L13="","",IF(ABS(L13)&lt;=1.96*O13,"Yes","No"))</f>
        <v>Yes</v>
      </c>
      <c r="T13" s="59" t="n">
        <f aca="false">IF(D13="","",ROUND(SQRT(((D13+G13)*O13/100)^2+(J13*(D13+G13)*0.05883)^2),0))</f>
        <v>53</v>
      </c>
      <c r="U13" s="32"/>
    </row>
    <row r="14" customFormat="false" ht="15" hidden="false" customHeight="false" outlineLevel="0" collapsed="false">
      <c r="A14" s="32" t="s">
        <v>159</v>
      </c>
      <c r="B14" s="32" t="s">
        <v>177</v>
      </c>
      <c r="C14" s="32" t="s">
        <v>161</v>
      </c>
      <c r="D14" s="59" t="n">
        <v>384</v>
      </c>
      <c r="E14" s="59" t="n">
        <v>430</v>
      </c>
      <c r="F14" s="68" t="n">
        <f aca="false">IF(E14="","",D14-E14)</f>
        <v>-46</v>
      </c>
      <c r="G14" s="59" t="n">
        <v>772</v>
      </c>
      <c r="H14" s="59" t="n">
        <v>916</v>
      </c>
      <c r="I14" s="68" t="n">
        <f aca="false">IF(H14="","",G14-H14)</f>
        <v>-144</v>
      </c>
      <c r="J14" s="40" t="n">
        <f aca="false">IF(OR(D14="",D14+G14=0),"",D14/(D14+G14))</f>
        <v>0.332179930795848</v>
      </c>
      <c r="K14" s="40" t="n">
        <f aca="false">IF(E14="","",E14/(E14+H14))</f>
        <v>0.319465081723626</v>
      </c>
      <c r="L14" s="69" t="n">
        <f aca="false">IF(OR(K14="",J14=""),"",(J14-K14)*100)</f>
        <v>1.27148490722222</v>
      </c>
      <c r="M14" s="36" t="n">
        <v>2.25214308303964</v>
      </c>
      <c r="N14" s="36" t="n">
        <v>1.39766310953213</v>
      </c>
      <c r="O14" s="36" t="n">
        <f aca="false">SQRT(M14^2+N14^2)</f>
        <v>2.65058684713976</v>
      </c>
      <c r="P14" s="40" t="n">
        <f aca="false">IF(J14="","",MAX(0,J14-1.96*O14/100))</f>
        <v>0.280228428591908</v>
      </c>
      <c r="Q14" s="40" t="n">
        <f aca="false">IF(J14="","",MIN(1,J14+1.96*O14/100))</f>
        <v>0.384131432999787</v>
      </c>
      <c r="R14" s="32" t="str">
        <f aca="false">IF(L14="","",IF(ABS(L14)&lt;=O14,"Yes","No"))</f>
        <v>Yes</v>
      </c>
      <c r="S14" s="32" t="str">
        <f aca="false">IF(L14="","",IF(ABS(L14)&lt;=1.96*O14,"Yes","No"))</f>
        <v>Yes</v>
      </c>
      <c r="T14" s="59" t="n">
        <f aca="false">IF(D14="","",ROUND(SQRT(((D14+G14)*O14/100)^2+(J14*(D14+G14)*0.05883)^2),0))</f>
        <v>38</v>
      </c>
      <c r="U14" s="32"/>
    </row>
    <row r="15" customFormat="false" ht="15" hidden="false" customHeight="false" outlineLevel="0" collapsed="false">
      <c r="A15" s="32" t="s">
        <v>159</v>
      </c>
      <c r="B15" s="32" t="s">
        <v>178</v>
      </c>
      <c r="C15" s="32" t="s">
        <v>161</v>
      </c>
      <c r="D15" s="59" t="n">
        <v>443</v>
      </c>
      <c r="E15" s="59" t="n">
        <v>546</v>
      </c>
      <c r="F15" s="68" t="n">
        <f aca="false">IF(E15="","",D15-E15)</f>
        <v>-103</v>
      </c>
      <c r="G15" s="59" t="n">
        <v>1116</v>
      </c>
      <c r="H15" s="59" t="n">
        <v>1227</v>
      </c>
      <c r="I15" s="68" t="n">
        <f aca="false">IF(H15="","",G15-H15)</f>
        <v>-111</v>
      </c>
      <c r="J15" s="40" t="n">
        <f aca="false">IF(OR(D15="",D15+G15=0),"",D15/(D15+G15))</f>
        <v>0.284156510583708</v>
      </c>
      <c r="K15" s="40" t="n">
        <f aca="false">IF(E15="","",E15/(E15+H15))</f>
        <v>0.307952622673435</v>
      </c>
      <c r="L15" s="69" t="n">
        <f aca="false">IF(OR(K15="",J15=""),"",(J15-K15)*100)</f>
        <v>-2.37961120897274</v>
      </c>
      <c r="M15" s="36" t="n">
        <v>2.25214308303964</v>
      </c>
      <c r="N15" s="36" t="n">
        <v>1.39766310953213</v>
      </c>
      <c r="O15" s="36" t="n">
        <f aca="false">SQRT(M15^2+N15^2)</f>
        <v>2.65058684713976</v>
      </c>
      <c r="P15" s="40" t="n">
        <f aca="false">IF(J15="","",MAX(0,J15-1.96*O15/100))</f>
        <v>0.232205008379768</v>
      </c>
      <c r="Q15" s="40" t="n">
        <f aca="false">IF(J15="","",MIN(1,J15+1.96*O15/100))</f>
        <v>0.336108012787647</v>
      </c>
      <c r="R15" s="32" t="str">
        <f aca="false">IF(L15="","",IF(ABS(L15)&lt;=O15,"Yes","No"))</f>
        <v>Yes</v>
      </c>
      <c r="S15" s="32" t="str">
        <f aca="false">IF(L15="","",IF(ABS(L15)&lt;=1.96*O15,"Yes","No"))</f>
        <v>Yes</v>
      </c>
      <c r="T15" s="59" t="n">
        <f aca="false">IF(D15="","",ROUND(SQRT(((D15+G15)*O15/100)^2+(J15*(D15+G15)*0.05883)^2),0))</f>
        <v>49</v>
      </c>
      <c r="U15" s="32"/>
    </row>
    <row r="16" customFormat="false" ht="15" hidden="false" customHeight="false" outlineLevel="0" collapsed="false">
      <c r="A16" s="32" t="s">
        <v>159</v>
      </c>
      <c r="B16" s="32" t="s">
        <v>179</v>
      </c>
      <c r="C16" s="32" t="s">
        <v>161</v>
      </c>
      <c r="D16" s="59" t="n">
        <v>412</v>
      </c>
      <c r="E16" s="59" t="n">
        <v>488</v>
      </c>
      <c r="F16" s="68" t="n">
        <f aca="false">IF(E16="","",D16-E16)</f>
        <v>-76</v>
      </c>
      <c r="G16" s="59" t="n">
        <v>611</v>
      </c>
      <c r="H16" s="59" t="n">
        <v>706</v>
      </c>
      <c r="I16" s="68" t="n">
        <f aca="false">IF(H16="","",G16-H16)</f>
        <v>-95</v>
      </c>
      <c r="J16" s="40" t="n">
        <f aca="false">IF(OR(D16="",D16+G16=0),"",D16/(D16+G16))</f>
        <v>0.402737047898338</v>
      </c>
      <c r="K16" s="40" t="n">
        <f aca="false">IF(E16="","",E16/(E16+H16))</f>
        <v>0.408710217755444</v>
      </c>
      <c r="L16" s="69" t="n">
        <f aca="false">IF(OR(K16="",J16=""),"",(J16-K16)*100)</f>
        <v>-0.597316985710567</v>
      </c>
      <c r="M16" s="36" t="n">
        <v>3.67166727778771</v>
      </c>
      <c r="N16" s="36" t="n">
        <v>1.39766310953213</v>
      </c>
      <c r="O16" s="36" t="n">
        <f aca="false">SQRT(M16^2+N16^2)</f>
        <v>3.92868970097207</v>
      </c>
      <c r="P16" s="40" t="n">
        <f aca="false">IF(J16="","",MAX(0,J16-1.96*O16/100))</f>
        <v>0.325734729759286</v>
      </c>
      <c r="Q16" s="40" t="n">
        <f aca="false">IF(J16="","",MIN(1,J16+1.96*O16/100))</f>
        <v>0.479739366037391</v>
      </c>
      <c r="R16" s="32" t="str">
        <f aca="false">IF(L16="","",IF(ABS(L16)&lt;=O16,"Yes","No"))</f>
        <v>Yes</v>
      </c>
      <c r="S16" s="32" t="str">
        <f aca="false">IF(L16="","",IF(ABS(L16)&lt;=1.96*O16,"Yes","No"))</f>
        <v>Yes</v>
      </c>
      <c r="T16" s="59" t="n">
        <f aca="false">IF(D16="","",ROUND(SQRT(((D16+G16)*O16/100)^2+(J16*(D16+G16)*0.07872)^2),0))</f>
        <v>52</v>
      </c>
      <c r="U16" s="32"/>
    </row>
    <row r="17" customFormat="false" ht="15" hidden="false" customHeight="false" outlineLevel="0" collapsed="false">
      <c r="A17" s="32" t="s">
        <v>159</v>
      </c>
      <c r="B17" s="32" t="s">
        <v>180</v>
      </c>
      <c r="C17" s="32" t="s">
        <v>161</v>
      </c>
      <c r="D17" s="59" t="n">
        <v>105</v>
      </c>
      <c r="E17" s="59" t="n">
        <v>96</v>
      </c>
      <c r="F17" s="68" t="n">
        <f aca="false">IF(E17="","",D17-E17)</f>
        <v>9</v>
      </c>
      <c r="G17" s="59" t="n">
        <v>387</v>
      </c>
      <c r="H17" s="59" t="n">
        <v>444</v>
      </c>
      <c r="I17" s="68" t="n">
        <f aca="false">IF(H17="","",G17-H17)</f>
        <v>-57</v>
      </c>
      <c r="J17" s="40" t="n">
        <f aca="false">IF(OR(D17="",D17+G17=0),"",D17/(D17+G17))</f>
        <v>0.213414634146341</v>
      </c>
      <c r="K17" s="40" t="n">
        <f aca="false">IF(E17="","",E17/(E17+H17))</f>
        <v>0.177777777777778</v>
      </c>
      <c r="L17" s="69" t="n">
        <f aca="false">IF(OR(K17="",J17=""),"",(J17-K17)*100)</f>
        <v>3.56368563685637</v>
      </c>
      <c r="M17" s="36" t="n">
        <v>3.67166727778771</v>
      </c>
      <c r="N17" s="36" t="n">
        <v>1.39766310953213</v>
      </c>
      <c r="O17" s="36" t="n">
        <f aca="false">SQRT(M17^2+N17^2)</f>
        <v>3.92868970097207</v>
      </c>
      <c r="P17" s="40" t="n">
        <f aca="false">IF(J17="","",MAX(0,J17-1.96*O17/100))</f>
        <v>0.136412316007289</v>
      </c>
      <c r="Q17" s="40" t="n">
        <f aca="false">IF(J17="","",MIN(1,J17+1.96*O17/100))</f>
        <v>0.290416952285394</v>
      </c>
      <c r="R17" s="32" t="str">
        <f aca="false">IF(L17="","",IF(ABS(L17)&lt;=O17,"Yes","No"))</f>
        <v>Yes</v>
      </c>
      <c r="S17" s="32" t="str">
        <f aca="false">IF(L17="","",IF(ABS(L17)&lt;=1.96*O17,"Yes","No"))</f>
        <v>Yes</v>
      </c>
      <c r="T17" s="59" t="n">
        <f aca="false">IF(D17="","",ROUND(SQRT(((D17+G17)*O17/100)^2+(J17*(D17+G17)*0.07872)^2),0))</f>
        <v>21</v>
      </c>
      <c r="U17" s="32"/>
    </row>
    <row r="18" customFormat="false" ht="15" hidden="false" customHeight="false" outlineLevel="0" collapsed="false">
      <c r="A18" s="32" t="s">
        <v>159</v>
      </c>
      <c r="B18" s="32" t="s">
        <v>181</v>
      </c>
      <c r="C18" s="32" t="s">
        <v>161</v>
      </c>
      <c r="D18" s="59" t="n">
        <v>653</v>
      </c>
      <c r="E18" s="59" t="n">
        <v>737</v>
      </c>
      <c r="F18" s="68" t="n">
        <f aca="false">IF(E18="","",D18-E18)</f>
        <v>-84</v>
      </c>
      <c r="G18" s="59" t="n">
        <v>1081</v>
      </c>
      <c r="H18" s="59" t="n">
        <v>1172</v>
      </c>
      <c r="I18" s="68" t="n">
        <f aca="false">IF(H18="","",G18-H18)</f>
        <v>-91</v>
      </c>
      <c r="J18" s="40" t="n">
        <f aca="false">IF(OR(D18="",D18+G18=0),"",D18/(D18+G18))</f>
        <v>0.376585928489043</v>
      </c>
      <c r="K18" s="40" t="n">
        <f aca="false">IF(E18="","",E18/(E18+H18))</f>
        <v>0.386066003143007</v>
      </c>
      <c r="L18" s="69" t="n">
        <f aca="false">IF(OR(K18="",J18=""),"",(J18-K18)*100)</f>
        <v>-0.948007465396417</v>
      </c>
      <c r="M18" s="36" t="n">
        <v>2.25214308303964</v>
      </c>
      <c r="N18" s="36" t="n">
        <v>1.39766310953213</v>
      </c>
      <c r="O18" s="36" t="n">
        <f aca="false">SQRT(M18^2+N18^2)</f>
        <v>2.65058684713976</v>
      </c>
      <c r="P18" s="40" t="n">
        <f aca="false">IF(J18="","",MAX(0,J18-1.96*O18/100))</f>
        <v>0.324634426285103</v>
      </c>
      <c r="Q18" s="40" t="n">
        <f aca="false">IF(J18="","",MIN(1,J18+1.96*O18/100))</f>
        <v>0.428537430692982</v>
      </c>
      <c r="R18" s="32" t="str">
        <f aca="false">IF(L18="","",IF(ABS(L18)&lt;=O18,"Yes","No"))</f>
        <v>Yes</v>
      </c>
      <c r="S18" s="32" t="str">
        <f aca="false">IF(L18="","",IF(ABS(L18)&lt;=1.96*O18,"Yes","No"))</f>
        <v>Yes</v>
      </c>
      <c r="T18" s="59" t="n">
        <f aca="false">IF(D18="","",ROUND(SQRT(((D18+G18)*O18/100)^2+(J18*(D18+G18)*0.05883)^2),0))</f>
        <v>60</v>
      </c>
      <c r="U18" s="32"/>
    </row>
    <row r="19" customFormat="false" ht="15" hidden="false" customHeight="false" outlineLevel="0" collapsed="false">
      <c r="A19" s="32" t="s">
        <v>159</v>
      </c>
      <c r="B19" s="32" t="s">
        <v>182</v>
      </c>
      <c r="C19" s="32" t="s">
        <v>161</v>
      </c>
      <c r="D19" s="59" t="n">
        <v>51</v>
      </c>
      <c r="E19" s="59" t="n">
        <v>51</v>
      </c>
      <c r="F19" s="68" t="n">
        <f aca="false">IF(E19="","",D19-E19)</f>
        <v>0</v>
      </c>
      <c r="G19" s="59" t="n">
        <v>124</v>
      </c>
      <c r="H19" s="59" t="n">
        <v>136</v>
      </c>
      <c r="I19" s="68" t="n">
        <f aca="false">IF(H19="","",G19-H19)</f>
        <v>-12</v>
      </c>
      <c r="J19" s="40" t="n">
        <f aca="false">IF(OR(D19="",D19+G19=0),"",D19/(D19+G19))</f>
        <v>0.291428571428571</v>
      </c>
      <c r="K19" s="40" t="n">
        <f aca="false">IF(E19="","",E19/(E19+H19))</f>
        <v>0.272727272727273</v>
      </c>
      <c r="L19" s="69" t="n">
        <f aca="false">IF(OR(K19="",J19=""),"",(J19-K19)*100)</f>
        <v>1.87012987012987</v>
      </c>
      <c r="M19" s="36" t="n">
        <v>3.67166727778771</v>
      </c>
      <c r="N19" s="36" t="n">
        <v>1.39766310953213</v>
      </c>
      <c r="O19" s="36" t="n">
        <f aca="false">SQRT(M19^2+N19^2)</f>
        <v>3.92868970097207</v>
      </c>
      <c r="P19" s="40" t="n">
        <f aca="false">IF(J19="","",MAX(0,J19-1.96*O19/100))</f>
        <v>0.214426253289519</v>
      </c>
      <c r="Q19" s="40" t="n">
        <f aca="false">IF(J19="","",MIN(1,J19+1.96*O19/100))</f>
        <v>0.368430889567624</v>
      </c>
      <c r="R19" s="32" t="str">
        <f aca="false">IF(L19="","",IF(ABS(L19)&lt;=O19,"Yes","No"))</f>
        <v>Yes</v>
      </c>
      <c r="S19" s="32" t="str">
        <f aca="false">IF(L19="","",IF(ABS(L19)&lt;=1.96*O19,"Yes","No"))</f>
        <v>Yes</v>
      </c>
      <c r="T19" s="59" t="n">
        <f aca="false">IF(D19="","",ROUND(SQRT(((D19+G19)*O19/100)^2+(J19*(D19+G19)*0.07872)^2),0))</f>
        <v>8</v>
      </c>
      <c r="U19" s="32"/>
    </row>
    <row r="20" customFormat="false" ht="15" hidden="false" customHeight="false" outlineLevel="0" collapsed="false">
      <c r="A20" s="32" t="s">
        <v>159</v>
      </c>
      <c r="B20" s="32" t="s">
        <v>183</v>
      </c>
      <c r="C20" s="32" t="s">
        <v>161</v>
      </c>
      <c r="D20" s="59" t="n">
        <v>1421</v>
      </c>
      <c r="E20" s="59" t="n">
        <v>1574</v>
      </c>
      <c r="F20" s="68" t="n">
        <f aca="false">IF(E20="","",D20-E20)</f>
        <v>-153</v>
      </c>
      <c r="G20" s="59" t="n">
        <v>2223</v>
      </c>
      <c r="H20" s="59" t="n">
        <v>2750</v>
      </c>
      <c r="I20" s="68" t="n">
        <f aca="false">IF(H20="","",G20-H20)</f>
        <v>-527</v>
      </c>
      <c r="J20" s="40" t="n">
        <f aca="false">IF(OR(D20="",D20+G20=0),"",D20/(D20+G20))</f>
        <v>0.389956092206367</v>
      </c>
      <c r="K20" s="40" t="n">
        <f aca="false">IF(E20="","",E20/(E20+H20))</f>
        <v>0.364014801110083</v>
      </c>
      <c r="L20" s="69" t="n">
        <f aca="false">IF(OR(K20="",J20=""),"",(J20-K20)*100)</f>
        <v>2.59412910962833</v>
      </c>
      <c r="M20" s="36" t="n">
        <v>1.81013497502969</v>
      </c>
      <c r="N20" s="36" t="n">
        <v>1.39766310953213</v>
      </c>
      <c r="O20" s="36" t="n">
        <f aca="false">SQRT(M20^2+N20^2)</f>
        <v>2.28693043085546</v>
      </c>
      <c r="P20" s="40" t="n">
        <f aca="false">IF(J20="","",MAX(0,J20-1.96*O20/100))</f>
        <v>0.3451322557616</v>
      </c>
      <c r="Q20" s="40" t="n">
        <f aca="false">IF(J20="","",MIN(1,J20+1.96*O20/100))</f>
        <v>0.434779928651134</v>
      </c>
      <c r="R20" s="32" t="str">
        <f aca="false">IF(L20="","",IF(ABS(L20)&lt;=O20,"Yes","No"))</f>
        <v>No</v>
      </c>
      <c r="S20" s="32" t="str">
        <f aca="false">IF(L20="","",IF(ABS(L20)&lt;=1.96*O20,"Yes","No"))</f>
        <v>Yes</v>
      </c>
      <c r="T20" s="59" t="n">
        <f aca="false">IF(D20="","",ROUND(SQRT(((D20+G20)*O20/100)^2+(J20*(D20+G20)*0.04942)^2),0))</f>
        <v>109</v>
      </c>
      <c r="U20" s="32"/>
    </row>
    <row r="21" customFormat="false" ht="15" hidden="false" customHeight="false" outlineLevel="0" collapsed="false">
      <c r="A21" s="32" t="s">
        <v>159</v>
      </c>
      <c r="B21" s="32" t="s">
        <v>185</v>
      </c>
      <c r="C21" s="32" t="s">
        <v>161</v>
      </c>
      <c r="D21" s="59" t="n">
        <v>496</v>
      </c>
      <c r="E21" s="59" t="n">
        <v>557</v>
      </c>
      <c r="F21" s="68" t="n">
        <f aca="false">IF(E21="","",D21-E21)</f>
        <v>-61</v>
      </c>
      <c r="G21" s="59" t="n">
        <v>648</v>
      </c>
      <c r="H21" s="59" t="n">
        <v>678</v>
      </c>
      <c r="I21" s="68" t="n">
        <f aca="false">IF(H21="","",G21-H21)</f>
        <v>-30</v>
      </c>
      <c r="J21" s="40" t="n">
        <f aca="false">IF(OR(D21="",D21+G21=0),"",D21/(D21+G21))</f>
        <v>0.433566433566434</v>
      </c>
      <c r="K21" s="40" t="n">
        <f aca="false">IF(E21="","",E21/(E21+H21))</f>
        <v>0.451012145748988</v>
      </c>
      <c r="L21" s="69" t="n">
        <f aca="false">IF(OR(K21="",J21=""),"",(J21-K21)*100)</f>
        <v>-1.74457121825543</v>
      </c>
      <c r="M21" s="36" t="n">
        <v>2.25214308303964</v>
      </c>
      <c r="N21" s="36" t="n">
        <v>1.39766310953213</v>
      </c>
      <c r="O21" s="36" t="n">
        <f aca="false">SQRT(M21^2+N21^2)</f>
        <v>2.65058684713976</v>
      </c>
      <c r="P21" s="40" t="n">
        <f aca="false">IF(J21="","",MAX(0,J21-1.96*O21/100))</f>
        <v>0.381614931362494</v>
      </c>
      <c r="Q21" s="40" t="n">
        <f aca="false">IF(J21="","",MIN(1,J21+1.96*O21/100))</f>
        <v>0.485517935770373</v>
      </c>
      <c r="R21" s="32" t="str">
        <f aca="false">IF(L21="","",IF(ABS(L21)&lt;=O21,"Yes","No"))</f>
        <v>Yes</v>
      </c>
      <c r="S21" s="32" t="str">
        <f aca="false">IF(L21="","",IF(ABS(L21)&lt;=1.96*O21,"Yes","No"))</f>
        <v>Yes</v>
      </c>
      <c r="T21" s="59" t="n">
        <f aca="false">IF(D21="","",ROUND(SQRT(((D21+G21)*O21/100)^2+(J21*(D21+G21)*0.05883)^2),0))</f>
        <v>42</v>
      </c>
      <c r="U21" s="32"/>
    </row>
    <row r="22" customFormat="false" ht="15" hidden="false" customHeight="false" outlineLevel="0" collapsed="false">
      <c r="A22" s="32" t="s">
        <v>159</v>
      </c>
      <c r="B22" s="32" t="s">
        <v>186</v>
      </c>
      <c r="C22" s="32" t="s">
        <v>161</v>
      </c>
      <c r="D22" s="59" t="n">
        <v>543</v>
      </c>
      <c r="E22" s="59" t="n">
        <v>625</v>
      </c>
      <c r="F22" s="68" t="n">
        <f aca="false">IF(E22="","",D22-E22)</f>
        <v>-82</v>
      </c>
      <c r="G22" s="59" t="n">
        <v>1304</v>
      </c>
      <c r="H22" s="59" t="n">
        <v>1506</v>
      </c>
      <c r="I22" s="68" t="n">
        <f aca="false">IF(H22="","",G22-H22)</f>
        <v>-202</v>
      </c>
      <c r="J22" s="40" t="n">
        <f aca="false">IF(OR(D22="",D22+G22=0),"",D22/(D22+G22))</f>
        <v>0.293990254466703</v>
      </c>
      <c r="K22" s="40" t="n">
        <f aca="false">IF(E22="","",E22/(E22+H22))</f>
        <v>0.293289535429376</v>
      </c>
      <c r="L22" s="69" t="n">
        <f aca="false">IF(OR(K22="",J22=""),"",(J22-K22)*100)</f>
        <v>0.070071903732688</v>
      </c>
      <c r="M22" s="36" t="n">
        <v>2.25214308303964</v>
      </c>
      <c r="N22" s="36" t="n">
        <v>1.39766310953213</v>
      </c>
      <c r="O22" s="36" t="n">
        <f aca="false">SQRT(M22^2+N22^2)</f>
        <v>2.65058684713976</v>
      </c>
      <c r="P22" s="40" t="n">
        <f aca="false">IF(J22="","",MAX(0,J22-1.96*O22/100))</f>
        <v>0.242038752262763</v>
      </c>
      <c r="Q22" s="40" t="n">
        <f aca="false">IF(J22="","",MIN(1,J22+1.96*O22/100))</f>
        <v>0.345941756670642</v>
      </c>
      <c r="R22" s="32" t="str">
        <f aca="false">IF(L22="","",IF(ABS(L22)&lt;=O22,"Yes","No"))</f>
        <v>Yes</v>
      </c>
      <c r="S22" s="32" t="str">
        <f aca="false">IF(L22="","",IF(ABS(L22)&lt;=1.96*O22,"Yes","No"))</f>
        <v>Yes</v>
      </c>
      <c r="T22" s="59" t="n">
        <f aca="false">IF(D22="","",ROUND(SQRT(((D22+G22)*O22/100)^2+(J22*(D22+G22)*0.05883)^2),0))</f>
        <v>58</v>
      </c>
      <c r="U22" s="32"/>
    </row>
    <row r="23" customFormat="false" ht="15" hidden="false" customHeight="false" outlineLevel="0" collapsed="false">
      <c r="A23" s="32" t="s">
        <v>159</v>
      </c>
      <c r="B23" s="32" t="s">
        <v>187</v>
      </c>
      <c r="C23" s="32" t="s">
        <v>161</v>
      </c>
      <c r="D23" s="59" t="n">
        <v>244</v>
      </c>
      <c r="E23" s="59" t="n">
        <v>245</v>
      </c>
      <c r="F23" s="68" t="n">
        <f aca="false">IF(E23="","",D23-E23)</f>
        <v>-1</v>
      </c>
      <c r="G23" s="59" t="n">
        <v>606</v>
      </c>
      <c r="H23" s="59" t="n">
        <v>656</v>
      </c>
      <c r="I23" s="68" t="n">
        <f aca="false">IF(H23="","",G23-H23)</f>
        <v>-50</v>
      </c>
      <c r="J23" s="40" t="n">
        <f aca="false">IF(OR(D23="",D23+G23=0),"",D23/(D23+G23))</f>
        <v>0.287058823529412</v>
      </c>
      <c r="K23" s="40" t="n">
        <f aca="false">IF(E23="","",E23/(E23+H23))</f>
        <v>0.271920088790233</v>
      </c>
      <c r="L23" s="69" t="n">
        <f aca="false">IF(OR(K23="",J23=""),"",(J23-K23)*100)</f>
        <v>1.51387347391787</v>
      </c>
      <c r="M23" s="36" t="n">
        <v>3.67166727778771</v>
      </c>
      <c r="N23" s="36" t="n">
        <v>1.39766310953213</v>
      </c>
      <c r="O23" s="36" t="n">
        <f aca="false">SQRT(M23^2+N23^2)</f>
        <v>3.92868970097207</v>
      </c>
      <c r="P23" s="40" t="n">
        <f aca="false">IF(J23="","",MAX(0,J23-1.96*O23/100))</f>
        <v>0.210056505390359</v>
      </c>
      <c r="Q23" s="40" t="n">
        <f aca="false">IF(J23="","",MIN(1,J23+1.96*O23/100))</f>
        <v>0.364061141668464</v>
      </c>
      <c r="R23" s="32" t="str">
        <f aca="false">IF(L23="","",IF(ABS(L23)&lt;=O23,"Yes","No"))</f>
        <v>Yes</v>
      </c>
      <c r="S23" s="32" t="str">
        <f aca="false">IF(L23="","",IF(ABS(L23)&lt;=1.96*O23,"Yes","No"))</f>
        <v>Yes</v>
      </c>
      <c r="T23" s="59" t="n">
        <f aca="false">IF(D23="","",ROUND(SQRT(((D23+G23)*O23/100)^2+(J23*(D23+G23)*0.07872)^2),0))</f>
        <v>39</v>
      </c>
      <c r="U23" s="32"/>
    </row>
    <row r="24" customFormat="false" ht="15" hidden="false" customHeight="false" outlineLevel="0" collapsed="false">
      <c r="A24" s="32" t="s">
        <v>159</v>
      </c>
      <c r="B24" s="32" t="s">
        <v>188</v>
      </c>
      <c r="C24" s="32" t="s">
        <v>161</v>
      </c>
      <c r="D24" s="59" t="n">
        <v>40</v>
      </c>
      <c r="E24" s="59" t="n">
        <v>46</v>
      </c>
      <c r="F24" s="68" t="n">
        <f aca="false">IF(E24="","",D24-E24)</f>
        <v>-6</v>
      </c>
      <c r="G24" s="59" t="n">
        <v>52</v>
      </c>
      <c r="H24" s="59" t="n">
        <v>54</v>
      </c>
      <c r="I24" s="68" t="n">
        <f aca="false">IF(H24="","",G24-H24)</f>
        <v>-2</v>
      </c>
      <c r="J24" s="40" t="n">
        <f aca="false">IF(OR(D24="",D24+G24=0),"",D24/(D24+G24))</f>
        <v>0.434782608695652</v>
      </c>
      <c r="K24" s="40" t="n">
        <f aca="false">IF(E24="","",E24/(E24+H24))</f>
        <v>0.46</v>
      </c>
      <c r="L24" s="69" t="n">
        <f aca="false">IF(OR(K24="",J24=""),"",(J24-K24)*100)</f>
        <v>-2.52173913043479</v>
      </c>
      <c r="M24" s="36" t="n">
        <v>3.67166727778771</v>
      </c>
      <c r="N24" s="36" t="n">
        <v>1.39766310953213</v>
      </c>
      <c r="O24" s="36" t="n">
        <f aca="false">SQRT(M24^2+N24^2)</f>
        <v>3.92868970097207</v>
      </c>
      <c r="P24" s="40" t="n">
        <f aca="false">IF(J24="","",MAX(0,J24-1.96*O24/100))</f>
        <v>0.3577802905566</v>
      </c>
      <c r="Q24" s="40" t="n">
        <f aca="false">IF(J24="","",MIN(1,J24+1.96*O24/100))</f>
        <v>0.511784926834705</v>
      </c>
      <c r="R24" s="32" t="str">
        <f aca="false">IF(L24="","",IF(ABS(L24)&lt;=O24,"Yes","No"))</f>
        <v>Yes</v>
      </c>
      <c r="S24" s="32" t="str">
        <f aca="false">IF(L24="","",IF(ABS(L24)&lt;=1.96*O24,"Yes","No"))</f>
        <v>Yes</v>
      </c>
      <c r="T24" s="59" t="n">
        <f aca="false">IF(D24="","",ROUND(SQRT(((D24+G24)*O24/100)^2+(J24*(D24+G24)*0.07872)^2),0))</f>
        <v>5</v>
      </c>
      <c r="U24" s="32"/>
    </row>
    <row r="25" customFormat="false" ht="15" hidden="false" customHeight="false" outlineLevel="0" collapsed="false">
      <c r="A25" s="32" t="s">
        <v>189</v>
      </c>
      <c r="B25" s="32" t="s">
        <v>190</v>
      </c>
      <c r="C25" s="32" t="s">
        <v>161</v>
      </c>
      <c r="D25" s="59" t="n">
        <v>468</v>
      </c>
      <c r="E25" s="59" t="n">
        <v>494</v>
      </c>
      <c r="F25" s="68" t="n">
        <f aca="false">IF(E25="","",D25-E25)</f>
        <v>-26</v>
      </c>
      <c r="G25" s="59" t="n">
        <v>458</v>
      </c>
      <c r="H25" s="59" t="n">
        <v>519</v>
      </c>
      <c r="I25" s="68" t="n">
        <f aca="false">IF(H25="","",G25-H25)</f>
        <v>-61</v>
      </c>
      <c r="J25" s="40" t="n">
        <f aca="false">IF(OR(D25="",D25+G25=0),"",D25/(D25+G25))</f>
        <v>0.505399568034557</v>
      </c>
      <c r="K25" s="40" t="n">
        <f aca="false">IF(E25="","",E25/(E25+H25))</f>
        <v>0.487660414610069</v>
      </c>
      <c r="L25" s="69" t="n">
        <f aca="false">IF(OR(K25="",J25=""),"",(J25-K25)*100)</f>
        <v>1.77391534244881</v>
      </c>
      <c r="M25" s="36" t="n">
        <v>3.67166727778771</v>
      </c>
      <c r="N25" s="36" t="n">
        <v>1.39766310953213</v>
      </c>
      <c r="O25" s="36" t="n">
        <f aca="false">SQRT(M25^2+N25^2)</f>
        <v>3.92868970097207</v>
      </c>
      <c r="P25" s="40" t="n">
        <f aca="false">IF(J25="","",MAX(0,J25-1.96*O25/100))</f>
        <v>0.428397249895505</v>
      </c>
      <c r="Q25" s="40" t="n">
        <f aca="false">IF(J25="","",MIN(1,J25+1.96*O25/100))</f>
        <v>0.58240188617361</v>
      </c>
      <c r="R25" s="32" t="str">
        <f aca="false">IF(L25="","",IF(ABS(L25)&lt;=O25,"Yes","No"))</f>
        <v>Yes</v>
      </c>
      <c r="S25" s="32" t="str">
        <f aca="false">IF(L25="","",IF(ABS(L25)&lt;=1.96*O25,"Yes","No"))</f>
        <v>Yes</v>
      </c>
      <c r="T25" s="59" t="n">
        <f aca="false">IF(D25="","",ROUND(SQRT(((D25+G25)*O25/100)^2+(J25*(D25+G25)*0.07872)^2),0))</f>
        <v>52</v>
      </c>
      <c r="U25" s="32"/>
    </row>
    <row r="26" customFormat="false" ht="15" hidden="false" customHeight="false" outlineLevel="0" collapsed="false">
      <c r="A26" s="32" t="s">
        <v>189</v>
      </c>
      <c r="B26" s="32" t="s">
        <v>191</v>
      </c>
      <c r="C26" s="32" t="s">
        <v>161</v>
      </c>
      <c r="D26" s="59" t="n">
        <v>18978</v>
      </c>
      <c r="E26" s="59" t="n">
        <v>16965</v>
      </c>
      <c r="F26" s="68" t="n">
        <f aca="false">IF(E26="","",D26-E26)</f>
        <v>2013</v>
      </c>
      <c r="G26" s="59" t="n">
        <v>7825</v>
      </c>
      <c r="H26" s="59" t="n">
        <v>7936</v>
      </c>
      <c r="I26" s="68" t="n">
        <f aca="false">IF(H26="","",G26-H26)</f>
        <v>-111</v>
      </c>
      <c r="J26" s="40" t="n">
        <f aca="false">IF(OR(D26="",D26+G26=0),"",D26/(D26+G26))</f>
        <v>0.708055068462486</v>
      </c>
      <c r="K26" s="40" t="n">
        <f aca="false">IF(E26="","",E26/(E26+H26))</f>
        <v>0.681297939841773</v>
      </c>
      <c r="L26" s="69" t="n">
        <f aca="false">IF(OR(K26="",J26=""),"",(J26-K26)*100)</f>
        <v>2.67571286207121</v>
      </c>
      <c r="M26" s="36" t="n">
        <v>1.81013497502969</v>
      </c>
      <c r="N26" s="36" t="n">
        <v>1.39766310953213</v>
      </c>
      <c r="O26" s="36" t="n">
        <f aca="false">SQRT(M26^2+N26^2)</f>
        <v>2.28693043085546</v>
      </c>
      <c r="P26" s="40" t="n">
        <f aca="false">IF(J26="","",MAX(0,J26-1.96*O26/100))</f>
        <v>0.663231232017719</v>
      </c>
      <c r="Q26" s="40" t="n">
        <f aca="false">IF(J26="","",MIN(1,J26+1.96*O26/100))</f>
        <v>0.752878904907253</v>
      </c>
      <c r="R26" s="32" t="str">
        <f aca="false">IF(L26="","",IF(ABS(L26)&lt;=O26,"Yes","No"))</f>
        <v>No</v>
      </c>
      <c r="S26" s="32" t="str">
        <f aca="false">IF(L26="","",IF(ABS(L26)&lt;=1.96*O26,"Yes","No"))</f>
        <v>Yes</v>
      </c>
      <c r="T26" s="59" t="n">
        <f aca="false">IF(D26="","",ROUND(SQRT(((D26+G26)*O26/100)^2+(J26*(D26+G26)*0.04942)^2),0))</f>
        <v>1120</v>
      </c>
      <c r="U26" s="32"/>
    </row>
    <row r="27" customFormat="false" ht="15" hidden="false" customHeight="false" outlineLevel="0" collapsed="false">
      <c r="A27" s="32" t="s">
        <v>189</v>
      </c>
      <c r="B27" s="32" t="s">
        <v>192</v>
      </c>
      <c r="C27" s="32" t="s">
        <v>161</v>
      </c>
      <c r="D27" s="59" t="n">
        <v>4904</v>
      </c>
      <c r="E27" s="59" t="n">
        <v>5186</v>
      </c>
      <c r="F27" s="68" t="n">
        <f aca="false">IF(E27="","",D27-E27)</f>
        <v>-282</v>
      </c>
      <c r="G27" s="59" t="n">
        <v>2610</v>
      </c>
      <c r="H27" s="59" t="n">
        <v>2705</v>
      </c>
      <c r="I27" s="68" t="n">
        <f aca="false">IF(H27="","",G27-H27)</f>
        <v>-95</v>
      </c>
      <c r="J27" s="40" t="n">
        <f aca="false">IF(OR(D27="",D27+G27=0),"",D27/(D27+G27))</f>
        <v>0.652648389672611</v>
      </c>
      <c r="K27" s="40" t="n">
        <f aca="false">IF(E27="","",E27/(E27+H27))</f>
        <v>0.657204410087441</v>
      </c>
      <c r="L27" s="69" t="n">
        <f aca="false">IF(OR(K27="",J27=""),"",(J27-K27)*100)</f>
        <v>-0.455602041483028</v>
      </c>
      <c r="M27" s="36" t="n">
        <v>1.81013497502969</v>
      </c>
      <c r="N27" s="36" t="n">
        <v>1.39766310953213</v>
      </c>
      <c r="O27" s="36" t="n">
        <f aca="false">SQRT(M27^2+N27^2)</f>
        <v>2.28693043085546</v>
      </c>
      <c r="P27" s="40" t="n">
        <f aca="false">IF(J27="","",MAX(0,J27-1.96*O27/100))</f>
        <v>0.607824553227844</v>
      </c>
      <c r="Q27" s="40" t="n">
        <f aca="false">IF(J27="","",MIN(1,J27+1.96*O27/100))</f>
        <v>0.697472226117378</v>
      </c>
      <c r="R27" s="32" t="str">
        <f aca="false">IF(L27="","",IF(ABS(L27)&lt;=O27,"Yes","No"))</f>
        <v>Yes</v>
      </c>
      <c r="S27" s="32" t="str">
        <f aca="false">IF(L27="","",IF(ABS(L27)&lt;=1.96*O27,"Yes","No"))</f>
        <v>Yes</v>
      </c>
      <c r="T27" s="59" t="n">
        <f aca="false">IF(D27="","",ROUND(SQRT(((D27+G27)*O27/100)^2+(J27*(D27+G27)*0.04942)^2),0))</f>
        <v>297</v>
      </c>
      <c r="U27" s="32"/>
    </row>
    <row r="28" customFormat="false" ht="15" hidden="false" customHeight="false" outlineLevel="0" collapsed="false">
      <c r="A28" s="32" t="s">
        <v>189</v>
      </c>
      <c r="B28" s="32" t="s">
        <v>193</v>
      </c>
      <c r="C28" s="32" t="s">
        <v>161</v>
      </c>
      <c r="D28" s="59" t="n">
        <v>1102</v>
      </c>
      <c r="E28" s="59" t="n">
        <v>1135</v>
      </c>
      <c r="F28" s="68" t="n">
        <f aca="false">IF(E28="","",D28-E28)</f>
        <v>-33</v>
      </c>
      <c r="G28" s="59" t="n">
        <v>941</v>
      </c>
      <c r="H28" s="59" t="n">
        <v>975</v>
      </c>
      <c r="I28" s="68" t="n">
        <f aca="false">IF(H28="","",G28-H28)</f>
        <v>-34</v>
      </c>
      <c r="J28" s="40" t="n">
        <f aca="false">IF(OR(D28="",D28+G28=0),"",D28/(D28+G28))</f>
        <v>0.53940283896231</v>
      </c>
      <c r="K28" s="40" t="n">
        <f aca="false">IF(E28="","",E28/(E28+H28))</f>
        <v>0.537914691943128</v>
      </c>
      <c r="L28" s="69" t="n">
        <f aca="false">IF(OR(K28="",J28=""),"",(J28-K28)*100)</f>
        <v>0.148814701918243</v>
      </c>
      <c r="M28" s="36" t="n">
        <v>2.25214308303964</v>
      </c>
      <c r="N28" s="36" t="n">
        <v>1.39766310953213</v>
      </c>
      <c r="O28" s="36" t="n">
        <f aca="false">SQRT(M28^2+N28^2)</f>
        <v>2.65058684713976</v>
      </c>
      <c r="P28" s="40" t="n">
        <f aca="false">IF(J28="","",MAX(0,J28-1.96*O28/100))</f>
        <v>0.487451336758371</v>
      </c>
      <c r="Q28" s="40" t="n">
        <f aca="false">IF(J28="","",MIN(1,J28+1.96*O28/100))</f>
        <v>0.59135434116625</v>
      </c>
      <c r="R28" s="32" t="str">
        <f aca="false">IF(L28="","",IF(ABS(L28)&lt;=O28,"Yes","No"))</f>
        <v>Yes</v>
      </c>
      <c r="S28" s="32" t="str">
        <f aca="false">IF(L28="","",IF(ABS(L28)&lt;=1.96*O28,"Yes","No"))</f>
        <v>Yes</v>
      </c>
      <c r="T28" s="59" t="n">
        <f aca="false">IF(D28="","",ROUND(SQRT(((D28+G28)*O28/100)^2+(J28*(D28+G28)*0.05883)^2),0))</f>
        <v>84</v>
      </c>
      <c r="U28" s="32"/>
    </row>
    <row r="29" customFormat="false" ht="15" hidden="false" customHeight="false" outlineLevel="0" collapsed="false">
      <c r="A29" s="32" t="s">
        <v>189</v>
      </c>
      <c r="B29" s="32" t="s">
        <v>194</v>
      </c>
      <c r="C29" s="32" t="s">
        <v>161</v>
      </c>
      <c r="D29" s="59" t="n">
        <v>544</v>
      </c>
      <c r="E29" s="59" t="n">
        <v>621</v>
      </c>
      <c r="F29" s="68" t="n">
        <f aca="false">IF(E29="","",D29-E29)</f>
        <v>-77</v>
      </c>
      <c r="G29" s="59" t="n">
        <v>543</v>
      </c>
      <c r="H29" s="59" t="n">
        <v>598</v>
      </c>
      <c r="I29" s="68" t="n">
        <f aca="false">IF(H29="","",G29-H29)</f>
        <v>-55</v>
      </c>
      <c r="J29" s="40" t="n">
        <f aca="false">IF(OR(D29="",D29+G29=0),"",D29/(D29+G29))</f>
        <v>0.500459981600736</v>
      </c>
      <c r="K29" s="40" t="n">
        <f aca="false">IF(E29="","",E29/(E29+H29))</f>
        <v>0.509433962264151</v>
      </c>
      <c r="L29" s="69" t="n">
        <f aca="false">IF(OR(K29="",J29=""),"",(J29-K29)*100)</f>
        <v>-0.897398066341493</v>
      </c>
      <c r="M29" s="36" t="n">
        <v>3.67166727778771</v>
      </c>
      <c r="N29" s="36" t="n">
        <v>1.39766310953213</v>
      </c>
      <c r="O29" s="36" t="n">
        <f aca="false">SQRT(M29^2+N29^2)</f>
        <v>3.92868970097207</v>
      </c>
      <c r="P29" s="40" t="n">
        <f aca="false">IF(J29="","",MAX(0,J29-1.96*O29/100))</f>
        <v>0.423457663461683</v>
      </c>
      <c r="Q29" s="40" t="n">
        <f aca="false">IF(J29="","",MIN(1,J29+1.96*O29/100))</f>
        <v>0.577462299739789</v>
      </c>
      <c r="R29" s="32" t="str">
        <f aca="false">IF(L29="","",IF(ABS(L29)&lt;=O29,"Yes","No"))</f>
        <v>Yes</v>
      </c>
      <c r="S29" s="32" t="str">
        <f aca="false">IF(L29="","",IF(ABS(L29)&lt;=1.96*O29,"Yes","No"))</f>
        <v>Yes</v>
      </c>
      <c r="T29" s="59" t="n">
        <f aca="false">IF(D29="","",ROUND(SQRT(((D29+G29)*O29/100)^2+(J29*(D29+G29)*0.07872)^2),0))</f>
        <v>60</v>
      </c>
      <c r="U29" s="32"/>
    </row>
    <row r="30" customFormat="false" ht="15" hidden="false" customHeight="false" outlineLevel="0" collapsed="false">
      <c r="A30" s="32" t="s">
        <v>189</v>
      </c>
      <c r="B30" s="32" t="s">
        <v>195</v>
      </c>
      <c r="C30" s="32" t="s">
        <v>161</v>
      </c>
      <c r="D30" s="59" t="n">
        <v>673</v>
      </c>
      <c r="E30" s="59" t="n">
        <v>691</v>
      </c>
      <c r="F30" s="68" t="n">
        <f aca="false">IF(E30="","",D30-E30)</f>
        <v>-18</v>
      </c>
      <c r="G30" s="59" t="n">
        <v>585</v>
      </c>
      <c r="H30" s="59" t="n">
        <v>606</v>
      </c>
      <c r="I30" s="68" t="n">
        <f aca="false">IF(H30="","",G30-H30)</f>
        <v>-21</v>
      </c>
      <c r="J30" s="40" t="n">
        <f aca="false">IF(OR(D30="",D30+G30=0),"",D30/(D30+G30))</f>
        <v>0.534976152623211</v>
      </c>
      <c r="K30" s="40" t="n">
        <f aca="false">IF(E30="","",E30/(E30+H30))</f>
        <v>0.532767925983038</v>
      </c>
      <c r="L30" s="69" t="n">
        <f aca="false">IF(OR(K30="",J30=""),"",(J30-K30)*100)</f>
        <v>0.220822664017362</v>
      </c>
      <c r="M30" s="36" t="n">
        <v>2.25214308303964</v>
      </c>
      <c r="N30" s="36" t="n">
        <v>1.39766310953213</v>
      </c>
      <c r="O30" s="36" t="n">
        <f aca="false">SQRT(M30^2+N30^2)</f>
        <v>2.65058684713976</v>
      </c>
      <c r="P30" s="40" t="n">
        <f aca="false">IF(J30="","",MAX(0,J30-1.96*O30/100))</f>
        <v>0.483024650419272</v>
      </c>
      <c r="Q30" s="40" t="n">
        <f aca="false">IF(J30="","",MIN(1,J30+1.96*O30/100))</f>
        <v>0.586927654827151</v>
      </c>
      <c r="R30" s="32" t="str">
        <f aca="false">IF(L30="","",IF(ABS(L30)&lt;=O30,"Yes","No"))</f>
        <v>Yes</v>
      </c>
      <c r="S30" s="32" t="str">
        <f aca="false">IF(L30="","",IF(ABS(L30)&lt;=1.96*O30,"Yes","No"))</f>
        <v>Yes</v>
      </c>
      <c r="T30" s="59" t="n">
        <f aca="false">IF(D30="","",ROUND(SQRT(((D30+G30)*O30/100)^2+(J30*(D30+G30)*0.05883)^2),0))</f>
        <v>52</v>
      </c>
      <c r="U30" s="32"/>
    </row>
    <row r="31" customFormat="false" ht="15" hidden="false" customHeight="false" outlineLevel="0" collapsed="false">
      <c r="A31" s="32" t="s">
        <v>189</v>
      </c>
      <c r="B31" s="32" t="s">
        <v>196</v>
      </c>
      <c r="C31" s="32" t="s">
        <v>161</v>
      </c>
      <c r="D31" s="59" t="n">
        <v>2577</v>
      </c>
      <c r="E31" s="59" t="n">
        <v>2834</v>
      </c>
      <c r="F31" s="68" t="n">
        <f aca="false">IF(E31="","",D31-E31)</f>
        <v>-257</v>
      </c>
      <c r="G31" s="59" t="n">
        <v>2136</v>
      </c>
      <c r="H31" s="59" t="n">
        <v>2250</v>
      </c>
      <c r="I31" s="68" t="n">
        <f aca="false">IF(H31="","",G31-H31)</f>
        <v>-114</v>
      </c>
      <c r="J31" s="40" t="n">
        <f aca="false">IF(OR(D31="",D31+G31=0),"",D31/(D31+G31))</f>
        <v>0.546785486950987</v>
      </c>
      <c r="K31" s="40" t="n">
        <f aca="false">IF(E31="","",E31/(E31+H31))</f>
        <v>0.557435090479937</v>
      </c>
      <c r="L31" s="69" t="n">
        <f aca="false">IF(OR(K31="",J31=""),"",(J31-K31)*100)</f>
        <v>-1.06496035289505</v>
      </c>
      <c r="M31" s="36" t="n">
        <v>1.81013497502969</v>
      </c>
      <c r="N31" s="36" t="n">
        <v>1.39766310953213</v>
      </c>
      <c r="O31" s="36" t="n">
        <f aca="false">SQRT(M31^2+N31^2)</f>
        <v>2.28693043085546</v>
      </c>
      <c r="P31" s="40" t="n">
        <f aca="false">IF(J31="","",MAX(0,J31-1.96*O31/100))</f>
        <v>0.50196165050622</v>
      </c>
      <c r="Q31" s="40" t="n">
        <f aca="false">IF(J31="","",MIN(1,J31+1.96*O31/100))</f>
        <v>0.591609323395754</v>
      </c>
      <c r="R31" s="32" t="str">
        <f aca="false">IF(L31="","",IF(ABS(L31)&lt;=O31,"Yes","No"))</f>
        <v>Yes</v>
      </c>
      <c r="S31" s="32" t="str">
        <f aca="false">IF(L31="","",IF(ABS(L31)&lt;=1.96*O31,"Yes","No"))</f>
        <v>Yes</v>
      </c>
      <c r="T31" s="59" t="n">
        <f aca="false">IF(D31="","",ROUND(SQRT(((D31+G31)*O31/100)^2+(J31*(D31+G31)*0.04942)^2),0))</f>
        <v>167</v>
      </c>
      <c r="U31" s="32"/>
    </row>
    <row r="32" customFormat="false" ht="15" hidden="false" customHeight="false" outlineLevel="0" collapsed="false">
      <c r="A32" s="32" t="s">
        <v>189</v>
      </c>
      <c r="B32" s="32" t="s">
        <v>197</v>
      </c>
      <c r="C32" s="32" t="s">
        <v>161</v>
      </c>
      <c r="D32" s="59" t="n">
        <v>1124</v>
      </c>
      <c r="E32" s="59" t="n">
        <v>1070</v>
      </c>
      <c r="F32" s="68" t="n">
        <f aca="false">IF(E32="","",D32-E32)</f>
        <v>54</v>
      </c>
      <c r="G32" s="59" t="n">
        <v>491</v>
      </c>
      <c r="H32" s="59" t="n">
        <v>479</v>
      </c>
      <c r="I32" s="68" t="n">
        <f aca="false">IF(H32="","",G32-H32)</f>
        <v>12</v>
      </c>
      <c r="J32" s="40" t="n">
        <f aca="false">IF(OR(D32="",D32+G32=0),"",D32/(D32+G32))</f>
        <v>0.695975232198142</v>
      </c>
      <c r="K32" s="40" t="n">
        <f aca="false">IF(E32="","",E32/(E32+H32))</f>
        <v>0.690768237572628</v>
      </c>
      <c r="L32" s="69" t="n">
        <f aca="false">IF(OR(K32="",J32=""),"",(J32-K32)*100)</f>
        <v>0.520699462551488</v>
      </c>
      <c r="M32" s="36" t="n">
        <v>2.25214308303964</v>
      </c>
      <c r="N32" s="36" t="n">
        <v>1.39766310953213</v>
      </c>
      <c r="O32" s="36" t="n">
        <f aca="false">SQRT(M32^2+N32^2)</f>
        <v>2.65058684713976</v>
      </c>
      <c r="P32" s="40" t="n">
        <f aca="false">IF(J32="","",MAX(0,J32-1.96*O32/100))</f>
        <v>0.644023729994203</v>
      </c>
      <c r="Q32" s="40" t="n">
        <f aca="false">IF(J32="","",MIN(1,J32+1.96*O32/100))</f>
        <v>0.747926734402082</v>
      </c>
      <c r="R32" s="32" t="str">
        <f aca="false">IF(L32="","",IF(ABS(L32)&lt;=O32,"Yes","No"))</f>
        <v>Yes</v>
      </c>
      <c r="S32" s="32" t="str">
        <f aca="false">IF(L32="","",IF(ABS(L32)&lt;=1.96*O32,"Yes","No"))</f>
        <v>Yes</v>
      </c>
      <c r="T32" s="59" t="n">
        <f aca="false">IF(D32="","",ROUND(SQRT(((D32+G32)*O32/100)^2+(J32*(D32+G32)*0.05883)^2),0))</f>
        <v>79</v>
      </c>
      <c r="U32" s="32"/>
    </row>
    <row r="33" customFormat="false" ht="15" hidden="false" customHeight="false" outlineLevel="0" collapsed="false">
      <c r="A33" s="32" t="s">
        <v>189</v>
      </c>
      <c r="B33" s="32" t="s">
        <v>198</v>
      </c>
      <c r="C33" s="32" t="s">
        <v>161</v>
      </c>
      <c r="D33" s="59" t="n">
        <v>283</v>
      </c>
      <c r="E33" s="59" t="n">
        <v>262</v>
      </c>
      <c r="F33" s="68" t="n">
        <f aca="false">IF(E33="","",D33-E33)</f>
        <v>21</v>
      </c>
      <c r="G33" s="59" t="n">
        <v>206</v>
      </c>
      <c r="H33" s="59" t="n">
        <v>205</v>
      </c>
      <c r="I33" s="68" t="n">
        <f aca="false">IF(H33="","",G33-H33)</f>
        <v>1</v>
      </c>
      <c r="J33" s="40" t="n">
        <f aca="false">IF(OR(D33="",D33+G33=0),"",D33/(D33+G33))</f>
        <v>0.578732106339468</v>
      </c>
      <c r="K33" s="40" t="n">
        <f aca="false">IF(E33="","",E33/(E33+H33))</f>
        <v>0.561027837259101</v>
      </c>
      <c r="L33" s="69" t="n">
        <f aca="false">IF(OR(K33="",J33=""),"",(J33-K33)*100)</f>
        <v>1.77042690803676</v>
      </c>
      <c r="M33" s="36" t="n">
        <v>3.67166727778771</v>
      </c>
      <c r="N33" s="36" t="n">
        <v>1.39766310953213</v>
      </c>
      <c r="O33" s="36" t="n">
        <f aca="false">SQRT(M33^2+N33^2)</f>
        <v>3.92868970097207</v>
      </c>
      <c r="P33" s="40" t="n">
        <f aca="false">IF(J33="","",MAX(0,J33-1.96*O33/100))</f>
        <v>0.501729788200416</v>
      </c>
      <c r="Q33" s="40" t="n">
        <f aca="false">IF(J33="","",MIN(1,J33+1.96*O33/100))</f>
        <v>0.655734424478521</v>
      </c>
      <c r="R33" s="32" t="str">
        <f aca="false">IF(L33="","",IF(ABS(L33)&lt;=O33,"Yes","No"))</f>
        <v>Yes</v>
      </c>
      <c r="S33" s="32" t="str">
        <f aca="false">IF(L33="","",IF(ABS(L33)&lt;=1.96*O33,"Yes","No"))</f>
        <v>Yes</v>
      </c>
      <c r="T33" s="59" t="n">
        <f aca="false">IF(D33="","",ROUND(SQRT(((D33+G33)*O33/100)^2+(J33*(D33+G33)*0.07872)^2),0))</f>
        <v>29</v>
      </c>
      <c r="U33" s="32"/>
    </row>
    <row r="34" customFormat="false" ht="15" hidden="false" customHeight="false" outlineLevel="0" collapsed="false">
      <c r="A34" s="32" t="s">
        <v>189</v>
      </c>
      <c r="B34" s="32" t="s">
        <v>199</v>
      </c>
      <c r="C34" s="32" t="s">
        <v>161</v>
      </c>
      <c r="D34" s="59" t="n">
        <v>498</v>
      </c>
      <c r="E34" s="59" t="n">
        <v>532</v>
      </c>
      <c r="F34" s="68" t="n">
        <f aca="false">IF(E34="","",D34-E34)</f>
        <v>-34</v>
      </c>
      <c r="G34" s="59" t="n">
        <v>975</v>
      </c>
      <c r="H34" s="59" t="n">
        <v>1068</v>
      </c>
      <c r="I34" s="68" t="n">
        <f aca="false">IF(H34="","",G34-H34)</f>
        <v>-93</v>
      </c>
      <c r="J34" s="40" t="n">
        <f aca="false">IF(OR(D34="",D34+G34=0),"",D34/(D34+G34))</f>
        <v>0.338085539714868</v>
      </c>
      <c r="K34" s="40" t="n">
        <f aca="false">IF(E34="","",E34/(E34+H34))</f>
        <v>0.3325</v>
      </c>
      <c r="L34" s="69" t="n">
        <f aca="false">IF(OR(K34="",J34=""),"",(J34-K34)*100)</f>
        <v>0.558553971486758</v>
      </c>
      <c r="M34" s="36" t="n">
        <v>2.25214308303964</v>
      </c>
      <c r="N34" s="36" t="n">
        <v>1.39766310953213</v>
      </c>
      <c r="O34" s="36" t="n">
        <f aca="false">SQRT(M34^2+N34^2)</f>
        <v>2.65058684713976</v>
      </c>
      <c r="P34" s="40" t="n">
        <f aca="false">IF(J34="","",MAX(0,J34-1.96*O34/100))</f>
        <v>0.286134037510928</v>
      </c>
      <c r="Q34" s="40" t="n">
        <f aca="false">IF(J34="","",MIN(1,J34+1.96*O34/100))</f>
        <v>0.390037041918807</v>
      </c>
      <c r="R34" s="32" t="str">
        <f aca="false">IF(L34="","",IF(ABS(L34)&lt;=O34,"Yes","No"))</f>
        <v>Yes</v>
      </c>
      <c r="S34" s="32" t="str">
        <f aca="false">IF(L34="","",IF(ABS(L34)&lt;=1.96*O34,"Yes","No"))</f>
        <v>Yes</v>
      </c>
      <c r="T34" s="59" t="n">
        <f aca="false">IF(D34="","",ROUND(SQRT(((D34+G34)*O34/100)^2+(J34*(D34+G34)*0.05883)^2),0))</f>
        <v>49</v>
      </c>
      <c r="U34" s="32"/>
    </row>
    <row r="35" customFormat="false" ht="15" hidden="false" customHeight="false" outlineLevel="0" collapsed="false">
      <c r="A35" s="32" t="s">
        <v>189</v>
      </c>
      <c r="B35" s="32" t="s">
        <v>200</v>
      </c>
      <c r="C35" s="32" t="s">
        <v>161</v>
      </c>
      <c r="D35" s="59" t="n">
        <v>7863</v>
      </c>
      <c r="E35" s="59" t="n">
        <v>8358</v>
      </c>
      <c r="F35" s="68" t="n">
        <f aca="false">IF(E35="","",D35-E35)</f>
        <v>-495</v>
      </c>
      <c r="G35" s="59" t="n">
        <v>7199</v>
      </c>
      <c r="H35" s="59" t="n">
        <v>7595</v>
      </c>
      <c r="I35" s="68" t="n">
        <f aca="false">IF(H35="","",G35-H35)</f>
        <v>-396</v>
      </c>
      <c r="J35" s="40" t="n">
        <f aca="false">IF(OR(D35="",D35+G35=0),"",D35/(D35+G35))</f>
        <v>0.522042225468065</v>
      </c>
      <c r="K35" s="40" t="n">
        <f aca="false">IF(E35="","",E35/(E35+H35))</f>
        <v>0.523913997367266</v>
      </c>
      <c r="L35" s="69" t="n">
        <f aca="false">IF(OR(K35="",J35=""),"",(J35-K35)*100)</f>
        <v>-0.187177189920096</v>
      </c>
      <c r="M35" s="36" t="n">
        <v>1.81013497502969</v>
      </c>
      <c r="N35" s="36" t="n">
        <v>1.39766310953213</v>
      </c>
      <c r="O35" s="36" t="n">
        <f aca="false">SQRT(M35^2+N35^2)</f>
        <v>2.28693043085546</v>
      </c>
      <c r="P35" s="40" t="n">
        <f aca="false">IF(J35="","",MAX(0,J35-1.96*O35/100))</f>
        <v>0.477218389023298</v>
      </c>
      <c r="Q35" s="40" t="n">
        <f aca="false">IF(J35="","",MIN(1,J35+1.96*O35/100))</f>
        <v>0.566866061912832</v>
      </c>
      <c r="R35" s="32" t="str">
        <f aca="false">IF(L35="","",IF(ABS(L35)&lt;=O35,"Yes","No"))</f>
        <v>Yes</v>
      </c>
      <c r="S35" s="32" t="str">
        <f aca="false">IF(L35="","",IF(ABS(L35)&lt;=1.96*O35,"Yes","No"))</f>
        <v>Yes</v>
      </c>
      <c r="T35" s="59" t="n">
        <f aca="false">IF(D35="","",ROUND(SQRT(((D35+G35)*O35/100)^2+(J35*(D35+G35)*0.04942)^2),0))</f>
        <v>519</v>
      </c>
      <c r="U35" s="32"/>
    </row>
    <row r="36" customFormat="false" ht="15" hidden="false" customHeight="false" outlineLevel="0" collapsed="false">
      <c r="A36" s="32" t="s">
        <v>189</v>
      </c>
      <c r="B36" s="32" t="s">
        <v>201</v>
      </c>
      <c r="C36" s="32" t="s">
        <v>161</v>
      </c>
      <c r="D36" s="59" t="n">
        <v>771</v>
      </c>
      <c r="E36" s="59" t="n">
        <v>850</v>
      </c>
      <c r="F36" s="68" t="n">
        <f aca="false">IF(E36="","",D36-E36)</f>
        <v>-79</v>
      </c>
      <c r="G36" s="59" t="n">
        <v>1241</v>
      </c>
      <c r="H36" s="59" t="n">
        <v>1311</v>
      </c>
      <c r="I36" s="68" t="n">
        <f aca="false">IF(H36="","",G36-H36)</f>
        <v>-70</v>
      </c>
      <c r="J36" s="40" t="n">
        <f aca="false">IF(OR(D36="",D36+G36=0),"",D36/(D36+G36))</f>
        <v>0.383200795228628</v>
      </c>
      <c r="K36" s="40" t="n">
        <f aca="false">IF(E36="","",E36/(E36+H36))</f>
        <v>0.39333641832485</v>
      </c>
      <c r="L36" s="69" t="n">
        <f aca="false">IF(OR(K36="",J36=""),"",(J36-K36)*100)</f>
        <v>-1.01356230962214</v>
      </c>
      <c r="M36" s="36" t="n">
        <v>2.25214308303964</v>
      </c>
      <c r="N36" s="36" t="n">
        <v>1.39766310953213</v>
      </c>
      <c r="O36" s="36" t="n">
        <f aca="false">SQRT(M36^2+N36^2)</f>
        <v>2.65058684713976</v>
      </c>
      <c r="P36" s="40" t="n">
        <f aca="false">IF(J36="","",MAX(0,J36-1.96*O36/100))</f>
        <v>0.331249293024689</v>
      </c>
      <c r="Q36" s="40" t="n">
        <f aca="false">IF(J36="","",MIN(1,J36+1.96*O36/100))</f>
        <v>0.435152297432568</v>
      </c>
      <c r="R36" s="32" t="str">
        <f aca="false">IF(L36="","",IF(ABS(L36)&lt;=O36,"Yes","No"))</f>
        <v>Yes</v>
      </c>
      <c r="S36" s="32" t="str">
        <f aca="false">IF(L36="","",IF(ABS(L36)&lt;=1.96*O36,"Yes","No"))</f>
        <v>Yes</v>
      </c>
      <c r="T36" s="59" t="n">
        <f aca="false">IF(D36="","",ROUND(SQRT(((D36+G36)*O36/100)^2+(J36*(D36+G36)*0.05883)^2),0))</f>
        <v>70</v>
      </c>
      <c r="U36" s="32"/>
    </row>
    <row r="37" customFormat="false" ht="15" hidden="false" customHeight="false" outlineLevel="0" collapsed="false">
      <c r="A37" s="32" t="s">
        <v>189</v>
      </c>
      <c r="B37" s="32" t="s">
        <v>202</v>
      </c>
      <c r="C37" s="32" t="s">
        <v>161</v>
      </c>
      <c r="D37" s="59" t="n">
        <v>441</v>
      </c>
      <c r="E37" s="59" t="n">
        <v>457</v>
      </c>
      <c r="F37" s="68" t="n">
        <f aca="false">IF(E37="","",D37-E37)</f>
        <v>-16</v>
      </c>
      <c r="G37" s="59" t="n">
        <v>737</v>
      </c>
      <c r="H37" s="59" t="n">
        <v>760</v>
      </c>
      <c r="I37" s="68" t="n">
        <f aca="false">IF(H37="","",G37-H37)</f>
        <v>-23</v>
      </c>
      <c r="J37" s="40" t="n">
        <f aca="false">IF(OR(D37="",D37+G37=0),"",D37/(D37+G37))</f>
        <v>0.374363327674024</v>
      </c>
      <c r="K37" s="40" t="n">
        <f aca="false">IF(E37="","",E37/(E37+H37))</f>
        <v>0.375513557929334</v>
      </c>
      <c r="L37" s="69" t="n">
        <f aca="false">IF(OR(K37="",J37=""),"",(J37-K37)*100)</f>
        <v>-0.115023025531069</v>
      </c>
      <c r="M37" s="36" t="n">
        <v>2.25214308303964</v>
      </c>
      <c r="N37" s="36" t="n">
        <v>1.39766310953213</v>
      </c>
      <c r="O37" s="36" t="n">
        <f aca="false">SQRT(M37^2+N37^2)</f>
        <v>2.65058684713976</v>
      </c>
      <c r="P37" s="40" t="n">
        <f aca="false">IF(J37="","",MAX(0,J37-1.96*O37/100))</f>
        <v>0.322411825470084</v>
      </c>
      <c r="Q37" s="40" t="n">
        <f aca="false">IF(J37="","",MIN(1,J37+1.96*O37/100))</f>
        <v>0.426314829877963</v>
      </c>
      <c r="R37" s="32" t="str">
        <f aca="false">IF(L37="","",IF(ABS(L37)&lt;=O37,"Yes","No"))</f>
        <v>Yes</v>
      </c>
      <c r="S37" s="32" t="str">
        <f aca="false">IF(L37="","",IF(ABS(L37)&lt;=1.96*O37,"Yes","No"))</f>
        <v>Yes</v>
      </c>
      <c r="T37" s="59" t="n">
        <f aca="false">IF(D37="","",ROUND(SQRT(((D37+G37)*O37/100)^2+(J37*(D37+G37)*0.05883)^2),0))</f>
        <v>41</v>
      </c>
      <c r="U37" s="32"/>
    </row>
    <row r="38" customFormat="false" ht="15" hidden="false" customHeight="false" outlineLevel="0" collapsed="false">
      <c r="A38" s="32" t="s">
        <v>189</v>
      </c>
      <c r="B38" s="32" t="s">
        <v>203</v>
      </c>
      <c r="C38" s="32" t="s">
        <v>161</v>
      </c>
      <c r="D38" s="59" t="n">
        <v>685</v>
      </c>
      <c r="E38" s="59" t="n">
        <v>719</v>
      </c>
      <c r="F38" s="68" t="n">
        <f aca="false">IF(E38="","",D38-E38)</f>
        <v>-34</v>
      </c>
      <c r="G38" s="59" t="n">
        <v>1307</v>
      </c>
      <c r="H38" s="59" t="n">
        <v>1434</v>
      </c>
      <c r="I38" s="68" t="n">
        <f aca="false">IF(H38="","",G38-H38)</f>
        <v>-127</v>
      </c>
      <c r="J38" s="40" t="n">
        <f aca="false">IF(OR(D38="",D38+G38=0),"",D38/(D38+G38))</f>
        <v>0.343875502008032</v>
      </c>
      <c r="K38" s="40" t="n">
        <f aca="false">IF(E38="","",E38/(E38+H38))</f>
        <v>0.333952624245239</v>
      </c>
      <c r="L38" s="69" t="n">
        <f aca="false">IF(OR(K38="",J38=""),"",(J38-K38)*100)</f>
        <v>0.992287776279294</v>
      </c>
      <c r="M38" s="36" t="n">
        <v>2.25214308303964</v>
      </c>
      <c r="N38" s="36" t="n">
        <v>1.39766310953213</v>
      </c>
      <c r="O38" s="36" t="n">
        <f aca="false">SQRT(M38^2+N38^2)</f>
        <v>2.65058684713976</v>
      </c>
      <c r="P38" s="40" t="n">
        <f aca="false">IF(J38="","",MAX(0,J38-1.96*O38/100))</f>
        <v>0.291923999804093</v>
      </c>
      <c r="Q38" s="40" t="n">
        <f aca="false">IF(J38="","",MIN(1,J38+1.96*O38/100))</f>
        <v>0.395827004211972</v>
      </c>
      <c r="R38" s="32" t="str">
        <f aca="false">IF(L38="","",IF(ABS(L38)&lt;=O38,"Yes","No"))</f>
        <v>Yes</v>
      </c>
      <c r="S38" s="32" t="str">
        <f aca="false">IF(L38="","",IF(ABS(L38)&lt;=1.96*O38,"Yes","No"))</f>
        <v>Yes</v>
      </c>
      <c r="T38" s="59" t="n">
        <f aca="false">IF(D38="","",ROUND(SQRT(((D38+G38)*O38/100)^2+(J38*(D38+G38)*0.05883)^2),0))</f>
        <v>66</v>
      </c>
      <c r="U38" s="32"/>
    </row>
    <row r="39" customFormat="false" ht="15" hidden="false" customHeight="false" outlineLevel="0" collapsed="false">
      <c r="A39" s="32" t="s">
        <v>189</v>
      </c>
      <c r="B39" s="32" t="s">
        <v>204</v>
      </c>
      <c r="C39" s="32" t="s">
        <v>161</v>
      </c>
      <c r="D39" s="59" t="n">
        <v>732</v>
      </c>
      <c r="E39" s="59" t="n">
        <v>788</v>
      </c>
      <c r="F39" s="68" t="n">
        <f aca="false">IF(E39="","",D39-E39)</f>
        <v>-56</v>
      </c>
      <c r="G39" s="59" t="n">
        <v>613</v>
      </c>
      <c r="H39" s="59" t="n">
        <v>628</v>
      </c>
      <c r="I39" s="68" t="n">
        <f aca="false">IF(H39="","",G39-H39)</f>
        <v>-15</v>
      </c>
      <c r="J39" s="40" t="n">
        <f aca="false">IF(OR(D39="",D39+G39=0),"",D39/(D39+G39))</f>
        <v>0.544237918215613</v>
      </c>
      <c r="K39" s="40" t="n">
        <f aca="false">IF(E39="","",E39/(E39+H39))</f>
        <v>0.556497175141243</v>
      </c>
      <c r="L39" s="69" t="n">
        <f aca="false">IF(OR(K39="",J39=""),"",(J39-K39)*100)</f>
        <v>-1.22592569256296</v>
      </c>
      <c r="M39" s="36" t="n">
        <v>2.25214308303964</v>
      </c>
      <c r="N39" s="36" t="n">
        <v>1.39766310953213</v>
      </c>
      <c r="O39" s="36" t="n">
        <f aca="false">SQRT(M39^2+N39^2)</f>
        <v>2.65058684713976</v>
      </c>
      <c r="P39" s="40" t="n">
        <f aca="false">IF(J39="","",MAX(0,J39-1.96*O39/100))</f>
        <v>0.492286416011674</v>
      </c>
      <c r="Q39" s="40" t="n">
        <f aca="false">IF(J39="","",MIN(1,J39+1.96*O39/100))</f>
        <v>0.596189420419553</v>
      </c>
      <c r="R39" s="32" t="str">
        <f aca="false">IF(L39="","",IF(ABS(L39)&lt;=O39,"Yes","No"))</f>
        <v>Yes</v>
      </c>
      <c r="S39" s="32" t="str">
        <f aca="false">IF(L39="","",IF(ABS(L39)&lt;=1.96*O39,"Yes","No"))</f>
        <v>Yes</v>
      </c>
      <c r="T39" s="59" t="n">
        <f aca="false">IF(D39="","",ROUND(SQRT(((D39+G39)*O39/100)^2+(J39*(D39+G39)*0.05883)^2),0))</f>
        <v>56</v>
      </c>
      <c r="U39" s="32"/>
    </row>
    <row r="40" customFormat="false" ht="15" hidden="false" customHeight="false" outlineLevel="0" collapsed="false">
      <c r="A40" s="32" t="s">
        <v>189</v>
      </c>
      <c r="B40" s="32" t="s">
        <v>205</v>
      </c>
      <c r="C40" s="32" t="s">
        <v>161</v>
      </c>
      <c r="D40" s="59" t="n">
        <v>2927</v>
      </c>
      <c r="E40" s="59" t="n">
        <v>3255</v>
      </c>
      <c r="F40" s="68" t="n">
        <f aca="false">IF(E40="","",D40-E40)</f>
        <v>-328</v>
      </c>
      <c r="G40" s="59" t="n">
        <v>4091</v>
      </c>
      <c r="H40" s="59" t="n">
        <v>4462</v>
      </c>
      <c r="I40" s="68" t="n">
        <f aca="false">IF(H40="","",G40-H40)</f>
        <v>-371</v>
      </c>
      <c r="J40" s="40" t="n">
        <f aca="false">IF(OR(D40="",D40+G40=0),"",D40/(D40+G40))</f>
        <v>0.417070390424622</v>
      </c>
      <c r="K40" s="40" t="n">
        <f aca="false">IF(E40="","",E40/(E40+H40))</f>
        <v>0.421796034728521</v>
      </c>
      <c r="L40" s="69" t="n">
        <f aca="false">IF(OR(K40="",J40=""),"",(J40-K40)*100)</f>
        <v>-0.472564430389905</v>
      </c>
      <c r="M40" s="36" t="n">
        <v>1.81013497502969</v>
      </c>
      <c r="N40" s="36" t="n">
        <v>1.39766310953213</v>
      </c>
      <c r="O40" s="36" t="n">
        <f aca="false">SQRT(M40^2+N40^2)</f>
        <v>2.28693043085546</v>
      </c>
      <c r="P40" s="40" t="n">
        <f aca="false">IF(J40="","",MAX(0,J40-1.96*O40/100))</f>
        <v>0.372246553979855</v>
      </c>
      <c r="Q40" s="40" t="n">
        <f aca="false">IF(J40="","",MIN(1,J40+1.96*O40/100))</f>
        <v>0.46189422686939</v>
      </c>
      <c r="R40" s="32" t="str">
        <f aca="false">IF(L40="","",IF(ABS(L40)&lt;=O40,"Yes","No"))</f>
        <v>Yes</v>
      </c>
      <c r="S40" s="32" t="str">
        <f aca="false">IF(L40="","",IF(ABS(L40)&lt;=1.96*O40,"Yes","No"))</f>
        <v>Yes</v>
      </c>
      <c r="T40" s="59" t="n">
        <f aca="false">IF(D40="","",ROUND(SQRT(((D40+G40)*O40/100)^2+(J40*(D40+G40)*0.04942)^2),0))</f>
        <v>216</v>
      </c>
      <c r="U40" s="32"/>
    </row>
    <row r="41" customFormat="false" ht="15" hidden="false" customHeight="false" outlineLevel="0" collapsed="false">
      <c r="A41" s="32" t="s">
        <v>189</v>
      </c>
      <c r="B41" s="32" t="s">
        <v>206</v>
      </c>
      <c r="C41" s="32" t="s">
        <v>161</v>
      </c>
      <c r="D41" s="59" t="n">
        <v>3137</v>
      </c>
      <c r="E41" s="59" t="n">
        <v>3239</v>
      </c>
      <c r="F41" s="68" t="n">
        <f aca="false">IF(E41="","",D41-E41)</f>
        <v>-102</v>
      </c>
      <c r="G41" s="59" t="n">
        <v>2886</v>
      </c>
      <c r="H41" s="59" t="n">
        <v>3129</v>
      </c>
      <c r="I41" s="68" t="n">
        <f aca="false">IF(H41="","",G41-H41)</f>
        <v>-243</v>
      </c>
      <c r="J41" s="40" t="n">
        <f aca="false">IF(OR(D41="",D41+G41=0),"",D41/(D41+G41))</f>
        <v>0.520836792296198</v>
      </c>
      <c r="K41" s="40" t="n">
        <f aca="false">IF(E41="","",E41/(E41+H41))</f>
        <v>0.508636934673367</v>
      </c>
      <c r="L41" s="69" t="n">
        <f aca="false">IF(OR(K41="",J41=""),"",(J41-K41)*100)</f>
        <v>1.21998576228312</v>
      </c>
      <c r="M41" s="36" t="n">
        <v>1.81013497502969</v>
      </c>
      <c r="N41" s="36" t="n">
        <v>1.39766310953213</v>
      </c>
      <c r="O41" s="36" t="n">
        <f aca="false">SQRT(M41^2+N41^2)</f>
        <v>2.28693043085546</v>
      </c>
      <c r="P41" s="40" t="n">
        <f aca="false">IF(J41="","",MAX(0,J41-1.96*O41/100))</f>
        <v>0.476012955851431</v>
      </c>
      <c r="Q41" s="40" t="n">
        <f aca="false">IF(J41="","",MIN(1,J41+1.96*O41/100))</f>
        <v>0.565660628740965</v>
      </c>
      <c r="R41" s="32" t="str">
        <f aca="false">IF(L41="","",IF(ABS(L41)&lt;=O41,"Yes","No"))</f>
        <v>Yes</v>
      </c>
      <c r="S41" s="32" t="str">
        <f aca="false">IF(L41="","",IF(ABS(L41)&lt;=1.96*O41,"Yes","No"))</f>
        <v>Yes</v>
      </c>
      <c r="T41" s="59" t="n">
        <f aca="false">IF(D41="","",ROUND(SQRT(((D41+G41)*O41/100)^2+(J41*(D41+G41)*0.04942)^2),0))</f>
        <v>207</v>
      </c>
      <c r="U41" s="32"/>
    </row>
    <row r="42" customFormat="false" ht="15" hidden="false" customHeight="false" outlineLevel="0" collapsed="false">
      <c r="A42" s="32" t="s">
        <v>189</v>
      </c>
      <c r="B42" s="32" t="s">
        <v>207</v>
      </c>
      <c r="C42" s="32" t="s">
        <v>161</v>
      </c>
      <c r="D42" s="59" t="n">
        <v>563</v>
      </c>
      <c r="E42" s="59" t="n">
        <v>611</v>
      </c>
      <c r="F42" s="68" t="n">
        <f aca="false">IF(E42="","",D42-E42)</f>
        <v>-48</v>
      </c>
      <c r="G42" s="59" t="n">
        <v>750</v>
      </c>
      <c r="H42" s="59" t="n">
        <v>740</v>
      </c>
      <c r="I42" s="68" t="n">
        <f aca="false">IF(H42="","",G42-H42)</f>
        <v>10</v>
      </c>
      <c r="J42" s="40" t="n">
        <f aca="false">IF(OR(D42="",D42+G42=0),"",D42/(D42+G42))</f>
        <v>0.428789032749429</v>
      </c>
      <c r="K42" s="40" t="n">
        <f aca="false">IF(E42="","",E42/(E42+H42))</f>
        <v>0.452257586972613</v>
      </c>
      <c r="L42" s="69" t="n">
        <f aca="false">IF(OR(K42="",J42=""),"",(J42-K42)*100)</f>
        <v>-2.34685542231841</v>
      </c>
      <c r="M42" s="36" t="n">
        <v>2.25214308303964</v>
      </c>
      <c r="N42" s="36" t="n">
        <v>1.39766310953213</v>
      </c>
      <c r="O42" s="36" t="n">
        <f aca="false">SQRT(M42^2+N42^2)</f>
        <v>2.65058684713976</v>
      </c>
      <c r="P42" s="40" t="n">
        <f aca="false">IF(J42="","",MAX(0,J42-1.96*O42/100))</f>
        <v>0.376837530545489</v>
      </c>
      <c r="Q42" s="40" t="n">
        <f aca="false">IF(J42="","",MIN(1,J42+1.96*O42/100))</f>
        <v>0.480740534953368</v>
      </c>
      <c r="R42" s="32" t="str">
        <f aca="false">IF(L42="","",IF(ABS(L42)&lt;=O42,"Yes","No"))</f>
        <v>Yes</v>
      </c>
      <c r="S42" s="32" t="str">
        <f aca="false">IF(L42="","",IF(ABS(L42)&lt;=1.96*O42,"Yes","No"))</f>
        <v>Yes</v>
      </c>
      <c r="T42" s="59" t="n">
        <f aca="false">IF(D42="","",ROUND(SQRT(((D42+G42)*O42/100)^2+(J42*(D42+G42)*0.05883)^2),0))</f>
        <v>48</v>
      </c>
      <c r="U42" s="32"/>
    </row>
    <row r="43" customFormat="false" ht="15" hidden="false" customHeight="false" outlineLevel="0" collapsed="false">
      <c r="A43" s="32" t="s">
        <v>189</v>
      </c>
      <c r="B43" s="32" t="s">
        <v>208</v>
      </c>
      <c r="C43" s="32" t="s">
        <v>161</v>
      </c>
      <c r="D43" s="59" t="n">
        <v>5299</v>
      </c>
      <c r="E43" s="59" t="n">
        <v>5699</v>
      </c>
      <c r="F43" s="68" t="n">
        <f aca="false">IF(E43="","",D43-E43)</f>
        <v>-400</v>
      </c>
      <c r="G43" s="59" t="n">
        <v>4360</v>
      </c>
      <c r="H43" s="59" t="n">
        <v>4420</v>
      </c>
      <c r="I43" s="68" t="n">
        <f aca="false">IF(H43="","",G43-H43)</f>
        <v>-60</v>
      </c>
      <c r="J43" s="40" t="n">
        <f aca="false">IF(OR(D43="",D43+G43=0),"",D43/(D43+G43))</f>
        <v>0.548607516306036</v>
      </c>
      <c r="K43" s="40" t="n">
        <f aca="false">IF(E43="","",E43/(E43+H43))</f>
        <v>0.563197944460915</v>
      </c>
      <c r="L43" s="69" t="n">
        <f aca="false">IF(OR(K43="",J43=""),"",(J43-K43)*100)</f>
        <v>-1.45904281548793</v>
      </c>
      <c r="M43" s="36" t="n">
        <v>1.81013497502969</v>
      </c>
      <c r="N43" s="36" t="n">
        <v>1.39766310953213</v>
      </c>
      <c r="O43" s="36" t="n">
        <f aca="false">SQRT(M43^2+N43^2)</f>
        <v>2.28693043085546</v>
      </c>
      <c r="P43" s="40" t="n">
        <f aca="false">IF(J43="","",MAX(0,J43-1.96*O43/100))</f>
        <v>0.503783679861269</v>
      </c>
      <c r="Q43" s="40" t="n">
        <f aca="false">IF(J43="","",MIN(1,J43+1.96*O43/100))</f>
        <v>0.593431352750803</v>
      </c>
      <c r="R43" s="32" t="str">
        <f aca="false">IF(L43="","",IF(ABS(L43)&lt;=O43,"Yes","No"))</f>
        <v>Yes</v>
      </c>
      <c r="S43" s="32" t="str">
        <f aca="false">IF(L43="","",IF(ABS(L43)&lt;=1.96*O43,"Yes","No"))</f>
        <v>Yes</v>
      </c>
      <c r="T43" s="59" t="n">
        <f aca="false">IF(D43="","",ROUND(SQRT(((D43+G43)*O43/100)^2+(J43*(D43+G43)*0.04942)^2),0))</f>
        <v>343</v>
      </c>
      <c r="U43" s="32"/>
    </row>
    <row r="44" customFormat="false" ht="15" hidden="false" customHeight="false" outlineLevel="0" collapsed="false">
      <c r="A44" s="32" t="s">
        <v>189</v>
      </c>
      <c r="B44" s="32" t="s">
        <v>209</v>
      </c>
      <c r="C44" s="32" t="s">
        <v>161</v>
      </c>
      <c r="D44" s="59" t="n">
        <v>5818</v>
      </c>
      <c r="E44" s="59" t="n">
        <v>6009</v>
      </c>
      <c r="F44" s="68" t="n">
        <f aca="false">IF(E44="","",D44-E44)</f>
        <v>-191</v>
      </c>
      <c r="G44" s="59" t="n">
        <v>4983</v>
      </c>
      <c r="H44" s="59" t="n">
        <v>5257</v>
      </c>
      <c r="I44" s="68" t="n">
        <f aca="false">IF(H44="","",G44-H44)</f>
        <v>-274</v>
      </c>
      <c r="J44" s="40" t="n">
        <f aca="false">IF(OR(D44="",D44+G44=0),"",D44/(D44+G44))</f>
        <v>0.538653828349227</v>
      </c>
      <c r="K44" s="40" t="n">
        <f aca="false">IF(E44="","",E44/(E44+H44))</f>
        <v>0.533374755902716</v>
      </c>
      <c r="L44" s="69" t="n">
        <f aca="false">IF(OR(K44="",J44=""),"",(J44-K44)*100)</f>
        <v>0.527907244651082</v>
      </c>
      <c r="M44" s="36" t="n">
        <v>1.81013497502969</v>
      </c>
      <c r="N44" s="36" t="n">
        <v>1.39766310953213</v>
      </c>
      <c r="O44" s="36" t="n">
        <f aca="false">SQRT(M44^2+N44^2)</f>
        <v>2.28693043085546</v>
      </c>
      <c r="P44" s="40" t="n">
        <f aca="false">IF(J44="","",MAX(0,J44-1.96*O44/100))</f>
        <v>0.49382999190446</v>
      </c>
      <c r="Q44" s="40" t="n">
        <f aca="false">IF(J44="","",MIN(1,J44+1.96*O44/100))</f>
        <v>0.583477664793994</v>
      </c>
      <c r="R44" s="32" t="str">
        <f aca="false">IF(L44="","",IF(ABS(L44)&lt;=O44,"Yes","No"))</f>
        <v>Yes</v>
      </c>
      <c r="S44" s="32" t="str">
        <f aca="false">IF(L44="","",IF(ABS(L44)&lt;=1.96*O44,"Yes","No"))</f>
        <v>Yes</v>
      </c>
      <c r="T44" s="59" t="n">
        <f aca="false">IF(D44="","",ROUND(SQRT(((D44+G44)*O44/100)^2+(J44*(D44+G44)*0.04942)^2),0))</f>
        <v>379</v>
      </c>
      <c r="U44" s="32"/>
    </row>
    <row r="45" customFormat="false" ht="15" hidden="false" customHeight="false" outlineLevel="0" collapsed="false">
      <c r="A45" s="32" t="s">
        <v>189</v>
      </c>
      <c r="B45" s="32" t="s">
        <v>210</v>
      </c>
      <c r="C45" s="32" t="s">
        <v>161</v>
      </c>
      <c r="D45" s="59" t="n">
        <v>1780</v>
      </c>
      <c r="E45" s="59" t="n">
        <v>2032</v>
      </c>
      <c r="F45" s="68" t="n">
        <f aca="false">IF(E45="","",D45-E45)</f>
        <v>-252</v>
      </c>
      <c r="G45" s="59" t="n">
        <v>2356</v>
      </c>
      <c r="H45" s="59" t="n">
        <v>2450</v>
      </c>
      <c r="I45" s="68" t="n">
        <f aca="false">IF(H45="","",G45-H45)</f>
        <v>-94</v>
      </c>
      <c r="J45" s="40" t="n">
        <f aca="false">IF(OR(D45="",D45+G45=0),"",D45/(D45+G45))</f>
        <v>0.43036750483559</v>
      </c>
      <c r="K45" s="40" t="n">
        <f aca="false">IF(E45="","",E45/(E45+H45))</f>
        <v>0.453369031682285</v>
      </c>
      <c r="L45" s="69" t="n">
        <f aca="false">IF(OR(K45="",J45=""),"",(J45-K45)*100)</f>
        <v>-2.30015268466948</v>
      </c>
      <c r="M45" s="36" t="n">
        <v>1.81013497502969</v>
      </c>
      <c r="N45" s="36" t="n">
        <v>1.39766310953213</v>
      </c>
      <c r="O45" s="36" t="n">
        <f aca="false">SQRT(M45^2+N45^2)</f>
        <v>2.28693043085546</v>
      </c>
      <c r="P45" s="40" t="n">
        <f aca="false">IF(J45="","",MAX(0,J45-1.96*O45/100))</f>
        <v>0.385543668390823</v>
      </c>
      <c r="Q45" s="40" t="n">
        <f aca="false">IF(J45="","",MIN(1,J45+1.96*O45/100))</f>
        <v>0.475191341280357</v>
      </c>
      <c r="R45" s="32" t="str">
        <f aca="false">IF(L45="","",IF(ABS(L45)&lt;=O45,"Yes","No"))</f>
        <v>No</v>
      </c>
      <c r="S45" s="32" t="str">
        <f aca="false">IF(L45="","",IF(ABS(L45)&lt;=1.96*O45,"Yes","No"))</f>
        <v>Yes</v>
      </c>
      <c r="T45" s="59" t="n">
        <f aca="false">IF(D45="","",ROUND(SQRT(((D45+G45)*O45/100)^2+(J45*(D45+G45)*0.04942)^2),0))</f>
        <v>129</v>
      </c>
      <c r="U45" s="32"/>
    </row>
    <row r="46" customFormat="false" ht="15" hidden="false" customHeight="false" outlineLevel="0" collapsed="false">
      <c r="A46" s="32" t="s">
        <v>189</v>
      </c>
      <c r="B46" s="32" t="s">
        <v>211</v>
      </c>
      <c r="C46" s="32" t="s">
        <v>161</v>
      </c>
      <c r="D46" s="59" t="n">
        <v>3948</v>
      </c>
      <c r="E46" s="59" t="n">
        <v>4406</v>
      </c>
      <c r="F46" s="68" t="n">
        <f aca="false">IF(E46="","",D46-E46)</f>
        <v>-458</v>
      </c>
      <c r="G46" s="59" t="n">
        <v>4141</v>
      </c>
      <c r="H46" s="59" t="n">
        <v>4369</v>
      </c>
      <c r="I46" s="68" t="n">
        <f aca="false">IF(H46="","",G46-H46)</f>
        <v>-228</v>
      </c>
      <c r="J46" s="40" t="n">
        <f aca="false">IF(OR(D46="",D46+G46=0),"",D46/(D46+G46))</f>
        <v>0.488070218815676</v>
      </c>
      <c r="K46" s="40" t="n">
        <f aca="false">IF(E46="","",E46/(E46+H46))</f>
        <v>0.502108262108262</v>
      </c>
      <c r="L46" s="69" t="n">
        <f aca="false">IF(OR(K46="",J46=""),"",(J46-K46)*100)</f>
        <v>-1.40380432925865</v>
      </c>
      <c r="M46" s="36" t="n">
        <v>1.81013497502969</v>
      </c>
      <c r="N46" s="36" t="n">
        <v>1.39766310953213</v>
      </c>
      <c r="O46" s="36" t="n">
        <f aca="false">SQRT(M46^2+N46^2)</f>
        <v>2.28693043085546</v>
      </c>
      <c r="P46" s="40" t="n">
        <f aca="false">IF(J46="","",MAX(0,J46-1.96*O46/100))</f>
        <v>0.443246382370908</v>
      </c>
      <c r="Q46" s="40" t="n">
        <f aca="false">IF(J46="","",MIN(1,J46+1.96*O46/100))</f>
        <v>0.532894055260443</v>
      </c>
      <c r="R46" s="32" t="str">
        <f aca="false">IF(L46="","",IF(ABS(L46)&lt;=O46,"Yes","No"))</f>
        <v>Yes</v>
      </c>
      <c r="S46" s="32" t="str">
        <f aca="false">IF(L46="","",IF(ABS(L46)&lt;=1.96*O46,"Yes","No"))</f>
        <v>Yes</v>
      </c>
      <c r="T46" s="59" t="n">
        <f aca="false">IF(D46="","",ROUND(SQRT(((D46+G46)*O46/100)^2+(J46*(D46+G46)*0.04942)^2),0))</f>
        <v>269</v>
      </c>
      <c r="U46" s="32"/>
    </row>
    <row r="47" customFormat="false" ht="15" hidden="false" customHeight="false" outlineLevel="0" collapsed="false">
      <c r="A47" s="32" t="s">
        <v>189</v>
      </c>
      <c r="B47" s="32" t="s">
        <v>212</v>
      </c>
      <c r="C47" s="32" t="s">
        <v>161</v>
      </c>
      <c r="D47" s="59" t="n">
        <v>928</v>
      </c>
      <c r="E47" s="59" t="n">
        <v>1054</v>
      </c>
      <c r="F47" s="68" t="n">
        <f aca="false">IF(E47="","",D47-E47)</f>
        <v>-126</v>
      </c>
      <c r="G47" s="59" t="n">
        <v>1725</v>
      </c>
      <c r="H47" s="59" t="n">
        <v>1952</v>
      </c>
      <c r="I47" s="68" t="n">
        <f aca="false">IF(H47="","",G47-H47)</f>
        <v>-227</v>
      </c>
      <c r="J47" s="40" t="n">
        <f aca="false">IF(OR(D47="",D47+G47=0),"",D47/(D47+G47))</f>
        <v>0.349792687523558</v>
      </c>
      <c r="K47" s="40" t="n">
        <f aca="false">IF(E47="","",E47/(E47+H47))</f>
        <v>0.350632069194943</v>
      </c>
      <c r="L47" s="69" t="n">
        <f aca="false">IF(OR(K47="",J47=""),"",(J47-K47)*100)</f>
        <v>-0.0839381671385198</v>
      </c>
      <c r="M47" s="36" t="n">
        <v>1.81013497502969</v>
      </c>
      <c r="N47" s="36" t="n">
        <v>1.39766310953213</v>
      </c>
      <c r="O47" s="36" t="n">
        <f aca="false">SQRT(M47^2+N47^2)</f>
        <v>2.28693043085546</v>
      </c>
      <c r="P47" s="40" t="n">
        <f aca="false">IF(J47="","",MAX(0,J47-1.96*O47/100))</f>
        <v>0.304968851078791</v>
      </c>
      <c r="Q47" s="40" t="n">
        <f aca="false">IF(J47="","",MIN(1,J47+1.96*O47/100))</f>
        <v>0.394616523968325</v>
      </c>
      <c r="R47" s="32" t="str">
        <f aca="false">IF(L47="","",IF(ABS(L47)&lt;=O47,"Yes","No"))</f>
        <v>Yes</v>
      </c>
      <c r="S47" s="32" t="str">
        <f aca="false">IF(L47="","",IF(ABS(L47)&lt;=1.96*O47,"Yes","No"))</f>
        <v>Yes</v>
      </c>
      <c r="T47" s="59" t="n">
        <f aca="false">IF(D47="","",ROUND(SQRT(((D47+G47)*O47/100)^2+(J47*(D47+G47)*0.04942)^2),0))</f>
        <v>76</v>
      </c>
      <c r="U47" s="32"/>
    </row>
    <row r="48" customFormat="false" ht="15" hidden="false" customHeight="false" outlineLevel="0" collapsed="false">
      <c r="A48" s="32" t="s">
        <v>189</v>
      </c>
      <c r="B48" s="32" t="s">
        <v>213</v>
      </c>
      <c r="C48" s="32" t="s">
        <v>161</v>
      </c>
      <c r="D48" s="59" t="n">
        <v>903</v>
      </c>
      <c r="E48" s="59" t="n">
        <v>981</v>
      </c>
      <c r="F48" s="68" t="n">
        <f aca="false">IF(E48="","",D48-E48)</f>
        <v>-78</v>
      </c>
      <c r="G48" s="59" t="n">
        <v>1626</v>
      </c>
      <c r="H48" s="59" t="n">
        <v>1711</v>
      </c>
      <c r="I48" s="68" t="n">
        <f aca="false">IF(H48="","",G48-H48)</f>
        <v>-85</v>
      </c>
      <c r="J48" s="40" t="n">
        <f aca="false">IF(OR(D48="",D48+G48=0),"",D48/(D48+G48))</f>
        <v>0.3570581257414</v>
      </c>
      <c r="K48" s="40" t="n">
        <f aca="false">IF(E48="","",E48/(E48+H48))</f>
        <v>0.364413075780089</v>
      </c>
      <c r="L48" s="69" t="n">
        <f aca="false">IF(OR(K48="",J48=""),"",(J48-K48)*100)</f>
        <v>-0.735495003868936</v>
      </c>
      <c r="M48" s="36" t="n">
        <v>2.25214308303964</v>
      </c>
      <c r="N48" s="36" t="n">
        <v>1.39766310953213</v>
      </c>
      <c r="O48" s="36" t="n">
        <f aca="false">SQRT(M48^2+N48^2)</f>
        <v>2.65058684713976</v>
      </c>
      <c r="P48" s="40" t="n">
        <f aca="false">IF(J48="","",MAX(0,J48-1.96*O48/100))</f>
        <v>0.30510662353746</v>
      </c>
      <c r="Q48" s="40" t="n">
        <f aca="false">IF(J48="","",MIN(1,J48+1.96*O48/100))</f>
        <v>0.409009627945339</v>
      </c>
      <c r="R48" s="32" t="str">
        <f aca="false">IF(L48="","",IF(ABS(L48)&lt;=O48,"Yes","No"))</f>
        <v>Yes</v>
      </c>
      <c r="S48" s="32" t="str">
        <f aca="false">IF(L48="","",IF(ABS(L48)&lt;=1.96*O48,"Yes","No"))</f>
        <v>Yes</v>
      </c>
      <c r="T48" s="59" t="n">
        <f aca="false">IF(D48="","",ROUND(SQRT(((D48+G48)*O48/100)^2+(J48*(D48+G48)*0.05883)^2),0))</f>
        <v>86</v>
      </c>
      <c r="U48" s="32"/>
    </row>
    <row r="49" customFormat="false" ht="15" hidden="false" customHeight="false" outlineLevel="0" collapsed="false">
      <c r="A49" s="32" t="s">
        <v>189</v>
      </c>
      <c r="B49" s="32" t="s">
        <v>214</v>
      </c>
      <c r="C49" s="32" t="s">
        <v>161</v>
      </c>
      <c r="D49" s="59" t="n">
        <v>5331</v>
      </c>
      <c r="E49" s="59" t="n">
        <v>5508</v>
      </c>
      <c r="F49" s="68" t="n">
        <f aca="false">IF(E49="","",D49-E49)</f>
        <v>-177</v>
      </c>
      <c r="G49" s="59" t="n">
        <v>4529</v>
      </c>
      <c r="H49" s="59" t="n">
        <v>4784</v>
      </c>
      <c r="I49" s="68" t="n">
        <f aca="false">IF(H49="","",G49-H49)</f>
        <v>-255</v>
      </c>
      <c r="J49" s="40" t="n">
        <f aca="false">IF(OR(D49="",D49+G49=0),"",D49/(D49+G49))</f>
        <v>0.540669371196755</v>
      </c>
      <c r="K49" s="40" t="n">
        <f aca="false">IF(E49="","",E49/(E49+H49))</f>
        <v>0.535172949863972</v>
      </c>
      <c r="L49" s="69" t="n">
        <f aca="false">IF(OR(K49="",J49=""),"",(J49-K49)*100)</f>
        <v>0.54964213327825</v>
      </c>
      <c r="M49" s="36" t="n">
        <v>1.81013497502969</v>
      </c>
      <c r="N49" s="36" t="n">
        <v>1.39766310953213</v>
      </c>
      <c r="O49" s="36" t="n">
        <f aca="false">SQRT(M49^2+N49^2)</f>
        <v>2.28693043085546</v>
      </c>
      <c r="P49" s="40" t="n">
        <f aca="false">IF(J49="","",MAX(0,J49-1.96*O49/100))</f>
        <v>0.495845534751987</v>
      </c>
      <c r="Q49" s="40" t="n">
        <f aca="false">IF(J49="","",MIN(1,J49+1.96*O49/100))</f>
        <v>0.585493207641522</v>
      </c>
      <c r="R49" s="32" t="str">
        <f aca="false">IF(L49="","",IF(ABS(L49)&lt;=O49,"Yes","No"))</f>
        <v>Yes</v>
      </c>
      <c r="S49" s="32" t="str">
        <f aca="false">IF(L49="","",IF(ABS(L49)&lt;=1.96*O49,"Yes","No"))</f>
        <v>Yes</v>
      </c>
      <c r="T49" s="59" t="n">
        <f aca="false">IF(D49="","",ROUND(SQRT(((D49+G49)*O49/100)^2+(J49*(D49+G49)*0.04942)^2),0))</f>
        <v>347</v>
      </c>
      <c r="U49" s="32"/>
    </row>
    <row r="50" customFormat="false" ht="15" hidden="false" customHeight="false" outlineLevel="0" collapsed="false">
      <c r="A50" s="32" t="s">
        <v>215</v>
      </c>
      <c r="B50" s="32" t="s">
        <v>216</v>
      </c>
      <c r="C50" s="32" t="s">
        <v>161</v>
      </c>
      <c r="D50" s="59" t="n">
        <v>372</v>
      </c>
      <c r="E50" s="59" t="n">
        <v>361</v>
      </c>
      <c r="F50" s="68" t="n">
        <f aca="false">IF(E50="","",D50-E50)</f>
        <v>11</v>
      </c>
      <c r="G50" s="59" t="n">
        <v>676</v>
      </c>
      <c r="H50" s="59" t="n">
        <v>824</v>
      </c>
      <c r="I50" s="68" t="n">
        <f aca="false">IF(H50="","",G50-H50)</f>
        <v>-148</v>
      </c>
      <c r="J50" s="40" t="n">
        <f aca="false">IF(OR(D50="",D50+G50=0),"",D50/(D50+G50))</f>
        <v>0.354961832061069</v>
      </c>
      <c r="K50" s="40" t="n">
        <f aca="false">IF(E50="","",E50/(E50+H50))</f>
        <v>0.30464135021097</v>
      </c>
      <c r="L50" s="69" t="n">
        <f aca="false">IF(OR(K50="",J50=""),"",(J50-K50)*100)</f>
        <v>5.03204818500982</v>
      </c>
      <c r="M50" s="36" t="n">
        <v>3.67166727778771</v>
      </c>
      <c r="N50" s="36" t="n">
        <v>1.39766310953213</v>
      </c>
      <c r="O50" s="36" t="n">
        <f aca="false">SQRT(M50^2+N50^2)</f>
        <v>3.92868970097207</v>
      </c>
      <c r="P50" s="40" t="n">
        <f aca="false">IF(J50="","",MAX(0,J50-1.96*O50/100))</f>
        <v>0.277959513922016</v>
      </c>
      <c r="Q50" s="40" t="n">
        <f aca="false">IF(J50="","",MIN(1,J50+1.96*O50/100))</f>
        <v>0.431964150200121</v>
      </c>
      <c r="R50" s="32" t="str">
        <f aca="false">IF(L50="","",IF(ABS(L50)&lt;=O50,"Yes","No"))</f>
        <v>No</v>
      </c>
      <c r="S50" s="32" t="str">
        <f aca="false">IF(L50="","",IF(ABS(L50)&lt;=1.96*O50,"Yes","No"))</f>
        <v>Yes</v>
      </c>
      <c r="T50" s="59" t="n">
        <f aca="false">IF(D50="","",ROUND(SQRT(((D50+G50)*O50/100)^2+(J50*(D50+G50)*0.07872)^2),0))</f>
        <v>51</v>
      </c>
      <c r="U50" s="32"/>
    </row>
    <row r="51" customFormat="false" ht="15" hidden="false" customHeight="false" outlineLevel="0" collapsed="false">
      <c r="A51" s="32" t="s">
        <v>215</v>
      </c>
      <c r="B51" s="32" t="s">
        <v>218</v>
      </c>
      <c r="C51" s="32" t="s">
        <v>161</v>
      </c>
      <c r="D51" s="59" t="n">
        <v>1028</v>
      </c>
      <c r="E51" s="59" t="n">
        <v>1021</v>
      </c>
      <c r="F51" s="68" t="n">
        <f aca="false">IF(E51="","",D51-E51)</f>
        <v>7</v>
      </c>
      <c r="G51" s="59" t="n">
        <v>1760</v>
      </c>
      <c r="H51" s="59" t="n">
        <v>1984</v>
      </c>
      <c r="I51" s="68" t="n">
        <f aca="false">IF(H51="","",G51-H51)</f>
        <v>-224</v>
      </c>
      <c r="J51" s="40" t="n">
        <f aca="false">IF(OR(D51="",D51+G51=0),"",D51/(D51+G51))</f>
        <v>0.368723098995696</v>
      </c>
      <c r="K51" s="40" t="n">
        <f aca="false">IF(E51="","",E51/(E51+H51))</f>
        <v>0.339767054908486</v>
      </c>
      <c r="L51" s="69" t="n">
        <f aca="false">IF(OR(K51="",J51=""),"",(J51-K51)*100)</f>
        <v>2.895604408721</v>
      </c>
      <c r="M51" s="36" t="n">
        <v>1.81013497502969</v>
      </c>
      <c r="N51" s="36" t="n">
        <v>1.39766310953213</v>
      </c>
      <c r="O51" s="36" t="n">
        <f aca="false">SQRT(M51^2+N51^2)</f>
        <v>2.28693043085546</v>
      </c>
      <c r="P51" s="40" t="n">
        <f aca="false">IF(J51="","",MAX(0,J51-1.96*O51/100))</f>
        <v>0.323899262550929</v>
      </c>
      <c r="Q51" s="40" t="n">
        <f aca="false">IF(J51="","",MIN(1,J51+1.96*O51/100))</f>
        <v>0.413546935440463</v>
      </c>
      <c r="R51" s="32" t="str">
        <f aca="false">IF(L51="","",IF(ABS(L51)&lt;=O51,"Yes","No"))</f>
        <v>No</v>
      </c>
      <c r="S51" s="32" t="str">
        <f aca="false">IF(L51="","",IF(ABS(L51)&lt;=1.96*O51,"Yes","No"))</f>
        <v>Yes</v>
      </c>
      <c r="T51" s="59" t="n">
        <f aca="false">IF(D51="","",ROUND(SQRT(((D51+G51)*O51/100)^2+(J51*(D51+G51)*0.04942)^2),0))</f>
        <v>82</v>
      </c>
      <c r="U51" s="32"/>
    </row>
    <row r="52" customFormat="false" ht="15" hidden="false" customHeight="false" outlineLevel="0" collapsed="false">
      <c r="A52" s="32" t="s">
        <v>215</v>
      </c>
      <c r="B52" s="32" t="s">
        <v>219</v>
      </c>
      <c r="C52" s="32" t="s">
        <v>161</v>
      </c>
      <c r="D52" s="59" t="n">
        <v>350</v>
      </c>
      <c r="E52" s="59" t="n">
        <v>380</v>
      </c>
      <c r="F52" s="68" t="n">
        <f aca="false">IF(E52="","",D52-E52)</f>
        <v>-30</v>
      </c>
      <c r="G52" s="59" t="n">
        <v>514</v>
      </c>
      <c r="H52" s="59" t="n">
        <v>732</v>
      </c>
      <c r="I52" s="68" t="n">
        <f aca="false">IF(H52="","",G52-H52)</f>
        <v>-218</v>
      </c>
      <c r="J52" s="40" t="n">
        <f aca="false">IF(OR(D52="",D52+G52=0),"",D52/(D52+G52))</f>
        <v>0.405092592592593</v>
      </c>
      <c r="K52" s="40" t="n">
        <f aca="false">IF(E52="","",E52/(E52+H52))</f>
        <v>0.341726618705036</v>
      </c>
      <c r="L52" s="69" t="n">
        <f aca="false">IF(OR(K52="",J52=""),"",(J52-K52)*100)</f>
        <v>6.33659738875567</v>
      </c>
      <c r="M52" s="36" t="n">
        <v>3.67166727778771</v>
      </c>
      <c r="N52" s="36" t="n">
        <v>1.39766310953213</v>
      </c>
      <c r="O52" s="36" t="n">
        <f aca="false">SQRT(M52^2+N52^2)</f>
        <v>3.92868970097207</v>
      </c>
      <c r="P52" s="40" t="n">
        <f aca="false">IF(J52="","",MAX(0,J52-1.96*O52/100))</f>
        <v>0.32809027445354</v>
      </c>
      <c r="Q52" s="40" t="n">
        <f aca="false">IF(J52="","",MIN(1,J52+1.96*O52/100))</f>
        <v>0.482094910731645</v>
      </c>
      <c r="R52" s="32" t="str">
        <f aca="false">IF(L52="","",IF(ABS(L52)&lt;=O52,"Yes","No"))</f>
        <v>No</v>
      </c>
      <c r="S52" s="32" t="str">
        <f aca="false">IF(L52="","",IF(ABS(L52)&lt;=1.96*O52,"Yes","No"))</f>
        <v>Yes</v>
      </c>
      <c r="T52" s="59" t="n">
        <f aca="false">IF(D52="","",ROUND(SQRT(((D52+G52)*O52/100)^2+(J52*(D52+G52)*0.07872)^2),0))</f>
        <v>44</v>
      </c>
      <c r="U52" s="32"/>
    </row>
    <row r="53" customFormat="false" ht="15" hidden="false" customHeight="false" outlineLevel="0" collapsed="false">
      <c r="A53" s="32" t="s">
        <v>220</v>
      </c>
      <c r="B53" s="32" t="s">
        <v>221</v>
      </c>
      <c r="C53" s="32" t="s">
        <v>161</v>
      </c>
      <c r="D53" s="59" t="n">
        <v>1014</v>
      </c>
      <c r="E53" s="59" t="n">
        <v>1174</v>
      </c>
      <c r="F53" s="68" t="n">
        <f aca="false">IF(E53="","",D53-E53)</f>
        <v>-160</v>
      </c>
      <c r="G53" s="59" t="n">
        <v>1333</v>
      </c>
      <c r="H53" s="59" t="n">
        <v>1426</v>
      </c>
      <c r="I53" s="68" t="n">
        <f aca="false">IF(H53="","",G53-H53)</f>
        <v>-93</v>
      </c>
      <c r="J53" s="40" t="n">
        <f aca="false">IF(OR(D53="",D53+G53=0),"",D53/(D53+G53))</f>
        <v>0.432040903280784</v>
      </c>
      <c r="K53" s="40" t="n">
        <f aca="false">IF(E53="","",E53/(E53+H53))</f>
        <v>0.451538461538462</v>
      </c>
      <c r="L53" s="69" t="n">
        <f aca="false">IF(OR(K53="",J53=""),"",(J53-K53)*100)</f>
        <v>-1.94975582576776</v>
      </c>
      <c r="M53" s="36" t="n">
        <v>2.25214308303964</v>
      </c>
      <c r="N53" s="36" t="n">
        <v>1.39766310953213</v>
      </c>
      <c r="O53" s="36" t="n">
        <f aca="false">SQRT(M53^2+N53^2)</f>
        <v>2.65058684713976</v>
      </c>
      <c r="P53" s="40" t="n">
        <f aca="false">IF(J53="","",MAX(0,J53-1.96*O53/100))</f>
        <v>0.380089401076845</v>
      </c>
      <c r="Q53" s="40" t="n">
        <f aca="false">IF(J53="","",MIN(1,J53+1.96*O53/100))</f>
        <v>0.483992405484723</v>
      </c>
      <c r="R53" s="32" t="str">
        <f aca="false">IF(L53="","",IF(ABS(L53)&lt;=O53,"Yes","No"))</f>
        <v>Yes</v>
      </c>
      <c r="S53" s="32" t="str">
        <f aca="false">IF(L53="","",IF(ABS(L53)&lt;=1.96*O53,"Yes","No"))</f>
        <v>Yes</v>
      </c>
      <c r="T53" s="59" t="n">
        <f aca="false">IF(D53="","",ROUND(SQRT(((D53+G53)*O53/100)^2+(J53*(D53+G53)*0.05883)^2),0))</f>
        <v>86</v>
      </c>
      <c r="U53" s="32"/>
    </row>
    <row r="54" customFormat="false" ht="15" hidden="false" customHeight="false" outlineLevel="0" collapsed="false">
      <c r="A54" s="32" t="s">
        <v>220</v>
      </c>
      <c r="B54" s="32" t="s">
        <v>222</v>
      </c>
      <c r="C54" s="32" t="s">
        <v>161</v>
      </c>
      <c r="D54" s="59" t="n">
        <v>684</v>
      </c>
      <c r="E54" s="59" t="n">
        <v>729</v>
      </c>
      <c r="F54" s="68" t="n">
        <f aca="false">IF(E54="","",D54-E54)</f>
        <v>-45</v>
      </c>
      <c r="G54" s="59" t="n">
        <v>890</v>
      </c>
      <c r="H54" s="59" t="n">
        <v>928</v>
      </c>
      <c r="I54" s="68" t="n">
        <f aca="false">IF(H54="","",G54-H54)</f>
        <v>-38</v>
      </c>
      <c r="J54" s="40" t="n">
        <f aca="false">IF(OR(D54="",D54+G54=0),"",D54/(D54+G54))</f>
        <v>0.434561626429479</v>
      </c>
      <c r="K54" s="40" t="n">
        <f aca="false">IF(E54="","",E54/(E54+H54))</f>
        <v>0.43995171997586</v>
      </c>
      <c r="L54" s="69" t="n">
        <f aca="false">IF(OR(K54="",J54=""),"",(J54-K54)*100)</f>
        <v>-0.539009354638093</v>
      </c>
      <c r="M54" s="36" t="n">
        <v>2.25214308303964</v>
      </c>
      <c r="N54" s="36" t="n">
        <v>1.39766310953213</v>
      </c>
      <c r="O54" s="36" t="n">
        <f aca="false">SQRT(M54^2+N54^2)</f>
        <v>2.65058684713976</v>
      </c>
      <c r="P54" s="40" t="n">
        <f aca="false">IF(J54="","",MAX(0,J54-1.96*O54/100))</f>
        <v>0.38261012422554</v>
      </c>
      <c r="Q54" s="40" t="n">
        <f aca="false">IF(J54="","",MIN(1,J54+1.96*O54/100))</f>
        <v>0.486513128633418</v>
      </c>
      <c r="R54" s="32" t="str">
        <f aca="false">IF(L54="","",IF(ABS(L54)&lt;=O54,"Yes","No"))</f>
        <v>Yes</v>
      </c>
      <c r="S54" s="32" t="str">
        <f aca="false">IF(L54="","",IF(ABS(L54)&lt;=1.96*O54,"Yes","No"))</f>
        <v>Yes</v>
      </c>
      <c r="T54" s="59" t="n">
        <f aca="false">IF(D54="","",ROUND(SQRT(((D54+G54)*O54/100)^2+(J54*(D54+G54)*0.05883)^2),0))</f>
        <v>58</v>
      </c>
      <c r="U54" s="32"/>
    </row>
    <row r="55" customFormat="false" ht="15" hidden="false" customHeight="false" outlineLevel="0" collapsed="false">
      <c r="A55" s="32" t="s">
        <v>220</v>
      </c>
      <c r="B55" s="32" t="s">
        <v>223</v>
      </c>
      <c r="C55" s="32" t="s">
        <v>161</v>
      </c>
      <c r="D55" s="59" t="n">
        <v>419</v>
      </c>
      <c r="E55" s="59" t="n">
        <v>441</v>
      </c>
      <c r="F55" s="68" t="n">
        <f aca="false">IF(E55="","",D55-E55)</f>
        <v>-22</v>
      </c>
      <c r="G55" s="59" t="n">
        <v>455</v>
      </c>
      <c r="H55" s="59" t="n">
        <v>513</v>
      </c>
      <c r="I55" s="68" t="n">
        <f aca="false">IF(H55="","",G55-H55)</f>
        <v>-58</v>
      </c>
      <c r="J55" s="40" t="n">
        <f aca="false">IF(OR(D55="",D55+G55=0),"",D55/(D55+G55))</f>
        <v>0.479405034324943</v>
      </c>
      <c r="K55" s="40" t="n">
        <f aca="false">IF(E55="","",E55/(E55+H55))</f>
        <v>0.462264150943396</v>
      </c>
      <c r="L55" s="69" t="n">
        <f aca="false">IF(OR(K55="",J55=""),"",(J55-K55)*100)</f>
        <v>1.71408833815466</v>
      </c>
      <c r="M55" s="36" t="n">
        <v>3.67166727778771</v>
      </c>
      <c r="N55" s="36" t="n">
        <v>1.39766310953213</v>
      </c>
      <c r="O55" s="36" t="n">
        <f aca="false">SQRT(M55^2+N55^2)</f>
        <v>3.92868970097207</v>
      </c>
      <c r="P55" s="40" t="n">
        <f aca="false">IF(J55="","",MAX(0,J55-1.96*O55/100))</f>
        <v>0.40240271618589</v>
      </c>
      <c r="Q55" s="40" t="n">
        <f aca="false">IF(J55="","",MIN(1,J55+1.96*O55/100))</f>
        <v>0.556407352463995</v>
      </c>
      <c r="R55" s="32" t="str">
        <f aca="false">IF(L55="","",IF(ABS(L55)&lt;=O55,"Yes","No"))</f>
        <v>Yes</v>
      </c>
      <c r="S55" s="32" t="str">
        <f aca="false">IF(L55="","",IF(ABS(L55)&lt;=1.96*O55,"Yes","No"))</f>
        <v>Yes</v>
      </c>
      <c r="T55" s="59" t="n">
        <f aca="false">IF(D55="","",ROUND(SQRT(((D55+G55)*O55/100)^2+(J55*(D55+G55)*0.07872)^2),0))</f>
        <v>48</v>
      </c>
      <c r="U55" s="32"/>
    </row>
    <row r="56" customFormat="false" ht="15" hidden="false" customHeight="false" outlineLevel="0" collapsed="false">
      <c r="A56" s="32" t="s">
        <v>220</v>
      </c>
      <c r="B56" s="32" t="s">
        <v>192</v>
      </c>
      <c r="C56" s="32" t="s">
        <v>161</v>
      </c>
      <c r="D56" s="59" t="n">
        <v>12293</v>
      </c>
      <c r="E56" s="59" t="n">
        <v>12402</v>
      </c>
      <c r="F56" s="68" t="n">
        <f aca="false">IF(E56="","",D56-E56)</f>
        <v>-109</v>
      </c>
      <c r="G56" s="59" t="n">
        <v>5375</v>
      </c>
      <c r="H56" s="59" t="n">
        <v>5692</v>
      </c>
      <c r="I56" s="68" t="n">
        <f aca="false">IF(H56="","",G56-H56)</f>
        <v>-317</v>
      </c>
      <c r="J56" s="40" t="n">
        <f aca="false">IF(OR(D56="",D56+G56=0),"",D56/(D56+G56))</f>
        <v>0.695777677156441</v>
      </c>
      <c r="K56" s="40" t="n">
        <f aca="false">IF(E56="","",E56/(E56+H56))</f>
        <v>0.685420581408202</v>
      </c>
      <c r="L56" s="69" t="n">
        <f aca="false">IF(OR(K56="",J56=""),"",(J56-K56)*100)</f>
        <v>1.03570957482394</v>
      </c>
      <c r="M56" s="36" t="n">
        <v>1.81013497502969</v>
      </c>
      <c r="N56" s="36" t="n">
        <v>1.39766310953213</v>
      </c>
      <c r="O56" s="36" t="n">
        <f aca="false">SQRT(M56^2+N56^2)</f>
        <v>2.28693043085546</v>
      </c>
      <c r="P56" s="40" t="n">
        <f aca="false">IF(J56="","",MAX(0,J56-1.96*O56/100))</f>
        <v>0.650953840711674</v>
      </c>
      <c r="Q56" s="40" t="n">
        <f aca="false">IF(J56="","",MIN(1,J56+1.96*O56/100))</f>
        <v>0.740601513601208</v>
      </c>
      <c r="R56" s="32" t="str">
        <f aca="false">IF(L56="","",IF(ABS(L56)&lt;=O56,"Yes","No"))</f>
        <v>Yes</v>
      </c>
      <c r="S56" s="32" t="str">
        <f aca="false">IF(L56="","",IF(ABS(L56)&lt;=1.96*O56,"Yes","No"))</f>
        <v>Yes</v>
      </c>
      <c r="T56" s="59" t="n">
        <f aca="false">IF(D56="","",ROUND(SQRT(((D56+G56)*O56/100)^2+(J56*(D56+G56)*0.04942)^2),0))</f>
        <v>730</v>
      </c>
      <c r="U56" s="32"/>
    </row>
    <row r="57" customFormat="false" ht="15" hidden="false" customHeight="false" outlineLevel="0" collapsed="false">
      <c r="A57" s="32" t="s">
        <v>220</v>
      </c>
      <c r="B57" s="32" t="s">
        <v>224</v>
      </c>
      <c r="C57" s="32" t="s">
        <v>161</v>
      </c>
      <c r="D57" s="59" t="n">
        <v>6059</v>
      </c>
      <c r="E57" s="59" t="n">
        <v>6681</v>
      </c>
      <c r="F57" s="68" t="n">
        <f aca="false">IF(E57="","",D57-E57)</f>
        <v>-622</v>
      </c>
      <c r="G57" s="59" t="n">
        <v>5142</v>
      </c>
      <c r="H57" s="59" t="n">
        <v>5562</v>
      </c>
      <c r="I57" s="68" t="n">
        <f aca="false">IF(H57="","",G57-H57)</f>
        <v>-420</v>
      </c>
      <c r="J57" s="40" t="n">
        <f aca="false">IF(OR(D57="",D57+G57=0),"",D57/(D57+G57))</f>
        <v>0.540933845192394</v>
      </c>
      <c r="K57" s="40" t="n">
        <f aca="false">IF(E57="","",E57/(E57+H57))</f>
        <v>0.545699583435433</v>
      </c>
      <c r="L57" s="69" t="n">
        <f aca="false">IF(OR(K57="",J57=""),"",(J57-K57)*100)</f>
        <v>-0.476573824303894</v>
      </c>
      <c r="M57" s="36" t="n">
        <v>1.81013497502969</v>
      </c>
      <c r="N57" s="36" t="n">
        <v>1.39766310953213</v>
      </c>
      <c r="O57" s="36" t="n">
        <f aca="false">SQRT(M57^2+N57^2)</f>
        <v>2.28693043085546</v>
      </c>
      <c r="P57" s="40" t="n">
        <f aca="false">IF(J57="","",MAX(0,J57-1.96*O57/100))</f>
        <v>0.496110008747626</v>
      </c>
      <c r="Q57" s="40" t="n">
        <f aca="false">IF(J57="","",MIN(1,J57+1.96*O57/100))</f>
        <v>0.585757681637161</v>
      </c>
      <c r="R57" s="32" t="str">
        <f aca="false">IF(L57="","",IF(ABS(L57)&lt;=O57,"Yes","No"))</f>
        <v>Yes</v>
      </c>
      <c r="S57" s="32" t="str">
        <f aca="false">IF(L57="","",IF(ABS(L57)&lt;=1.96*O57,"Yes","No"))</f>
        <v>Yes</v>
      </c>
      <c r="T57" s="59" t="n">
        <f aca="false">IF(D57="","",ROUND(SQRT(((D57+G57)*O57/100)^2+(J57*(D57+G57)*0.04942)^2),0))</f>
        <v>394</v>
      </c>
      <c r="U57" s="32"/>
    </row>
    <row r="58" customFormat="false" ht="15" hidden="false" customHeight="false" outlineLevel="0" collapsed="false">
      <c r="A58" s="32" t="s">
        <v>220</v>
      </c>
      <c r="B58" s="32" t="s">
        <v>225</v>
      </c>
      <c r="C58" s="32" t="s">
        <v>161</v>
      </c>
      <c r="D58" s="59" t="n">
        <v>1528</v>
      </c>
      <c r="E58" s="59" t="n">
        <v>1737</v>
      </c>
      <c r="F58" s="68" t="n">
        <f aca="false">IF(E58="","",D58-E58)</f>
        <v>-209</v>
      </c>
      <c r="G58" s="59" t="n">
        <v>2314</v>
      </c>
      <c r="H58" s="59" t="n">
        <v>2662</v>
      </c>
      <c r="I58" s="68" t="n">
        <f aca="false">IF(H58="","",G58-H58)</f>
        <v>-348</v>
      </c>
      <c r="J58" s="40" t="n">
        <f aca="false">IF(OR(D58="",D58+G58=0),"",D58/(D58+G58))</f>
        <v>0.397709526288391</v>
      </c>
      <c r="K58" s="40" t="n">
        <f aca="false">IF(E58="","",E58/(E58+H58))</f>
        <v>0.394862468742896</v>
      </c>
      <c r="L58" s="69" t="n">
        <f aca="false">IF(OR(K58="",J58=""),"",(J58-K58)*100)</f>
        <v>0.284705754549536</v>
      </c>
      <c r="M58" s="36" t="n">
        <v>1.81013497502969</v>
      </c>
      <c r="N58" s="36" t="n">
        <v>1.39766310953213</v>
      </c>
      <c r="O58" s="36" t="n">
        <f aca="false">SQRT(M58^2+N58^2)</f>
        <v>2.28693043085546</v>
      </c>
      <c r="P58" s="40" t="n">
        <f aca="false">IF(J58="","",MAX(0,J58-1.96*O58/100))</f>
        <v>0.352885689843624</v>
      </c>
      <c r="Q58" s="40" t="n">
        <f aca="false">IF(J58="","",MIN(1,J58+1.96*O58/100))</f>
        <v>0.442533362733159</v>
      </c>
      <c r="R58" s="32" t="str">
        <f aca="false">IF(L58="","",IF(ABS(L58)&lt;=O58,"Yes","No"))</f>
        <v>Yes</v>
      </c>
      <c r="S58" s="32" t="str">
        <f aca="false">IF(L58="","",IF(ABS(L58)&lt;=1.96*O58,"Yes","No"))</f>
        <v>Yes</v>
      </c>
      <c r="T58" s="59" t="n">
        <f aca="false">IF(D58="","",ROUND(SQRT(((D58+G58)*O58/100)^2+(J58*(D58+G58)*0.04942)^2),0))</f>
        <v>116</v>
      </c>
      <c r="U58" s="32"/>
    </row>
    <row r="59" customFormat="false" ht="15" hidden="false" customHeight="false" outlineLevel="0" collapsed="false">
      <c r="A59" s="32" t="s">
        <v>220</v>
      </c>
      <c r="B59" s="32" t="s">
        <v>226</v>
      </c>
      <c r="C59" s="32" t="s">
        <v>161</v>
      </c>
      <c r="D59" s="59" t="n">
        <v>25</v>
      </c>
      <c r="E59" s="59" t="n">
        <v>31</v>
      </c>
      <c r="F59" s="68" t="n">
        <f aca="false">IF(E59="","",D59-E59)</f>
        <v>-6</v>
      </c>
      <c r="G59" s="59" t="n">
        <v>43</v>
      </c>
      <c r="H59" s="59" t="n">
        <v>55</v>
      </c>
      <c r="I59" s="68" t="n">
        <f aca="false">IF(H59="","",G59-H59)</f>
        <v>-12</v>
      </c>
      <c r="J59" s="40" t="n">
        <f aca="false">IF(OR(D59="",D59+G59=0),"",D59/(D59+G59))</f>
        <v>0.367647058823529</v>
      </c>
      <c r="K59" s="40" t="n">
        <f aca="false">IF(E59="","",E59/(E59+H59))</f>
        <v>0.36046511627907</v>
      </c>
      <c r="L59" s="69" t="n">
        <f aca="false">IF(OR(K59="",J59=""),"",(J59-K59)*100)</f>
        <v>0.71819425444597</v>
      </c>
      <c r="M59" s="36" t="n">
        <v>3.67166727778771</v>
      </c>
      <c r="N59" s="36" t="n">
        <v>1.39766310953213</v>
      </c>
      <c r="O59" s="36" t="n">
        <f aca="false">SQRT(M59^2+N59^2)</f>
        <v>3.92868970097207</v>
      </c>
      <c r="P59" s="40" t="n">
        <f aca="false">IF(J59="","",MAX(0,J59-1.96*O59/100))</f>
        <v>0.290644740684477</v>
      </c>
      <c r="Q59" s="40" t="n">
        <f aca="false">IF(J59="","",MIN(1,J59+1.96*O59/100))</f>
        <v>0.444649376962582</v>
      </c>
      <c r="R59" s="32" t="str">
        <f aca="false">IF(L59="","",IF(ABS(L59)&lt;=O59,"Yes","No"))</f>
        <v>Yes</v>
      </c>
      <c r="S59" s="32" t="str">
        <f aca="false">IF(L59="","",IF(ABS(L59)&lt;=1.96*O59,"Yes","No"))</f>
        <v>Yes</v>
      </c>
      <c r="T59" s="59" t="n">
        <f aca="false">IF(D59="","",ROUND(SQRT(((D59+G59)*O59/100)^2+(J59*(D59+G59)*0.07872)^2),0))</f>
        <v>3</v>
      </c>
      <c r="U59" s="32"/>
    </row>
    <row r="60" customFormat="false" ht="15" hidden="false" customHeight="false" outlineLevel="0" collapsed="false">
      <c r="A60" s="32" t="s">
        <v>220</v>
      </c>
      <c r="B60" s="32" t="s">
        <v>227</v>
      </c>
      <c r="C60" s="32" t="s">
        <v>161</v>
      </c>
      <c r="D60" s="59" t="n">
        <v>963</v>
      </c>
      <c r="E60" s="59" t="n">
        <v>1109</v>
      </c>
      <c r="F60" s="68" t="n">
        <f aca="false">IF(E60="","",D60-E60)</f>
        <v>-146</v>
      </c>
      <c r="G60" s="59" t="n">
        <v>1300</v>
      </c>
      <c r="H60" s="59" t="n">
        <v>1408</v>
      </c>
      <c r="I60" s="68" t="n">
        <f aca="false">IF(H60="","",G60-H60)</f>
        <v>-108</v>
      </c>
      <c r="J60" s="40" t="n">
        <f aca="false">IF(OR(D60="",D60+G60=0),"",D60/(D60+G60))</f>
        <v>0.425541316836058</v>
      </c>
      <c r="K60" s="40" t="n">
        <f aca="false">IF(E60="","",E60/(E60+H60))</f>
        <v>0.440603893524037</v>
      </c>
      <c r="L60" s="69" t="n">
        <f aca="false">IF(OR(K60="",J60=""),"",(J60-K60)*100)</f>
        <v>-1.50625766879782</v>
      </c>
      <c r="M60" s="36" t="n">
        <v>2.25214308303964</v>
      </c>
      <c r="N60" s="36" t="n">
        <v>1.39766310953213</v>
      </c>
      <c r="O60" s="36" t="n">
        <f aca="false">SQRT(M60^2+N60^2)</f>
        <v>2.65058684713976</v>
      </c>
      <c r="P60" s="40" t="n">
        <f aca="false">IF(J60="","",MAX(0,J60-1.96*O60/100))</f>
        <v>0.373589814632119</v>
      </c>
      <c r="Q60" s="40" t="n">
        <f aca="false">IF(J60="","",MIN(1,J60+1.96*O60/100))</f>
        <v>0.477492819039998</v>
      </c>
      <c r="R60" s="32" t="str">
        <f aca="false">IF(L60="","",IF(ABS(L60)&lt;=O60,"Yes","No"))</f>
        <v>Yes</v>
      </c>
      <c r="S60" s="32" t="str">
        <f aca="false">IF(L60="","",IF(ABS(L60)&lt;=1.96*O60,"Yes","No"))</f>
        <v>Yes</v>
      </c>
      <c r="T60" s="59" t="n">
        <f aca="false">IF(D60="","",ROUND(SQRT(((D60+G60)*O60/100)^2+(J60*(D60+G60)*0.05883)^2),0))</f>
        <v>83</v>
      </c>
      <c r="U60" s="32"/>
    </row>
    <row r="61" customFormat="false" ht="15" hidden="false" customHeight="false" outlineLevel="0" collapsed="false">
      <c r="A61" s="32" t="s">
        <v>220</v>
      </c>
      <c r="B61" s="32" t="s">
        <v>228</v>
      </c>
      <c r="C61" s="32" t="s">
        <v>161</v>
      </c>
      <c r="D61" s="59" t="n">
        <v>124</v>
      </c>
      <c r="E61" s="59" t="n">
        <v>137</v>
      </c>
      <c r="F61" s="68" t="n">
        <f aca="false">IF(E61="","",D61-E61)</f>
        <v>-13</v>
      </c>
      <c r="G61" s="59" t="n">
        <v>224</v>
      </c>
      <c r="H61" s="59" t="n">
        <v>214</v>
      </c>
      <c r="I61" s="68" t="n">
        <f aca="false">IF(H61="","",G61-H61)</f>
        <v>10</v>
      </c>
      <c r="J61" s="40" t="n">
        <f aca="false">IF(OR(D61="",D61+G61=0),"",D61/(D61+G61))</f>
        <v>0.35632183908046</v>
      </c>
      <c r="K61" s="40" t="n">
        <f aca="false">IF(E61="","",E61/(E61+H61))</f>
        <v>0.39031339031339</v>
      </c>
      <c r="L61" s="69" t="n">
        <f aca="false">IF(OR(K61="",J61=""),"",(J61-K61)*100)</f>
        <v>-3.39915512329305</v>
      </c>
      <c r="M61" s="36" t="n">
        <v>3.67166727778771</v>
      </c>
      <c r="N61" s="36" t="n">
        <v>1.39766310953213</v>
      </c>
      <c r="O61" s="36" t="n">
        <f aca="false">SQRT(M61^2+N61^2)</f>
        <v>3.92868970097207</v>
      </c>
      <c r="P61" s="40" t="n">
        <f aca="false">IF(J61="","",MAX(0,J61-1.96*O61/100))</f>
        <v>0.279319520941407</v>
      </c>
      <c r="Q61" s="40" t="n">
        <f aca="false">IF(J61="","",MIN(1,J61+1.96*O61/100))</f>
        <v>0.433324157219512</v>
      </c>
      <c r="R61" s="32" t="str">
        <f aca="false">IF(L61="","",IF(ABS(L61)&lt;=O61,"Yes","No"))</f>
        <v>Yes</v>
      </c>
      <c r="S61" s="32" t="str">
        <f aca="false">IF(L61="","",IF(ABS(L61)&lt;=1.96*O61,"Yes","No"))</f>
        <v>Yes</v>
      </c>
      <c r="T61" s="59" t="n">
        <f aca="false">IF(D61="","",ROUND(SQRT(((D61+G61)*O61/100)^2+(J61*(D61+G61)*0.07872)^2),0))</f>
        <v>17</v>
      </c>
      <c r="U61" s="32"/>
    </row>
    <row r="62" customFormat="false" ht="15" hidden="false" customHeight="false" outlineLevel="0" collapsed="false">
      <c r="A62" s="32" t="s">
        <v>220</v>
      </c>
      <c r="B62" s="32" t="s">
        <v>229</v>
      </c>
      <c r="C62" s="32" t="s">
        <v>161</v>
      </c>
      <c r="D62" s="59" t="n">
        <v>4996</v>
      </c>
      <c r="E62" s="59" t="n">
        <v>5210</v>
      </c>
      <c r="F62" s="68" t="n">
        <f aca="false">IF(E62="","",D62-E62)</f>
        <v>-214</v>
      </c>
      <c r="G62" s="59" t="n">
        <v>1954</v>
      </c>
      <c r="H62" s="59" t="n">
        <v>1883</v>
      </c>
      <c r="I62" s="68" t="n">
        <f aca="false">IF(H62="","",G62-H62)</f>
        <v>71</v>
      </c>
      <c r="J62" s="40" t="n">
        <f aca="false">IF(OR(D62="",D62+G62=0),"",D62/(D62+G62))</f>
        <v>0.718848920863309</v>
      </c>
      <c r="K62" s="40" t="n">
        <f aca="false">IF(E62="","",E62/(E62+H62))</f>
        <v>0.734526998449175</v>
      </c>
      <c r="L62" s="69" t="n">
        <f aca="false">IF(OR(K62="",J62=""),"",(J62-K62)*100)</f>
        <v>-1.56780775858659</v>
      </c>
      <c r="M62" s="36" t="n">
        <v>1.81013497502969</v>
      </c>
      <c r="N62" s="36" t="n">
        <v>1.39766310953213</v>
      </c>
      <c r="O62" s="36" t="n">
        <f aca="false">SQRT(M62^2+N62^2)</f>
        <v>2.28693043085546</v>
      </c>
      <c r="P62" s="40" t="n">
        <f aca="false">IF(J62="","",MAX(0,J62-1.96*O62/100))</f>
        <v>0.674025084418542</v>
      </c>
      <c r="Q62" s="40" t="n">
        <f aca="false">IF(J62="","",MIN(1,J62+1.96*O62/100))</f>
        <v>0.763672757308076</v>
      </c>
      <c r="R62" s="32" t="str">
        <f aca="false">IF(L62="","",IF(ABS(L62)&lt;=O62,"Yes","No"))</f>
        <v>Yes</v>
      </c>
      <c r="S62" s="32" t="str">
        <f aca="false">IF(L62="","",IF(ABS(L62)&lt;=1.96*O62,"Yes","No"))</f>
        <v>Yes</v>
      </c>
      <c r="T62" s="59" t="n">
        <f aca="false">IF(D62="","",ROUND(SQRT(((D62+G62)*O62/100)^2+(J62*(D62+G62)*0.04942)^2),0))</f>
        <v>294</v>
      </c>
      <c r="U62" s="32"/>
    </row>
    <row r="63" customFormat="false" ht="15" hidden="false" customHeight="false" outlineLevel="0" collapsed="false">
      <c r="A63" s="32" t="s">
        <v>220</v>
      </c>
      <c r="B63" s="32" t="s">
        <v>230</v>
      </c>
      <c r="C63" s="32" t="s">
        <v>161</v>
      </c>
      <c r="D63" s="59" t="n">
        <v>3917</v>
      </c>
      <c r="E63" s="59" t="n">
        <v>4158</v>
      </c>
      <c r="F63" s="68" t="n">
        <f aca="false">IF(E63="","",D63-E63)</f>
        <v>-241</v>
      </c>
      <c r="G63" s="59" t="n">
        <v>3338</v>
      </c>
      <c r="H63" s="59" t="n">
        <v>3782</v>
      </c>
      <c r="I63" s="68" t="n">
        <f aca="false">IF(H63="","",G63-H63)</f>
        <v>-444</v>
      </c>
      <c r="J63" s="40" t="n">
        <f aca="false">IF(OR(D63="",D63+G63=0),"",D63/(D63+G63))</f>
        <v>0.539903514817367</v>
      </c>
      <c r="K63" s="40" t="n">
        <f aca="false">IF(E63="","",E63/(E63+H63))</f>
        <v>0.52367758186398</v>
      </c>
      <c r="L63" s="69" t="n">
        <f aca="false">IF(OR(K63="",J63=""),"",(J63-K63)*100)</f>
        <v>1.62259329533875</v>
      </c>
      <c r="M63" s="36" t="n">
        <v>1.81013497502969</v>
      </c>
      <c r="N63" s="36" t="n">
        <v>1.39766310953213</v>
      </c>
      <c r="O63" s="36" t="n">
        <f aca="false">SQRT(M63^2+N63^2)</f>
        <v>2.28693043085546</v>
      </c>
      <c r="P63" s="40" t="n">
        <f aca="false">IF(J63="","",MAX(0,J63-1.96*O63/100))</f>
        <v>0.4950796783726</v>
      </c>
      <c r="Q63" s="40" t="n">
        <f aca="false">IF(J63="","",MIN(1,J63+1.96*O63/100))</f>
        <v>0.584727351262134</v>
      </c>
      <c r="R63" s="32" t="str">
        <f aca="false">IF(L63="","",IF(ABS(L63)&lt;=O63,"Yes","No"))</f>
        <v>Yes</v>
      </c>
      <c r="S63" s="32" t="str">
        <f aca="false">IF(L63="","",IF(ABS(L63)&lt;=1.96*O63,"Yes","No"))</f>
        <v>Yes</v>
      </c>
      <c r="T63" s="59" t="n">
        <f aca="false">IF(D63="","",ROUND(SQRT(((D63+G63)*O63/100)^2+(J63*(D63+G63)*0.04942)^2),0))</f>
        <v>255</v>
      </c>
      <c r="U63" s="32"/>
    </row>
    <row r="64" customFormat="false" ht="15" hidden="false" customHeight="false" outlineLevel="0" collapsed="false">
      <c r="A64" s="32" t="s">
        <v>220</v>
      </c>
      <c r="B64" s="32" t="s">
        <v>231</v>
      </c>
      <c r="C64" s="32" t="s">
        <v>161</v>
      </c>
      <c r="D64" s="59" t="n">
        <v>544</v>
      </c>
      <c r="E64" s="59" t="n">
        <v>480</v>
      </c>
      <c r="F64" s="68" t="n">
        <f aca="false">IF(E64="","",D64-E64)</f>
        <v>64</v>
      </c>
      <c r="G64" s="59" t="n">
        <v>287</v>
      </c>
      <c r="H64" s="59" t="n">
        <v>330</v>
      </c>
      <c r="I64" s="68" t="n">
        <f aca="false">IF(H64="","",G64-H64)</f>
        <v>-43</v>
      </c>
      <c r="J64" s="40" t="n">
        <f aca="false">IF(OR(D64="",D64+G64=0),"",D64/(D64+G64))</f>
        <v>0.654632972322503</v>
      </c>
      <c r="K64" s="40" t="n">
        <f aca="false">IF(E64="","",E64/(E64+H64))</f>
        <v>0.592592592592593</v>
      </c>
      <c r="L64" s="69" t="n">
        <f aca="false">IF(OR(K64="",J64=""),"",(J64-K64)*100)</f>
        <v>6.20403797299105</v>
      </c>
      <c r="M64" s="36" t="n">
        <v>3.67166727778771</v>
      </c>
      <c r="N64" s="36" t="n">
        <v>1.39766310953213</v>
      </c>
      <c r="O64" s="36" t="n">
        <f aca="false">SQRT(M64^2+N64^2)</f>
        <v>3.92868970097207</v>
      </c>
      <c r="P64" s="40" t="n">
        <f aca="false">IF(J64="","",MAX(0,J64-1.96*O64/100))</f>
        <v>0.577630654183451</v>
      </c>
      <c r="Q64" s="40" t="n">
        <f aca="false">IF(J64="","",MIN(1,J64+1.96*O64/100))</f>
        <v>0.731635290461556</v>
      </c>
      <c r="R64" s="32" t="str">
        <f aca="false">IF(L64="","",IF(ABS(L64)&lt;=O64,"Yes","No"))</f>
        <v>No</v>
      </c>
      <c r="S64" s="32" t="str">
        <f aca="false">IF(L64="","",IF(ABS(L64)&lt;=1.96*O64,"Yes","No"))</f>
        <v>Yes</v>
      </c>
      <c r="T64" s="59" t="n">
        <f aca="false">IF(D64="","",ROUND(SQRT(((D64+G64)*O64/100)^2+(J64*(D64+G64)*0.07872)^2),0))</f>
        <v>54</v>
      </c>
      <c r="U64" s="32"/>
    </row>
    <row r="65" customFormat="false" ht="15" hidden="false" customHeight="false" outlineLevel="0" collapsed="false">
      <c r="A65" s="32" t="s">
        <v>220</v>
      </c>
      <c r="B65" s="32" t="s">
        <v>232</v>
      </c>
      <c r="C65" s="32" t="s">
        <v>161</v>
      </c>
      <c r="D65" s="59" t="n">
        <v>69</v>
      </c>
      <c r="E65" s="59" t="n">
        <v>72</v>
      </c>
      <c r="F65" s="68" t="n">
        <f aca="false">IF(E65="","",D65-E65)</f>
        <v>-3</v>
      </c>
      <c r="G65" s="59" t="n">
        <v>59</v>
      </c>
      <c r="H65" s="59" t="n">
        <v>69</v>
      </c>
      <c r="I65" s="68" t="n">
        <f aca="false">IF(H65="","",G65-H65)</f>
        <v>-10</v>
      </c>
      <c r="J65" s="40" t="n">
        <f aca="false">IF(OR(D65="",D65+G65=0),"",D65/(D65+G65))</f>
        <v>0.5390625</v>
      </c>
      <c r="K65" s="40" t="n">
        <f aca="false">IF(E65="","",E65/(E65+H65))</f>
        <v>0.51063829787234</v>
      </c>
      <c r="L65" s="69" t="n">
        <f aca="false">IF(OR(K65="",J65=""),"",(J65-K65)*100)</f>
        <v>2.84242021276596</v>
      </c>
      <c r="M65" s="36" t="n">
        <v>3.67166727778771</v>
      </c>
      <c r="N65" s="36" t="n">
        <v>1.39766310953213</v>
      </c>
      <c r="O65" s="36" t="n">
        <f aca="false">SQRT(M65^2+N65^2)</f>
        <v>3.92868970097207</v>
      </c>
      <c r="P65" s="40" t="n">
        <f aca="false">IF(J65="","",MAX(0,J65-1.96*O65/100))</f>
        <v>0.462060181860947</v>
      </c>
      <c r="Q65" s="40" t="n">
        <f aca="false">IF(J65="","",MIN(1,J65+1.96*O65/100))</f>
        <v>0.616064818139053</v>
      </c>
      <c r="R65" s="32" t="str">
        <f aca="false">IF(L65="","",IF(ABS(L65)&lt;=O65,"Yes","No"))</f>
        <v>Yes</v>
      </c>
      <c r="S65" s="32" t="str">
        <f aca="false">IF(L65="","",IF(ABS(L65)&lt;=1.96*O65,"Yes","No"))</f>
        <v>Yes</v>
      </c>
      <c r="T65" s="59" t="n">
        <f aca="false">IF(D65="","",ROUND(SQRT(((D65+G65)*O65/100)^2+(J65*(D65+G65)*0.07872)^2),0))</f>
        <v>7</v>
      </c>
      <c r="U65" s="32"/>
    </row>
    <row r="66" customFormat="false" ht="15" hidden="false" customHeight="false" outlineLevel="0" collapsed="false">
      <c r="A66" s="32" t="s">
        <v>220</v>
      </c>
      <c r="B66" s="32" t="s">
        <v>198</v>
      </c>
      <c r="C66" s="32" t="s">
        <v>161</v>
      </c>
      <c r="D66" s="59" t="n">
        <v>3299</v>
      </c>
      <c r="E66" s="59" t="n">
        <v>3570</v>
      </c>
      <c r="F66" s="68" t="n">
        <f aca="false">IF(E66="","",D66-E66)</f>
        <v>-271</v>
      </c>
      <c r="G66" s="59" t="n">
        <v>2705</v>
      </c>
      <c r="H66" s="59" t="n">
        <v>2883</v>
      </c>
      <c r="I66" s="68" t="n">
        <f aca="false">IF(H66="","",G66-H66)</f>
        <v>-178</v>
      </c>
      <c r="J66" s="40" t="n">
        <f aca="false">IF(OR(D66="",D66+G66=0),"",D66/(D66+G66))</f>
        <v>0.549467021985343</v>
      </c>
      <c r="K66" s="40" t="n">
        <f aca="false">IF(E66="","",E66/(E66+H66))</f>
        <v>0.553231055323106</v>
      </c>
      <c r="L66" s="69" t="n">
        <f aca="false">IF(OR(K66="",J66=""),"",(J66-K66)*100)</f>
        <v>-0.376403333776243</v>
      </c>
      <c r="M66" s="36" t="n">
        <v>1.81013497502969</v>
      </c>
      <c r="N66" s="36" t="n">
        <v>1.39766310953213</v>
      </c>
      <c r="O66" s="36" t="n">
        <f aca="false">SQRT(M66^2+N66^2)</f>
        <v>2.28693043085546</v>
      </c>
      <c r="P66" s="40" t="n">
        <f aca="false">IF(J66="","",MAX(0,J66-1.96*O66/100))</f>
        <v>0.504643185540576</v>
      </c>
      <c r="Q66" s="40" t="n">
        <f aca="false">IF(J66="","",MIN(1,J66+1.96*O66/100))</f>
        <v>0.59429085843011</v>
      </c>
      <c r="R66" s="32" t="str">
        <f aca="false">IF(L66="","",IF(ABS(L66)&lt;=O66,"Yes","No"))</f>
        <v>Yes</v>
      </c>
      <c r="S66" s="32" t="str">
        <f aca="false">IF(L66="","",IF(ABS(L66)&lt;=1.96*O66,"Yes","No"))</f>
        <v>Yes</v>
      </c>
      <c r="T66" s="59" t="n">
        <f aca="false">IF(D66="","",ROUND(SQRT(((D66+G66)*O66/100)^2+(J66*(D66+G66)*0.04942)^2),0))</f>
        <v>213</v>
      </c>
      <c r="U66" s="32"/>
    </row>
    <row r="67" customFormat="false" ht="15" hidden="false" customHeight="false" outlineLevel="0" collapsed="false">
      <c r="A67" s="32" t="s">
        <v>220</v>
      </c>
      <c r="B67" s="32" t="s">
        <v>233</v>
      </c>
      <c r="C67" s="32" t="s">
        <v>161</v>
      </c>
      <c r="D67" s="59" t="n">
        <v>1315</v>
      </c>
      <c r="E67" s="59" t="n">
        <v>1372</v>
      </c>
      <c r="F67" s="68" t="n">
        <f aca="false">IF(E67="","",D67-E67)</f>
        <v>-57</v>
      </c>
      <c r="G67" s="59" t="n">
        <v>1108</v>
      </c>
      <c r="H67" s="59" t="n">
        <v>1201</v>
      </c>
      <c r="I67" s="68" t="n">
        <f aca="false">IF(H67="","",G67-H67)</f>
        <v>-93</v>
      </c>
      <c r="J67" s="40" t="n">
        <f aca="false">IF(OR(D67="",D67+G67=0),"",D67/(D67+G67))</f>
        <v>0.542715641766405</v>
      </c>
      <c r="K67" s="40" t="n">
        <f aca="false">IF(E67="","",E67/(E67+H67))</f>
        <v>0.53322969296541</v>
      </c>
      <c r="L67" s="69" t="n">
        <f aca="false">IF(OR(K67="",J67=""),"",(J67-K67)*100)</f>
        <v>0.948594880099529</v>
      </c>
      <c r="M67" s="36" t="n">
        <v>2.25214308303964</v>
      </c>
      <c r="N67" s="36" t="n">
        <v>1.39766310953213</v>
      </c>
      <c r="O67" s="36" t="n">
        <f aca="false">SQRT(M67^2+N67^2)</f>
        <v>2.65058684713976</v>
      </c>
      <c r="P67" s="40" t="n">
        <f aca="false">IF(J67="","",MAX(0,J67-1.96*O67/100))</f>
        <v>0.490764139562466</v>
      </c>
      <c r="Q67" s="40" t="n">
        <f aca="false">IF(J67="","",MIN(1,J67+1.96*O67/100))</f>
        <v>0.594667143970345</v>
      </c>
      <c r="R67" s="32" t="str">
        <f aca="false">IF(L67="","",IF(ABS(L67)&lt;=O67,"Yes","No"))</f>
        <v>Yes</v>
      </c>
      <c r="S67" s="32" t="str">
        <f aca="false">IF(L67="","",IF(ABS(L67)&lt;=1.96*O67,"Yes","No"))</f>
        <v>Yes</v>
      </c>
      <c r="T67" s="59" t="n">
        <f aca="false">IF(D67="","",ROUND(SQRT(((D67+G67)*O67/100)^2+(J67*(D67+G67)*0.05883)^2),0))</f>
        <v>101</v>
      </c>
      <c r="U67" s="32"/>
    </row>
    <row r="68" customFormat="false" ht="15" hidden="false" customHeight="false" outlineLevel="0" collapsed="false">
      <c r="A68" s="32" t="s">
        <v>220</v>
      </c>
      <c r="B68" s="32" t="s">
        <v>234</v>
      </c>
      <c r="C68" s="32" t="s">
        <v>161</v>
      </c>
      <c r="D68" s="59" t="n">
        <v>1576</v>
      </c>
      <c r="E68" s="59" t="n">
        <v>1803</v>
      </c>
      <c r="F68" s="68" t="n">
        <f aca="false">IF(E68="","",D68-E68)</f>
        <v>-227</v>
      </c>
      <c r="G68" s="59" t="n">
        <v>3013</v>
      </c>
      <c r="H68" s="59" t="n">
        <v>3303</v>
      </c>
      <c r="I68" s="68" t="n">
        <f aca="false">IF(H68="","",G68-H68)</f>
        <v>-290</v>
      </c>
      <c r="J68" s="40" t="n">
        <f aca="false">IF(OR(D68="",D68+G68=0),"",D68/(D68+G68))</f>
        <v>0.343429941163652</v>
      </c>
      <c r="K68" s="40" t="n">
        <f aca="false">IF(E68="","",E68/(E68+H68))</f>
        <v>0.353113983548766</v>
      </c>
      <c r="L68" s="69" t="n">
        <f aca="false">IF(OR(K68="",J68=""),"",(J68-K68)*100)</f>
        <v>-0.968404238511395</v>
      </c>
      <c r="M68" s="36" t="n">
        <v>1.81013497502969</v>
      </c>
      <c r="N68" s="36" t="n">
        <v>1.39766310953213</v>
      </c>
      <c r="O68" s="36" t="n">
        <f aca="false">SQRT(M68^2+N68^2)</f>
        <v>2.28693043085546</v>
      </c>
      <c r="P68" s="40" t="n">
        <f aca="false">IF(J68="","",MAX(0,J68-1.96*O68/100))</f>
        <v>0.298606104718885</v>
      </c>
      <c r="Q68" s="40" t="n">
        <f aca="false">IF(J68="","",MIN(1,J68+1.96*O68/100))</f>
        <v>0.388253777608419</v>
      </c>
      <c r="R68" s="32" t="str">
        <f aca="false">IF(L68="","",IF(ABS(L68)&lt;=O68,"Yes","No"))</f>
        <v>Yes</v>
      </c>
      <c r="S68" s="32" t="str">
        <f aca="false">IF(L68="","",IF(ABS(L68)&lt;=1.96*O68,"Yes","No"))</f>
        <v>Yes</v>
      </c>
      <c r="T68" s="59" t="n">
        <f aca="false">IF(D68="","",ROUND(SQRT(((D68+G68)*O68/100)^2+(J68*(D68+G68)*0.04942)^2),0))</f>
        <v>131</v>
      </c>
      <c r="U68" s="32"/>
    </row>
    <row r="69" customFormat="false" ht="15" hidden="false" customHeight="false" outlineLevel="0" collapsed="false">
      <c r="A69" s="32" t="s">
        <v>220</v>
      </c>
      <c r="B69" s="32" t="s">
        <v>235</v>
      </c>
      <c r="C69" s="32" t="s">
        <v>161</v>
      </c>
      <c r="D69" s="59" t="n">
        <v>416</v>
      </c>
      <c r="E69" s="59" t="n">
        <v>511</v>
      </c>
      <c r="F69" s="68" t="n">
        <f aca="false">IF(E69="","",D69-E69)</f>
        <v>-95</v>
      </c>
      <c r="G69" s="59" t="n">
        <v>794</v>
      </c>
      <c r="H69" s="59" t="n">
        <v>889</v>
      </c>
      <c r="I69" s="68" t="n">
        <f aca="false">IF(H69="","",G69-H69)</f>
        <v>-95</v>
      </c>
      <c r="J69" s="40" t="n">
        <f aca="false">IF(OR(D69="",D69+G69=0),"",D69/(D69+G69))</f>
        <v>0.343801652892562</v>
      </c>
      <c r="K69" s="40" t="n">
        <f aca="false">IF(E69="","",E69/(E69+H69))</f>
        <v>0.365</v>
      </c>
      <c r="L69" s="69" t="n">
        <f aca="false">IF(OR(K69="",J69=""),"",(J69-K69)*100)</f>
        <v>-2.1198347107438</v>
      </c>
      <c r="M69" s="36" t="n">
        <v>2.25214308303964</v>
      </c>
      <c r="N69" s="36" t="n">
        <v>1.39766310953213</v>
      </c>
      <c r="O69" s="36" t="n">
        <f aca="false">SQRT(M69^2+N69^2)</f>
        <v>2.65058684713976</v>
      </c>
      <c r="P69" s="40" t="n">
        <f aca="false">IF(J69="","",MAX(0,J69-1.96*O69/100))</f>
        <v>0.291850150688623</v>
      </c>
      <c r="Q69" s="40" t="n">
        <f aca="false">IF(J69="","",MIN(1,J69+1.96*O69/100))</f>
        <v>0.395753155096501</v>
      </c>
      <c r="R69" s="32" t="str">
        <f aca="false">IF(L69="","",IF(ABS(L69)&lt;=O69,"Yes","No"))</f>
        <v>Yes</v>
      </c>
      <c r="S69" s="32" t="str">
        <f aca="false">IF(L69="","",IF(ABS(L69)&lt;=1.96*O69,"Yes","No"))</f>
        <v>Yes</v>
      </c>
      <c r="T69" s="59" t="n">
        <f aca="false">IF(D69="","",ROUND(SQRT(((D69+G69)*O69/100)^2+(J69*(D69+G69)*0.05883)^2),0))</f>
        <v>40</v>
      </c>
      <c r="U69" s="32"/>
    </row>
    <row r="70" customFormat="false" ht="15" hidden="false" customHeight="false" outlineLevel="0" collapsed="false">
      <c r="A70" s="32" t="s">
        <v>220</v>
      </c>
      <c r="B70" s="32" t="s">
        <v>236</v>
      </c>
      <c r="C70" s="32" t="s">
        <v>161</v>
      </c>
      <c r="D70" s="59" t="n">
        <v>1441</v>
      </c>
      <c r="E70" s="59" t="n">
        <v>1632</v>
      </c>
      <c r="F70" s="68" t="n">
        <f aca="false">IF(E70="","",D70-E70)</f>
        <v>-191</v>
      </c>
      <c r="G70" s="59" t="n">
        <v>1905</v>
      </c>
      <c r="H70" s="59" t="n">
        <v>2067</v>
      </c>
      <c r="I70" s="68" t="n">
        <f aca="false">IF(H70="","",G70-H70)</f>
        <v>-162</v>
      </c>
      <c r="J70" s="40" t="n">
        <f aca="false">IF(OR(D70="",D70+G70=0),"",D70/(D70+G70))</f>
        <v>0.430663478780634</v>
      </c>
      <c r="K70" s="40" t="n">
        <f aca="false">IF(E70="","",E70/(E70+H70))</f>
        <v>0.441200324412003</v>
      </c>
      <c r="L70" s="69" t="n">
        <f aca="false">IF(OR(K70="",J70=""),"",(J70-K70)*100)</f>
        <v>-1.05368456313696</v>
      </c>
      <c r="M70" s="36" t="n">
        <v>1.81013497502969</v>
      </c>
      <c r="N70" s="36" t="n">
        <v>1.39766310953213</v>
      </c>
      <c r="O70" s="36" t="n">
        <f aca="false">SQRT(M70^2+N70^2)</f>
        <v>2.28693043085546</v>
      </c>
      <c r="P70" s="40" t="n">
        <f aca="false">IF(J70="","",MAX(0,J70-1.96*O70/100))</f>
        <v>0.385839642335867</v>
      </c>
      <c r="Q70" s="40" t="n">
        <f aca="false">IF(J70="","",MIN(1,J70+1.96*O70/100))</f>
        <v>0.475487315225401</v>
      </c>
      <c r="R70" s="32" t="str">
        <f aca="false">IF(L70="","",IF(ABS(L70)&lt;=O70,"Yes","No"))</f>
        <v>Yes</v>
      </c>
      <c r="S70" s="32" t="str">
        <f aca="false">IF(L70="","",IF(ABS(L70)&lt;=1.96*O70,"Yes","No"))</f>
        <v>Yes</v>
      </c>
      <c r="T70" s="59" t="n">
        <f aca="false">IF(D70="","",ROUND(SQRT(((D70+G70)*O70/100)^2+(J70*(D70+G70)*0.04942)^2),0))</f>
        <v>105</v>
      </c>
      <c r="U70" s="32"/>
    </row>
    <row r="71" customFormat="false" ht="15" hidden="false" customHeight="false" outlineLevel="0" collapsed="false">
      <c r="A71" s="32" t="s">
        <v>220</v>
      </c>
      <c r="B71" s="32" t="s">
        <v>237</v>
      </c>
      <c r="C71" s="32" t="s">
        <v>161</v>
      </c>
      <c r="D71" s="59" t="n">
        <v>2696</v>
      </c>
      <c r="E71" s="59" t="n">
        <v>2919</v>
      </c>
      <c r="F71" s="68" t="n">
        <f aca="false">IF(E71="","",D71-E71)</f>
        <v>-223</v>
      </c>
      <c r="G71" s="59" t="n">
        <v>2758</v>
      </c>
      <c r="H71" s="59" t="n">
        <v>3008</v>
      </c>
      <c r="I71" s="68" t="n">
        <f aca="false">IF(H71="","",G71-H71)</f>
        <v>-250</v>
      </c>
      <c r="J71" s="40" t="n">
        <f aca="false">IF(OR(D71="",D71+G71=0),"",D71/(D71+G71))</f>
        <v>0.494316098276494</v>
      </c>
      <c r="K71" s="40" t="n">
        <f aca="false">IF(E71="","",E71/(E71+H71))</f>
        <v>0.492491985827569</v>
      </c>
      <c r="L71" s="69" t="n">
        <f aca="false">IF(OR(K71="",J71=""),"",(J71-K71)*100)</f>
        <v>0.182411244892555</v>
      </c>
      <c r="M71" s="36" t="n">
        <v>1.81013497502969</v>
      </c>
      <c r="N71" s="36" t="n">
        <v>1.39766310953213</v>
      </c>
      <c r="O71" s="36" t="n">
        <f aca="false">SQRT(M71^2+N71^2)</f>
        <v>2.28693043085546</v>
      </c>
      <c r="P71" s="40" t="n">
        <f aca="false">IF(J71="","",MAX(0,J71-1.96*O71/100))</f>
        <v>0.449492261831727</v>
      </c>
      <c r="Q71" s="40" t="n">
        <f aca="false">IF(J71="","",MIN(1,J71+1.96*O71/100))</f>
        <v>0.539139934721261</v>
      </c>
      <c r="R71" s="32" t="str">
        <f aca="false">IF(L71="","",IF(ABS(L71)&lt;=O71,"Yes","No"))</f>
        <v>Yes</v>
      </c>
      <c r="S71" s="32" t="str">
        <f aca="false">IF(L71="","",IF(ABS(L71)&lt;=1.96*O71,"Yes","No"))</f>
        <v>Yes</v>
      </c>
      <c r="T71" s="59" t="n">
        <f aca="false">IF(D71="","",ROUND(SQRT(((D71+G71)*O71/100)^2+(J71*(D71+G71)*0.04942)^2),0))</f>
        <v>183</v>
      </c>
      <c r="U71" s="32"/>
    </row>
    <row r="72" customFormat="false" ht="15" hidden="false" customHeight="false" outlineLevel="0" collapsed="false">
      <c r="A72" s="32" t="s">
        <v>220</v>
      </c>
      <c r="B72" s="32" t="s">
        <v>238</v>
      </c>
      <c r="C72" s="32" t="s">
        <v>161</v>
      </c>
      <c r="D72" s="59" t="n">
        <v>1528</v>
      </c>
      <c r="E72" s="59" t="n">
        <v>1661</v>
      </c>
      <c r="F72" s="68" t="n">
        <f aca="false">IF(E72="","",D72-E72)</f>
        <v>-133</v>
      </c>
      <c r="G72" s="59" t="n">
        <v>2746</v>
      </c>
      <c r="H72" s="59" t="n">
        <v>3091</v>
      </c>
      <c r="I72" s="68" t="n">
        <f aca="false">IF(H72="","",G72-H72)</f>
        <v>-345</v>
      </c>
      <c r="J72" s="40" t="n">
        <f aca="false">IF(OR(D72="",D72+G72=0),"",D72/(D72+G72))</f>
        <v>0.357510528778662</v>
      </c>
      <c r="K72" s="40" t="n">
        <f aca="false">IF(E72="","",E72/(E72+H72))</f>
        <v>0.349537037037037</v>
      </c>
      <c r="L72" s="69" t="n">
        <f aca="false">IF(OR(K72="",J72=""),"",(J72-K72)*100)</f>
        <v>0.797349174162465</v>
      </c>
      <c r="M72" s="36" t="n">
        <v>1.81013497502969</v>
      </c>
      <c r="N72" s="36" t="n">
        <v>1.39766310953213</v>
      </c>
      <c r="O72" s="36" t="n">
        <f aca="false">SQRT(M72^2+N72^2)</f>
        <v>2.28693043085546</v>
      </c>
      <c r="P72" s="40" t="n">
        <f aca="false">IF(J72="","",MAX(0,J72-1.96*O72/100))</f>
        <v>0.312686692333895</v>
      </c>
      <c r="Q72" s="40" t="n">
        <f aca="false">IF(J72="","",MIN(1,J72+1.96*O72/100))</f>
        <v>0.402334365223429</v>
      </c>
      <c r="R72" s="32" t="str">
        <f aca="false">IF(L72="","",IF(ABS(L72)&lt;=O72,"Yes","No"))</f>
        <v>Yes</v>
      </c>
      <c r="S72" s="32" t="str">
        <f aca="false">IF(L72="","",IF(ABS(L72)&lt;=1.96*O72,"Yes","No"))</f>
        <v>Yes</v>
      </c>
      <c r="T72" s="59" t="n">
        <f aca="false">IF(D72="","",ROUND(SQRT(((D72+G72)*O72/100)^2+(J72*(D72+G72)*0.04942)^2),0))</f>
        <v>124</v>
      </c>
      <c r="U72" s="32"/>
    </row>
    <row r="73" customFormat="false" ht="15" hidden="false" customHeight="false" outlineLevel="0" collapsed="false">
      <c r="A73" s="32" t="s">
        <v>220</v>
      </c>
      <c r="B73" s="32" t="s">
        <v>239</v>
      </c>
      <c r="C73" s="32" t="s">
        <v>161</v>
      </c>
      <c r="D73" s="59" t="n">
        <v>1124</v>
      </c>
      <c r="E73" s="59" t="n">
        <v>1272</v>
      </c>
      <c r="F73" s="68" t="n">
        <f aca="false">IF(E73="","",D73-E73)</f>
        <v>-148</v>
      </c>
      <c r="G73" s="59" t="n">
        <v>1102</v>
      </c>
      <c r="H73" s="59" t="n">
        <v>1188</v>
      </c>
      <c r="I73" s="68" t="n">
        <f aca="false">IF(H73="","",G73-H73)</f>
        <v>-86</v>
      </c>
      <c r="J73" s="40" t="n">
        <f aca="false">IF(OR(D73="",D73+G73=0),"",D73/(D73+G73))</f>
        <v>0.504941599281222</v>
      </c>
      <c r="K73" s="40" t="n">
        <f aca="false">IF(E73="","",E73/(E73+H73))</f>
        <v>0.517073170731707</v>
      </c>
      <c r="L73" s="69" t="n">
        <f aca="false">IF(OR(K73="",J73=""),"",(J73-K73)*100)</f>
        <v>-1.21315714504854</v>
      </c>
      <c r="M73" s="36" t="n">
        <v>2.25214308303964</v>
      </c>
      <c r="N73" s="36" t="n">
        <v>1.39766310953213</v>
      </c>
      <c r="O73" s="36" t="n">
        <f aca="false">SQRT(M73^2+N73^2)</f>
        <v>2.65058684713976</v>
      </c>
      <c r="P73" s="40" t="n">
        <f aca="false">IF(J73="","",MAX(0,J73-1.96*O73/100))</f>
        <v>0.452990097077283</v>
      </c>
      <c r="Q73" s="40" t="n">
        <f aca="false">IF(J73="","",MIN(1,J73+1.96*O73/100))</f>
        <v>0.556893101485161</v>
      </c>
      <c r="R73" s="32" t="str">
        <f aca="false">IF(L73="","",IF(ABS(L73)&lt;=O73,"Yes","No"))</f>
        <v>Yes</v>
      </c>
      <c r="S73" s="32" t="str">
        <f aca="false">IF(L73="","",IF(ABS(L73)&lt;=1.96*O73,"Yes","No"))</f>
        <v>Yes</v>
      </c>
      <c r="T73" s="59" t="n">
        <f aca="false">IF(D73="","",ROUND(SQRT(((D73+G73)*O73/100)^2+(J73*(D73+G73)*0.05883)^2),0))</f>
        <v>89</v>
      </c>
      <c r="U73" s="32"/>
    </row>
    <row r="74" customFormat="false" ht="15" hidden="false" customHeight="false" outlineLevel="0" collapsed="false">
      <c r="A74" s="32" t="s">
        <v>220</v>
      </c>
      <c r="B74" s="32" t="s">
        <v>240</v>
      </c>
      <c r="C74" s="32" t="s">
        <v>161</v>
      </c>
      <c r="D74" s="59" t="n">
        <v>585</v>
      </c>
      <c r="E74" s="59" t="n">
        <v>644</v>
      </c>
      <c r="F74" s="68" t="n">
        <f aca="false">IF(E74="","",D74-E74)</f>
        <v>-59</v>
      </c>
      <c r="G74" s="59" t="n">
        <v>592</v>
      </c>
      <c r="H74" s="59" t="n">
        <v>634</v>
      </c>
      <c r="I74" s="68" t="n">
        <f aca="false">IF(H74="","",G74-H74)</f>
        <v>-42</v>
      </c>
      <c r="J74" s="40" t="n">
        <f aca="false">IF(OR(D74="",D74+G74=0),"",D74/(D74+G74))</f>
        <v>0.497026338147834</v>
      </c>
      <c r="K74" s="40" t="n">
        <f aca="false">IF(E74="","",E74/(E74+H74))</f>
        <v>0.503912363067293</v>
      </c>
      <c r="L74" s="69" t="n">
        <f aca="false">IF(OR(K74="",J74=""),"",(J74-K74)*100)</f>
        <v>-0.688602491945911</v>
      </c>
      <c r="M74" s="36" t="n">
        <v>2.25214308303964</v>
      </c>
      <c r="N74" s="36" t="n">
        <v>1.39766310953213</v>
      </c>
      <c r="O74" s="36" t="n">
        <f aca="false">SQRT(M74^2+N74^2)</f>
        <v>2.65058684713976</v>
      </c>
      <c r="P74" s="40" t="n">
        <f aca="false">IF(J74="","",MAX(0,J74-1.96*O74/100))</f>
        <v>0.445074835943894</v>
      </c>
      <c r="Q74" s="40" t="n">
        <f aca="false">IF(J74="","",MIN(1,J74+1.96*O74/100))</f>
        <v>0.548977840351773</v>
      </c>
      <c r="R74" s="32" t="str">
        <f aca="false">IF(L74="","",IF(ABS(L74)&lt;=O74,"Yes","No"))</f>
        <v>Yes</v>
      </c>
      <c r="S74" s="32" t="str">
        <f aca="false">IF(L74="","",IF(ABS(L74)&lt;=1.96*O74,"Yes","No"))</f>
        <v>Yes</v>
      </c>
      <c r="T74" s="59" t="n">
        <f aca="false">IF(D74="","",ROUND(SQRT(((D74+G74)*O74/100)^2+(J74*(D74+G74)*0.05883)^2),0))</f>
        <v>46</v>
      </c>
      <c r="U74" s="32"/>
    </row>
    <row r="75" customFormat="false" ht="15" hidden="false" customHeight="false" outlineLevel="0" collapsed="false">
      <c r="A75" s="32" t="s">
        <v>220</v>
      </c>
      <c r="B75" s="32" t="s">
        <v>241</v>
      </c>
      <c r="C75" s="32" t="s">
        <v>161</v>
      </c>
      <c r="D75" s="59" t="n">
        <v>1761</v>
      </c>
      <c r="E75" s="59" t="n">
        <v>1957</v>
      </c>
      <c r="F75" s="68" t="n">
        <f aca="false">IF(E75="","",D75-E75)</f>
        <v>-196</v>
      </c>
      <c r="G75" s="59" t="n">
        <v>1868</v>
      </c>
      <c r="H75" s="59" t="n">
        <v>1970</v>
      </c>
      <c r="I75" s="68" t="n">
        <f aca="false">IF(H75="","",G75-H75)</f>
        <v>-102</v>
      </c>
      <c r="J75" s="40" t="n">
        <f aca="false">IF(OR(D75="",D75+G75=0),"",D75/(D75+G75))</f>
        <v>0.485257646734638</v>
      </c>
      <c r="K75" s="40" t="n">
        <f aca="false">IF(E75="","",E75/(E75+H75))</f>
        <v>0.49834479246244</v>
      </c>
      <c r="L75" s="69" t="n">
        <f aca="false">IF(OR(K75="",J75=""),"",(J75-K75)*100)</f>
        <v>-1.30871457278019</v>
      </c>
      <c r="M75" s="36" t="n">
        <v>1.81013497502969</v>
      </c>
      <c r="N75" s="36" t="n">
        <v>1.39766310953213</v>
      </c>
      <c r="O75" s="36" t="n">
        <f aca="false">SQRT(M75^2+N75^2)</f>
        <v>2.28693043085546</v>
      </c>
      <c r="P75" s="40" t="n">
        <f aca="false">IF(J75="","",MAX(0,J75-1.96*O75/100))</f>
        <v>0.440433810289871</v>
      </c>
      <c r="Q75" s="40" t="n">
        <f aca="false">IF(J75="","",MIN(1,J75+1.96*O75/100))</f>
        <v>0.530081483179405</v>
      </c>
      <c r="R75" s="32" t="str">
        <f aca="false">IF(L75="","",IF(ABS(L75)&lt;=O75,"Yes","No"))</f>
        <v>Yes</v>
      </c>
      <c r="S75" s="32" t="str">
        <f aca="false">IF(L75="","",IF(ABS(L75)&lt;=1.96*O75,"Yes","No"))</f>
        <v>Yes</v>
      </c>
      <c r="T75" s="59" t="n">
        <f aca="false">IF(D75="","",ROUND(SQRT(((D75+G75)*O75/100)^2+(J75*(D75+G75)*0.04942)^2),0))</f>
        <v>120</v>
      </c>
      <c r="U75" s="32"/>
    </row>
    <row r="76" customFormat="false" ht="15" hidden="false" customHeight="false" outlineLevel="0" collapsed="false">
      <c r="A76" s="32" t="s">
        <v>220</v>
      </c>
      <c r="B76" s="32" t="s">
        <v>242</v>
      </c>
      <c r="C76" s="32" t="s">
        <v>161</v>
      </c>
      <c r="D76" s="59" t="n">
        <v>5217</v>
      </c>
      <c r="E76" s="59" t="n">
        <v>5403</v>
      </c>
      <c r="F76" s="68" t="n">
        <f aca="false">IF(E76="","",D76-E76)</f>
        <v>-186</v>
      </c>
      <c r="G76" s="59" t="n">
        <v>4460</v>
      </c>
      <c r="H76" s="59" t="n">
        <v>4910</v>
      </c>
      <c r="I76" s="68" t="n">
        <f aca="false">IF(H76="","",G76-H76)</f>
        <v>-450</v>
      </c>
      <c r="J76" s="40" t="n">
        <f aca="false">IF(OR(D76="",D76+G76=0),"",D76/(D76+G76))</f>
        <v>0.539113361579002</v>
      </c>
      <c r="K76" s="40" t="n">
        <f aca="false">IF(E76="","",E76/(E76+H76))</f>
        <v>0.523901871424416</v>
      </c>
      <c r="L76" s="69" t="n">
        <f aca="false">IF(OR(K76="",J76=""),"",(J76-K76)*100)</f>
        <v>1.5211490154586</v>
      </c>
      <c r="M76" s="36" t="n">
        <v>1.81013497502969</v>
      </c>
      <c r="N76" s="36" t="n">
        <v>1.39766310953213</v>
      </c>
      <c r="O76" s="36" t="n">
        <f aca="false">SQRT(M76^2+N76^2)</f>
        <v>2.28693043085546</v>
      </c>
      <c r="P76" s="40" t="n">
        <f aca="false">IF(J76="","",MAX(0,J76-1.96*O76/100))</f>
        <v>0.494289525134235</v>
      </c>
      <c r="Q76" s="40" t="n">
        <f aca="false">IF(J76="","",MIN(1,J76+1.96*O76/100))</f>
        <v>0.583937198023769</v>
      </c>
      <c r="R76" s="32" t="str">
        <f aca="false">IF(L76="","",IF(ABS(L76)&lt;=O76,"Yes","No"))</f>
        <v>Yes</v>
      </c>
      <c r="S76" s="32" t="str">
        <f aca="false">IF(L76="","",IF(ABS(L76)&lt;=1.96*O76,"Yes","No"))</f>
        <v>Yes</v>
      </c>
      <c r="T76" s="59" t="n">
        <f aca="false">IF(D76="","",ROUND(SQRT(((D76+G76)*O76/100)^2+(J76*(D76+G76)*0.04942)^2),0))</f>
        <v>340</v>
      </c>
      <c r="U76" s="32"/>
    </row>
    <row r="77" customFormat="false" ht="15" hidden="false" customHeight="false" outlineLevel="0" collapsed="false">
      <c r="A77" s="32" t="s">
        <v>220</v>
      </c>
      <c r="B77" s="32" t="s">
        <v>243</v>
      </c>
      <c r="C77" s="32" t="s">
        <v>161</v>
      </c>
      <c r="D77" s="59" t="n">
        <v>495</v>
      </c>
      <c r="E77" s="59" t="n">
        <v>511</v>
      </c>
      <c r="F77" s="68" t="n">
        <f aca="false">IF(E77="","",D77-E77)</f>
        <v>-16</v>
      </c>
      <c r="G77" s="59" t="n">
        <v>710</v>
      </c>
      <c r="H77" s="59" t="n">
        <v>778</v>
      </c>
      <c r="I77" s="68" t="n">
        <f aca="false">IF(H77="","",G77-H77)</f>
        <v>-68</v>
      </c>
      <c r="J77" s="40" t="n">
        <f aca="false">IF(OR(D77="",D77+G77=0),"",D77/(D77+G77))</f>
        <v>0.410788381742739</v>
      </c>
      <c r="K77" s="40" t="n">
        <f aca="false">IF(E77="","",E77/(E77+H77))</f>
        <v>0.396431342125679</v>
      </c>
      <c r="L77" s="69" t="n">
        <f aca="false">IF(OR(K77="",J77=""),"",(J77-K77)*100)</f>
        <v>1.43570396170598</v>
      </c>
      <c r="M77" s="36" t="n">
        <v>2.25214308303964</v>
      </c>
      <c r="N77" s="36" t="n">
        <v>1.39766310953213</v>
      </c>
      <c r="O77" s="36" t="n">
        <f aca="false">SQRT(M77^2+N77^2)</f>
        <v>2.65058684713976</v>
      </c>
      <c r="P77" s="40" t="n">
        <f aca="false">IF(J77="","",MAX(0,J77-1.96*O77/100))</f>
        <v>0.358836879538799</v>
      </c>
      <c r="Q77" s="40" t="n">
        <f aca="false">IF(J77="","",MIN(1,J77+1.96*O77/100))</f>
        <v>0.462739883946678</v>
      </c>
      <c r="R77" s="32" t="str">
        <f aca="false">IF(L77="","",IF(ABS(L77)&lt;=O77,"Yes","No"))</f>
        <v>Yes</v>
      </c>
      <c r="S77" s="32" t="str">
        <f aca="false">IF(L77="","",IF(ABS(L77)&lt;=1.96*O77,"Yes","No"))</f>
        <v>Yes</v>
      </c>
      <c r="T77" s="59" t="n">
        <f aca="false">IF(D77="","",ROUND(SQRT(((D77+G77)*O77/100)^2+(J77*(D77+G77)*0.05883)^2),0))</f>
        <v>43</v>
      </c>
      <c r="U77" s="32"/>
    </row>
    <row r="78" customFormat="false" ht="15" hidden="false" customHeight="false" outlineLevel="0" collapsed="false">
      <c r="A78" s="32" t="s">
        <v>220</v>
      </c>
      <c r="B78" s="32" t="s">
        <v>244</v>
      </c>
      <c r="C78" s="32" t="s">
        <v>161</v>
      </c>
      <c r="D78" s="59" t="n">
        <v>1021</v>
      </c>
      <c r="E78" s="59" t="n">
        <v>1076</v>
      </c>
      <c r="F78" s="68" t="n">
        <f aca="false">IF(E78="","",D78-E78)</f>
        <v>-55</v>
      </c>
      <c r="G78" s="59" t="n">
        <v>1729</v>
      </c>
      <c r="H78" s="59" t="n">
        <v>1998</v>
      </c>
      <c r="I78" s="68" t="n">
        <f aca="false">IF(H78="","",G78-H78)</f>
        <v>-269</v>
      </c>
      <c r="J78" s="40" t="n">
        <f aca="false">IF(OR(D78="",D78+G78=0),"",D78/(D78+G78))</f>
        <v>0.371272727272727</v>
      </c>
      <c r="K78" s="40" t="n">
        <f aca="false">IF(E78="","",E78/(E78+H78))</f>
        <v>0.350032530904359</v>
      </c>
      <c r="L78" s="69" t="n">
        <f aca="false">IF(OR(K78="",J78=""),"",(J78-K78)*100)</f>
        <v>2.12401963683681</v>
      </c>
      <c r="M78" s="36" t="n">
        <v>1.81013497502969</v>
      </c>
      <c r="N78" s="36" t="n">
        <v>1.39766310953213</v>
      </c>
      <c r="O78" s="36" t="n">
        <f aca="false">SQRT(M78^2+N78^2)</f>
        <v>2.28693043085546</v>
      </c>
      <c r="P78" s="40" t="n">
        <f aca="false">IF(J78="","",MAX(0,J78-1.96*O78/100))</f>
        <v>0.32644889082796</v>
      </c>
      <c r="Q78" s="40" t="n">
        <f aca="false">IF(J78="","",MIN(1,J78+1.96*O78/100))</f>
        <v>0.416096563717494</v>
      </c>
      <c r="R78" s="32" t="str">
        <f aca="false">IF(L78="","",IF(ABS(L78)&lt;=O78,"Yes","No"))</f>
        <v>Yes</v>
      </c>
      <c r="S78" s="32" t="str">
        <f aca="false">IF(L78="","",IF(ABS(L78)&lt;=1.96*O78,"Yes","No"))</f>
        <v>Yes</v>
      </c>
      <c r="T78" s="59" t="n">
        <f aca="false">IF(D78="","",ROUND(SQRT(((D78+G78)*O78/100)^2+(J78*(D78+G78)*0.04942)^2),0))</f>
        <v>81</v>
      </c>
      <c r="U78" s="32"/>
    </row>
    <row r="79" customFormat="false" ht="15" hidden="false" customHeight="false" outlineLevel="0" collapsed="false">
      <c r="A79" s="32" t="s">
        <v>220</v>
      </c>
      <c r="B79" s="32" t="s">
        <v>245</v>
      </c>
      <c r="C79" s="32" t="s">
        <v>161</v>
      </c>
      <c r="D79" s="59" t="n">
        <v>62</v>
      </c>
      <c r="E79" s="59" t="n">
        <v>65</v>
      </c>
      <c r="F79" s="68" t="n">
        <f aca="false">IF(E79="","",D79-E79)</f>
        <v>-3</v>
      </c>
      <c r="G79" s="59" t="n">
        <v>116</v>
      </c>
      <c r="H79" s="59" t="n">
        <v>129</v>
      </c>
      <c r="I79" s="68" t="n">
        <f aca="false">IF(H79="","",G79-H79)</f>
        <v>-13</v>
      </c>
      <c r="J79" s="40" t="n">
        <f aca="false">IF(OR(D79="",D79+G79=0),"",D79/(D79+G79))</f>
        <v>0.348314606741573</v>
      </c>
      <c r="K79" s="40" t="n">
        <f aca="false">IF(E79="","",E79/(E79+H79))</f>
        <v>0.335051546391753</v>
      </c>
      <c r="L79" s="69" t="n">
        <f aca="false">IF(OR(K79="",J79=""),"",(J79-K79)*100)</f>
        <v>1.32630603498205</v>
      </c>
      <c r="M79" s="36" t="n">
        <v>3.67166727778771</v>
      </c>
      <c r="N79" s="36" t="n">
        <v>1.39766310953213</v>
      </c>
      <c r="O79" s="36" t="n">
        <f aca="false">SQRT(M79^2+N79^2)</f>
        <v>3.92868970097207</v>
      </c>
      <c r="P79" s="40" t="n">
        <f aca="false">IF(J79="","",MAX(0,J79-1.96*O79/100))</f>
        <v>0.271312288602521</v>
      </c>
      <c r="Q79" s="40" t="n">
        <f aca="false">IF(J79="","",MIN(1,J79+1.96*O79/100))</f>
        <v>0.425316924880626</v>
      </c>
      <c r="R79" s="32" t="str">
        <f aca="false">IF(L79="","",IF(ABS(L79)&lt;=O79,"Yes","No"))</f>
        <v>Yes</v>
      </c>
      <c r="S79" s="32" t="str">
        <f aca="false">IF(L79="","",IF(ABS(L79)&lt;=1.96*O79,"Yes","No"))</f>
        <v>Yes</v>
      </c>
      <c r="T79" s="59" t="n">
        <f aca="false">IF(D79="","",ROUND(SQRT(((D79+G79)*O79/100)^2+(J79*(D79+G79)*0.07872)^2),0))</f>
        <v>9</v>
      </c>
      <c r="U79" s="32"/>
    </row>
    <row r="80" customFormat="false" ht="15" hidden="false" customHeight="false" outlineLevel="0" collapsed="false">
      <c r="A80" s="32" t="s">
        <v>220</v>
      </c>
      <c r="B80" s="32" t="s">
        <v>246</v>
      </c>
      <c r="C80" s="32" t="s">
        <v>161</v>
      </c>
      <c r="D80" s="59" t="n">
        <v>261</v>
      </c>
      <c r="E80" s="59" t="n">
        <v>258</v>
      </c>
      <c r="F80" s="68" t="n">
        <f aca="false">IF(E80="","",D80-E80)</f>
        <v>3</v>
      </c>
      <c r="G80" s="59" t="n">
        <v>394</v>
      </c>
      <c r="H80" s="59" t="n">
        <v>418</v>
      </c>
      <c r="I80" s="68" t="n">
        <f aca="false">IF(H80="","",G80-H80)</f>
        <v>-24</v>
      </c>
      <c r="J80" s="40" t="n">
        <f aca="false">IF(OR(D80="",D80+G80=0),"",D80/(D80+G80))</f>
        <v>0.398473282442748</v>
      </c>
      <c r="K80" s="40" t="n">
        <f aca="false">IF(E80="","",E80/(E80+H80))</f>
        <v>0.381656804733728</v>
      </c>
      <c r="L80" s="69" t="n">
        <f aca="false">IF(OR(K80="",J80=""),"",(J80-K80)*100)</f>
        <v>1.68164777090203</v>
      </c>
      <c r="M80" s="36" t="n">
        <v>3.67166727778771</v>
      </c>
      <c r="N80" s="36" t="n">
        <v>1.39766310953213</v>
      </c>
      <c r="O80" s="36" t="n">
        <f aca="false">SQRT(M80^2+N80^2)</f>
        <v>3.92868970097207</v>
      </c>
      <c r="P80" s="40" t="n">
        <f aca="false">IF(J80="","",MAX(0,J80-1.96*O80/100))</f>
        <v>0.321470964303696</v>
      </c>
      <c r="Q80" s="40" t="n">
        <f aca="false">IF(J80="","",MIN(1,J80+1.96*O80/100))</f>
        <v>0.475475600581801</v>
      </c>
      <c r="R80" s="32" t="str">
        <f aca="false">IF(L80="","",IF(ABS(L80)&lt;=O80,"Yes","No"))</f>
        <v>Yes</v>
      </c>
      <c r="S80" s="32" t="str">
        <f aca="false">IF(L80="","",IF(ABS(L80)&lt;=1.96*O80,"Yes","No"))</f>
        <v>Yes</v>
      </c>
      <c r="T80" s="59" t="n">
        <f aca="false">IF(D80="","",ROUND(SQRT(((D80+G80)*O80/100)^2+(J80*(D80+G80)*0.07872)^2),0))</f>
        <v>33</v>
      </c>
      <c r="U80" s="32"/>
    </row>
    <row r="81" customFormat="false" ht="15" hidden="false" customHeight="false" outlineLevel="0" collapsed="false">
      <c r="A81" s="32" t="s">
        <v>220</v>
      </c>
      <c r="B81" s="32" t="s">
        <v>247</v>
      </c>
      <c r="C81" s="32" t="s">
        <v>161</v>
      </c>
      <c r="D81" s="59" t="n">
        <v>144</v>
      </c>
      <c r="E81" s="59" t="n">
        <v>160</v>
      </c>
      <c r="F81" s="68" t="n">
        <f aca="false">IF(E81="","",D81-E81)</f>
        <v>-16</v>
      </c>
      <c r="G81" s="59" t="n">
        <v>190</v>
      </c>
      <c r="H81" s="59" t="n">
        <v>227</v>
      </c>
      <c r="I81" s="68" t="n">
        <f aca="false">IF(H81="","",G81-H81)</f>
        <v>-37</v>
      </c>
      <c r="J81" s="40" t="n">
        <f aca="false">IF(OR(D81="",D81+G81=0),"",D81/(D81+G81))</f>
        <v>0.431137724550898</v>
      </c>
      <c r="K81" s="40" t="n">
        <f aca="false">IF(E81="","",E81/(E81+H81))</f>
        <v>0.41343669250646</v>
      </c>
      <c r="L81" s="69" t="n">
        <f aca="false">IF(OR(K81="",J81=""),"",(J81-K81)*100)</f>
        <v>1.77010320444383</v>
      </c>
      <c r="M81" s="36" t="n">
        <v>3.67166727778771</v>
      </c>
      <c r="N81" s="36" t="n">
        <v>1.39766310953213</v>
      </c>
      <c r="O81" s="36" t="n">
        <f aca="false">SQRT(M81^2+N81^2)</f>
        <v>3.92868970097207</v>
      </c>
      <c r="P81" s="40" t="n">
        <f aca="false">IF(J81="","",MAX(0,J81-1.96*O81/100))</f>
        <v>0.354135406411846</v>
      </c>
      <c r="Q81" s="40" t="n">
        <f aca="false">IF(J81="","",MIN(1,J81+1.96*O81/100))</f>
        <v>0.508140042689951</v>
      </c>
      <c r="R81" s="32" t="str">
        <f aca="false">IF(L81="","",IF(ABS(L81)&lt;=O81,"Yes","No"))</f>
        <v>Yes</v>
      </c>
      <c r="S81" s="32" t="str">
        <f aca="false">IF(L81="","",IF(ABS(L81)&lt;=1.96*O81,"Yes","No"))</f>
        <v>Yes</v>
      </c>
      <c r="T81" s="59" t="n">
        <f aca="false">IF(D81="","",ROUND(SQRT(((D81+G81)*O81/100)^2+(J81*(D81+G81)*0.07872)^2),0))</f>
        <v>17</v>
      </c>
      <c r="U81" s="32"/>
    </row>
    <row r="82" customFormat="false" ht="15" hidden="false" customHeight="false" outlineLevel="0" collapsed="false">
      <c r="A82" s="32" t="s">
        <v>220</v>
      </c>
      <c r="B82" s="32" t="s">
        <v>248</v>
      </c>
      <c r="C82" s="32" t="s">
        <v>161</v>
      </c>
      <c r="D82" s="59" t="n">
        <v>227</v>
      </c>
      <c r="E82" s="59" t="n">
        <v>243</v>
      </c>
      <c r="F82" s="68" t="n">
        <f aca="false">IF(E82="","",D82-E82)</f>
        <v>-16</v>
      </c>
      <c r="G82" s="59" t="n">
        <v>296</v>
      </c>
      <c r="H82" s="59" t="n">
        <v>318</v>
      </c>
      <c r="I82" s="68" t="n">
        <f aca="false">IF(H82="","",G82-H82)</f>
        <v>-22</v>
      </c>
      <c r="J82" s="40" t="n">
        <f aca="false">IF(OR(D82="",D82+G82=0),"",D82/(D82+G82))</f>
        <v>0.434034416826004</v>
      </c>
      <c r="K82" s="40" t="n">
        <f aca="false">IF(E82="","",E82/(E82+H82))</f>
        <v>0.433155080213904</v>
      </c>
      <c r="L82" s="69" t="n">
        <f aca="false">IF(OR(K82="",J82=""),"",(J82-K82)*100)</f>
        <v>0.0879336612100046</v>
      </c>
      <c r="M82" s="36" t="n">
        <v>3.67166727778771</v>
      </c>
      <c r="N82" s="36" t="n">
        <v>1.39766310953213</v>
      </c>
      <c r="O82" s="36" t="n">
        <f aca="false">SQRT(M82^2+N82^2)</f>
        <v>3.92868970097207</v>
      </c>
      <c r="P82" s="40" t="n">
        <f aca="false">IF(J82="","",MAX(0,J82-1.96*O82/100))</f>
        <v>0.357032098686951</v>
      </c>
      <c r="Q82" s="40" t="n">
        <f aca="false">IF(J82="","",MIN(1,J82+1.96*O82/100))</f>
        <v>0.511036734965056</v>
      </c>
      <c r="R82" s="32" t="str">
        <f aca="false">IF(L82="","",IF(ABS(L82)&lt;=O82,"Yes","No"))</f>
        <v>Yes</v>
      </c>
      <c r="S82" s="32" t="str">
        <f aca="false">IF(L82="","",IF(ABS(L82)&lt;=1.96*O82,"Yes","No"))</f>
        <v>Yes</v>
      </c>
      <c r="T82" s="59" t="n">
        <f aca="false">IF(D82="","",ROUND(SQRT(((D82+G82)*O82/100)^2+(J82*(D82+G82)*0.07872)^2),0))</f>
        <v>27</v>
      </c>
      <c r="U82" s="32"/>
    </row>
    <row r="83" customFormat="false" ht="15" hidden="false" customHeight="false" outlineLevel="0" collapsed="false">
      <c r="A83" s="32" t="s">
        <v>220</v>
      </c>
      <c r="B83" s="32" t="s">
        <v>249</v>
      </c>
      <c r="C83" s="32" t="s">
        <v>161</v>
      </c>
      <c r="D83" s="59" t="n">
        <v>986</v>
      </c>
      <c r="E83" s="59" t="n">
        <v>1030</v>
      </c>
      <c r="F83" s="68" t="n">
        <f aca="false">IF(E83="","",D83-E83)</f>
        <v>-44</v>
      </c>
      <c r="G83" s="59" t="n">
        <v>1861</v>
      </c>
      <c r="H83" s="59" t="n">
        <v>2095</v>
      </c>
      <c r="I83" s="68" t="n">
        <f aca="false">IF(H83="","",G83-H83)</f>
        <v>-234</v>
      </c>
      <c r="J83" s="40" t="n">
        <f aca="false">IF(OR(D83="",D83+G83=0),"",D83/(D83+G83))</f>
        <v>0.346329469617141</v>
      </c>
      <c r="K83" s="40" t="n">
        <f aca="false">IF(E83="","",E83/(E83+H83))</f>
        <v>0.3296</v>
      </c>
      <c r="L83" s="69" t="n">
        <f aca="false">IF(OR(K83="",J83=""),"",(J83-K83)*100)</f>
        <v>1.67294696171408</v>
      </c>
      <c r="M83" s="36" t="n">
        <v>1.81013497502969</v>
      </c>
      <c r="N83" s="36" t="n">
        <v>1.39766310953213</v>
      </c>
      <c r="O83" s="36" t="n">
        <f aca="false">SQRT(M83^2+N83^2)</f>
        <v>2.28693043085546</v>
      </c>
      <c r="P83" s="40" t="n">
        <f aca="false">IF(J83="","",MAX(0,J83-1.96*O83/100))</f>
        <v>0.301505633172374</v>
      </c>
      <c r="Q83" s="40" t="n">
        <f aca="false">IF(J83="","",MIN(1,J83+1.96*O83/100))</f>
        <v>0.391153306061908</v>
      </c>
      <c r="R83" s="32" t="str">
        <f aca="false">IF(L83="","",IF(ABS(L83)&lt;=O83,"Yes","No"))</f>
        <v>Yes</v>
      </c>
      <c r="S83" s="32" t="str">
        <f aca="false">IF(L83="","",IF(ABS(L83)&lt;=1.96*O83,"Yes","No"))</f>
        <v>Yes</v>
      </c>
      <c r="T83" s="59" t="n">
        <f aca="false">IF(D83="","",ROUND(SQRT(((D83+G83)*O83/100)^2+(J83*(D83+G83)*0.04942)^2),0))</f>
        <v>81</v>
      </c>
      <c r="U83" s="32"/>
    </row>
    <row r="84" customFormat="false" ht="15" hidden="false" customHeight="false" outlineLevel="0" collapsed="false">
      <c r="A84" s="32" t="s">
        <v>220</v>
      </c>
      <c r="B84" s="32" t="s">
        <v>250</v>
      </c>
      <c r="C84" s="32" t="s">
        <v>161</v>
      </c>
      <c r="D84" s="59" t="n">
        <v>1403</v>
      </c>
      <c r="E84" s="59" t="n">
        <v>1575</v>
      </c>
      <c r="F84" s="68" t="n">
        <f aca="false">IF(E84="","",D84-E84)</f>
        <v>-172</v>
      </c>
      <c r="G84" s="59" t="n">
        <v>1384</v>
      </c>
      <c r="H84" s="59" t="n">
        <v>1588</v>
      </c>
      <c r="I84" s="68" t="n">
        <f aca="false">IF(H84="","",G84-H84)</f>
        <v>-204</v>
      </c>
      <c r="J84" s="40" t="n">
        <f aca="false">IF(OR(D84="",D84+G84=0),"",D84/(D84+G84))</f>
        <v>0.503408683171869</v>
      </c>
      <c r="K84" s="40" t="n">
        <f aca="false">IF(E84="","",E84/(E84+H84))</f>
        <v>0.497944988934556</v>
      </c>
      <c r="L84" s="69" t="n">
        <f aca="false">IF(OR(K84="",J84=""),"",(J84-K84)*100)</f>
        <v>0.546369423731358</v>
      </c>
      <c r="M84" s="36" t="n">
        <v>1.81013497502969</v>
      </c>
      <c r="N84" s="36" t="n">
        <v>1.39766310953213</v>
      </c>
      <c r="O84" s="36" t="n">
        <f aca="false">SQRT(M84^2+N84^2)</f>
        <v>2.28693043085546</v>
      </c>
      <c r="P84" s="40" t="n">
        <f aca="false">IF(J84="","",MAX(0,J84-1.96*O84/100))</f>
        <v>0.458584846727102</v>
      </c>
      <c r="Q84" s="40" t="n">
        <f aca="false">IF(J84="","",MIN(1,J84+1.96*O84/100))</f>
        <v>0.548232519616636</v>
      </c>
      <c r="R84" s="32" t="str">
        <f aca="false">IF(L84="","",IF(ABS(L84)&lt;=O84,"Yes","No"))</f>
        <v>Yes</v>
      </c>
      <c r="S84" s="32" t="str">
        <f aca="false">IF(L84="","",IF(ABS(L84)&lt;=1.96*O84,"Yes","No"))</f>
        <v>Yes</v>
      </c>
      <c r="T84" s="59" t="n">
        <f aca="false">IF(D84="","",ROUND(SQRT(((D84+G84)*O84/100)^2+(J84*(D84+G84)*0.04942)^2),0))</f>
        <v>94</v>
      </c>
      <c r="U84" s="32"/>
    </row>
    <row r="85" customFormat="false" ht="15" hidden="false" customHeight="false" outlineLevel="0" collapsed="false">
      <c r="A85" s="32" t="s">
        <v>220</v>
      </c>
      <c r="B85" s="32" t="s">
        <v>251</v>
      </c>
      <c r="C85" s="32" t="s">
        <v>161</v>
      </c>
      <c r="D85" s="59" t="n">
        <v>279</v>
      </c>
      <c r="E85" s="59" t="n">
        <v>305</v>
      </c>
      <c r="F85" s="68" t="n">
        <f aca="false">IF(E85="","",D85-E85)</f>
        <v>-26</v>
      </c>
      <c r="G85" s="59" t="n">
        <v>387</v>
      </c>
      <c r="H85" s="59" t="n">
        <v>419</v>
      </c>
      <c r="I85" s="68" t="n">
        <f aca="false">IF(H85="","",G85-H85)</f>
        <v>-32</v>
      </c>
      <c r="J85" s="40" t="n">
        <f aca="false">IF(OR(D85="",D85+G85=0),"",D85/(D85+G85))</f>
        <v>0.418918918918919</v>
      </c>
      <c r="K85" s="40" t="n">
        <f aca="false">IF(E85="","",E85/(E85+H85))</f>
        <v>0.421270718232044</v>
      </c>
      <c r="L85" s="69" t="n">
        <f aca="false">IF(OR(K85="",J85=""),"",(J85-K85)*100)</f>
        <v>-0.235179931312529</v>
      </c>
      <c r="M85" s="36" t="n">
        <v>3.67166727778771</v>
      </c>
      <c r="N85" s="36" t="n">
        <v>1.39766310953213</v>
      </c>
      <c r="O85" s="36" t="n">
        <f aca="false">SQRT(M85^2+N85^2)</f>
        <v>3.92868970097207</v>
      </c>
      <c r="P85" s="40" t="n">
        <f aca="false">IF(J85="","",MAX(0,J85-1.96*O85/100))</f>
        <v>0.341916600779866</v>
      </c>
      <c r="Q85" s="40" t="n">
        <f aca="false">IF(J85="","",MIN(1,J85+1.96*O85/100))</f>
        <v>0.495921237057972</v>
      </c>
      <c r="R85" s="32" t="str">
        <f aca="false">IF(L85="","",IF(ABS(L85)&lt;=O85,"Yes","No"))</f>
        <v>Yes</v>
      </c>
      <c r="S85" s="32" t="str">
        <f aca="false">IF(L85="","",IF(ABS(L85)&lt;=1.96*O85,"Yes","No"))</f>
        <v>Yes</v>
      </c>
      <c r="T85" s="59" t="n">
        <f aca="false">IF(D85="","",ROUND(SQRT(((D85+G85)*O85/100)^2+(J85*(D85+G85)*0.07872)^2),0))</f>
        <v>34</v>
      </c>
      <c r="U85" s="32"/>
    </row>
    <row r="86" customFormat="false" ht="15" hidden="false" customHeight="false" outlineLevel="0" collapsed="false">
      <c r="A86" s="32" t="s">
        <v>220</v>
      </c>
      <c r="B86" s="32" t="s">
        <v>212</v>
      </c>
      <c r="C86" s="32" t="s">
        <v>161</v>
      </c>
      <c r="D86" s="59" t="n">
        <v>750</v>
      </c>
      <c r="E86" s="59" t="n">
        <v>840</v>
      </c>
      <c r="F86" s="68" t="n">
        <f aca="false">IF(E86="","",D86-E86)</f>
        <v>-90</v>
      </c>
      <c r="G86" s="59" t="n">
        <v>1289</v>
      </c>
      <c r="H86" s="59" t="n">
        <v>1533</v>
      </c>
      <c r="I86" s="68" t="n">
        <f aca="false">IF(H86="","",G86-H86)</f>
        <v>-244</v>
      </c>
      <c r="J86" s="40" t="n">
        <f aca="false">IF(OR(D86="",D86+G86=0),"",D86/(D86+G86))</f>
        <v>0.367827366356057</v>
      </c>
      <c r="K86" s="40" t="n">
        <f aca="false">IF(E86="","",E86/(E86+H86))</f>
        <v>0.353982300884956</v>
      </c>
      <c r="L86" s="69" t="n">
        <f aca="false">IF(OR(K86="",J86=""),"",(J86-K86)*100)</f>
        <v>1.38450654711011</v>
      </c>
      <c r="M86" s="36" t="n">
        <v>2.25214308303964</v>
      </c>
      <c r="N86" s="36" t="n">
        <v>1.39766310953213</v>
      </c>
      <c r="O86" s="36" t="n">
        <f aca="false">SQRT(M86^2+N86^2)</f>
        <v>2.65058684713976</v>
      </c>
      <c r="P86" s="40" t="n">
        <f aca="false">IF(J86="","",MAX(0,J86-1.96*O86/100))</f>
        <v>0.315875864152118</v>
      </c>
      <c r="Q86" s="40" t="n">
        <f aca="false">IF(J86="","",MIN(1,J86+1.96*O86/100))</f>
        <v>0.419778868559996</v>
      </c>
      <c r="R86" s="32" t="str">
        <f aca="false">IF(L86="","",IF(ABS(L86)&lt;=O86,"Yes","No"))</f>
        <v>Yes</v>
      </c>
      <c r="S86" s="32" t="str">
        <f aca="false">IF(L86="","",IF(ABS(L86)&lt;=1.96*O86,"Yes","No"))</f>
        <v>Yes</v>
      </c>
      <c r="T86" s="59" t="n">
        <f aca="false">IF(D86="","",ROUND(SQRT(((D86+G86)*O86/100)^2+(J86*(D86+G86)*0.05883)^2),0))</f>
        <v>70</v>
      </c>
      <c r="U86" s="32"/>
    </row>
    <row r="87" customFormat="false" ht="15" hidden="false" customHeight="false" outlineLevel="0" collapsed="false">
      <c r="A87" s="32" t="s">
        <v>220</v>
      </c>
      <c r="B87" s="32" t="s">
        <v>252</v>
      </c>
      <c r="C87" s="32" t="s">
        <v>161</v>
      </c>
      <c r="D87" s="59" t="n">
        <v>177</v>
      </c>
      <c r="E87" s="59" t="n">
        <v>199</v>
      </c>
      <c r="F87" s="68" t="n">
        <f aca="false">IF(E87="","",D87-E87)</f>
        <v>-22</v>
      </c>
      <c r="G87" s="59" t="n">
        <v>191</v>
      </c>
      <c r="H87" s="59" t="n">
        <v>215</v>
      </c>
      <c r="I87" s="68" t="n">
        <f aca="false">IF(H87="","",G87-H87)</f>
        <v>-24</v>
      </c>
      <c r="J87" s="40" t="n">
        <f aca="false">IF(OR(D87="",D87+G87=0),"",D87/(D87+G87))</f>
        <v>0.480978260869565</v>
      </c>
      <c r="K87" s="40" t="n">
        <f aca="false">IF(E87="","",E87/(E87+H87))</f>
        <v>0.480676328502416</v>
      </c>
      <c r="L87" s="69" t="n">
        <f aca="false">IF(OR(K87="",J87=""),"",(J87-K87)*100)</f>
        <v>0.030193236714976</v>
      </c>
      <c r="M87" s="36" t="n">
        <v>3.67166727778771</v>
      </c>
      <c r="N87" s="36" t="n">
        <v>1.39766310953213</v>
      </c>
      <c r="O87" s="36" t="n">
        <f aca="false">SQRT(M87^2+N87^2)</f>
        <v>3.92868970097207</v>
      </c>
      <c r="P87" s="40" t="n">
        <f aca="false">IF(J87="","",MAX(0,J87-1.96*O87/100))</f>
        <v>0.403975942730513</v>
      </c>
      <c r="Q87" s="40" t="n">
        <f aca="false">IF(J87="","",MIN(1,J87+1.96*O87/100))</f>
        <v>0.557980579008618</v>
      </c>
      <c r="R87" s="32" t="str">
        <f aca="false">IF(L87="","",IF(ABS(L87)&lt;=O87,"Yes","No"))</f>
        <v>Yes</v>
      </c>
      <c r="S87" s="32" t="str">
        <f aca="false">IF(L87="","",IF(ABS(L87)&lt;=1.96*O87,"Yes","No"))</f>
        <v>Yes</v>
      </c>
      <c r="T87" s="59" t="n">
        <f aca="false">IF(D87="","",ROUND(SQRT(((D87+G87)*O87/100)^2+(J87*(D87+G87)*0.07872)^2),0))</f>
        <v>20</v>
      </c>
      <c r="U87" s="32"/>
    </row>
    <row r="88" customFormat="false" ht="15" hidden="false" customHeight="false" outlineLevel="0" collapsed="false">
      <c r="A88" s="32" t="s">
        <v>220</v>
      </c>
      <c r="B88" s="32" t="s">
        <v>253</v>
      </c>
      <c r="C88" s="32" t="s">
        <v>161</v>
      </c>
      <c r="D88" s="59" t="n">
        <v>1338</v>
      </c>
      <c r="E88" s="59" t="n">
        <v>1456</v>
      </c>
      <c r="F88" s="68" t="n">
        <f aca="false">IF(E88="","",D88-E88)</f>
        <v>-118</v>
      </c>
      <c r="G88" s="59" t="n">
        <v>1713</v>
      </c>
      <c r="H88" s="59" t="n">
        <v>1860</v>
      </c>
      <c r="I88" s="68" t="n">
        <f aca="false">IF(H88="","",G88-H88)</f>
        <v>-147</v>
      </c>
      <c r="J88" s="40" t="n">
        <f aca="false">IF(OR(D88="",D88+G88=0),"",D88/(D88+G88))</f>
        <v>0.438544739429695</v>
      </c>
      <c r="K88" s="40" t="n">
        <f aca="false">IF(E88="","",E88/(E88+H88))</f>
        <v>0.439083232810615</v>
      </c>
      <c r="L88" s="69" t="n">
        <f aca="false">IF(OR(K88="",J88=""),"",(J88-K88)*100)</f>
        <v>-0.0538493380919991</v>
      </c>
      <c r="M88" s="36" t="n">
        <v>1.81013497502969</v>
      </c>
      <c r="N88" s="36" t="n">
        <v>1.39766310953213</v>
      </c>
      <c r="O88" s="36" t="n">
        <f aca="false">SQRT(M88^2+N88^2)</f>
        <v>2.28693043085546</v>
      </c>
      <c r="P88" s="40" t="n">
        <f aca="false">IF(J88="","",MAX(0,J88-1.96*O88/100))</f>
        <v>0.393720902984928</v>
      </c>
      <c r="Q88" s="40" t="n">
        <f aca="false">IF(J88="","",MIN(1,J88+1.96*O88/100))</f>
        <v>0.483368575874462</v>
      </c>
      <c r="R88" s="32" t="str">
        <f aca="false">IF(L88="","",IF(ABS(L88)&lt;=O88,"Yes","No"))</f>
        <v>Yes</v>
      </c>
      <c r="S88" s="32" t="str">
        <f aca="false">IF(L88="","",IF(ABS(L88)&lt;=1.96*O88,"Yes","No"))</f>
        <v>Yes</v>
      </c>
      <c r="T88" s="59" t="n">
        <f aca="false">IF(D88="","",ROUND(SQRT(((D88+G88)*O88/100)^2+(J88*(D88+G88)*0.04942)^2),0))</f>
        <v>96</v>
      </c>
      <c r="U88" s="32"/>
    </row>
    <row r="89" customFormat="false" ht="15" hidden="false" customHeight="false" outlineLevel="0" collapsed="false">
      <c r="A89" s="32" t="s">
        <v>220</v>
      </c>
      <c r="B89" s="32" t="s">
        <v>254</v>
      </c>
      <c r="C89" s="32" t="s">
        <v>161</v>
      </c>
      <c r="D89" s="59" t="n">
        <v>1230</v>
      </c>
      <c r="E89" s="59" t="n">
        <v>1340</v>
      </c>
      <c r="F89" s="68" t="n">
        <f aca="false">IF(E89="","",D89-E89)</f>
        <v>-110</v>
      </c>
      <c r="G89" s="59" t="n">
        <v>898</v>
      </c>
      <c r="H89" s="59" t="n">
        <v>953</v>
      </c>
      <c r="I89" s="68" t="n">
        <f aca="false">IF(H89="","",G89-H89)</f>
        <v>-55</v>
      </c>
      <c r="J89" s="40" t="n">
        <f aca="false">IF(OR(D89="",D89+G89=0),"",D89/(D89+G89))</f>
        <v>0.578007518796993</v>
      </c>
      <c r="K89" s="40" t="n">
        <f aca="false">IF(E89="","",E89/(E89+H89))</f>
        <v>0.584387265590929</v>
      </c>
      <c r="L89" s="69" t="n">
        <f aca="false">IF(OR(K89="",J89=""),"",(J89-K89)*100)</f>
        <v>-0.637974679393638</v>
      </c>
      <c r="M89" s="36" t="n">
        <v>2.25214308303964</v>
      </c>
      <c r="N89" s="36" t="n">
        <v>1.39766310953213</v>
      </c>
      <c r="O89" s="36" t="n">
        <f aca="false">SQRT(M89^2+N89^2)</f>
        <v>2.65058684713976</v>
      </c>
      <c r="P89" s="40" t="n">
        <f aca="false">IF(J89="","",MAX(0,J89-1.96*O89/100))</f>
        <v>0.526056016593053</v>
      </c>
      <c r="Q89" s="40" t="n">
        <f aca="false">IF(J89="","",MIN(1,J89+1.96*O89/100))</f>
        <v>0.629959021000932</v>
      </c>
      <c r="R89" s="32" t="str">
        <f aca="false">IF(L89="","",IF(ABS(L89)&lt;=O89,"Yes","No"))</f>
        <v>Yes</v>
      </c>
      <c r="S89" s="32" t="str">
        <f aca="false">IF(L89="","",IF(ABS(L89)&lt;=1.96*O89,"Yes","No"))</f>
        <v>Yes</v>
      </c>
      <c r="T89" s="59" t="n">
        <f aca="false">IF(D89="","",ROUND(SQRT(((D89+G89)*O89/100)^2+(J89*(D89+G89)*0.05883)^2),0))</f>
        <v>92</v>
      </c>
      <c r="U89" s="32"/>
    </row>
    <row r="90" customFormat="false" ht="15" hidden="false" customHeight="false" outlineLevel="0" collapsed="false">
      <c r="A90" s="32" t="s">
        <v>220</v>
      </c>
      <c r="B90" s="32" t="s">
        <v>255</v>
      </c>
      <c r="C90" s="32" t="s">
        <v>161</v>
      </c>
      <c r="D90" s="59" t="n">
        <v>420</v>
      </c>
      <c r="E90" s="59" t="n">
        <v>494</v>
      </c>
      <c r="F90" s="68" t="n">
        <f aca="false">IF(E90="","",D90-E90)</f>
        <v>-74</v>
      </c>
      <c r="G90" s="59" t="n">
        <v>547</v>
      </c>
      <c r="H90" s="59" t="n">
        <v>601</v>
      </c>
      <c r="I90" s="68" t="n">
        <f aca="false">IF(H90="","",G90-H90)</f>
        <v>-54</v>
      </c>
      <c r="J90" s="40" t="n">
        <f aca="false">IF(OR(D90="",D90+G90=0),"",D90/(D90+G90))</f>
        <v>0.434332988624612</v>
      </c>
      <c r="K90" s="40" t="n">
        <f aca="false">IF(E90="","",E90/(E90+H90))</f>
        <v>0.451141552511416</v>
      </c>
      <c r="L90" s="69" t="n">
        <f aca="false">IF(OR(K90="",J90=""),"",(J90-K90)*100)</f>
        <v>-1.68085638868033</v>
      </c>
      <c r="M90" s="36" t="n">
        <v>3.67166727778771</v>
      </c>
      <c r="N90" s="36" t="n">
        <v>1.39766310953213</v>
      </c>
      <c r="O90" s="36" t="n">
        <f aca="false">SQRT(M90^2+N90^2)</f>
        <v>3.92868970097207</v>
      </c>
      <c r="P90" s="40" t="n">
        <f aca="false">IF(J90="","",MAX(0,J90-1.96*O90/100))</f>
        <v>0.35733067048556</v>
      </c>
      <c r="Q90" s="40" t="n">
        <f aca="false">IF(J90="","",MIN(1,J90+1.96*O90/100))</f>
        <v>0.511335306763665</v>
      </c>
      <c r="R90" s="32" t="str">
        <f aca="false">IF(L90="","",IF(ABS(L90)&lt;=O90,"Yes","No"))</f>
        <v>Yes</v>
      </c>
      <c r="S90" s="32" t="str">
        <f aca="false">IF(L90="","",IF(ABS(L90)&lt;=1.96*O90,"Yes","No"))</f>
        <v>Yes</v>
      </c>
      <c r="T90" s="59" t="n">
        <f aca="false">IF(D90="","",ROUND(SQRT(((D90+G90)*O90/100)^2+(J90*(D90+G90)*0.07872)^2),0))</f>
        <v>50</v>
      </c>
      <c r="U90" s="32"/>
    </row>
    <row r="92" customFormat="false" ht="15" hidden="false" customHeight="false" outlineLevel="0" collapsed="false">
      <c r="A92" s="20" t="s">
        <v>383</v>
      </c>
      <c r="B92" s="70"/>
      <c r="C92" s="70"/>
      <c r="D92" s="71" t="n">
        <f aca="false">SUMIF(E2:E90,"&lt;&gt;",D2:D90)</f>
        <v>144494</v>
      </c>
      <c r="E92" s="71" t="n">
        <f aca="false">SUM(E2:E90)</f>
        <v>151364</v>
      </c>
      <c r="F92" s="72" t="n">
        <f aca="false">D92-E92</f>
        <v>-6870</v>
      </c>
      <c r="G92" s="71" t="n">
        <f aca="false">SUMIF(H2:H90,"&lt;&gt;",G2:G90)</f>
        <v>134553</v>
      </c>
      <c r="H92" s="71" t="n">
        <f aca="false">SUM(H2:H90)</f>
        <v>145527</v>
      </c>
      <c r="I92" s="72" t="n">
        <f aca="false">G92-H92</f>
        <v>-10974</v>
      </c>
      <c r="J92" s="73" t="n">
        <f aca="false">D92/(D92+G92)</f>
        <v>0.517812411529241</v>
      </c>
      <c r="K92" s="73" t="n">
        <f aca="false">E92/(E92+H92)</f>
        <v>0.509830207045683</v>
      </c>
      <c r="L92" s="74" t="n">
        <f aca="false">(J92-K92)*100</f>
        <v>0.798220448355724</v>
      </c>
      <c r="M92" s="75" t="n">
        <v>0</v>
      </c>
      <c r="N92" s="75" t="n">
        <v>1.39766310953213</v>
      </c>
      <c r="O92" s="75" t="n">
        <f aca="false">SQRT(M92^2+N92^2)</f>
        <v>1.39766310953213</v>
      </c>
      <c r="P92" s="73" t="n">
        <f aca="false">J92-1.96*O92/100</f>
        <v>0.490418214582411</v>
      </c>
      <c r="Q92" s="73" t="n">
        <f aca="false">J92+1.96*O92/100</f>
        <v>0.54520660847607</v>
      </c>
      <c r="R92" s="70" t="str">
        <f aca="false">IF(ABS(L92)&lt;=O92,"Yes","No")</f>
        <v>Yes</v>
      </c>
      <c r="S92" s="70" t="str">
        <f aca="false">IF(ABS(L92)&lt;=1.96*O92,"Yes","No")</f>
        <v>Yes</v>
      </c>
      <c r="T92" s="71" t="n">
        <f aca="false">ROUND(SQRT(((D92+G92)*O92/100)^2+(J92*(D92+G92)*0.03653)^2),0)</f>
        <v>6563</v>
      </c>
    </row>
    <row r="93" customFormat="false" ht="15" hidden="false" customHeight="false" outlineLevel="0" collapsed="false">
      <c r="A93" s="20" t="s">
        <v>384</v>
      </c>
      <c r="B93" s="70"/>
      <c r="C93" s="70"/>
      <c r="D93" s="71" t="n">
        <f aca="false">SUM(D2:D90)</f>
        <v>144494</v>
      </c>
      <c r="E93" s="71"/>
      <c r="F93" s="72"/>
      <c r="G93" s="71" t="n">
        <f aca="false">SUM(G2:G90)</f>
        <v>134553</v>
      </c>
      <c r="H93" s="71"/>
      <c r="I93" s="72"/>
      <c r="J93" s="73" t="n">
        <f aca="false">D93/(D93+G93)</f>
        <v>0.517812411529241</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126.224719101124</v>
      </c>
    </row>
    <row r="96" customFormat="false" ht="15" hidden="false" customHeight="false" outlineLevel="0" collapsed="false">
      <c r="A96" s="2" t="s">
        <v>386</v>
      </c>
      <c r="F96" s="76" t="n">
        <f aca="false">(SUMIF(I2:I90,"&gt;0")-SUMIF(I2:I90,"&lt;0"))/COUNT(I2:I90)</f>
        <v>125.640449438202</v>
      </c>
    </row>
    <row r="97" customFormat="false" ht="15" hidden="false" customHeight="false" outlineLevel="0" collapsed="false">
      <c r="A97" s="2" t="s">
        <v>387</v>
      </c>
      <c r="F97" s="77" t="n">
        <f aca="false">(SUMIF(L2:L90,"&gt;0")-SUMIF(L2:L90,"&lt;0"))/COUNT(L2:L90)</f>
        <v>1.4650452075388</v>
      </c>
    </row>
    <row r="98" customFormat="false" ht="15" hidden="false" customHeight="false" outlineLevel="0" collapsed="false">
      <c r="A98" s="5" t="s">
        <v>388</v>
      </c>
      <c r="F98" s="78" t="n">
        <f aca="false">SQRT(SUMSQ(L2:L90)/COUNT(L2:L90))</f>
        <v>1.97978296108661</v>
      </c>
    </row>
    <row r="99" customFormat="false" ht="15" hidden="false" customHeight="false" outlineLevel="0" collapsed="false">
      <c r="A99" s="5" t="s">
        <v>389</v>
      </c>
      <c r="F99" s="79" t="n">
        <f aca="false">L92</f>
        <v>0.798220448355724</v>
      </c>
    </row>
    <row r="100" customFormat="false" ht="15" hidden="false" customHeight="false" outlineLevel="0" collapsed="false">
      <c r="A100" s="5" t="s">
        <v>390</v>
      </c>
      <c r="F100" s="78" t="n">
        <f aca="false">SQRT((SUMSQ(L2:L90)-2*L92*SUM(L2:L90)+COUNT(L2:L90)*L92^2)/COUNT(L2:L90))</f>
        <v>2.03343467608132</v>
      </c>
    </row>
    <row r="101" customFormat="false" ht="15" hidden="false" customHeight="false" outlineLevel="0" collapsed="false">
      <c r="A101" s="2" t="s">
        <v>391</v>
      </c>
      <c r="F101" s="80" t="n">
        <f aca="false">D92/E92-1</f>
        <v>-0.0453872783488808</v>
      </c>
    </row>
    <row r="102" customFormat="false" ht="15" hidden="false" customHeight="false" outlineLevel="0" collapsed="false">
      <c r="A102" s="5" t="s">
        <v>392</v>
      </c>
      <c r="F102" s="81" t="n">
        <f aca="false">G92/H92-1</f>
        <v>-0.0754086870477644</v>
      </c>
    </row>
    <row r="103" customFormat="false" ht="15" hidden="false" customHeight="false" outlineLevel="0" collapsed="false">
      <c r="A103" s="2" t="s">
        <v>393</v>
      </c>
      <c r="F103" s="80" t="n">
        <f aca="false">(D92+G92)/(E92+H92)-1</f>
        <v>-0.0601028660350095</v>
      </c>
    </row>
    <row r="104" customFormat="false" ht="15" hidden="false" customHeight="false" outlineLevel="0" collapsed="false">
      <c r="A104" s="2" t="s">
        <v>394</v>
      </c>
      <c r="F104" s="77" t="n">
        <f aca="false">AVERAGE(O2:O90)</f>
        <v>2.95882721934696</v>
      </c>
    </row>
    <row r="105" customFormat="false" ht="15" hidden="false" customHeight="false" outlineLevel="0" collapsed="false">
      <c r="A105" s="5" t="s">
        <v>395</v>
      </c>
      <c r="F105" s="82" t="n">
        <f aca="false">COUNTIF(R2:R90,"Yes")/(COUNTIF(R2:R90,"Yes")+COUNTIF(R2:R90,"No"))</f>
        <v>0.887640449438202</v>
      </c>
    </row>
    <row r="106" customFormat="false" ht="15" hidden="false" customHeight="false" outlineLevel="0" collapsed="false">
      <c r="A106" s="5" t="s">
        <v>396</v>
      </c>
      <c r="F106" s="82" t="n">
        <f aca="false">COUNTIF(S2:S90,"Yes")/(COUNTIF(S2:S90,"Yes")+COUNTIF(S2:S90,"No"))</f>
        <v>1</v>
      </c>
    </row>
    <row r="107" customFormat="false" ht="15" hidden="false" customHeight="false" outlineLevel="0" collapsed="false">
      <c r="A107" s="2" t="s">
        <v>397</v>
      </c>
      <c r="F107" s="83" t="n">
        <f aca="false">COUNTIFS(L2:L90,"&gt;=-3",L2:L90,"&lt;=3")/COUNT(L2:L90)</f>
        <v>0.921348314606742</v>
      </c>
    </row>
    <row r="108" customFormat="false" ht="15" hidden="false" customHeight="false" outlineLevel="0" collapsed="false">
      <c r="A108" s="2" t="s">
        <v>421</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-9097.41021452317</v>
      </c>
    </row>
    <row r="112" customFormat="false" ht="15" hidden="false" customHeight="false" outlineLevel="0" collapsed="false">
      <c r="A112" s="2" t="s">
        <v>402</v>
      </c>
      <c r="F112" s="85" t="n">
        <f aca="false">F92-((D92+G92)-(E92+H92))*K92</f>
        <v>2227.41021452317</v>
      </c>
    </row>
    <row r="113" customFormat="false" ht="15" hidden="false" customHeight="false" outlineLevel="0" collapsed="false">
      <c r="A113" s="2" t="s">
        <v>403</v>
      </c>
      <c r="F113" s="85" t="n">
        <f aca="false">((D92+G92)-(E92+H92))*(1-K92)</f>
        <v>-8746.58978547683</v>
      </c>
    </row>
    <row r="114" customFormat="false" ht="15" hidden="false" customHeight="false" outlineLevel="0" collapsed="false">
      <c r="A114" s="2" t="s">
        <v>404</v>
      </c>
      <c r="F114" s="85" t="n">
        <f aca="false">I92-((D92+G92)-(E92+H92))*(1-K92)</f>
        <v>-2227.41021452317</v>
      </c>
    </row>
    <row r="115" customFormat="false" ht="15" hidden="false" customHeight="false" outlineLevel="0" collapsed="false">
      <c r="A115" s="2" t="s">
        <v>405</v>
      </c>
      <c r="F115" s="80" t="n">
        <f aca="false">(F92-((D92+G92)-(E92+H92))*K92)/E92</f>
        <v>0.0147155876861286</v>
      </c>
    </row>
    <row r="116" customFormat="false" ht="15" hidden="false" customHeight="false" outlineLevel="0" collapsed="false">
      <c r="A116" s="2" t="s">
        <v>406</v>
      </c>
      <c r="F116" s="80" t="n">
        <f aca="false">(I92-((D92+G92)-(E92+H92))*(1-K92))/H92</f>
        <v>-0.0153058210127548</v>
      </c>
    </row>
    <row r="118" customFormat="false" ht="15" hidden="false" customHeight="false" outlineLevel="0" collapsed="false">
      <c r="U118" s="5" t="s">
        <v>136</v>
      </c>
    </row>
    <row r="119" customFormat="false" ht="28.35" hidden="false" customHeight="false" outlineLevel="0" collapsed="false">
      <c r="U119" s="67" t="s">
        <v>422</v>
      </c>
    </row>
    <row r="120" customFormat="false" ht="15" hidden="false" customHeight="false" outlineLevel="0" collapsed="false">
      <c r="U120" s="67" t="s">
        <v>408</v>
      </c>
    </row>
    <row r="121" customFormat="false" ht="55.2" hidden="false" customHeight="false" outlineLevel="0" collapsed="false">
      <c r="U121" s="67" t="s">
        <v>429</v>
      </c>
    </row>
    <row r="122" customFormat="false" ht="15" hidden="false" customHeight="false" outlineLevel="0" collapsed="false">
      <c r="U122" s="67" t="s">
        <v>424</v>
      </c>
    </row>
    <row r="123" customFormat="false" ht="41.75" hidden="false" customHeight="false" outlineLevel="0" collapsed="false">
      <c r="U123" s="67" t="s">
        <v>425</v>
      </c>
    </row>
    <row r="124" customFormat="false" ht="28.35" hidden="false" customHeight="false" outlineLevel="0" collapsed="false">
      <c r="U124" s="67" t="s">
        <v>426</v>
      </c>
    </row>
    <row r="125" customFormat="false" ht="28.35" hidden="false" customHeight="false" outlineLevel="0" collapsed="false">
      <c r="U125" s="67" t="s">
        <v>413</v>
      </c>
    </row>
    <row r="126" customFormat="false" ht="41.75" hidden="false" customHeight="false" outlineLevel="0" collapsed="false">
      <c r="U126" s="67" t="s">
        <v>427</v>
      </c>
    </row>
    <row r="127" customFormat="false" ht="15" hidden="false" customHeight="false" outlineLevel="0" collapsed="false">
      <c r="U127" s="67" t="s">
        <v>428</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418</v>
      </c>
      <c r="H1" s="8" t="s">
        <v>370</v>
      </c>
      <c r="I1" s="8" t="s">
        <v>371</v>
      </c>
      <c r="J1" s="8" t="s">
        <v>372</v>
      </c>
      <c r="K1" s="8" t="s">
        <v>373</v>
      </c>
      <c r="L1" s="8" t="s">
        <v>374</v>
      </c>
      <c r="M1" s="8" t="s">
        <v>419</v>
      </c>
      <c r="N1" s="8" t="s">
        <v>420</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131</v>
      </c>
      <c r="E2" s="59" t="n">
        <v>137</v>
      </c>
      <c r="F2" s="68" t="n">
        <f aca="false">IF(E2="","",D2-E2)</f>
        <v>-6</v>
      </c>
      <c r="G2" s="59" t="n">
        <v>214</v>
      </c>
      <c r="H2" s="59" t="n">
        <v>249</v>
      </c>
      <c r="I2" s="68" t="n">
        <f aca="false">IF(H2="","",G2-H2)</f>
        <v>-35</v>
      </c>
      <c r="J2" s="40" t="n">
        <f aca="false">IF(OR(D2="",D2+G2=0),"",D2/(D2+G2))</f>
        <v>0.379710144927536</v>
      </c>
      <c r="K2" s="40" t="n">
        <f aca="false">IF(E2="","",E2/(E2+H2))</f>
        <v>0.354922279792746</v>
      </c>
      <c r="L2" s="69" t="n">
        <f aca="false">IF(OR(K2="",J2=""),"",(J2-K2)*100)</f>
        <v>2.47878651347901</v>
      </c>
      <c r="M2" s="36" t="n">
        <v>3.70004258347493</v>
      </c>
      <c r="N2" s="36" t="n">
        <v>1.39767937743113</v>
      </c>
      <c r="O2" s="36" t="n">
        <f aca="false">SQRT(M2^2+N2^2)</f>
        <v>3.9552272705401</v>
      </c>
      <c r="P2" s="40" t="n">
        <f aca="false">IF(J2="","",MAX(0,J2-1.96*O2/100))</f>
        <v>0.30218769042495</v>
      </c>
      <c r="Q2" s="40" t="n">
        <f aca="false">IF(J2="","",MIN(1,J2+1.96*O2/100))</f>
        <v>0.457232599430122</v>
      </c>
      <c r="R2" s="32" t="str">
        <f aca="false">IF(L2="","",IF(ABS(L2)&lt;=O2,"Yes","No"))</f>
        <v>Yes</v>
      </c>
      <c r="S2" s="32" t="str">
        <f aca="false">IF(L2="","",IF(ABS(L2)&lt;=1.96*O2,"Yes","No"))</f>
        <v>Yes</v>
      </c>
      <c r="T2" s="59" t="n">
        <f aca="false">IF(D2="","",ROUND(SQRT(((D2+G2)*O2/100)^2+(J2*(D2+G2)*0.07872)^2),0))</f>
        <v>17</v>
      </c>
      <c r="U2" s="32"/>
    </row>
    <row r="3" customFormat="false" ht="15" hidden="false" customHeight="false" outlineLevel="0" collapsed="false">
      <c r="A3" s="32" t="s">
        <v>159</v>
      </c>
      <c r="B3" s="32" t="s">
        <v>165</v>
      </c>
      <c r="C3" s="32" t="s">
        <v>161</v>
      </c>
      <c r="D3" s="59" t="n">
        <v>75</v>
      </c>
      <c r="E3" s="59" t="n">
        <v>84</v>
      </c>
      <c r="F3" s="68" t="n">
        <f aca="false">IF(E3="","",D3-E3)</f>
        <v>-9</v>
      </c>
      <c r="G3" s="59" t="n">
        <v>203</v>
      </c>
      <c r="H3" s="59" t="n">
        <v>230</v>
      </c>
      <c r="I3" s="68" t="n">
        <f aca="false">IF(H3="","",G3-H3)</f>
        <v>-27</v>
      </c>
      <c r="J3" s="40" t="n">
        <f aca="false">IF(OR(D3="",D3+G3=0),"",D3/(D3+G3))</f>
        <v>0.269784172661871</v>
      </c>
      <c r="K3" s="40" t="n">
        <f aca="false">IF(E3="","",E3/(E3+H3))</f>
        <v>0.267515923566879</v>
      </c>
      <c r="L3" s="69" t="n">
        <f aca="false">IF(OR(K3="",J3=""),"",(J3-K3)*100)</f>
        <v>0.226824909499151</v>
      </c>
      <c r="M3" s="36" t="n">
        <v>3.70004258347493</v>
      </c>
      <c r="N3" s="36" t="n">
        <v>1.39767937743113</v>
      </c>
      <c r="O3" s="36" t="n">
        <f aca="false">SQRT(M3^2+N3^2)</f>
        <v>3.9552272705401</v>
      </c>
      <c r="P3" s="40" t="n">
        <f aca="false">IF(J3="","",MAX(0,J3-1.96*O3/100))</f>
        <v>0.192261718159285</v>
      </c>
      <c r="Q3" s="40" t="n">
        <f aca="false">IF(J3="","",MIN(1,J3+1.96*O3/100))</f>
        <v>0.347306627164456</v>
      </c>
      <c r="R3" s="32" t="str">
        <f aca="false">IF(L3="","",IF(ABS(L3)&lt;=O3,"Yes","No"))</f>
        <v>Yes</v>
      </c>
      <c r="S3" s="32" t="str">
        <f aca="false">IF(L3="","",IF(ABS(L3)&lt;=1.96*O3,"Yes","No"))</f>
        <v>Yes</v>
      </c>
      <c r="T3" s="59" t="n">
        <f aca="false">IF(D3="","",ROUND(SQRT(((D3+G3)*O3/100)^2+(J3*(D3+G3)*0.07872)^2),0))</f>
        <v>12</v>
      </c>
      <c r="U3" s="32"/>
    </row>
    <row r="4" customFormat="false" ht="15" hidden="false" customHeight="false" outlineLevel="0" collapsed="false">
      <c r="A4" s="32" t="s">
        <v>159</v>
      </c>
      <c r="B4" s="32" t="s">
        <v>166</v>
      </c>
      <c r="C4" s="32" t="s">
        <v>161</v>
      </c>
      <c r="D4" s="59" t="n">
        <v>85</v>
      </c>
      <c r="E4" s="59" t="n">
        <v>125</v>
      </c>
      <c r="F4" s="68" t="n">
        <f aca="false">IF(E4="","",D4-E4)</f>
        <v>-40</v>
      </c>
      <c r="G4" s="59" t="n">
        <v>203</v>
      </c>
      <c r="H4" s="59" t="n">
        <v>223</v>
      </c>
      <c r="I4" s="68" t="n">
        <f aca="false">IF(H4="","",G4-H4)</f>
        <v>-20</v>
      </c>
      <c r="J4" s="40" t="n">
        <f aca="false">IF(OR(D4="",D4+G4=0),"",D4/(D4+G4))</f>
        <v>0.295138888888889</v>
      </c>
      <c r="K4" s="40" t="n">
        <f aca="false">IF(E4="","",E4/(E4+H4))</f>
        <v>0.359195402298851</v>
      </c>
      <c r="L4" s="69" t="n">
        <f aca="false">IF(OR(K4="",J4=""),"",(J4-K4)*100)</f>
        <v>-6.40565134099617</v>
      </c>
      <c r="M4" s="36" t="n">
        <v>3.70004258347493</v>
      </c>
      <c r="N4" s="36" t="n">
        <v>1.39767937743113</v>
      </c>
      <c r="O4" s="36" t="n">
        <f aca="false">SQRT(M4^2+N4^2)</f>
        <v>3.9552272705401</v>
      </c>
      <c r="P4" s="40" t="n">
        <f aca="false">IF(J4="","",MAX(0,J4-1.96*O4/100))</f>
        <v>0.217616434386303</v>
      </c>
      <c r="Q4" s="40" t="n">
        <f aca="false">IF(J4="","",MIN(1,J4+1.96*O4/100))</f>
        <v>0.372661343391475</v>
      </c>
      <c r="R4" s="32" t="str">
        <f aca="false">IF(L4="","",IF(ABS(L4)&lt;=O4,"Yes","No"))</f>
        <v>No</v>
      </c>
      <c r="S4" s="32" t="str">
        <f aca="false">IF(L4="","",IF(ABS(L4)&lt;=1.96*O4,"Yes","No"))</f>
        <v>Yes</v>
      </c>
      <c r="T4" s="59" t="n">
        <f aca="false">IF(D4="","",ROUND(SQRT(((D4+G4)*O4/100)^2+(J4*(D4+G4)*0.07872)^2),0))</f>
        <v>13</v>
      </c>
      <c r="U4" s="32"/>
    </row>
    <row r="5" customFormat="false" ht="15" hidden="false" customHeight="false" outlineLevel="0" collapsed="false">
      <c r="A5" s="32" t="s">
        <v>159</v>
      </c>
      <c r="B5" s="32" t="s">
        <v>167</v>
      </c>
      <c r="C5" s="32" t="s">
        <v>161</v>
      </c>
      <c r="D5" s="59" t="n">
        <v>297</v>
      </c>
      <c r="E5" s="59" t="n">
        <v>372</v>
      </c>
      <c r="F5" s="68" t="n">
        <f aca="false">IF(E5="","",D5-E5)</f>
        <v>-75</v>
      </c>
      <c r="G5" s="59" t="n">
        <v>834</v>
      </c>
      <c r="H5" s="59" t="n">
        <v>925</v>
      </c>
      <c r="I5" s="68" t="n">
        <f aca="false">IF(H5="","",G5-H5)</f>
        <v>-91</v>
      </c>
      <c r="J5" s="40" t="n">
        <f aca="false">IF(OR(D5="",D5+G5=0),"",D5/(D5+G5))</f>
        <v>0.262599469496021</v>
      </c>
      <c r="K5" s="40" t="n">
        <f aca="false">IF(E5="","",E5/(E5+H5))</f>
        <v>0.286815728604472</v>
      </c>
      <c r="L5" s="69" t="n">
        <f aca="false">IF(OR(K5="",J5=""),"",(J5-K5)*100)</f>
        <v>-2.42162591084507</v>
      </c>
      <c r="M5" s="36" t="n">
        <v>2.38316917418702</v>
      </c>
      <c r="N5" s="36" t="n">
        <v>1.39767937743113</v>
      </c>
      <c r="O5" s="36" t="n">
        <f aca="false">SQRT(M5^2+N5^2)</f>
        <v>2.76278898124549</v>
      </c>
      <c r="P5" s="40" t="n">
        <f aca="false">IF(J5="","",MAX(0,J5-1.96*O5/100))</f>
        <v>0.20844880546361</v>
      </c>
      <c r="Q5" s="40" t="n">
        <f aca="false">IF(J5="","",MIN(1,J5+1.96*O5/100))</f>
        <v>0.316750133528433</v>
      </c>
      <c r="R5" s="32" t="str">
        <f aca="false">IF(L5="","",IF(ABS(L5)&lt;=O5,"Yes","No"))</f>
        <v>Yes</v>
      </c>
      <c r="S5" s="32" t="str">
        <f aca="false">IF(L5="","",IF(ABS(L5)&lt;=1.96*O5,"Yes","No"))</f>
        <v>Yes</v>
      </c>
      <c r="T5" s="59" t="n">
        <f aca="false">IF(D5="","",ROUND(SQRT(((D5+G5)*O5/100)^2+(J5*(D5+G5)*0.05883)^2),0))</f>
        <v>36</v>
      </c>
      <c r="U5" s="32"/>
    </row>
    <row r="6" customFormat="false" ht="15" hidden="false" customHeight="false" outlineLevel="0" collapsed="false">
      <c r="A6" s="32" t="s">
        <v>159</v>
      </c>
      <c r="B6" s="32" t="s">
        <v>169</v>
      </c>
      <c r="C6" s="32" t="s">
        <v>161</v>
      </c>
      <c r="D6" s="59" t="n">
        <v>30</v>
      </c>
      <c r="E6" s="59" t="n">
        <v>33</v>
      </c>
      <c r="F6" s="68" t="n">
        <f aca="false">IF(E6="","",D6-E6)</f>
        <v>-3</v>
      </c>
      <c r="G6" s="59" t="n">
        <v>46</v>
      </c>
      <c r="H6" s="59" t="n">
        <v>61</v>
      </c>
      <c r="I6" s="68" t="n">
        <f aca="false">IF(H6="","",G6-H6)</f>
        <v>-15</v>
      </c>
      <c r="J6" s="40" t="n">
        <f aca="false">IF(OR(D6="",D6+G6=0),"",D6/(D6+G6))</f>
        <v>0.394736842105263</v>
      </c>
      <c r="K6" s="40" t="n">
        <f aca="false">IF(E6="","",E6/(E6+H6))</f>
        <v>0.351063829787234</v>
      </c>
      <c r="L6" s="69" t="n">
        <f aca="false">IF(OR(K6="",J6=""),"",(J6-K6)*100)</f>
        <v>4.36730123180291</v>
      </c>
      <c r="M6" s="36" t="n">
        <v>3.70004258347493</v>
      </c>
      <c r="N6" s="36" t="n">
        <v>1.39767937743113</v>
      </c>
      <c r="O6" s="36" t="n">
        <f aca="false">SQRT(M6^2+N6^2)</f>
        <v>3.9552272705401</v>
      </c>
      <c r="P6" s="40" t="n">
        <f aca="false">IF(J6="","",MAX(0,J6-1.96*O6/100))</f>
        <v>0.317214387602677</v>
      </c>
      <c r="Q6" s="40" t="n">
        <f aca="false">IF(J6="","",MIN(1,J6+1.96*O6/100))</f>
        <v>0.472259296607849</v>
      </c>
      <c r="R6" s="32" t="str">
        <f aca="false">IF(L6="","",IF(ABS(L6)&lt;=O6,"Yes","No"))</f>
        <v>No</v>
      </c>
      <c r="S6" s="32" t="str">
        <f aca="false">IF(L6="","",IF(ABS(L6)&lt;=1.96*O6,"Yes","No"))</f>
        <v>Yes</v>
      </c>
      <c r="T6" s="59" t="n">
        <f aca="false">IF(D6="","",ROUND(SQRT(((D6+G6)*O6/100)^2+(J6*(D6+G6)*0.07872)^2),0))</f>
        <v>4</v>
      </c>
      <c r="U6" s="32"/>
    </row>
    <row r="7" customFormat="false" ht="15" hidden="false" customHeight="false" outlineLevel="0" collapsed="false">
      <c r="A7" s="32" t="s">
        <v>159</v>
      </c>
      <c r="B7" s="32" t="s">
        <v>170</v>
      </c>
      <c r="C7" s="32" t="s">
        <v>161</v>
      </c>
      <c r="D7" s="59" t="n">
        <v>462</v>
      </c>
      <c r="E7" s="59" t="n">
        <v>560</v>
      </c>
      <c r="F7" s="68" t="n">
        <f aca="false">IF(E7="","",D7-E7)</f>
        <v>-98</v>
      </c>
      <c r="G7" s="59" t="n">
        <v>1267</v>
      </c>
      <c r="H7" s="59" t="n">
        <v>1398</v>
      </c>
      <c r="I7" s="68" t="n">
        <f aca="false">IF(H7="","",G7-H7)</f>
        <v>-131</v>
      </c>
      <c r="J7" s="40" t="n">
        <f aca="false">IF(OR(D7="",D7+G7=0),"",D7/(D7+G7))</f>
        <v>0.267206477732794</v>
      </c>
      <c r="K7" s="40" t="n">
        <f aca="false">IF(E7="","",E7/(E7+H7))</f>
        <v>0.286006128702758</v>
      </c>
      <c r="L7" s="69" t="n">
        <f aca="false">IF(OR(K7="",J7=""),"",(J7-K7)*100)</f>
        <v>-1.87996509699644</v>
      </c>
      <c r="M7" s="36" t="n">
        <v>2.38316917418702</v>
      </c>
      <c r="N7" s="36" t="n">
        <v>1.39767937743113</v>
      </c>
      <c r="O7" s="36" t="n">
        <f aca="false">SQRT(M7^2+N7^2)</f>
        <v>2.76278898124549</v>
      </c>
      <c r="P7" s="40" t="n">
        <f aca="false">IF(J7="","",MAX(0,J7-1.96*O7/100))</f>
        <v>0.213055813700382</v>
      </c>
      <c r="Q7" s="40" t="n">
        <f aca="false">IF(J7="","",MIN(1,J7+1.96*O7/100))</f>
        <v>0.321357141765205</v>
      </c>
      <c r="R7" s="32" t="str">
        <f aca="false">IF(L7="","",IF(ABS(L7)&lt;=O7,"Yes","No"))</f>
        <v>Yes</v>
      </c>
      <c r="S7" s="32" t="str">
        <f aca="false">IF(L7="","",IF(ABS(L7)&lt;=1.96*O7,"Yes","No"))</f>
        <v>Yes</v>
      </c>
      <c r="T7" s="59" t="n">
        <f aca="false">IF(D7="","",ROUND(SQRT(((D7+G7)*O7/100)^2+(J7*(D7+G7)*0.05883)^2),0))</f>
        <v>55</v>
      </c>
      <c r="U7" s="32"/>
    </row>
    <row r="8" customFormat="false" ht="15" hidden="false" customHeight="false" outlineLevel="0" collapsed="false">
      <c r="A8" s="32" t="s">
        <v>159</v>
      </c>
      <c r="B8" s="32" t="s">
        <v>171</v>
      </c>
      <c r="C8" s="32" t="s">
        <v>161</v>
      </c>
      <c r="D8" s="59" t="n">
        <v>799</v>
      </c>
      <c r="E8" s="59" t="n">
        <v>979</v>
      </c>
      <c r="F8" s="68" t="n">
        <f aca="false">IF(E8="","",D8-E8)</f>
        <v>-180</v>
      </c>
      <c r="G8" s="59" t="n">
        <v>1052</v>
      </c>
      <c r="H8" s="59" t="n">
        <v>1157</v>
      </c>
      <c r="I8" s="68" t="n">
        <f aca="false">IF(H8="","",G8-H8)</f>
        <v>-105</v>
      </c>
      <c r="J8" s="40" t="n">
        <f aca="false">IF(OR(D8="",D8+G8=0),"",D8/(D8+G8))</f>
        <v>0.431658562938952</v>
      </c>
      <c r="K8" s="40" t="n">
        <f aca="false">IF(E8="","",E8/(E8+H8))</f>
        <v>0.458333333333333</v>
      </c>
      <c r="L8" s="69" t="n">
        <f aca="false">IF(OR(K8="",J8=""),"",(J8-K8)*100)</f>
        <v>-2.66747703943814</v>
      </c>
      <c r="M8" s="36" t="n">
        <v>2.38316917418702</v>
      </c>
      <c r="N8" s="36" t="n">
        <v>1.39767937743113</v>
      </c>
      <c r="O8" s="36" t="n">
        <f aca="false">SQRT(M8^2+N8^2)</f>
        <v>2.76278898124549</v>
      </c>
      <c r="P8" s="40" t="n">
        <f aca="false">IF(J8="","",MAX(0,J8-1.96*O8/100))</f>
        <v>0.37750789890654</v>
      </c>
      <c r="Q8" s="40" t="n">
        <f aca="false">IF(J8="","",MIN(1,J8+1.96*O8/100))</f>
        <v>0.485809226971364</v>
      </c>
      <c r="R8" s="32" t="str">
        <f aca="false">IF(L8="","",IF(ABS(L8)&lt;=O8,"Yes","No"))</f>
        <v>Yes</v>
      </c>
      <c r="S8" s="32" t="str">
        <f aca="false">IF(L8="","",IF(ABS(L8)&lt;=1.96*O8,"Yes","No"))</f>
        <v>Yes</v>
      </c>
      <c r="T8" s="59" t="n">
        <f aca="false">IF(D8="","",ROUND(SQRT(((D8+G8)*O8/100)^2+(J8*(D8+G8)*0.05883)^2),0))</f>
        <v>69</v>
      </c>
      <c r="U8" s="32"/>
    </row>
    <row r="9" customFormat="false" ht="15" hidden="false" customHeight="false" outlineLevel="0" collapsed="false">
      <c r="A9" s="32" t="s">
        <v>159</v>
      </c>
      <c r="B9" s="32" t="s">
        <v>172</v>
      </c>
      <c r="C9" s="32" t="s">
        <v>161</v>
      </c>
      <c r="D9" s="59" t="n">
        <v>252</v>
      </c>
      <c r="E9" s="59" t="n">
        <v>277</v>
      </c>
      <c r="F9" s="68" t="n">
        <f aca="false">IF(E9="","",D9-E9)</f>
        <v>-25</v>
      </c>
      <c r="G9" s="59" t="n">
        <v>557</v>
      </c>
      <c r="H9" s="59" t="n">
        <v>560</v>
      </c>
      <c r="I9" s="68" t="n">
        <f aca="false">IF(H9="","",G9-H9)</f>
        <v>-3</v>
      </c>
      <c r="J9" s="40" t="n">
        <f aca="false">IF(OR(D9="",D9+G9=0),"",D9/(D9+G9))</f>
        <v>0.311495673671199</v>
      </c>
      <c r="K9" s="40" t="n">
        <f aca="false">IF(E9="","",E9/(E9+H9))</f>
        <v>0.330943847072879</v>
      </c>
      <c r="L9" s="69" t="n">
        <f aca="false">IF(OR(K9="",J9=""),"",(J9-K9)*100)</f>
        <v>-1.94481734016803</v>
      </c>
      <c r="M9" s="36" t="n">
        <v>3.70004258347493</v>
      </c>
      <c r="N9" s="36" t="n">
        <v>1.39767937743113</v>
      </c>
      <c r="O9" s="36" t="n">
        <f aca="false">SQRT(M9^2+N9^2)</f>
        <v>3.9552272705401</v>
      </c>
      <c r="P9" s="40" t="n">
        <f aca="false">IF(J9="","",MAX(0,J9-1.96*O9/100))</f>
        <v>0.233973219168613</v>
      </c>
      <c r="Q9" s="40" t="n">
        <f aca="false">IF(J9="","",MIN(1,J9+1.96*O9/100))</f>
        <v>0.389018128173785</v>
      </c>
      <c r="R9" s="32" t="str">
        <f aca="false">IF(L9="","",IF(ABS(L9)&lt;=O9,"Yes","No"))</f>
        <v>Yes</v>
      </c>
      <c r="S9" s="32" t="str">
        <f aca="false">IF(L9="","",IF(ABS(L9)&lt;=1.96*O9,"Yes","No"))</f>
        <v>Yes</v>
      </c>
      <c r="T9" s="59" t="n">
        <f aca="false">IF(D9="","",ROUND(SQRT(((D9+G9)*O9/100)^2+(J9*(D9+G9)*0.07872)^2),0))</f>
        <v>38</v>
      </c>
      <c r="U9" s="32"/>
    </row>
    <row r="10" customFormat="false" ht="15" hidden="false" customHeight="false" outlineLevel="0" collapsed="false">
      <c r="A10" s="32" t="s">
        <v>159</v>
      </c>
      <c r="B10" s="32" t="s">
        <v>173</v>
      </c>
      <c r="C10" s="32" t="s">
        <v>161</v>
      </c>
      <c r="D10" s="59" t="n">
        <v>400</v>
      </c>
      <c r="E10" s="59" t="n">
        <v>420</v>
      </c>
      <c r="F10" s="68" t="n">
        <f aca="false">IF(E10="","",D10-E10)</f>
        <v>-20</v>
      </c>
      <c r="G10" s="59" t="n">
        <v>511</v>
      </c>
      <c r="H10" s="59" t="n">
        <v>580</v>
      </c>
      <c r="I10" s="68" t="n">
        <f aca="false">IF(H10="","",G10-H10)</f>
        <v>-69</v>
      </c>
      <c r="J10" s="40" t="n">
        <f aca="false">IF(OR(D10="",D10+G10=0),"",D10/(D10+G10))</f>
        <v>0.439077936333699</v>
      </c>
      <c r="K10" s="40" t="n">
        <f aca="false">IF(E10="","",E10/(E10+H10))</f>
        <v>0.42</v>
      </c>
      <c r="L10" s="69" t="n">
        <f aca="false">IF(OR(K10="",J10=""),"",(J10-K10)*100)</f>
        <v>1.90779363336993</v>
      </c>
      <c r="M10" s="36" t="n">
        <v>3.70004258347493</v>
      </c>
      <c r="N10" s="36" t="n">
        <v>1.39767937743113</v>
      </c>
      <c r="O10" s="36" t="n">
        <f aca="false">SQRT(M10^2+N10^2)</f>
        <v>3.9552272705401</v>
      </c>
      <c r="P10" s="40" t="n">
        <f aca="false">IF(J10="","",MAX(0,J10-1.96*O10/100))</f>
        <v>0.361555481831113</v>
      </c>
      <c r="Q10" s="40" t="n">
        <f aca="false">IF(J10="","",MIN(1,J10+1.96*O10/100))</f>
        <v>0.516600390836285</v>
      </c>
      <c r="R10" s="32" t="str">
        <f aca="false">IF(L10="","",IF(ABS(L10)&lt;=O10,"Yes","No"))</f>
        <v>Yes</v>
      </c>
      <c r="S10" s="32" t="str">
        <f aca="false">IF(L10="","",IF(ABS(L10)&lt;=1.96*O10,"Yes","No"))</f>
        <v>Yes</v>
      </c>
      <c r="T10" s="59" t="n">
        <f aca="false">IF(D10="","",ROUND(SQRT(((D10+G10)*O10/100)^2+(J10*(D10+G10)*0.07872)^2),0))</f>
        <v>48</v>
      </c>
      <c r="U10" s="32"/>
    </row>
    <row r="11" customFormat="false" ht="15" hidden="false" customHeight="false" outlineLevel="0" collapsed="false">
      <c r="A11" s="32" t="s">
        <v>159</v>
      </c>
      <c r="B11" s="32" t="s">
        <v>174</v>
      </c>
      <c r="C11" s="32" t="s">
        <v>161</v>
      </c>
      <c r="D11" s="59" t="n">
        <v>25</v>
      </c>
      <c r="E11" s="59" t="n">
        <v>36</v>
      </c>
      <c r="F11" s="68" t="n">
        <f aca="false">IF(E11="","",D11-E11)</f>
        <v>-11</v>
      </c>
      <c r="G11" s="59" t="n">
        <v>66</v>
      </c>
      <c r="H11" s="59" t="n">
        <v>79</v>
      </c>
      <c r="I11" s="68" t="n">
        <f aca="false">IF(H11="","",G11-H11)</f>
        <v>-13</v>
      </c>
      <c r="J11" s="40" t="n">
        <f aca="false">IF(OR(D11="",D11+G11=0),"",D11/(D11+G11))</f>
        <v>0.274725274725275</v>
      </c>
      <c r="K11" s="40" t="n">
        <f aca="false">IF(E11="","",E11/(E11+H11))</f>
        <v>0.31304347826087</v>
      </c>
      <c r="L11" s="69" t="n">
        <f aca="false">IF(OR(K11="",J11=""),"",(J11-K11)*100)</f>
        <v>-3.83182035355948</v>
      </c>
      <c r="M11" s="36" t="n">
        <v>3.70004258347493</v>
      </c>
      <c r="N11" s="36" t="n">
        <v>1.39767937743113</v>
      </c>
      <c r="O11" s="36" t="n">
        <f aca="false">SQRT(M11^2+N11^2)</f>
        <v>3.9552272705401</v>
      </c>
      <c r="P11" s="40" t="n">
        <f aca="false">IF(J11="","",MAX(0,J11-1.96*O11/100))</f>
        <v>0.197202820222689</v>
      </c>
      <c r="Q11" s="40" t="n">
        <f aca="false">IF(J11="","",MIN(1,J11+1.96*O11/100))</f>
        <v>0.352247729227861</v>
      </c>
      <c r="R11" s="32" t="str">
        <f aca="false">IF(L11="","",IF(ABS(L11)&lt;=O11,"Yes","No"))</f>
        <v>Yes</v>
      </c>
      <c r="S11" s="32" t="str">
        <f aca="false">IF(L11="","",IF(ABS(L11)&lt;=1.96*O11,"Yes","No"))</f>
        <v>Yes</v>
      </c>
      <c r="T11" s="59" t="n">
        <f aca="false">IF(D11="","",ROUND(SQRT(((D11+G11)*O11/100)^2+(J11*(D11+G11)*0.07872)^2),0))</f>
        <v>4</v>
      </c>
      <c r="U11" s="32"/>
    </row>
    <row r="12" customFormat="false" ht="15" hidden="false" customHeight="false" outlineLevel="0" collapsed="false">
      <c r="A12" s="32" t="s">
        <v>159</v>
      </c>
      <c r="B12" s="32" t="s">
        <v>175</v>
      </c>
      <c r="C12" s="32" t="s">
        <v>161</v>
      </c>
      <c r="D12" s="59" t="n">
        <v>48</v>
      </c>
      <c r="E12" s="59" t="n">
        <v>52</v>
      </c>
      <c r="F12" s="68" t="n">
        <f aca="false">IF(E12="","",D12-E12)</f>
        <v>-4</v>
      </c>
      <c r="G12" s="59" t="n">
        <v>151</v>
      </c>
      <c r="H12" s="59" t="n">
        <v>189</v>
      </c>
      <c r="I12" s="68" t="n">
        <f aca="false">IF(H12="","",G12-H12)</f>
        <v>-38</v>
      </c>
      <c r="J12" s="40" t="n">
        <f aca="false">IF(OR(D12="",D12+G12=0),"",D12/(D12+G12))</f>
        <v>0.241206030150754</v>
      </c>
      <c r="K12" s="40" t="n">
        <f aca="false">IF(E12="","",E12/(E12+H12))</f>
        <v>0.215767634854772</v>
      </c>
      <c r="L12" s="69" t="n">
        <f aca="false">IF(OR(K12="",J12=""),"",(J12-K12)*100)</f>
        <v>2.5438395295982</v>
      </c>
      <c r="M12" s="36" t="n">
        <v>3.70004258347493</v>
      </c>
      <c r="N12" s="36" t="n">
        <v>1.39767937743113</v>
      </c>
      <c r="O12" s="36" t="n">
        <f aca="false">SQRT(M12^2+N12^2)</f>
        <v>3.9552272705401</v>
      </c>
      <c r="P12" s="40" t="n">
        <f aca="false">IF(J12="","",MAX(0,J12-1.96*O12/100))</f>
        <v>0.163683575648168</v>
      </c>
      <c r="Q12" s="40" t="n">
        <f aca="false">IF(J12="","",MIN(1,J12+1.96*O12/100))</f>
        <v>0.31872848465334</v>
      </c>
      <c r="R12" s="32" t="str">
        <f aca="false">IF(L12="","",IF(ABS(L12)&lt;=O12,"Yes","No"))</f>
        <v>Yes</v>
      </c>
      <c r="S12" s="32" t="str">
        <f aca="false">IF(L12="","",IF(ABS(L12)&lt;=1.96*O12,"Yes","No"))</f>
        <v>Yes</v>
      </c>
      <c r="T12" s="59" t="n">
        <f aca="false">IF(D12="","",ROUND(SQRT(((D12+G12)*O12/100)^2+(J12*(D12+G12)*0.07872)^2),0))</f>
        <v>9</v>
      </c>
      <c r="U12" s="32"/>
    </row>
    <row r="13" customFormat="false" ht="15" hidden="false" customHeight="false" outlineLevel="0" collapsed="false">
      <c r="A13" s="32" t="s">
        <v>159</v>
      </c>
      <c r="B13" s="32" t="s">
        <v>176</v>
      </c>
      <c r="C13" s="32" t="s">
        <v>161</v>
      </c>
      <c r="D13" s="59" t="n">
        <v>608</v>
      </c>
      <c r="E13" s="59" t="n">
        <v>719</v>
      </c>
      <c r="F13" s="68" t="n">
        <f aca="false">IF(E13="","",D13-E13)</f>
        <v>-111</v>
      </c>
      <c r="G13" s="59" t="n">
        <v>868</v>
      </c>
      <c r="H13" s="59" t="n">
        <v>948</v>
      </c>
      <c r="I13" s="68" t="n">
        <f aca="false">IF(H13="","",G13-H13)</f>
        <v>-80</v>
      </c>
      <c r="J13" s="40" t="n">
        <f aca="false">IF(OR(D13="",D13+G13=0),"",D13/(D13+G13))</f>
        <v>0.411924119241192</v>
      </c>
      <c r="K13" s="40" t="n">
        <f aca="false">IF(E13="","",E13/(E13+H13))</f>
        <v>0.43131373725255</v>
      </c>
      <c r="L13" s="69" t="n">
        <f aca="false">IF(OR(K13="",J13=""),"",(J13-K13)*100)</f>
        <v>-1.93896180113571</v>
      </c>
      <c r="M13" s="36" t="n">
        <v>2.38316917418702</v>
      </c>
      <c r="N13" s="36" t="n">
        <v>1.39767937743113</v>
      </c>
      <c r="O13" s="36" t="n">
        <f aca="false">SQRT(M13^2+N13^2)</f>
        <v>2.76278898124549</v>
      </c>
      <c r="P13" s="40" t="n">
        <f aca="false">IF(J13="","",MAX(0,J13-1.96*O13/100))</f>
        <v>0.357773455208781</v>
      </c>
      <c r="Q13" s="40" t="n">
        <f aca="false">IF(J13="","",MIN(1,J13+1.96*O13/100))</f>
        <v>0.466074783273604</v>
      </c>
      <c r="R13" s="32" t="str">
        <f aca="false">IF(L13="","",IF(ABS(L13)&lt;=O13,"Yes","No"))</f>
        <v>Yes</v>
      </c>
      <c r="S13" s="32" t="str">
        <f aca="false">IF(L13="","",IF(ABS(L13)&lt;=1.96*O13,"Yes","No"))</f>
        <v>Yes</v>
      </c>
      <c r="T13" s="59" t="n">
        <f aca="false">IF(D13="","",ROUND(SQRT(((D13+G13)*O13/100)^2+(J13*(D13+G13)*0.05883)^2),0))</f>
        <v>54</v>
      </c>
      <c r="U13" s="32"/>
    </row>
    <row r="14" customFormat="false" ht="15" hidden="false" customHeight="false" outlineLevel="0" collapsed="false">
      <c r="A14" s="32" t="s">
        <v>159</v>
      </c>
      <c r="B14" s="32" t="s">
        <v>177</v>
      </c>
      <c r="C14" s="32" t="s">
        <v>161</v>
      </c>
      <c r="D14" s="59" t="n">
        <v>370</v>
      </c>
      <c r="E14" s="59" t="n">
        <v>430</v>
      </c>
      <c r="F14" s="68" t="n">
        <f aca="false">IF(E14="","",D14-E14)</f>
        <v>-60</v>
      </c>
      <c r="G14" s="59" t="n">
        <v>786</v>
      </c>
      <c r="H14" s="59" t="n">
        <v>916</v>
      </c>
      <c r="I14" s="68" t="n">
        <f aca="false">IF(H14="","",G14-H14)</f>
        <v>-130</v>
      </c>
      <c r="J14" s="40" t="n">
        <f aca="false">IF(OR(D14="",D14+G14=0),"",D14/(D14+G14))</f>
        <v>0.320069204152249</v>
      </c>
      <c r="K14" s="40" t="n">
        <f aca="false">IF(E14="","",E14/(E14+H14))</f>
        <v>0.319465081723626</v>
      </c>
      <c r="L14" s="69" t="n">
        <f aca="false">IF(OR(K14="",J14=""),"",(J14-K14)*100)</f>
        <v>0.0604122428623621</v>
      </c>
      <c r="M14" s="36" t="n">
        <v>2.38316917418702</v>
      </c>
      <c r="N14" s="36" t="n">
        <v>1.39767937743113</v>
      </c>
      <c r="O14" s="36" t="n">
        <f aca="false">SQRT(M14^2+N14^2)</f>
        <v>2.76278898124549</v>
      </c>
      <c r="P14" s="40" t="n">
        <f aca="false">IF(J14="","",MAX(0,J14-1.96*O14/100))</f>
        <v>0.265918540119838</v>
      </c>
      <c r="Q14" s="40" t="n">
        <f aca="false">IF(J14="","",MIN(1,J14+1.96*O14/100))</f>
        <v>0.374219868184661</v>
      </c>
      <c r="R14" s="32" t="str">
        <f aca="false">IF(L14="","",IF(ABS(L14)&lt;=O14,"Yes","No"))</f>
        <v>Yes</v>
      </c>
      <c r="S14" s="32" t="str">
        <f aca="false">IF(L14="","",IF(ABS(L14)&lt;=1.96*O14,"Yes","No"))</f>
        <v>Yes</v>
      </c>
      <c r="T14" s="59" t="n">
        <f aca="false">IF(D14="","",ROUND(SQRT(((D14+G14)*O14/100)^2+(J14*(D14+G14)*0.05883)^2),0))</f>
        <v>39</v>
      </c>
      <c r="U14" s="32"/>
    </row>
    <row r="15" customFormat="false" ht="15" hidden="false" customHeight="false" outlineLevel="0" collapsed="false">
      <c r="A15" s="32" t="s">
        <v>159</v>
      </c>
      <c r="B15" s="32" t="s">
        <v>178</v>
      </c>
      <c r="C15" s="32" t="s">
        <v>161</v>
      </c>
      <c r="D15" s="59" t="n">
        <v>418</v>
      </c>
      <c r="E15" s="59" t="n">
        <v>546</v>
      </c>
      <c r="F15" s="68" t="n">
        <f aca="false">IF(E15="","",D15-E15)</f>
        <v>-128</v>
      </c>
      <c r="G15" s="59" t="n">
        <v>1141</v>
      </c>
      <c r="H15" s="59" t="n">
        <v>1227</v>
      </c>
      <c r="I15" s="68" t="n">
        <f aca="false">IF(H15="","",G15-H15)</f>
        <v>-86</v>
      </c>
      <c r="J15" s="40" t="n">
        <f aca="false">IF(OR(D15="",D15+G15=0),"",D15/(D15+G15))</f>
        <v>0.268120590121873</v>
      </c>
      <c r="K15" s="40" t="n">
        <f aca="false">IF(E15="","",E15/(E15+H15))</f>
        <v>0.307952622673435</v>
      </c>
      <c r="L15" s="69" t="n">
        <f aca="false">IF(OR(K15="",J15=""),"",(J15-K15)*100)</f>
        <v>-3.98320325515619</v>
      </c>
      <c r="M15" s="36" t="n">
        <v>2.38316917418702</v>
      </c>
      <c r="N15" s="36" t="n">
        <v>1.39767937743113</v>
      </c>
      <c r="O15" s="36" t="n">
        <f aca="false">SQRT(M15^2+N15^2)</f>
        <v>2.76278898124549</v>
      </c>
      <c r="P15" s="40" t="n">
        <f aca="false">IF(J15="","",MAX(0,J15-1.96*O15/100))</f>
        <v>0.213969926089461</v>
      </c>
      <c r="Q15" s="40" t="n">
        <f aca="false">IF(J15="","",MIN(1,J15+1.96*O15/100))</f>
        <v>0.322271254154285</v>
      </c>
      <c r="R15" s="32" t="str">
        <f aca="false">IF(L15="","",IF(ABS(L15)&lt;=O15,"Yes","No"))</f>
        <v>No</v>
      </c>
      <c r="S15" s="32" t="str">
        <f aca="false">IF(L15="","",IF(ABS(L15)&lt;=1.96*O15,"Yes","No"))</f>
        <v>Yes</v>
      </c>
      <c r="T15" s="59" t="n">
        <f aca="false">IF(D15="","",ROUND(SQRT(((D15+G15)*O15/100)^2+(J15*(D15+G15)*0.05883)^2),0))</f>
        <v>50</v>
      </c>
      <c r="U15" s="32"/>
    </row>
    <row r="16" customFormat="false" ht="15" hidden="false" customHeight="false" outlineLevel="0" collapsed="false">
      <c r="A16" s="32" t="s">
        <v>159</v>
      </c>
      <c r="B16" s="32" t="s">
        <v>179</v>
      </c>
      <c r="C16" s="32" t="s">
        <v>161</v>
      </c>
      <c r="D16" s="59" t="n">
        <v>411</v>
      </c>
      <c r="E16" s="59" t="n">
        <v>488</v>
      </c>
      <c r="F16" s="68" t="n">
        <f aca="false">IF(E16="","",D16-E16)</f>
        <v>-77</v>
      </c>
      <c r="G16" s="59" t="n">
        <v>612</v>
      </c>
      <c r="H16" s="59" t="n">
        <v>706</v>
      </c>
      <c r="I16" s="68" t="n">
        <f aca="false">IF(H16="","",G16-H16)</f>
        <v>-94</v>
      </c>
      <c r="J16" s="40" t="n">
        <f aca="false">IF(OR(D16="",D16+G16=0),"",D16/(D16+G16))</f>
        <v>0.401759530791789</v>
      </c>
      <c r="K16" s="40" t="n">
        <f aca="false">IF(E16="","",E16/(E16+H16))</f>
        <v>0.408710217755444</v>
      </c>
      <c r="L16" s="69" t="n">
        <f aca="false">IF(OR(K16="",J16=""),"",(J16-K16)*100)</f>
        <v>-0.695068696365503</v>
      </c>
      <c r="M16" s="36" t="n">
        <v>3.70004258347493</v>
      </c>
      <c r="N16" s="36" t="n">
        <v>1.39767937743113</v>
      </c>
      <c r="O16" s="36" t="n">
        <f aca="false">SQRT(M16^2+N16^2)</f>
        <v>3.9552272705401</v>
      </c>
      <c r="P16" s="40" t="n">
        <f aca="false">IF(J16="","",MAX(0,J16-1.96*O16/100))</f>
        <v>0.324237076289203</v>
      </c>
      <c r="Q16" s="40" t="n">
        <f aca="false">IF(J16="","",MIN(1,J16+1.96*O16/100))</f>
        <v>0.479281985294375</v>
      </c>
      <c r="R16" s="32" t="str">
        <f aca="false">IF(L16="","",IF(ABS(L16)&lt;=O16,"Yes","No"))</f>
        <v>Yes</v>
      </c>
      <c r="S16" s="32" t="str">
        <f aca="false">IF(L16="","",IF(ABS(L16)&lt;=1.96*O16,"Yes","No"))</f>
        <v>Yes</v>
      </c>
      <c r="T16" s="59" t="n">
        <f aca="false">IF(D16="","",ROUND(SQRT(((D16+G16)*O16/100)^2+(J16*(D16+G16)*0.07872)^2),0))</f>
        <v>52</v>
      </c>
      <c r="U16" s="32"/>
    </row>
    <row r="17" customFormat="false" ht="15" hidden="false" customHeight="false" outlineLevel="0" collapsed="false">
      <c r="A17" s="32" t="s">
        <v>159</v>
      </c>
      <c r="B17" s="32" t="s">
        <v>180</v>
      </c>
      <c r="C17" s="32" t="s">
        <v>161</v>
      </c>
      <c r="D17" s="59" t="n">
        <v>118</v>
      </c>
      <c r="E17" s="59" t="n">
        <v>96</v>
      </c>
      <c r="F17" s="68" t="n">
        <f aca="false">IF(E17="","",D17-E17)</f>
        <v>22</v>
      </c>
      <c r="G17" s="59" t="n">
        <v>374</v>
      </c>
      <c r="H17" s="59" t="n">
        <v>444</v>
      </c>
      <c r="I17" s="68" t="n">
        <f aca="false">IF(H17="","",G17-H17)</f>
        <v>-70</v>
      </c>
      <c r="J17" s="40" t="n">
        <f aca="false">IF(OR(D17="",D17+G17=0),"",D17/(D17+G17))</f>
        <v>0.239837398373984</v>
      </c>
      <c r="K17" s="40" t="n">
        <f aca="false">IF(E17="","",E17/(E17+H17))</f>
        <v>0.177777777777778</v>
      </c>
      <c r="L17" s="69" t="n">
        <f aca="false">IF(OR(K17="",J17=""),"",(J17-K17)*100)</f>
        <v>6.2059620596206</v>
      </c>
      <c r="M17" s="36" t="n">
        <v>3.70004258347493</v>
      </c>
      <c r="N17" s="36" t="n">
        <v>1.39767937743113</v>
      </c>
      <c r="O17" s="36" t="n">
        <f aca="false">SQRT(M17^2+N17^2)</f>
        <v>3.9552272705401</v>
      </c>
      <c r="P17" s="40" t="n">
        <f aca="false">IF(J17="","",MAX(0,J17-1.96*O17/100))</f>
        <v>0.162314943871398</v>
      </c>
      <c r="Q17" s="40" t="n">
        <f aca="false">IF(J17="","",MIN(1,J17+1.96*O17/100))</f>
        <v>0.31735985287657</v>
      </c>
      <c r="R17" s="32" t="str">
        <f aca="false">IF(L17="","",IF(ABS(L17)&lt;=O17,"Yes","No"))</f>
        <v>No</v>
      </c>
      <c r="S17" s="32" t="str">
        <f aca="false">IF(L17="","",IF(ABS(L17)&lt;=1.96*O17,"Yes","No"))</f>
        <v>Yes</v>
      </c>
      <c r="T17" s="59" t="n">
        <f aca="false">IF(D17="","",ROUND(SQRT(((D17+G17)*O17/100)^2+(J17*(D17+G17)*0.07872)^2),0))</f>
        <v>22</v>
      </c>
      <c r="U17" s="32"/>
    </row>
    <row r="18" customFormat="false" ht="15" hidden="false" customHeight="false" outlineLevel="0" collapsed="false">
      <c r="A18" s="32" t="s">
        <v>159</v>
      </c>
      <c r="B18" s="32" t="s">
        <v>181</v>
      </c>
      <c r="C18" s="32" t="s">
        <v>161</v>
      </c>
      <c r="D18" s="59" t="n">
        <v>659</v>
      </c>
      <c r="E18" s="59" t="n">
        <v>737</v>
      </c>
      <c r="F18" s="68" t="n">
        <f aca="false">IF(E18="","",D18-E18)</f>
        <v>-78</v>
      </c>
      <c r="G18" s="59" t="n">
        <v>1075</v>
      </c>
      <c r="H18" s="59" t="n">
        <v>1172</v>
      </c>
      <c r="I18" s="68" t="n">
        <f aca="false">IF(H18="","",G18-H18)</f>
        <v>-97</v>
      </c>
      <c r="J18" s="40" t="n">
        <f aca="false">IF(OR(D18="",D18+G18=0),"",D18/(D18+G18))</f>
        <v>0.380046136101499</v>
      </c>
      <c r="K18" s="40" t="n">
        <f aca="false">IF(E18="","",E18/(E18+H18))</f>
        <v>0.386066003143007</v>
      </c>
      <c r="L18" s="69" t="n">
        <f aca="false">IF(OR(K18="",J18=""),"",(J18-K18)*100)</f>
        <v>-0.601986704150742</v>
      </c>
      <c r="M18" s="36" t="n">
        <v>2.38316917418702</v>
      </c>
      <c r="N18" s="36" t="n">
        <v>1.39767937743113</v>
      </c>
      <c r="O18" s="36" t="n">
        <f aca="false">SQRT(M18^2+N18^2)</f>
        <v>2.76278898124549</v>
      </c>
      <c r="P18" s="40" t="n">
        <f aca="false">IF(J18="","",MAX(0,J18-1.96*O18/100))</f>
        <v>0.325895472069088</v>
      </c>
      <c r="Q18" s="40" t="n">
        <f aca="false">IF(J18="","",MIN(1,J18+1.96*O18/100))</f>
        <v>0.434196800133911</v>
      </c>
      <c r="R18" s="32" t="str">
        <f aca="false">IF(L18="","",IF(ABS(L18)&lt;=O18,"Yes","No"))</f>
        <v>Yes</v>
      </c>
      <c r="S18" s="32" t="str">
        <f aca="false">IF(L18="","",IF(ABS(L18)&lt;=1.96*O18,"Yes","No"))</f>
        <v>Yes</v>
      </c>
      <c r="T18" s="59" t="n">
        <f aca="false">IF(D18="","",ROUND(SQRT(((D18+G18)*O18/100)^2+(J18*(D18+G18)*0.05883)^2),0))</f>
        <v>62</v>
      </c>
      <c r="U18" s="32"/>
    </row>
    <row r="19" customFormat="false" ht="15" hidden="false" customHeight="false" outlineLevel="0" collapsed="false">
      <c r="A19" s="32" t="s">
        <v>159</v>
      </c>
      <c r="B19" s="32" t="s">
        <v>182</v>
      </c>
      <c r="C19" s="32" t="s">
        <v>161</v>
      </c>
      <c r="D19" s="59" t="n">
        <v>49</v>
      </c>
      <c r="E19" s="59" t="n">
        <v>51</v>
      </c>
      <c r="F19" s="68" t="n">
        <f aca="false">IF(E19="","",D19-E19)</f>
        <v>-2</v>
      </c>
      <c r="G19" s="59" t="n">
        <v>126</v>
      </c>
      <c r="H19" s="59" t="n">
        <v>136</v>
      </c>
      <c r="I19" s="68" t="n">
        <f aca="false">IF(H19="","",G19-H19)</f>
        <v>-10</v>
      </c>
      <c r="J19" s="40" t="n">
        <f aca="false">IF(OR(D19="",D19+G19=0),"",D19/(D19+G19))</f>
        <v>0.28</v>
      </c>
      <c r="K19" s="40" t="n">
        <f aca="false">IF(E19="","",E19/(E19+H19))</f>
        <v>0.272727272727273</v>
      </c>
      <c r="L19" s="69" t="n">
        <f aca="false">IF(OR(K19="",J19=""),"",(J19-K19)*100)</f>
        <v>0.727272727272732</v>
      </c>
      <c r="M19" s="36" t="n">
        <v>3.70004258347493</v>
      </c>
      <c r="N19" s="36" t="n">
        <v>1.39767937743113</v>
      </c>
      <c r="O19" s="36" t="n">
        <f aca="false">SQRT(M19^2+N19^2)</f>
        <v>3.9552272705401</v>
      </c>
      <c r="P19" s="40" t="n">
        <f aca="false">IF(J19="","",MAX(0,J19-1.96*O19/100))</f>
        <v>0.202477545497414</v>
      </c>
      <c r="Q19" s="40" t="n">
        <f aca="false">IF(J19="","",MIN(1,J19+1.96*O19/100))</f>
        <v>0.357522454502586</v>
      </c>
      <c r="R19" s="32" t="str">
        <f aca="false">IF(L19="","",IF(ABS(L19)&lt;=O19,"Yes","No"))</f>
        <v>Yes</v>
      </c>
      <c r="S19" s="32" t="str">
        <f aca="false">IF(L19="","",IF(ABS(L19)&lt;=1.96*O19,"Yes","No"))</f>
        <v>Yes</v>
      </c>
      <c r="T19" s="59" t="n">
        <f aca="false">IF(D19="","",ROUND(SQRT(((D19+G19)*O19/100)^2+(J19*(D19+G19)*0.07872)^2),0))</f>
        <v>8</v>
      </c>
      <c r="U19" s="32"/>
    </row>
    <row r="20" customFormat="false" ht="15" hidden="false" customHeight="false" outlineLevel="0" collapsed="false">
      <c r="A20" s="32" t="s">
        <v>159</v>
      </c>
      <c r="B20" s="32" t="s">
        <v>183</v>
      </c>
      <c r="C20" s="32" t="s">
        <v>161</v>
      </c>
      <c r="D20" s="59" t="n">
        <v>1410</v>
      </c>
      <c r="E20" s="59" t="n">
        <v>1574</v>
      </c>
      <c r="F20" s="68" t="n">
        <f aca="false">IF(E20="","",D20-E20)</f>
        <v>-164</v>
      </c>
      <c r="G20" s="59" t="n">
        <v>2234</v>
      </c>
      <c r="H20" s="59" t="n">
        <v>2750</v>
      </c>
      <c r="I20" s="68" t="n">
        <f aca="false">IF(H20="","",G20-H20)</f>
        <v>-516</v>
      </c>
      <c r="J20" s="40" t="n">
        <f aca="false">IF(OR(D20="",D20+G20=0),"",D20/(D20+G20))</f>
        <v>0.386937431394072</v>
      </c>
      <c r="K20" s="40" t="n">
        <f aca="false">IF(E20="","",E20/(E20+H20))</f>
        <v>0.364014801110083</v>
      </c>
      <c r="L20" s="69" t="n">
        <f aca="false">IF(OR(K20="",J20=""),"",(J20-K20)*100)</f>
        <v>2.29226302839892</v>
      </c>
      <c r="M20" s="36" t="n">
        <v>1.79260184981807</v>
      </c>
      <c r="N20" s="36" t="n">
        <v>1.39767937743113</v>
      </c>
      <c r="O20" s="36" t="n">
        <f aca="false">SQRT(M20^2+N20^2)</f>
        <v>2.27308799523191</v>
      </c>
      <c r="P20" s="40" t="n">
        <f aca="false">IF(J20="","",MAX(0,J20-1.96*O20/100))</f>
        <v>0.342384906687527</v>
      </c>
      <c r="Q20" s="40" t="n">
        <f aca="false">IF(J20="","",MIN(1,J20+1.96*O20/100))</f>
        <v>0.431489956100618</v>
      </c>
      <c r="R20" s="32" t="str">
        <f aca="false">IF(L20="","",IF(ABS(L20)&lt;=O20,"Yes","No"))</f>
        <v>No</v>
      </c>
      <c r="S20" s="32" t="str">
        <f aca="false">IF(L20="","",IF(ABS(L20)&lt;=1.96*O20,"Yes","No"))</f>
        <v>Yes</v>
      </c>
      <c r="T20" s="59" t="n">
        <f aca="false">IF(D20="","",ROUND(SQRT(((D20+G20)*O20/100)^2+(J20*(D20+G20)*0.04942)^2),0))</f>
        <v>108</v>
      </c>
      <c r="U20" s="32"/>
    </row>
    <row r="21" customFormat="false" ht="15" hidden="false" customHeight="false" outlineLevel="0" collapsed="false">
      <c r="A21" s="32" t="s">
        <v>159</v>
      </c>
      <c r="B21" s="32" t="s">
        <v>185</v>
      </c>
      <c r="C21" s="32" t="s">
        <v>161</v>
      </c>
      <c r="D21" s="59" t="n">
        <v>494</v>
      </c>
      <c r="E21" s="59" t="n">
        <v>557</v>
      </c>
      <c r="F21" s="68" t="n">
        <f aca="false">IF(E21="","",D21-E21)</f>
        <v>-63</v>
      </c>
      <c r="G21" s="59" t="n">
        <v>650</v>
      </c>
      <c r="H21" s="59" t="n">
        <v>678</v>
      </c>
      <c r="I21" s="68" t="n">
        <f aca="false">IF(H21="","",G21-H21)</f>
        <v>-28</v>
      </c>
      <c r="J21" s="40" t="n">
        <f aca="false">IF(OR(D21="",D21+G21=0),"",D21/(D21+G21))</f>
        <v>0.431818181818182</v>
      </c>
      <c r="K21" s="40" t="n">
        <f aca="false">IF(E21="","",E21/(E21+H21))</f>
        <v>0.451012145748988</v>
      </c>
      <c r="L21" s="69" t="n">
        <f aca="false">IF(OR(K21="",J21=""),"",(J21-K21)*100)</f>
        <v>-1.9193963930806</v>
      </c>
      <c r="M21" s="36" t="n">
        <v>2.38316917418702</v>
      </c>
      <c r="N21" s="36" t="n">
        <v>1.39767937743113</v>
      </c>
      <c r="O21" s="36" t="n">
        <f aca="false">SQRT(M21^2+N21^2)</f>
        <v>2.76278898124549</v>
      </c>
      <c r="P21" s="40" t="n">
        <f aca="false">IF(J21="","",MAX(0,J21-1.96*O21/100))</f>
        <v>0.37766751778577</v>
      </c>
      <c r="Q21" s="40" t="n">
        <f aca="false">IF(J21="","",MIN(1,J21+1.96*O21/100))</f>
        <v>0.485968845850593</v>
      </c>
      <c r="R21" s="32" t="str">
        <f aca="false">IF(L21="","",IF(ABS(L21)&lt;=O21,"Yes","No"))</f>
        <v>Yes</v>
      </c>
      <c r="S21" s="32" t="str">
        <f aca="false">IF(L21="","",IF(ABS(L21)&lt;=1.96*O21,"Yes","No"))</f>
        <v>Yes</v>
      </c>
      <c r="T21" s="59" t="n">
        <f aca="false">IF(D21="","",ROUND(SQRT(((D21+G21)*O21/100)^2+(J21*(D21+G21)*0.05883)^2),0))</f>
        <v>43</v>
      </c>
      <c r="U21" s="32"/>
    </row>
    <row r="22" customFormat="false" ht="15" hidden="false" customHeight="false" outlineLevel="0" collapsed="false">
      <c r="A22" s="32" t="s">
        <v>159</v>
      </c>
      <c r="B22" s="32" t="s">
        <v>186</v>
      </c>
      <c r="C22" s="32" t="s">
        <v>161</v>
      </c>
      <c r="D22" s="59" t="n">
        <v>536</v>
      </c>
      <c r="E22" s="59" t="n">
        <v>625</v>
      </c>
      <c r="F22" s="68" t="n">
        <f aca="false">IF(E22="","",D22-E22)</f>
        <v>-89</v>
      </c>
      <c r="G22" s="59" t="n">
        <v>1311</v>
      </c>
      <c r="H22" s="59" t="n">
        <v>1506</v>
      </c>
      <c r="I22" s="68" t="n">
        <f aca="false">IF(H22="","",G22-H22)</f>
        <v>-195</v>
      </c>
      <c r="J22" s="40" t="n">
        <f aca="false">IF(OR(D22="",D22+G22=0),"",D22/(D22+G22))</f>
        <v>0.29020032485111</v>
      </c>
      <c r="K22" s="40" t="n">
        <f aca="false">IF(E22="","",E22/(E22+H22))</f>
        <v>0.293289535429376</v>
      </c>
      <c r="L22" s="69" t="n">
        <f aca="false">IF(OR(K22="",J22=""),"",(J22-K22)*100)</f>
        <v>-0.308921057826594</v>
      </c>
      <c r="M22" s="36" t="n">
        <v>2.38316917418702</v>
      </c>
      <c r="N22" s="36" t="n">
        <v>1.39767937743113</v>
      </c>
      <c r="O22" s="36" t="n">
        <f aca="false">SQRT(M22^2+N22^2)</f>
        <v>2.76278898124549</v>
      </c>
      <c r="P22" s="40" t="n">
        <f aca="false">IF(J22="","",MAX(0,J22-1.96*O22/100))</f>
        <v>0.236049660818698</v>
      </c>
      <c r="Q22" s="40" t="n">
        <f aca="false">IF(J22="","",MIN(1,J22+1.96*O22/100))</f>
        <v>0.344350988883522</v>
      </c>
      <c r="R22" s="32" t="str">
        <f aca="false">IF(L22="","",IF(ABS(L22)&lt;=O22,"Yes","No"))</f>
        <v>Yes</v>
      </c>
      <c r="S22" s="32" t="str">
        <f aca="false">IF(L22="","",IF(ABS(L22)&lt;=1.96*O22,"Yes","No"))</f>
        <v>Yes</v>
      </c>
      <c r="T22" s="59" t="n">
        <f aca="false">IF(D22="","",ROUND(SQRT(((D22+G22)*O22/100)^2+(J22*(D22+G22)*0.05883)^2),0))</f>
        <v>60</v>
      </c>
      <c r="U22" s="32"/>
    </row>
    <row r="23" customFormat="false" ht="15" hidden="false" customHeight="false" outlineLevel="0" collapsed="false">
      <c r="A23" s="32" t="s">
        <v>159</v>
      </c>
      <c r="B23" s="32" t="s">
        <v>187</v>
      </c>
      <c r="C23" s="32" t="s">
        <v>161</v>
      </c>
      <c r="D23" s="59" t="n">
        <v>237</v>
      </c>
      <c r="E23" s="59" t="n">
        <v>245</v>
      </c>
      <c r="F23" s="68" t="n">
        <f aca="false">IF(E23="","",D23-E23)</f>
        <v>-8</v>
      </c>
      <c r="G23" s="59" t="n">
        <v>613</v>
      </c>
      <c r="H23" s="59" t="n">
        <v>656</v>
      </c>
      <c r="I23" s="68" t="n">
        <f aca="false">IF(H23="","",G23-H23)</f>
        <v>-43</v>
      </c>
      <c r="J23" s="40" t="n">
        <f aca="false">IF(OR(D23="",D23+G23=0),"",D23/(D23+G23))</f>
        <v>0.278823529411765</v>
      </c>
      <c r="K23" s="40" t="n">
        <f aca="false">IF(E23="","",E23/(E23+H23))</f>
        <v>0.271920088790233</v>
      </c>
      <c r="L23" s="69" t="n">
        <f aca="false">IF(OR(K23="",J23=""),"",(J23-K23)*100)</f>
        <v>0.690344062153164</v>
      </c>
      <c r="M23" s="36" t="n">
        <v>3.70004258347493</v>
      </c>
      <c r="N23" s="36" t="n">
        <v>1.39767937743113</v>
      </c>
      <c r="O23" s="36" t="n">
        <f aca="false">SQRT(M23^2+N23^2)</f>
        <v>3.9552272705401</v>
      </c>
      <c r="P23" s="40" t="n">
        <f aca="false">IF(J23="","",MAX(0,J23-1.96*O23/100))</f>
        <v>0.201301074909179</v>
      </c>
      <c r="Q23" s="40" t="n">
        <f aca="false">IF(J23="","",MIN(1,J23+1.96*O23/100))</f>
        <v>0.356345983914351</v>
      </c>
      <c r="R23" s="32" t="str">
        <f aca="false">IF(L23="","",IF(ABS(L23)&lt;=O23,"Yes","No"))</f>
        <v>Yes</v>
      </c>
      <c r="S23" s="32" t="str">
        <f aca="false">IF(L23="","",IF(ABS(L23)&lt;=1.96*O23,"Yes","No"))</f>
        <v>Yes</v>
      </c>
      <c r="T23" s="59" t="n">
        <f aca="false">IF(D23="","",ROUND(SQRT(((D23+G23)*O23/100)^2+(J23*(D23+G23)*0.07872)^2),0))</f>
        <v>38</v>
      </c>
      <c r="U23" s="32"/>
    </row>
    <row r="24" customFormat="false" ht="15" hidden="false" customHeight="false" outlineLevel="0" collapsed="false">
      <c r="A24" s="32" t="s">
        <v>159</v>
      </c>
      <c r="B24" s="32" t="s">
        <v>188</v>
      </c>
      <c r="C24" s="32" t="s">
        <v>161</v>
      </c>
      <c r="D24" s="59" t="n">
        <v>38</v>
      </c>
      <c r="E24" s="59" t="n">
        <v>46</v>
      </c>
      <c r="F24" s="68" t="n">
        <f aca="false">IF(E24="","",D24-E24)</f>
        <v>-8</v>
      </c>
      <c r="G24" s="59" t="n">
        <v>54</v>
      </c>
      <c r="H24" s="59" t="n">
        <v>54</v>
      </c>
      <c r="I24" s="68" t="n">
        <f aca="false">IF(H24="","",G24-H24)</f>
        <v>0</v>
      </c>
      <c r="J24" s="40" t="n">
        <f aca="false">IF(OR(D24="",D24+G24=0),"",D24/(D24+G24))</f>
        <v>0.41304347826087</v>
      </c>
      <c r="K24" s="40" t="n">
        <f aca="false">IF(E24="","",E24/(E24+H24))</f>
        <v>0.46</v>
      </c>
      <c r="L24" s="69" t="n">
        <f aca="false">IF(OR(K24="",J24=""),"",(J24-K24)*100)</f>
        <v>-4.69565217391305</v>
      </c>
      <c r="M24" s="36" t="n">
        <v>3.70004258347493</v>
      </c>
      <c r="N24" s="36" t="n">
        <v>1.39767937743113</v>
      </c>
      <c r="O24" s="36" t="n">
        <f aca="false">SQRT(M24^2+N24^2)</f>
        <v>3.9552272705401</v>
      </c>
      <c r="P24" s="40" t="n">
        <f aca="false">IF(J24="","",MAX(0,J24-1.96*O24/100))</f>
        <v>0.335521023758284</v>
      </c>
      <c r="Q24" s="40" t="n">
        <f aca="false">IF(J24="","",MIN(1,J24+1.96*O24/100))</f>
        <v>0.490565932763456</v>
      </c>
      <c r="R24" s="32" t="str">
        <f aca="false">IF(L24="","",IF(ABS(L24)&lt;=O24,"Yes","No"))</f>
        <v>No</v>
      </c>
      <c r="S24" s="32" t="str">
        <f aca="false">IF(L24="","",IF(ABS(L24)&lt;=1.96*O24,"Yes","No"))</f>
        <v>Yes</v>
      </c>
      <c r="T24" s="59" t="n">
        <f aca="false">IF(D24="","",ROUND(SQRT(((D24+G24)*O24/100)^2+(J24*(D24+G24)*0.07872)^2),0))</f>
        <v>5</v>
      </c>
      <c r="U24" s="32"/>
    </row>
    <row r="25" customFormat="false" ht="15" hidden="false" customHeight="false" outlineLevel="0" collapsed="false">
      <c r="A25" s="32" t="s">
        <v>189</v>
      </c>
      <c r="B25" s="32" t="s">
        <v>190</v>
      </c>
      <c r="C25" s="32" t="s">
        <v>161</v>
      </c>
      <c r="D25" s="59" t="n">
        <v>477</v>
      </c>
      <c r="E25" s="59" t="n">
        <v>494</v>
      </c>
      <c r="F25" s="68" t="n">
        <f aca="false">IF(E25="","",D25-E25)</f>
        <v>-17</v>
      </c>
      <c r="G25" s="59" t="n">
        <v>449</v>
      </c>
      <c r="H25" s="59" t="n">
        <v>519</v>
      </c>
      <c r="I25" s="68" t="n">
        <f aca="false">IF(H25="","",G25-H25)</f>
        <v>-70</v>
      </c>
      <c r="J25" s="40" t="n">
        <f aca="false">IF(OR(D25="",D25+G25=0),"",D25/(D25+G25))</f>
        <v>0.51511879049676</v>
      </c>
      <c r="K25" s="40" t="n">
        <f aca="false">IF(E25="","",E25/(E25+H25))</f>
        <v>0.487660414610069</v>
      </c>
      <c r="L25" s="69" t="n">
        <f aca="false">IF(OR(K25="",J25=""),"",(J25-K25)*100)</f>
        <v>2.74583758866911</v>
      </c>
      <c r="M25" s="36" t="n">
        <v>3.70004258347493</v>
      </c>
      <c r="N25" s="36" t="n">
        <v>1.39767937743113</v>
      </c>
      <c r="O25" s="36" t="n">
        <f aca="false">SQRT(M25^2+N25^2)</f>
        <v>3.9552272705401</v>
      </c>
      <c r="P25" s="40" t="n">
        <f aca="false">IF(J25="","",MAX(0,J25-1.96*O25/100))</f>
        <v>0.437596335994174</v>
      </c>
      <c r="Q25" s="40" t="n">
        <f aca="false">IF(J25="","",MIN(1,J25+1.96*O25/100))</f>
        <v>0.592641244999346</v>
      </c>
      <c r="R25" s="32" t="str">
        <f aca="false">IF(L25="","",IF(ABS(L25)&lt;=O25,"Yes","No"))</f>
        <v>Yes</v>
      </c>
      <c r="S25" s="32" t="str">
        <f aca="false">IF(L25="","",IF(ABS(L25)&lt;=1.96*O25,"Yes","No"))</f>
        <v>Yes</v>
      </c>
      <c r="T25" s="59" t="n">
        <f aca="false">IF(D25="","",ROUND(SQRT(((D25+G25)*O25/100)^2+(J25*(D25+G25)*0.07872)^2),0))</f>
        <v>52</v>
      </c>
      <c r="U25" s="32"/>
    </row>
    <row r="26" customFormat="false" ht="15" hidden="false" customHeight="false" outlineLevel="0" collapsed="false">
      <c r="A26" s="32" t="s">
        <v>189</v>
      </c>
      <c r="B26" s="32" t="s">
        <v>191</v>
      </c>
      <c r="C26" s="32" t="s">
        <v>161</v>
      </c>
      <c r="D26" s="59" t="n">
        <v>18351</v>
      </c>
      <c r="E26" s="59" t="n">
        <v>16965</v>
      </c>
      <c r="F26" s="68" t="n">
        <f aca="false">IF(E26="","",D26-E26)</f>
        <v>1386</v>
      </c>
      <c r="G26" s="59" t="n">
        <v>8452</v>
      </c>
      <c r="H26" s="59" t="n">
        <v>7936</v>
      </c>
      <c r="I26" s="68" t="n">
        <f aca="false">IF(H26="","",G26-H26)</f>
        <v>516</v>
      </c>
      <c r="J26" s="40" t="n">
        <f aca="false">IF(OR(D26="",D26+G26=0),"",D26/(D26+G26))</f>
        <v>0.684662164683058</v>
      </c>
      <c r="K26" s="40" t="n">
        <f aca="false">IF(E26="","",E26/(E26+H26))</f>
        <v>0.681297939841773</v>
      </c>
      <c r="L26" s="69" t="n">
        <f aca="false">IF(OR(K26="",J26=""),"",(J26-K26)*100)</f>
        <v>0.33642248412844</v>
      </c>
      <c r="M26" s="36" t="n">
        <v>1.79260184981807</v>
      </c>
      <c r="N26" s="36" t="n">
        <v>1.39767937743113</v>
      </c>
      <c r="O26" s="36" t="n">
        <f aca="false">SQRT(M26^2+N26^2)</f>
        <v>2.27308799523191</v>
      </c>
      <c r="P26" s="40" t="n">
        <f aca="false">IF(J26="","",MAX(0,J26-1.96*O26/100))</f>
        <v>0.640109639976513</v>
      </c>
      <c r="Q26" s="40" t="n">
        <f aca="false">IF(J26="","",MIN(1,J26+1.96*O26/100))</f>
        <v>0.729214689389603</v>
      </c>
      <c r="R26" s="32" t="str">
        <f aca="false">IF(L26="","",IF(ABS(L26)&lt;=O26,"Yes","No"))</f>
        <v>Yes</v>
      </c>
      <c r="S26" s="32" t="str">
        <f aca="false">IF(L26="","",IF(ABS(L26)&lt;=1.96*O26,"Yes","No"))</f>
        <v>Yes</v>
      </c>
      <c r="T26" s="59" t="n">
        <f aca="false">IF(D26="","",ROUND(SQRT(((D26+G26)*O26/100)^2+(J26*(D26+G26)*0.04942)^2),0))</f>
        <v>1093</v>
      </c>
      <c r="U26" s="32"/>
    </row>
    <row r="27" customFormat="false" ht="15" hidden="false" customHeight="false" outlineLevel="0" collapsed="false">
      <c r="A27" s="32" t="s">
        <v>189</v>
      </c>
      <c r="B27" s="32" t="s">
        <v>192</v>
      </c>
      <c r="C27" s="32" t="s">
        <v>161</v>
      </c>
      <c r="D27" s="59" t="n">
        <v>5046</v>
      </c>
      <c r="E27" s="59" t="n">
        <v>5186</v>
      </c>
      <c r="F27" s="68" t="n">
        <f aca="false">IF(E27="","",D27-E27)</f>
        <v>-140</v>
      </c>
      <c r="G27" s="59" t="n">
        <v>2468</v>
      </c>
      <c r="H27" s="59" t="n">
        <v>2705</v>
      </c>
      <c r="I27" s="68" t="n">
        <f aca="false">IF(H27="","",G27-H27)</f>
        <v>-237</v>
      </c>
      <c r="J27" s="40" t="n">
        <f aca="false">IF(OR(D27="",D27+G27=0),"",D27/(D27+G27))</f>
        <v>0.671546446632952</v>
      </c>
      <c r="K27" s="40" t="n">
        <f aca="false">IF(E27="","",E27/(E27+H27))</f>
        <v>0.657204410087441</v>
      </c>
      <c r="L27" s="69" t="n">
        <f aca="false">IF(OR(K27="",J27=""),"",(J27-K27)*100)</f>
        <v>1.43420365455105</v>
      </c>
      <c r="M27" s="36" t="n">
        <v>1.79260184981807</v>
      </c>
      <c r="N27" s="36" t="n">
        <v>1.39767937743113</v>
      </c>
      <c r="O27" s="36" t="n">
        <f aca="false">SQRT(M27^2+N27^2)</f>
        <v>2.27308799523191</v>
      </c>
      <c r="P27" s="40" t="n">
        <f aca="false">IF(J27="","",MAX(0,J27-1.96*O27/100))</f>
        <v>0.626993921926407</v>
      </c>
      <c r="Q27" s="40" t="n">
        <f aca="false">IF(J27="","",MIN(1,J27+1.96*O27/100))</f>
        <v>0.716098971339497</v>
      </c>
      <c r="R27" s="32" t="str">
        <f aca="false">IF(L27="","",IF(ABS(L27)&lt;=O27,"Yes","No"))</f>
        <v>Yes</v>
      </c>
      <c r="S27" s="32" t="str">
        <f aca="false">IF(L27="","",IF(ABS(L27)&lt;=1.96*O27,"Yes","No"))</f>
        <v>Yes</v>
      </c>
      <c r="T27" s="59" t="n">
        <f aca="false">IF(D27="","",ROUND(SQRT(((D27+G27)*O27/100)^2+(J27*(D27+G27)*0.04942)^2),0))</f>
        <v>302</v>
      </c>
      <c r="U27" s="32"/>
    </row>
    <row r="28" customFormat="false" ht="15" hidden="false" customHeight="false" outlineLevel="0" collapsed="false">
      <c r="A28" s="32" t="s">
        <v>189</v>
      </c>
      <c r="B28" s="32" t="s">
        <v>193</v>
      </c>
      <c r="C28" s="32" t="s">
        <v>161</v>
      </c>
      <c r="D28" s="59" t="n">
        <v>1146</v>
      </c>
      <c r="E28" s="59" t="n">
        <v>1135</v>
      </c>
      <c r="F28" s="68" t="n">
        <f aca="false">IF(E28="","",D28-E28)</f>
        <v>11</v>
      </c>
      <c r="G28" s="59" t="n">
        <v>897</v>
      </c>
      <c r="H28" s="59" t="n">
        <v>975</v>
      </c>
      <c r="I28" s="68" t="n">
        <f aca="false">IF(H28="","",G28-H28)</f>
        <v>-78</v>
      </c>
      <c r="J28" s="40" t="n">
        <f aca="false">IF(OR(D28="",D28+G28=0),"",D28/(D28+G28))</f>
        <v>0.560939794419971</v>
      </c>
      <c r="K28" s="40" t="n">
        <f aca="false">IF(E28="","",E28/(E28+H28))</f>
        <v>0.537914691943128</v>
      </c>
      <c r="L28" s="69" t="n">
        <f aca="false">IF(OR(K28="",J28=""),"",(J28-K28)*100)</f>
        <v>2.30251024768428</v>
      </c>
      <c r="M28" s="36" t="n">
        <v>2.38316917418702</v>
      </c>
      <c r="N28" s="36" t="n">
        <v>1.39767937743113</v>
      </c>
      <c r="O28" s="36" t="n">
        <f aca="false">SQRT(M28^2+N28^2)</f>
        <v>2.76278898124549</v>
      </c>
      <c r="P28" s="40" t="n">
        <f aca="false">IF(J28="","",MAX(0,J28-1.96*O28/100))</f>
        <v>0.506789130387559</v>
      </c>
      <c r="Q28" s="40" t="n">
        <f aca="false">IF(J28="","",MIN(1,J28+1.96*O28/100))</f>
        <v>0.615090458452382</v>
      </c>
      <c r="R28" s="32" t="str">
        <f aca="false">IF(L28="","",IF(ABS(L28)&lt;=O28,"Yes","No"))</f>
        <v>Yes</v>
      </c>
      <c r="S28" s="32" t="str">
        <f aca="false">IF(L28="","",IF(ABS(L28)&lt;=1.96*O28,"Yes","No"))</f>
        <v>Yes</v>
      </c>
      <c r="T28" s="59" t="n">
        <f aca="false">IF(D28="","",ROUND(SQRT(((D28+G28)*O28/100)^2+(J28*(D28+G28)*0.05883)^2),0))</f>
        <v>88</v>
      </c>
      <c r="U28" s="32"/>
    </row>
    <row r="29" customFormat="false" ht="15" hidden="false" customHeight="false" outlineLevel="0" collapsed="false">
      <c r="A29" s="32" t="s">
        <v>189</v>
      </c>
      <c r="B29" s="32" t="s">
        <v>194</v>
      </c>
      <c r="C29" s="32" t="s">
        <v>161</v>
      </c>
      <c r="D29" s="59" t="n">
        <v>543</v>
      </c>
      <c r="E29" s="59" t="n">
        <v>621</v>
      </c>
      <c r="F29" s="68" t="n">
        <f aca="false">IF(E29="","",D29-E29)</f>
        <v>-78</v>
      </c>
      <c r="G29" s="59" t="n">
        <v>544</v>
      </c>
      <c r="H29" s="59" t="n">
        <v>598</v>
      </c>
      <c r="I29" s="68" t="n">
        <f aca="false">IF(H29="","",G29-H29)</f>
        <v>-54</v>
      </c>
      <c r="J29" s="40" t="n">
        <f aca="false">IF(OR(D29="",D29+G29=0),"",D29/(D29+G29))</f>
        <v>0.499540018399264</v>
      </c>
      <c r="K29" s="40" t="n">
        <f aca="false">IF(E29="","",E29/(E29+H29))</f>
        <v>0.509433962264151</v>
      </c>
      <c r="L29" s="69" t="n">
        <f aca="false">IF(OR(K29="",J29=""),"",(J29-K29)*100)</f>
        <v>-0.98939438648869</v>
      </c>
      <c r="M29" s="36" t="n">
        <v>3.70004258347493</v>
      </c>
      <c r="N29" s="36" t="n">
        <v>1.39767937743113</v>
      </c>
      <c r="O29" s="36" t="n">
        <f aca="false">SQRT(M29^2+N29^2)</f>
        <v>3.9552272705401</v>
      </c>
      <c r="P29" s="40" t="n">
        <f aca="false">IF(J29="","",MAX(0,J29-1.96*O29/100))</f>
        <v>0.422017563896678</v>
      </c>
      <c r="Q29" s="40" t="n">
        <f aca="false">IF(J29="","",MIN(1,J29+1.96*O29/100))</f>
        <v>0.57706247290185</v>
      </c>
      <c r="R29" s="32" t="str">
        <f aca="false">IF(L29="","",IF(ABS(L29)&lt;=O29,"Yes","No"))</f>
        <v>Yes</v>
      </c>
      <c r="S29" s="32" t="str">
        <f aca="false">IF(L29="","",IF(ABS(L29)&lt;=1.96*O29,"Yes","No"))</f>
        <v>Yes</v>
      </c>
      <c r="T29" s="59" t="n">
        <f aca="false">IF(D29="","",ROUND(SQRT(((D29+G29)*O29/100)^2+(J29*(D29+G29)*0.07872)^2),0))</f>
        <v>61</v>
      </c>
      <c r="U29" s="32"/>
    </row>
    <row r="30" customFormat="false" ht="15" hidden="false" customHeight="false" outlineLevel="0" collapsed="false">
      <c r="A30" s="32" t="s">
        <v>189</v>
      </c>
      <c r="B30" s="32" t="s">
        <v>195</v>
      </c>
      <c r="C30" s="32" t="s">
        <v>161</v>
      </c>
      <c r="D30" s="59" t="n">
        <v>691</v>
      </c>
      <c r="E30" s="59" t="n">
        <v>691</v>
      </c>
      <c r="F30" s="68" t="n">
        <f aca="false">IF(E30="","",D30-E30)</f>
        <v>0</v>
      </c>
      <c r="G30" s="59" t="n">
        <v>567</v>
      </c>
      <c r="H30" s="59" t="n">
        <v>606</v>
      </c>
      <c r="I30" s="68" t="n">
        <f aca="false">IF(H30="","",G30-H30)</f>
        <v>-39</v>
      </c>
      <c r="J30" s="40" t="n">
        <f aca="false">IF(OR(D30="",D30+G30=0),"",D30/(D30+G30))</f>
        <v>0.549284578696343</v>
      </c>
      <c r="K30" s="40" t="n">
        <f aca="false">IF(E30="","",E30/(E30+H30))</f>
        <v>0.532767925983038</v>
      </c>
      <c r="L30" s="69" t="n">
        <f aca="false">IF(OR(K30="",J30=""),"",(J30-K30)*100)</f>
        <v>1.65166527133056</v>
      </c>
      <c r="M30" s="36" t="n">
        <v>2.38316917418702</v>
      </c>
      <c r="N30" s="36" t="n">
        <v>1.39767937743113</v>
      </c>
      <c r="O30" s="36" t="n">
        <f aca="false">SQRT(M30^2+N30^2)</f>
        <v>2.76278898124549</v>
      </c>
      <c r="P30" s="40" t="n">
        <f aca="false">IF(J30="","",MAX(0,J30-1.96*O30/100))</f>
        <v>0.495133914663932</v>
      </c>
      <c r="Q30" s="40" t="n">
        <f aca="false">IF(J30="","",MIN(1,J30+1.96*O30/100))</f>
        <v>0.603435242728755</v>
      </c>
      <c r="R30" s="32" t="str">
        <f aca="false">IF(L30="","",IF(ABS(L30)&lt;=O30,"Yes","No"))</f>
        <v>Yes</v>
      </c>
      <c r="S30" s="32" t="str">
        <f aca="false">IF(L30="","",IF(ABS(L30)&lt;=1.96*O30,"Yes","No"))</f>
        <v>Yes</v>
      </c>
      <c r="T30" s="59" t="n">
        <f aca="false">IF(D30="","",ROUND(SQRT(((D30+G30)*O30/100)^2+(J30*(D30+G30)*0.05883)^2),0))</f>
        <v>53</v>
      </c>
      <c r="U30" s="32"/>
    </row>
    <row r="31" customFormat="false" ht="15" hidden="false" customHeight="false" outlineLevel="0" collapsed="false">
      <c r="A31" s="32" t="s">
        <v>189</v>
      </c>
      <c r="B31" s="32" t="s">
        <v>196</v>
      </c>
      <c r="C31" s="32" t="s">
        <v>161</v>
      </c>
      <c r="D31" s="59" t="n">
        <v>2636</v>
      </c>
      <c r="E31" s="59" t="n">
        <v>2834</v>
      </c>
      <c r="F31" s="68" t="n">
        <f aca="false">IF(E31="","",D31-E31)</f>
        <v>-198</v>
      </c>
      <c r="G31" s="59" t="n">
        <v>2077</v>
      </c>
      <c r="H31" s="59" t="n">
        <v>2250</v>
      </c>
      <c r="I31" s="68" t="n">
        <f aca="false">IF(H31="","",G31-H31)</f>
        <v>-173</v>
      </c>
      <c r="J31" s="40" t="n">
        <f aca="false">IF(OR(D31="",D31+G31=0),"",D31/(D31+G31))</f>
        <v>0.559304052620412</v>
      </c>
      <c r="K31" s="40" t="n">
        <f aca="false">IF(E31="","",E31/(E31+H31))</f>
        <v>0.557435090479937</v>
      </c>
      <c r="L31" s="69" t="n">
        <f aca="false">IF(OR(K31="",J31=""),"",(J31-K31)*100)</f>
        <v>0.18689621404745</v>
      </c>
      <c r="M31" s="36" t="n">
        <v>1.79260184981807</v>
      </c>
      <c r="N31" s="36" t="n">
        <v>1.39767937743113</v>
      </c>
      <c r="O31" s="36" t="n">
        <f aca="false">SQRT(M31^2+N31^2)</f>
        <v>2.27308799523191</v>
      </c>
      <c r="P31" s="40" t="n">
        <f aca="false">IF(J31="","",MAX(0,J31-1.96*O31/100))</f>
        <v>0.514751527913866</v>
      </c>
      <c r="Q31" s="40" t="n">
        <f aca="false">IF(J31="","",MIN(1,J31+1.96*O31/100))</f>
        <v>0.603856577326957</v>
      </c>
      <c r="R31" s="32" t="str">
        <f aca="false">IF(L31="","",IF(ABS(L31)&lt;=O31,"Yes","No"))</f>
        <v>Yes</v>
      </c>
      <c r="S31" s="32" t="str">
        <f aca="false">IF(L31="","",IF(ABS(L31)&lt;=1.96*O31,"Yes","No"))</f>
        <v>Yes</v>
      </c>
      <c r="T31" s="59" t="n">
        <f aca="false">IF(D31="","",ROUND(SQRT(((D31+G31)*O31/100)^2+(J31*(D31+G31)*0.04942)^2),0))</f>
        <v>169</v>
      </c>
      <c r="U31" s="32"/>
    </row>
    <row r="32" customFormat="false" ht="15" hidden="false" customHeight="false" outlineLevel="0" collapsed="false">
      <c r="A32" s="32" t="s">
        <v>189</v>
      </c>
      <c r="B32" s="32" t="s">
        <v>197</v>
      </c>
      <c r="C32" s="32" t="s">
        <v>161</v>
      </c>
      <c r="D32" s="59" t="n">
        <v>1090</v>
      </c>
      <c r="E32" s="59" t="n">
        <v>1070</v>
      </c>
      <c r="F32" s="68" t="n">
        <f aca="false">IF(E32="","",D32-E32)</f>
        <v>20</v>
      </c>
      <c r="G32" s="59" t="n">
        <v>525</v>
      </c>
      <c r="H32" s="59" t="n">
        <v>479</v>
      </c>
      <c r="I32" s="68" t="n">
        <f aca="false">IF(H32="","",G32-H32)</f>
        <v>46</v>
      </c>
      <c r="J32" s="40" t="n">
        <f aca="false">IF(OR(D32="",D32+G32=0),"",D32/(D32+G32))</f>
        <v>0.674922600619195</v>
      </c>
      <c r="K32" s="40" t="n">
        <f aca="false">IF(E32="","",E32/(E32+H32))</f>
        <v>0.690768237572628</v>
      </c>
      <c r="L32" s="69" t="n">
        <f aca="false">IF(OR(K32="",J32=""),"",(J32-K32)*100)</f>
        <v>-1.58456369534324</v>
      </c>
      <c r="M32" s="36" t="n">
        <v>2.38316917418702</v>
      </c>
      <c r="N32" s="36" t="n">
        <v>1.39767937743113</v>
      </c>
      <c r="O32" s="36" t="n">
        <f aca="false">SQRT(M32^2+N32^2)</f>
        <v>2.76278898124549</v>
      </c>
      <c r="P32" s="40" t="n">
        <f aca="false">IF(J32="","",MAX(0,J32-1.96*O32/100))</f>
        <v>0.620771936586783</v>
      </c>
      <c r="Q32" s="40" t="n">
        <f aca="false">IF(J32="","",MIN(1,J32+1.96*O32/100))</f>
        <v>0.729073264651607</v>
      </c>
      <c r="R32" s="32" t="str">
        <f aca="false">IF(L32="","",IF(ABS(L32)&lt;=O32,"Yes","No"))</f>
        <v>Yes</v>
      </c>
      <c r="S32" s="32" t="str">
        <f aca="false">IF(L32="","",IF(ABS(L32)&lt;=1.96*O32,"Yes","No"))</f>
        <v>Yes</v>
      </c>
      <c r="T32" s="59" t="n">
        <f aca="false">IF(D32="","",ROUND(SQRT(((D32+G32)*O32/100)^2+(J32*(D32+G32)*0.05883)^2),0))</f>
        <v>78</v>
      </c>
      <c r="U32" s="32"/>
    </row>
    <row r="33" customFormat="false" ht="15" hidden="false" customHeight="false" outlineLevel="0" collapsed="false">
      <c r="A33" s="32" t="s">
        <v>189</v>
      </c>
      <c r="B33" s="32" t="s">
        <v>198</v>
      </c>
      <c r="C33" s="32" t="s">
        <v>161</v>
      </c>
      <c r="D33" s="59" t="n">
        <v>285</v>
      </c>
      <c r="E33" s="59" t="n">
        <v>262</v>
      </c>
      <c r="F33" s="68" t="n">
        <f aca="false">IF(E33="","",D33-E33)</f>
        <v>23</v>
      </c>
      <c r="G33" s="59" t="n">
        <v>204</v>
      </c>
      <c r="H33" s="59" t="n">
        <v>205</v>
      </c>
      <c r="I33" s="68" t="n">
        <f aca="false">IF(H33="","",G33-H33)</f>
        <v>-1</v>
      </c>
      <c r="J33" s="40" t="n">
        <f aca="false">IF(OR(D33="",D33+G33=0),"",D33/(D33+G33))</f>
        <v>0.582822085889571</v>
      </c>
      <c r="K33" s="40" t="n">
        <f aca="false">IF(E33="","",E33/(E33+H33))</f>
        <v>0.561027837259101</v>
      </c>
      <c r="L33" s="69" t="n">
        <f aca="false">IF(OR(K33="",J33=""),"",(J33-K33)*100)</f>
        <v>2.17942486304699</v>
      </c>
      <c r="M33" s="36" t="n">
        <v>3.70004258347493</v>
      </c>
      <c r="N33" s="36" t="n">
        <v>1.39767937743113</v>
      </c>
      <c r="O33" s="36" t="n">
        <f aca="false">SQRT(M33^2+N33^2)</f>
        <v>3.9552272705401</v>
      </c>
      <c r="P33" s="40" t="n">
        <f aca="false">IF(J33="","",MAX(0,J33-1.96*O33/100))</f>
        <v>0.505299631386985</v>
      </c>
      <c r="Q33" s="40" t="n">
        <f aca="false">IF(J33="","",MIN(1,J33+1.96*O33/100))</f>
        <v>0.660344540392156</v>
      </c>
      <c r="R33" s="32" t="str">
        <f aca="false">IF(L33="","",IF(ABS(L33)&lt;=O33,"Yes","No"))</f>
        <v>Yes</v>
      </c>
      <c r="S33" s="32" t="str">
        <f aca="false">IF(L33="","",IF(ABS(L33)&lt;=1.96*O33,"Yes","No"))</f>
        <v>Yes</v>
      </c>
      <c r="T33" s="59" t="n">
        <f aca="false">IF(D33="","",ROUND(SQRT(((D33+G33)*O33/100)^2+(J33*(D33+G33)*0.07872)^2),0))</f>
        <v>30</v>
      </c>
      <c r="U33" s="32"/>
    </row>
    <row r="34" customFormat="false" ht="15" hidden="false" customHeight="false" outlineLevel="0" collapsed="false">
      <c r="A34" s="32" t="s">
        <v>189</v>
      </c>
      <c r="B34" s="32" t="s">
        <v>199</v>
      </c>
      <c r="C34" s="32" t="s">
        <v>161</v>
      </c>
      <c r="D34" s="59" t="n">
        <v>478</v>
      </c>
      <c r="E34" s="59" t="n">
        <v>532</v>
      </c>
      <c r="F34" s="68" t="n">
        <f aca="false">IF(E34="","",D34-E34)</f>
        <v>-54</v>
      </c>
      <c r="G34" s="59" t="n">
        <v>995</v>
      </c>
      <c r="H34" s="59" t="n">
        <v>1068</v>
      </c>
      <c r="I34" s="68" t="n">
        <f aca="false">IF(H34="","",G34-H34)</f>
        <v>-73</v>
      </c>
      <c r="J34" s="40" t="n">
        <f aca="false">IF(OR(D34="",D34+G34=0),"",D34/(D34+G34))</f>
        <v>0.324507807196198</v>
      </c>
      <c r="K34" s="40" t="n">
        <f aca="false">IF(E34="","",E34/(E34+H34))</f>
        <v>0.3325</v>
      </c>
      <c r="L34" s="69" t="n">
        <f aca="false">IF(OR(K34="",J34=""),"",(J34-K34)*100)</f>
        <v>-0.799219280380176</v>
      </c>
      <c r="M34" s="36" t="n">
        <v>2.38316917418702</v>
      </c>
      <c r="N34" s="36" t="n">
        <v>1.39767937743113</v>
      </c>
      <c r="O34" s="36" t="n">
        <f aca="false">SQRT(M34^2+N34^2)</f>
        <v>2.76278898124549</v>
      </c>
      <c r="P34" s="40" t="n">
        <f aca="false">IF(J34="","",MAX(0,J34-1.96*O34/100))</f>
        <v>0.270357143163787</v>
      </c>
      <c r="Q34" s="40" t="n">
        <f aca="false">IF(J34="","",MIN(1,J34+1.96*O34/100))</f>
        <v>0.37865847122861</v>
      </c>
      <c r="R34" s="32" t="str">
        <f aca="false">IF(L34="","",IF(ABS(L34)&lt;=O34,"Yes","No"))</f>
        <v>Yes</v>
      </c>
      <c r="S34" s="32" t="str">
        <f aca="false">IF(L34="","",IF(ABS(L34)&lt;=1.96*O34,"Yes","No"))</f>
        <v>Yes</v>
      </c>
      <c r="T34" s="59" t="n">
        <f aca="false">IF(D34="","",ROUND(SQRT(((D34+G34)*O34/100)^2+(J34*(D34+G34)*0.05883)^2),0))</f>
        <v>49</v>
      </c>
      <c r="U34" s="32"/>
    </row>
    <row r="35" customFormat="false" ht="15" hidden="false" customHeight="false" outlineLevel="0" collapsed="false">
      <c r="A35" s="32" t="s">
        <v>189</v>
      </c>
      <c r="B35" s="32" t="s">
        <v>200</v>
      </c>
      <c r="C35" s="32" t="s">
        <v>161</v>
      </c>
      <c r="D35" s="59" t="n">
        <v>7987</v>
      </c>
      <c r="E35" s="59" t="n">
        <v>8358</v>
      </c>
      <c r="F35" s="68" t="n">
        <f aca="false">IF(E35="","",D35-E35)</f>
        <v>-371</v>
      </c>
      <c r="G35" s="59" t="n">
        <v>7075</v>
      </c>
      <c r="H35" s="59" t="n">
        <v>7595</v>
      </c>
      <c r="I35" s="68" t="n">
        <f aca="false">IF(H35="","",G35-H35)</f>
        <v>-520</v>
      </c>
      <c r="J35" s="40" t="n">
        <f aca="false">IF(OR(D35="",D35+G35=0),"",D35/(D35+G35))</f>
        <v>0.530274863895897</v>
      </c>
      <c r="K35" s="40" t="n">
        <f aca="false">IF(E35="","",E35/(E35+H35))</f>
        <v>0.523913997367266</v>
      </c>
      <c r="L35" s="69" t="n">
        <f aca="false">IF(OR(K35="",J35=""),"",(J35-K35)*100)</f>
        <v>0.636086652863066</v>
      </c>
      <c r="M35" s="36" t="n">
        <v>1.79260184981807</v>
      </c>
      <c r="N35" s="36" t="n">
        <v>1.39767937743113</v>
      </c>
      <c r="O35" s="36" t="n">
        <f aca="false">SQRT(M35^2+N35^2)</f>
        <v>2.27308799523191</v>
      </c>
      <c r="P35" s="40" t="n">
        <f aca="false">IF(J35="","",MAX(0,J35-1.96*O35/100))</f>
        <v>0.485722339189352</v>
      </c>
      <c r="Q35" s="40" t="n">
        <f aca="false">IF(J35="","",MIN(1,J35+1.96*O35/100))</f>
        <v>0.574827388602442</v>
      </c>
      <c r="R35" s="32" t="str">
        <f aca="false">IF(L35="","",IF(ABS(L35)&lt;=O35,"Yes","No"))</f>
        <v>Yes</v>
      </c>
      <c r="S35" s="32" t="str">
        <f aca="false">IF(L35="","",IF(ABS(L35)&lt;=1.96*O35,"Yes","No"))</f>
        <v>Yes</v>
      </c>
      <c r="T35" s="59" t="n">
        <f aca="false">IF(D35="","",ROUND(SQRT(((D35+G35)*O35/100)^2+(J35*(D35+G35)*0.04942)^2),0))</f>
        <v>523</v>
      </c>
      <c r="U35" s="32"/>
    </row>
    <row r="36" customFormat="false" ht="15" hidden="false" customHeight="false" outlineLevel="0" collapsed="false">
      <c r="A36" s="32" t="s">
        <v>189</v>
      </c>
      <c r="B36" s="32" t="s">
        <v>201</v>
      </c>
      <c r="C36" s="32" t="s">
        <v>161</v>
      </c>
      <c r="D36" s="59" t="n">
        <v>749</v>
      </c>
      <c r="E36" s="59" t="n">
        <v>850</v>
      </c>
      <c r="F36" s="68" t="n">
        <f aca="false">IF(E36="","",D36-E36)</f>
        <v>-101</v>
      </c>
      <c r="G36" s="59" t="n">
        <v>1263</v>
      </c>
      <c r="H36" s="59" t="n">
        <v>1311</v>
      </c>
      <c r="I36" s="68" t="n">
        <f aca="false">IF(H36="","",G36-H36)</f>
        <v>-48</v>
      </c>
      <c r="J36" s="40" t="n">
        <f aca="false">IF(OR(D36="",D36+G36=0),"",D36/(D36+G36))</f>
        <v>0.372266401590457</v>
      </c>
      <c r="K36" s="40" t="n">
        <f aca="false">IF(E36="","",E36/(E36+H36))</f>
        <v>0.39333641832485</v>
      </c>
      <c r="L36" s="69" t="n">
        <f aca="false">IF(OR(K36="",J36=""),"",(J36-K36)*100)</f>
        <v>-2.10700167343924</v>
      </c>
      <c r="M36" s="36" t="n">
        <v>2.38316917418702</v>
      </c>
      <c r="N36" s="36" t="n">
        <v>1.39767937743113</v>
      </c>
      <c r="O36" s="36" t="n">
        <f aca="false">SQRT(M36^2+N36^2)</f>
        <v>2.76278898124549</v>
      </c>
      <c r="P36" s="40" t="n">
        <f aca="false">IF(J36="","",MAX(0,J36-1.96*O36/100))</f>
        <v>0.318115737558046</v>
      </c>
      <c r="Q36" s="40" t="n">
        <f aca="false">IF(J36="","",MIN(1,J36+1.96*O36/100))</f>
        <v>0.426417065622869</v>
      </c>
      <c r="R36" s="32" t="str">
        <f aca="false">IF(L36="","",IF(ABS(L36)&lt;=O36,"Yes","No"))</f>
        <v>Yes</v>
      </c>
      <c r="S36" s="32" t="str">
        <f aca="false">IF(L36="","",IF(ABS(L36)&lt;=1.96*O36,"Yes","No"))</f>
        <v>Yes</v>
      </c>
      <c r="T36" s="59" t="n">
        <f aca="false">IF(D36="","",ROUND(SQRT(((D36+G36)*O36/100)^2+(J36*(D36+G36)*0.05883)^2),0))</f>
        <v>71</v>
      </c>
      <c r="U36" s="32"/>
    </row>
    <row r="37" customFormat="false" ht="15" hidden="false" customHeight="false" outlineLevel="0" collapsed="false">
      <c r="A37" s="32" t="s">
        <v>189</v>
      </c>
      <c r="B37" s="32" t="s">
        <v>202</v>
      </c>
      <c r="C37" s="32" t="s">
        <v>161</v>
      </c>
      <c r="D37" s="59" t="n">
        <v>423</v>
      </c>
      <c r="E37" s="59" t="n">
        <v>457</v>
      </c>
      <c r="F37" s="68" t="n">
        <f aca="false">IF(E37="","",D37-E37)</f>
        <v>-34</v>
      </c>
      <c r="G37" s="59" t="n">
        <v>755</v>
      </c>
      <c r="H37" s="59" t="n">
        <v>760</v>
      </c>
      <c r="I37" s="68" t="n">
        <f aca="false">IF(H37="","",G37-H37)</f>
        <v>-5</v>
      </c>
      <c r="J37" s="40" t="n">
        <f aca="false">IF(OR(D37="",D37+G37=0),"",D37/(D37+G37))</f>
        <v>0.359083191850594</v>
      </c>
      <c r="K37" s="40" t="n">
        <f aca="false">IF(E37="","",E37/(E37+H37))</f>
        <v>0.375513557929334</v>
      </c>
      <c r="L37" s="69" t="n">
        <f aca="false">IF(OR(K37="",J37=""),"",(J37-K37)*100)</f>
        <v>-1.64303660787402</v>
      </c>
      <c r="M37" s="36" t="n">
        <v>2.38316917418702</v>
      </c>
      <c r="N37" s="36" t="n">
        <v>1.39767937743113</v>
      </c>
      <c r="O37" s="36" t="n">
        <f aca="false">SQRT(M37^2+N37^2)</f>
        <v>2.76278898124549</v>
      </c>
      <c r="P37" s="40" t="n">
        <f aca="false">IF(J37="","",MAX(0,J37-1.96*O37/100))</f>
        <v>0.304932527818183</v>
      </c>
      <c r="Q37" s="40" t="n">
        <f aca="false">IF(J37="","",MIN(1,J37+1.96*O37/100))</f>
        <v>0.413233855883006</v>
      </c>
      <c r="R37" s="32" t="str">
        <f aca="false">IF(L37="","",IF(ABS(L37)&lt;=O37,"Yes","No"))</f>
        <v>Yes</v>
      </c>
      <c r="S37" s="32" t="str">
        <f aca="false">IF(L37="","",IF(ABS(L37)&lt;=1.96*O37,"Yes","No"))</f>
        <v>Yes</v>
      </c>
      <c r="T37" s="59" t="n">
        <f aca="false">IF(D37="","",ROUND(SQRT(((D37+G37)*O37/100)^2+(J37*(D37+G37)*0.05883)^2),0))</f>
        <v>41</v>
      </c>
      <c r="U37" s="32"/>
    </row>
    <row r="38" customFormat="false" ht="15" hidden="false" customHeight="false" outlineLevel="0" collapsed="false">
      <c r="A38" s="32" t="s">
        <v>189</v>
      </c>
      <c r="B38" s="32" t="s">
        <v>203</v>
      </c>
      <c r="C38" s="32" t="s">
        <v>161</v>
      </c>
      <c r="D38" s="59" t="n">
        <v>653</v>
      </c>
      <c r="E38" s="59" t="n">
        <v>719</v>
      </c>
      <c r="F38" s="68" t="n">
        <f aca="false">IF(E38="","",D38-E38)</f>
        <v>-66</v>
      </c>
      <c r="G38" s="59" t="n">
        <v>1339</v>
      </c>
      <c r="H38" s="59" t="n">
        <v>1434</v>
      </c>
      <c r="I38" s="68" t="n">
        <f aca="false">IF(H38="","",G38-H38)</f>
        <v>-95</v>
      </c>
      <c r="J38" s="40" t="n">
        <f aca="false">IF(OR(D38="",D38+G38=0),"",D38/(D38+G38))</f>
        <v>0.32781124497992</v>
      </c>
      <c r="K38" s="40" t="n">
        <f aca="false">IF(E38="","",E38/(E38+H38))</f>
        <v>0.333952624245239</v>
      </c>
      <c r="L38" s="69" t="n">
        <f aca="false">IF(OR(K38="",J38=""),"",(J38-K38)*100)</f>
        <v>-0.614137926531949</v>
      </c>
      <c r="M38" s="36" t="n">
        <v>2.38316917418702</v>
      </c>
      <c r="N38" s="36" t="n">
        <v>1.39767937743113</v>
      </c>
      <c r="O38" s="36" t="n">
        <f aca="false">SQRT(M38^2+N38^2)</f>
        <v>2.76278898124549</v>
      </c>
      <c r="P38" s="40" t="n">
        <f aca="false">IF(J38="","",MAX(0,J38-1.96*O38/100))</f>
        <v>0.273660580947508</v>
      </c>
      <c r="Q38" s="40" t="n">
        <f aca="false">IF(J38="","",MIN(1,J38+1.96*O38/100))</f>
        <v>0.381961909012331</v>
      </c>
      <c r="R38" s="32" t="str">
        <f aca="false">IF(L38="","",IF(ABS(L38)&lt;=O38,"Yes","No"))</f>
        <v>Yes</v>
      </c>
      <c r="S38" s="32" t="str">
        <f aca="false">IF(L38="","",IF(ABS(L38)&lt;=1.96*O38,"Yes","No"))</f>
        <v>Yes</v>
      </c>
      <c r="T38" s="59" t="n">
        <f aca="false">IF(D38="","",ROUND(SQRT(((D38+G38)*O38/100)^2+(J38*(D38+G38)*0.05883)^2),0))</f>
        <v>67</v>
      </c>
      <c r="U38" s="32"/>
    </row>
    <row r="39" customFormat="false" ht="15" hidden="false" customHeight="false" outlineLevel="0" collapsed="false">
      <c r="A39" s="32" t="s">
        <v>189</v>
      </c>
      <c r="B39" s="32" t="s">
        <v>204</v>
      </c>
      <c r="C39" s="32" t="s">
        <v>161</v>
      </c>
      <c r="D39" s="59" t="n">
        <v>739</v>
      </c>
      <c r="E39" s="59" t="n">
        <v>788</v>
      </c>
      <c r="F39" s="68" t="n">
        <f aca="false">IF(E39="","",D39-E39)</f>
        <v>-49</v>
      </c>
      <c r="G39" s="59" t="n">
        <v>606</v>
      </c>
      <c r="H39" s="59" t="n">
        <v>628</v>
      </c>
      <c r="I39" s="68" t="n">
        <f aca="false">IF(H39="","",G39-H39)</f>
        <v>-22</v>
      </c>
      <c r="J39" s="40" t="n">
        <f aca="false">IF(OR(D39="",D39+G39=0),"",D39/(D39+G39))</f>
        <v>0.549442379182156</v>
      </c>
      <c r="K39" s="40" t="n">
        <f aca="false">IF(E39="","",E39/(E39+H39))</f>
        <v>0.556497175141243</v>
      </c>
      <c r="L39" s="69" t="n">
        <f aca="false">IF(OR(K39="",J39=""),"",(J39-K39)*100)</f>
        <v>-0.705479595908687</v>
      </c>
      <c r="M39" s="36" t="n">
        <v>2.38316917418702</v>
      </c>
      <c r="N39" s="36" t="n">
        <v>1.39767937743113</v>
      </c>
      <c r="O39" s="36" t="n">
        <f aca="false">SQRT(M39^2+N39^2)</f>
        <v>2.76278898124549</v>
      </c>
      <c r="P39" s="40" t="n">
        <f aca="false">IF(J39="","",MAX(0,J39-1.96*O39/100))</f>
        <v>0.495291715149745</v>
      </c>
      <c r="Q39" s="40" t="n">
        <f aca="false">IF(J39="","",MIN(1,J39+1.96*O39/100))</f>
        <v>0.603593043214568</v>
      </c>
      <c r="R39" s="32" t="str">
        <f aca="false">IF(L39="","",IF(ABS(L39)&lt;=O39,"Yes","No"))</f>
        <v>Yes</v>
      </c>
      <c r="S39" s="32" t="str">
        <f aca="false">IF(L39="","",IF(ABS(L39)&lt;=1.96*O39,"Yes","No"))</f>
        <v>Yes</v>
      </c>
      <c r="T39" s="59" t="n">
        <f aca="false">IF(D39="","",ROUND(SQRT(((D39+G39)*O39/100)^2+(J39*(D39+G39)*0.05883)^2),0))</f>
        <v>57</v>
      </c>
      <c r="U39" s="32"/>
    </row>
    <row r="40" customFormat="false" ht="15" hidden="false" customHeight="false" outlineLevel="0" collapsed="false">
      <c r="A40" s="32" t="s">
        <v>189</v>
      </c>
      <c r="B40" s="32" t="s">
        <v>205</v>
      </c>
      <c r="C40" s="32" t="s">
        <v>161</v>
      </c>
      <c r="D40" s="59" t="n">
        <v>2926</v>
      </c>
      <c r="E40" s="59" t="n">
        <v>3255</v>
      </c>
      <c r="F40" s="68" t="n">
        <f aca="false">IF(E40="","",D40-E40)</f>
        <v>-329</v>
      </c>
      <c r="G40" s="59" t="n">
        <v>4092</v>
      </c>
      <c r="H40" s="59" t="n">
        <v>4462</v>
      </c>
      <c r="I40" s="68" t="n">
        <f aca="false">IF(H40="","",G40-H40)</f>
        <v>-370</v>
      </c>
      <c r="J40" s="40" t="n">
        <f aca="false">IF(OR(D40="",D40+G40=0),"",D40/(D40+G40))</f>
        <v>0.41692789968652</v>
      </c>
      <c r="K40" s="40" t="n">
        <f aca="false">IF(E40="","",E40/(E40+H40))</f>
        <v>0.421796034728521</v>
      </c>
      <c r="L40" s="69" t="n">
        <f aca="false">IF(OR(K40="",J40=""),"",(J40-K40)*100)</f>
        <v>-0.486813504200107</v>
      </c>
      <c r="M40" s="36" t="n">
        <v>1.79260184981807</v>
      </c>
      <c r="N40" s="36" t="n">
        <v>1.39767937743113</v>
      </c>
      <c r="O40" s="36" t="n">
        <f aca="false">SQRT(M40^2+N40^2)</f>
        <v>2.27308799523191</v>
      </c>
      <c r="P40" s="40" t="n">
        <f aca="false">IF(J40="","",MAX(0,J40-1.96*O40/100))</f>
        <v>0.372375374979975</v>
      </c>
      <c r="Q40" s="40" t="n">
        <f aca="false">IF(J40="","",MIN(1,J40+1.96*O40/100))</f>
        <v>0.461480424393066</v>
      </c>
      <c r="R40" s="32" t="str">
        <f aca="false">IF(L40="","",IF(ABS(L40)&lt;=O40,"Yes","No"))</f>
        <v>Yes</v>
      </c>
      <c r="S40" s="32" t="str">
        <f aca="false">IF(L40="","",IF(ABS(L40)&lt;=1.96*O40,"Yes","No"))</f>
        <v>Yes</v>
      </c>
      <c r="T40" s="59" t="n">
        <f aca="false">IF(D40="","",ROUND(SQRT(((D40+G40)*O40/100)^2+(J40*(D40+G40)*0.04942)^2),0))</f>
        <v>215</v>
      </c>
      <c r="U40" s="32"/>
    </row>
    <row r="41" customFormat="false" ht="15" hidden="false" customHeight="false" outlineLevel="0" collapsed="false">
      <c r="A41" s="32" t="s">
        <v>189</v>
      </c>
      <c r="B41" s="32" t="s">
        <v>206</v>
      </c>
      <c r="C41" s="32" t="s">
        <v>161</v>
      </c>
      <c r="D41" s="59" t="n">
        <v>3210</v>
      </c>
      <c r="E41" s="59" t="n">
        <v>3239</v>
      </c>
      <c r="F41" s="68" t="n">
        <f aca="false">IF(E41="","",D41-E41)</f>
        <v>-29</v>
      </c>
      <c r="G41" s="59" t="n">
        <v>2813</v>
      </c>
      <c r="H41" s="59" t="n">
        <v>3129</v>
      </c>
      <c r="I41" s="68" t="n">
        <f aca="false">IF(H41="","",G41-H41)</f>
        <v>-316</v>
      </c>
      <c r="J41" s="40" t="n">
        <f aca="false">IF(OR(D41="",D41+G41=0),"",D41/(D41+G41))</f>
        <v>0.532956998173668</v>
      </c>
      <c r="K41" s="40" t="n">
        <f aca="false">IF(E41="","",E41/(E41+H41))</f>
        <v>0.508636934673367</v>
      </c>
      <c r="L41" s="69" t="n">
        <f aca="false">IF(OR(K41="",J41=""),"",(J41-K41)*100)</f>
        <v>2.43200635003008</v>
      </c>
      <c r="M41" s="36" t="n">
        <v>1.79260184981807</v>
      </c>
      <c r="N41" s="36" t="n">
        <v>1.39767937743113</v>
      </c>
      <c r="O41" s="36" t="n">
        <f aca="false">SQRT(M41^2+N41^2)</f>
        <v>2.27308799523191</v>
      </c>
      <c r="P41" s="40" t="n">
        <f aca="false">IF(J41="","",MAX(0,J41-1.96*O41/100))</f>
        <v>0.488404473467122</v>
      </c>
      <c r="Q41" s="40" t="n">
        <f aca="false">IF(J41="","",MIN(1,J41+1.96*O41/100))</f>
        <v>0.577509522880213</v>
      </c>
      <c r="R41" s="32" t="str">
        <f aca="false">IF(L41="","",IF(ABS(L41)&lt;=O41,"Yes","No"))</f>
        <v>No</v>
      </c>
      <c r="S41" s="32" t="str">
        <f aca="false">IF(L41="","",IF(ABS(L41)&lt;=1.96*O41,"Yes","No"))</f>
        <v>Yes</v>
      </c>
      <c r="T41" s="59" t="n">
        <f aca="false">IF(D41="","",ROUND(SQRT(((D41+G41)*O41/100)^2+(J41*(D41+G41)*0.04942)^2),0))</f>
        <v>210</v>
      </c>
      <c r="U41" s="32"/>
    </row>
    <row r="42" customFormat="false" ht="15" hidden="false" customHeight="false" outlineLevel="0" collapsed="false">
      <c r="A42" s="32" t="s">
        <v>189</v>
      </c>
      <c r="B42" s="32" t="s">
        <v>207</v>
      </c>
      <c r="C42" s="32" t="s">
        <v>161</v>
      </c>
      <c r="D42" s="59" t="n">
        <v>560</v>
      </c>
      <c r="E42" s="59" t="n">
        <v>611</v>
      </c>
      <c r="F42" s="68" t="n">
        <f aca="false">IF(E42="","",D42-E42)</f>
        <v>-51</v>
      </c>
      <c r="G42" s="59" t="n">
        <v>753</v>
      </c>
      <c r="H42" s="59" t="n">
        <v>740</v>
      </c>
      <c r="I42" s="68" t="n">
        <f aca="false">IF(H42="","",G42-H42)</f>
        <v>13</v>
      </c>
      <c r="J42" s="40" t="n">
        <f aca="false">IF(OR(D42="",D42+G42=0),"",D42/(D42+G42))</f>
        <v>0.426504188880427</v>
      </c>
      <c r="K42" s="40" t="n">
        <f aca="false">IF(E42="","",E42/(E42+H42))</f>
        <v>0.452257586972613</v>
      </c>
      <c r="L42" s="69" t="n">
        <f aca="false">IF(OR(K42="",J42=""),"",(J42-K42)*100)</f>
        <v>-2.57533980921864</v>
      </c>
      <c r="M42" s="36" t="n">
        <v>2.38316917418702</v>
      </c>
      <c r="N42" s="36" t="n">
        <v>1.39767937743113</v>
      </c>
      <c r="O42" s="36" t="n">
        <f aca="false">SQRT(M42^2+N42^2)</f>
        <v>2.76278898124549</v>
      </c>
      <c r="P42" s="40" t="n">
        <f aca="false">IF(J42="","",MAX(0,J42-1.96*O42/100))</f>
        <v>0.372353524848015</v>
      </c>
      <c r="Q42" s="40" t="n">
        <f aca="false">IF(J42="","",MIN(1,J42+1.96*O42/100))</f>
        <v>0.480654852912838</v>
      </c>
      <c r="R42" s="32" t="str">
        <f aca="false">IF(L42="","",IF(ABS(L42)&lt;=O42,"Yes","No"))</f>
        <v>Yes</v>
      </c>
      <c r="S42" s="32" t="str">
        <f aca="false">IF(L42="","",IF(ABS(L42)&lt;=1.96*O42,"Yes","No"))</f>
        <v>Yes</v>
      </c>
      <c r="T42" s="59" t="n">
        <f aca="false">IF(D42="","",ROUND(SQRT(((D42+G42)*O42/100)^2+(J42*(D42+G42)*0.05883)^2),0))</f>
        <v>49</v>
      </c>
      <c r="U42" s="32"/>
    </row>
    <row r="43" customFormat="false" ht="15" hidden="false" customHeight="false" outlineLevel="0" collapsed="false">
      <c r="A43" s="32" t="s">
        <v>189</v>
      </c>
      <c r="B43" s="32" t="s">
        <v>208</v>
      </c>
      <c r="C43" s="32" t="s">
        <v>161</v>
      </c>
      <c r="D43" s="59" t="n">
        <v>5403</v>
      </c>
      <c r="E43" s="59" t="n">
        <v>5699</v>
      </c>
      <c r="F43" s="68" t="n">
        <f aca="false">IF(E43="","",D43-E43)</f>
        <v>-296</v>
      </c>
      <c r="G43" s="59" t="n">
        <v>4256</v>
      </c>
      <c r="H43" s="59" t="n">
        <v>4420</v>
      </c>
      <c r="I43" s="68" t="n">
        <f aca="false">IF(H43="","",G43-H43)</f>
        <v>-164</v>
      </c>
      <c r="J43" s="40" t="n">
        <f aca="false">IF(OR(D43="",D43+G43=0),"",D43/(D43+G43))</f>
        <v>0.559374676467543</v>
      </c>
      <c r="K43" s="40" t="n">
        <f aca="false">IF(E43="","",E43/(E43+H43))</f>
        <v>0.563197944460915</v>
      </c>
      <c r="L43" s="69" t="n">
        <f aca="false">IF(OR(K43="",J43=""),"",(J43-K43)*100)</f>
        <v>-0.382326799337185</v>
      </c>
      <c r="M43" s="36" t="n">
        <v>1.79260184981807</v>
      </c>
      <c r="N43" s="36" t="n">
        <v>1.39767937743113</v>
      </c>
      <c r="O43" s="36" t="n">
        <f aca="false">SQRT(M43^2+N43^2)</f>
        <v>2.27308799523191</v>
      </c>
      <c r="P43" s="40" t="n">
        <f aca="false">IF(J43="","",MAX(0,J43-1.96*O43/100))</f>
        <v>0.514822151760998</v>
      </c>
      <c r="Q43" s="40" t="n">
        <f aca="false">IF(J43="","",MIN(1,J43+1.96*O43/100))</f>
        <v>0.603927201174089</v>
      </c>
      <c r="R43" s="32" t="str">
        <f aca="false">IF(L43="","",IF(ABS(L43)&lt;=O43,"Yes","No"))</f>
        <v>Yes</v>
      </c>
      <c r="S43" s="32" t="str">
        <f aca="false">IF(L43="","",IF(ABS(L43)&lt;=1.96*O43,"Yes","No"))</f>
        <v>Yes</v>
      </c>
      <c r="T43" s="59" t="n">
        <f aca="false">IF(D43="","",ROUND(SQRT(((D43+G43)*O43/100)^2+(J43*(D43+G43)*0.04942)^2),0))</f>
        <v>346</v>
      </c>
      <c r="U43" s="32"/>
    </row>
    <row r="44" customFormat="false" ht="15" hidden="false" customHeight="false" outlineLevel="0" collapsed="false">
      <c r="A44" s="32" t="s">
        <v>189</v>
      </c>
      <c r="B44" s="32" t="s">
        <v>209</v>
      </c>
      <c r="C44" s="32" t="s">
        <v>161</v>
      </c>
      <c r="D44" s="59" t="n">
        <v>5948</v>
      </c>
      <c r="E44" s="59" t="n">
        <v>6009</v>
      </c>
      <c r="F44" s="68" t="n">
        <f aca="false">IF(E44="","",D44-E44)</f>
        <v>-61</v>
      </c>
      <c r="G44" s="59" t="n">
        <v>4853</v>
      </c>
      <c r="H44" s="59" t="n">
        <v>5257</v>
      </c>
      <c r="I44" s="68" t="n">
        <f aca="false">IF(H44="","",G44-H44)</f>
        <v>-404</v>
      </c>
      <c r="J44" s="40" t="n">
        <f aca="false">IF(OR(D44="",D44+G44=0),"",D44/(D44+G44))</f>
        <v>0.550689750948986</v>
      </c>
      <c r="K44" s="40" t="n">
        <f aca="false">IF(E44="","",E44/(E44+H44))</f>
        <v>0.533374755902716</v>
      </c>
      <c r="L44" s="69" t="n">
        <f aca="false">IF(OR(K44="",J44=""),"",(J44-K44)*100)</f>
        <v>1.73149950462701</v>
      </c>
      <c r="M44" s="36" t="n">
        <v>1.79260184981807</v>
      </c>
      <c r="N44" s="36" t="n">
        <v>1.39767937743113</v>
      </c>
      <c r="O44" s="36" t="n">
        <f aca="false">SQRT(M44^2+N44^2)</f>
        <v>2.27308799523191</v>
      </c>
      <c r="P44" s="40" t="n">
        <f aca="false">IF(J44="","",MAX(0,J44-1.96*O44/100))</f>
        <v>0.506137226242441</v>
      </c>
      <c r="Q44" s="40" t="n">
        <f aca="false">IF(J44="","",MIN(1,J44+1.96*O44/100))</f>
        <v>0.595242275655532</v>
      </c>
      <c r="R44" s="32" t="str">
        <f aca="false">IF(L44="","",IF(ABS(L44)&lt;=O44,"Yes","No"))</f>
        <v>Yes</v>
      </c>
      <c r="S44" s="32" t="str">
        <f aca="false">IF(L44="","",IF(ABS(L44)&lt;=1.96*O44,"Yes","No"))</f>
        <v>Yes</v>
      </c>
      <c r="T44" s="59" t="n">
        <f aca="false">IF(D44="","",ROUND(SQRT(((D44+G44)*O44/100)^2+(J44*(D44+G44)*0.04942)^2),0))</f>
        <v>383</v>
      </c>
      <c r="U44" s="32"/>
    </row>
    <row r="45" customFormat="false" ht="15" hidden="false" customHeight="false" outlineLevel="0" collapsed="false">
      <c r="A45" s="32" t="s">
        <v>189</v>
      </c>
      <c r="B45" s="32" t="s">
        <v>210</v>
      </c>
      <c r="C45" s="32" t="s">
        <v>161</v>
      </c>
      <c r="D45" s="59" t="n">
        <v>1769</v>
      </c>
      <c r="E45" s="59" t="n">
        <v>2032</v>
      </c>
      <c r="F45" s="68" t="n">
        <f aca="false">IF(E45="","",D45-E45)</f>
        <v>-263</v>
      </c>
      <c r="G45" s="59" t="n">
        <v>2367</v>
      </c>
      <c r="H45" s="59" t="n">
        <v>2450</v>
      </c>
      <c r="I45" s="68" t="n">
        <f aca="false">IF(H45="","",G45-H45)</f>
        <v>-83</v>
      </c>
      <c r="J45" s="40" t="n">
        <f aca="false">IF(OR(D45="",D45+G45=0),"",D45/(D45+G45))</f>
        <v>0.427707930367505</v>
      </c>
      <c r="K45" s="40" t="n">
        <f aca="false">IF(E45="","",E45/(E45+H45))</f>
        <v>0.453369031682285</v>
      </c>
      <c r="L45" s="69" t="n">
        <f aca="false">IF(OR(K45="",J45=""),"",(J45-K45)*100)</f>
        <v>-2.56611013147799</v>
      </c>
      <c r="M45" s="36" t="n">
        <v>1.79260184981807</v>
      </c>
      <c r="N45" s="36" t="n">
        <v>1.39767937743113</v>
      </c>
      <c r="O45" s="36" t="n">
        <f aca="false">SQRT(M45^2+N45^2)</f>
        <v>2.27308799523191</v>
      </c>
      <c r="P45" s="40" t="n">
        <f aca="false">IF(J45="","",MAX(0,J45-1.96*O45/100))</f>
        <v>0.383155405660959</v>
      </c>
      <c r="Q45" s="40" t="n">
        <f aca="false">IF(J45="","",MIN(1,J45+1.96*O45/100))</f>
        <v>0.47226045507405</v>
      </c>
      <c r="R45" s="32" t="str">
        <f aca="false">IF(L45="","",IF(ABS(L45)&lt;=O45,"Yes","No"))</f>
        <v>No</v>
      </c>
      <c r="S45" s="32" t="str">
        <f aca="false">IF(L45="","",IF(ABS(L45)&lt;=1.96*O45,"Yes","No"))</f>
        <v>Yes</v>
      </c>
      <c r="T45" s="59" t="n">
        <f aca="false">IF(D45="","",ROUND(SQRT(((D45+G45)*O45/100)^2+(J45*(D45+G45)*0.04942)^2),0))</f>
        <v>128</v>
      </c>
      <c r="U45" s="32"/>
    </row>
    <row r="46" customFormat="false" ht="15" hidden="false" customHeight="false" outlineLevel="0" collapsed="false">
      <c r="A46" s="32" t="s">
        <v>189</v>
      </c>
      <c r="B46" s="32" t="s">
        <v>211</v>
      </c>
      <c r="C46" s="32" t="s">
        <v>161</v>
      </c>
      <c r="D46" s="59" t="n">
        <v>4008</v>
      </c>
      <c r="E46" s="59" t="n">
        <v>4406</v>
      </c>
      <c r="F46" s="68" t="n">
        <f aca="false">IF(E46="","",D46-E46)</f>
        <v>-398</v>
      </c>
      <c r="G46" s="59" t="n">
        <v>4081</v>
      </c>
      <c r="H46" s="59" t="n">
        <v>4369</v>
      </c>
      <c r="I46" s="68" t="n">
        <f aca="false">IF(H46="","",G46-H46)</f>
        <v>-288</v>
      </c>
      <c r="J46" s="40" t="n">
        <f aca="false">IF(OR(D46="",D46+G46=0),"",D46/(D46+G46))</f>
        <v>0.495487699344789</v>
      </c>
      <c r="K46" s="40" t="n">
        <f aca="false">IF(E46="","",E46/(E46+H46))</f>
        <v>0.502108262108262</v>
      </c>
      <c r="L46" s="69" t="n">
        <f aca="false">IF(OR(K46="",J46=""),"",(J46-K46)*100)</f>
        <v>-0.662056276347289</v>
      </c>
      <c r="M46" s="36" t="n">
        <v>1.79260184981807</v>
      </c>
      <c r="N46" s="36" t="n">
        <v>1.39767937743113</v>
      </c>
      <c r="O46" s="36" t="n">
        <f aca="false">SQRT(M46^2+N46^2)</f>
        <v>2.27308799523191</v>
      </c>
      <c r="P46" s="40" t="n">
        <f aca="false">IF(J46="","",MAX(0,J46-1.96*O46/100))</f>
        <v>0.450935174638244</v>
      </c>
      <c r="Q46" s="40" t="n">
        <f aca="false">IF(J46="","",MIN(1,J46+1.96*O46/100))</f>
        <v>0.540040224051335</v>
      </c>
      <c r="R46" s="32" t="str">
        <f aca="false">IF(L46="","",IF(ABS(L46)&lt;=O46,"Yes","No"))</f>
        <v>Yes</v>
      </c>
      <c r="S46" s="32" t="str">
        <f aca="false">IF(L46="","",IF(ABS(L46)&lt;=1.96*O46,"Yes","No"))</f>
        <v>Yes</v>
      </c>
      <c r="T46" s="59" t="n">
        <f aca="false">IF(D46="","",ROUND(SQRT(((D46+G46)*O46/100)^2+(J46*(D46+G46)*0.04942)^2),0))</f>
        <v>270</v>
      </c>
      <c r="U46" s="32"/>
    </row>
    <row r="47" customFormat="false" ht="15" hidden="false" customHeight="false" outlineLevel="0" collapsed="false">
      <c r="A47" s="32" t="s">
        <v>189</v>
      </c>
      <c r="B47" s="32" t="s">
        <v>212</v>
      </c>
      <c r="C47" s="32" t="s">
        <v>161</v>
      </c>
      <c r="D47" s="59" t="n">
        <v>895</v>
      </c>
      <c r="E47" s="59" t="n">
        <v>1054</v>
      </c>
      <c r="F47" s="68" t="n">
        <f aca="false">IF(E47="","",D47-E47)</f>
        <v>-159</v>
      </c>
      <c r="G47" s="59" t="n">
        <v>1758</v>
      </c>
      <c r="H47" s="59" t="n">
        <v>1952</v>
      </c>
      <c r="I47" s="68" t="n">
        <f aca="false">IF(H47="","",G47-H47)</f>
        <v>-194</v>
      </c>
      <c r="J47" s="40" t="n">
        <f aca="false">IF(OR(D47="",D47+G47=0),"",D47/(D47+G47))</f>
        <v>0.337353938937052</v>
      </c>
      <c r="K47" s="40" t="n">
        <f aca="false">IF(E47="","",E47/(E47+H47))</f>
        <v>0.350632069194943</v>
      </c>
      <c r="L47" s="69" t="n">
        <f aca="false">IF(OR(K47="",J47=""),"",(J47-K47)*100)</f>
        <v>-1.3278130257891</v>
      </c>
      <c r="M47" s="36" t="n">
        <v>1.79260184981807</v>
      </c>
      <c r="N47" s="36" t="n">
        <v>1.39767937743113</v>
      </c>
      <c r="O47" s="36" t="n">
        <f aca="false">SQRT(M47^2+N47^2)</f>
        <v>2.27308799523191</v>
      </c>
      <c r="P47" s="40" t="n">
        <f aca="false">IF(J47="","",MAX(0,J47-1.96*O47/100))</f>
        <v>0.292801414230507</v>
      </c>
      <c r="Q47" s="40" t="n">
        <f aca="false">IF(J47="","",MIN(1,J47+1.96*O47/100))</f>
        <v>0.381906463643598</v>
      </c>
      <c r="R47" s="32" t="str">
        <f aca="false">IF(L47="","",IF(ABS(L47)&lt;=O47,"Yes","No"))</f>
        <v>Yes</v>
      </c>
      <c r="S47" s="32" t="str">
        <f aca="false">IF(L47="","",IF(ABS(L47)&lt;=1.96*O47,"Yes","No"))</f>
        <v>Yes</v>
      </c>
      <c r="T47" s="59" t="n">
        <f aca="false">IF(D47="","",ROUND(SQRT(((D47+G47)*O47/100)^2+(J47*(D47+G47)*0.04942)^2),0))</f>
        <v>75</v>
      </c>
      <c r="U47" s="32"/>
    </row>
    <row r="48" customFormat="false" ht="15" hidden="false" customHeight="false" outlineLevel="0" collapsed="false">
      <c r="A48" s="32" t="s">
        <v>189</v>
      </c>
      <c r="B48" s="32" t="s">
        <v>213</v>
      </c>
      <c r="C48" s="32" t="s">
        <v>161</v>
      </c>
      <c r="D48" s="59" t="n">
        <v>852</v>
      </c>
      <c r="E48" s="59" t="n">
        <v>981</v>
      </c>
      <c r="F48" s="68" t="n">
        <f aca="false">IF(E48="","",D48-E48)</f>
        <v>-129</v>
      </c>
      <c r="G48" s="59" t="n">
        <v>1677</v>
      </c>
      <c r="H48" s="59" t="n">
        <v>1711</v>
      </c>
      <c r="I48" s="68" t="n">
        <f aca="false">IF(H48="","",G48-H48)</f>
        <v>-34</v>
      </c>
      <c r="J48" s="40" t="n">
        <f aca="false">IF(OR(D48="",D48+G48=0),"",D48/(D48+G48))</f>
        <v>0.336892052194543</v>
      </c>
      <c r="K48" s="40" t="n">
        <f aca="false">IF(E48="","",E48/(E48+H48))</f>
        <v>0.364413075780089</v>
      </c>
      <c r="L48" s="69" t="n">
        <f aca="false">IF(OR(K48="",J48=""),"",(J48-K48)*100)</f>
        <v>-2.75210235855458</v>
      </c>
      <c r="M48" s="36" t="n">
        <v>2.38316917418702</v>
      </c>
      <c r="N48" s="36" t="n">
        <v>1.39767937743113</v>
      </c>
      <c r="O48" s="36" t="n">
        <f aca="false">SQRT(M48^2+N48^2)</f>
        <v>2.76278898124549</v>
      </c>
      <c r="P48" s="40" t="n">
        <f aca="false">IF(J48="","",MAX(0,J48-1.96*O48/100))</f>
        <v>0.282741388162132</v>
      </c>
      <c r="Q48" s="40" t="n">
        <f aca="false">IF(J48="","",MIN(1,J48+1.96*O48/100))</f>
        <v>0.391042716226955</v>
      </c>
      <c r="R48" s="32" t="str">
        <f aca="false">IF(L48="","",IF(ABS(L48)&lt;=O48,"Yes","No"))</f>
        <v>Yes</v>
      </c>
      <c r="S48" s="32" t="str">
        <f aca="false">IF(L48="","",IF(ABS(L48)&lt;=1.96*O48,"Yes","No"))</f>
        <v>Yes</v>
      </c>
      <c r="T48" s="59" t="n">
        <f aca="false">IF(D48="","",ROUND(SQRT(((D48+G48)*O48/100)^2+(J48*(D48+G48)*0.05883)^2),0))</f>
        <v>86</v>
      </c>
      <c r="U48" s="32"/>
    </row>
    <row r="49" customFormat="false" ht="15" hidden="false" customHeight="false" outlineLevel="0" collapsed="false">
      <c r="A49" s="32" t="s">
        <v>189</v>
      </c>
      <c r="B49" s="32" t="s">
        <v>214</v>
      </c>
      <c r="C49" s="32" t="s">
        <v>161</v>
      </c>
      <c r="D49" s="59" t="n">
        <v>5529</v>
      </c>
      <c r="E49" s="59" t="n">
        <v>5508</v>
      </c>
      <c r="F49" s="68" t="n">
        <f aca="false">IF(E49="","",D49-E49)</f>
        <v>21</v>
      </c>
      <c r="G49" s="59" t="n">
        <v>4331</v>
      </c>
      <c r="H49" s="59" t="n">
        <v>4784</v>
      </c>
      <c r="I49" s="68" t="n">
        <f aca="false">IF(H49="","",G49-H49)</f>
        <v>-453</v>
      </c>
      <c r="J49" s="40" t="n">
        <f aca="false">IF(OR(D49="",D49+G49=0),"",D49/(D49+G49))</f>
        <v>0.560750507099391</v>
      </c>
      <c r="K49" s="40" t="n">
        <f aca="false">IF(E49="","",E49/(E49+H49))</f>
        <v>0.535172949863972</v>
      </c>
      <c r="L49" s="69" t="n">
        <f aca="false">IF(OR(K49="",J49=""),"",(J49-K49)*100)</f>
        <v>2.55775572354194</v>
      </c>
      <c r="M49" s="36" t="n">
        <v>1.79260184981807</v>
      </c>
      <c r="N49" s="36" t="n">
        <v>1.39767937743113</v>
      </c>
      <c r="O49" s="36" t="n">
        <f aca="false">SQRT(M49^2+N49^2)</f>
        <v>2.27308799523191</v>
      </c>
      <c r="P49" s="40" t="n">
        <f aca="false">IF(J49="","",MAX(0,J49-1.96*O49/100))</f>
        <v>0.516197982392846</v>
      </c>
      <c r="Q49" s="40" t="n">
        <f aca="false">IF(J49="","",MIN(1,J49+1.96*O49/100))</f>
        <v>0.605303031805937</v>
      </c>
      <c r="R49" s="32" t="str">
        <f aca="false">IF(L49="","",IF(ABS(L49)&lt;=O49,"Yes","No"))</f>
        <v>No</v>
      </c>
      <c r="S49" s="32" t="str">
        <f aca="false">IF(L49="","",IF(ABS(L49)&lt;=1.96*O49,"Yes","No"))</f>
        <v>Yes</v>
      </c>
      <c r="T49" s="59" t="n">
        <f aca="false">IF(D49="","",ROUND(SQRT(((D49+G49)*O49/100)^2+(J49*(D49+G49)*0.04942)^2),0))</f>
        <v>353</v>
      </c>
      <c r="U49" s="32"/>
    </row>
    <row r="50" customFormat="false" ht="15" hidden="false" customHeight="false" outlineLevel="0" collapsed="false">
      <c r="A50" s="32" t="s">
        <v>215</v>
      </c>
      <c r="B50" s="32" t="s">
        <v>216</v>
      </c>
      <c r="C50" s="32" t="s">
        <v>161</v>
      </c>
      <c r="D50" s="59" t="n">
        <v>368</v>
      </c>
      <c r="E50" s="59" t="n">
        <v>361</v>
      </c>
      <c r="F50" s="68" t="n">
        <f aca="false">IF(E50="","",D50-E50)</f>
        <v>7</v>
      </c>
      <c r="G50" s="59" t="n">
        <v>680</v>
      </c>
      <c r="H50" s="59" t="n">
        <v>824</v>
      </c>
      <c r="I50" s="68" t="n">
        <f aca="false">IF(H50="","",G50-H50)</f>
        <v>-144</v>
      </c>
      <c r="J50" s="40" t="n">
        <f aca="false">IF(OR(D50="",D50+G50=0),"",D50/(D50+G50))</f>
        <v>0.351145038167939</v>
      </c>
      <c r="K50" s="40" t="n">
        <f aca="false">IF(E50="","",E50/(E50+H50))</f>
        <v>0.30464135021097</v>
      </c>
      <c r="L50" s="69" t="n">
        <f aca="false">IF(OR(K50="",J50=""),"",(J50-K50)*100)</f>
        <v>4.65036879569685</v>
      </c>
      <c r="M50" s="36" t="n">
        <v>3.70004258347493</v>
      </c>
      <c r="N50" s="36" t="n">
        <v>1.39767937743113</v>
      </c>
      <c r="O50" s="36" t="n">
        <f aca="false">SQRT(M50^2+N50^2)</f>
        <v>3.9552272705401</v>
      </c>
      <c r="P50" s="40" t="n">
        <f aca="false">IF(J50="","",MAX(0,J50-1.96*O50/100))</f>
        <v>0.273622583665353</v>
      </c>
      <c r="Q50" s="40" t="n">
        <f aca="false">IF(J50="","",MIN(1,J50+1.96*O50/100))</f>
        <v>0.428667492670525</v>
      </c>
      <c r="R50" s="32" t="str">
        <f aca="false">IF(L50="","",IF(ABS(L50)&lt;=O50,"Yes","No"))</f>
        <v>No</v>
      </c>
      <c r="S50" s="32" t="str">
        <f aca="false">IF(L50="","",IF(ABS(L50)&lt;=1.96*O50,"Yes","No"))</f>
        <v>Yes</v>
      </c>
      <c r="T50" s="59" t="n">
        <f aca="false">IF(D50="","",ROUND(SQRT(((D50+G50)*O50/100)^2+(J50*(D50+G50)*0.07872)^2),0))</f>
        <v>51</v>
      </c>
      <c r="U50" s="32"/>
    </row>
    <row r="51" customFormat="false" ht="15" hidden="false" customHeight="false" outlineLevel="0" collapsed="false">
      <c r="A51" s="32" t="s">
        <v>215</v>
      </c>
      <c r="B51" s="32" t="s">
        <v>218</v>
      </c>
      <c r="C51" s="32" t="s">
        <v>161</v>
      </c>
      <c r="D51" s="59" t="n">
        <v>1023</v>
      </c>
      <c r="E51" s="59" t="n">
        <v>1021</v>
      </c>
      <c r="F51" s="68" t="n">
        <f aca="false">IF(E51="","",D51-E51)</f>
        <v>2</v>
      </c>
      <c r="G51" s="59" t="n">
        <v>1765</v>
      </c>
      <c r="H51" s="59" t="n">
        <v>1984</v>
      </c>
      <c r="I51" s="68" t="n">
        <f aca="false">IF(H51="","",G51-H51)</f>
        <v>-219</v>
      </c>
      <c r="J51" s="40" t="n">
        <f aca="false">IF(OR(D51="",D51+G51=0),"",D51/(D51+G51))</f>
        <v>0.366929698708752</v>
      </c>
      <c r="K51" s="40" t="n">
        <f aca="false">IF(E51="","",E51/(E51+H51))</f>
        <v>0.339767054908486</v>
      </c>
      <c r="L51" s="69" t="n">
        <f aca="false">IF(OR(K51="",J51=""),"",(J51-K51)*100)</f>
        <v>2.7162643800266</v>
      </c>
      <c r="M51" s="36" t="n">
        <v>1.79260184981807</v>
      </c>
      <c r="N51" s="36" t="n">
        <v>1.39767937743113</v>
      </c>
      <c r="O51" s="36" t="n">
        <f aca="false">SQRT(M51^2+N51^2)</f>
        <v>2.27308799523191</v>
      </c>
      <c r="P51" s="40" t="n">
        <f aca="false">IF(J51="","",MAX(0,J51-1.96*O51/100))</f>
        <v>0.322377174002206</v>
      </c>
      <c r="Q51" s="40" t="n">
        <f aca="false">IF(J51="","",MIN(1,J51+1.96*O51/100))</f>
        <v>0.411482223415297</v>
      </c>
      <c r="R51" s="32" t="str">
        <f aca="false">IF(L51="","",IF(ABS(L51)&lt;=O51,"Yes","No"))</f>
        <v>No</v>
      </c>
      <c r="S51" s="32" t="str">
        <f aca="false">IF(L51="","",IF(ABS(L51)&lt;=1.96*O51,"Yes","No"))</f>
        <v>Yes</v>
      </c>
      <c r="T51" s="59" t="n">
        <f aca="false">IF(D51="","",ROUND(SQRT(((D51+G51)*O51/100)^2+(J51*(D51+G51)*0.04942)^2),0))</f>
        <v>81</v>
      </c>
      <c r="U51" s="32"/>
    </row>
    <row r="52" customFormat="false" ht="15" hidden="false" customHeight="false" outlineLevel="0" collapsed="false">
      <c r="A52" s="32" t="s">
        <v>215</v>
      </c>
      <c r="B52" s="32" t="s">
        <v>219</v>
      </c>
      <c r="C52" s="32" t="s">
        <v>161</v>
      </c>
      <c r="D52" s="59" t="n">
        <v>337</v>
      </c>
      <c r="E52" s="59" t="n">
        <v>380</v>
      </c>
      <c r="F52" s="68" t="n">
        <f aca="false">IF(E52="","",D52-E52)</f>
        <v>-43</v>
      </c>
      <c r="G52" s="59" t="n">
        <v>527</v>
      </c>
      <c r="H52" s="59" t="n">
        <v>732</v>
      </c>
      <c r="I52" s="68" t="n">
        <f aca="false">IF(H52="","",G52-H52)</f>
        <v>-205</v>
      </c>
      <c r="J52" s="40" t="n">
        <f aca="false">IF(OR(D52="",D52+G52=0),"",D52/(D52+G52))</f>
        <v>0.390046296296296</v>
      </c>
      <c r="K52" s="40" t="n">
        <f aca="false">IF(E52="","",E52/(E52+H52))</f>
        <v>0.341726618705036</v>
      </c>
      <c r="L52" s="69" t="n">
        <f aca="false">IF(OR(K52="",J52=""),"",(J52-K52)*100)</f>
        <v>4.83196775912603</v>
      </c>
      <c r="M52" s="36" t="n">
        <v>3.70004258347493</v>
      </c>
      <c r="N52" s="36" t="n">
        <v>1.39767937743113</v>
      </c>
      <c r="O52" s="36" t="n">
        <f aca="false">SQRT(M52^2+N52^2)</f>
        <v>3.9552272705401</v>
      </c>
      <c r="P52" s="40" t="n">
        <f aca="false">IF(J52="","",MAX(0,J52-1.96*O52/100))</f>
        <v>0.31252384179371</v>
      </c>
      <c r="Q52" s="40" t="n">
        <f aca="false">IF(J52="","",MIN(1,J52+1.96*O52/100))</f>
        <v>0.467568750798882</v>
      </c>
      <c r="R52" s="32" t="str">
        <f aca="false">IF(L52="","",IF(ABS(L52)&lt;=O52,"Yes","No"))</f>
        <v>No</v>
      </c>
      <c r="S52" s="32" t="str">
        <f aca="false">IF(L52="","",IF(ABS(L52)&lt;=1.96*O52,"Yes","No"))</f>
        <v>Yes</v>
      </c>
      <c r="T52" s="59" t="n">
        <f aca="false">IF(D52="","",ROUND(SQRT(((D52+G52)*O52/100)^2+(J52*(D52+G52)*0.07872)^2),0))</f>
        <v>43</v>
      </c>
      <c r="U52" s="32"/>
    </row>
    <row r="53" customFormat="false" ht="15" hidden="false" customHeight="false" outlineLevel="0" collapsed="false">
      <c r="A53" s="32" t="s">
        <v>220</v>
      </c>
      <c r="B53" s="32" t="s">
        <v>221</v>
      </c>
      <c r="C53" s="32" t="s">
        <v>161</v>
      </c>
      <c r="D53" s="59" t="n">
        <v>1023</v>
      </c>
      <c r="E53" s="59" t="n">
        <v>1174</v>
      </c>
      <c r="F53" s="68" t="n">
        <f aca="false">IF(E53="","",D53-E53)</f>
        <v>-151</v>
      </c>
      <c r="G53" s="59" t="n">
        <v>1324</v>
      </c>
      <c r="H53" s="59" t="n">
        <v>1426</v>
      </c>
      <c r="I53" s="68" t="n">
        <f aca="false">IF(H53="","",G53-H53)</f>
        <v>-102</v>
      </c>
      <c r="J53" s="40" t="n">
        <f aca="false">IF(OR(D53="",D53+G53=0),"",D53/(D53+G53))</f>
        <v>0.435875585854282</v>
      </c>
      <c r="K53" s="40" t="n">
        <f aca="false">IF(E53="","",E53/(E53+H53))</f>
        <v>0.451538461538462</v>
      </c>
      <c r="L53" s="69" t="n">
        <f aca="false">IF(OR(K53="",J53=""),"",(J53-K53)*100)</f>
        <v>-1.56628756841795</v>
      </c>
      <c r="M53" s="36" t="n">
        <v>2.38316917418702</v>
      </c>
      <c r="N53" s="36" t="n">
        <v>1.39767937743113</v>
      </c>
      <c r="O53" s="36" t="n">
        <f aca="false">SQRT(M53^2+N53^2)</f>
        <v>2.76278898124549</v>
      </c>
      <c r="P53" s="40" t="n">
        <f aca="false">IF(J53="","",MAX(0,J53-1.96*O53/100))</f>
        <v>0.38172492182187</v>
      </c>
      <c r="Q53" s="40" t="n">
        <f aca="false">IF(J53="","",MIN(1,J53+1.96*O53/100))</f>
        <v>0.490026249886694</v>
      </c>
      <c r="R53" s="32" t="str">
        <f aca="false">IF(L53="","",IF(ABS(L53)&lt;=O53,"Yes","No"))</f>
        <v>Yes</v>
      </c>
      <c r="S53" s="32" t="str">
        <f aca="false">IF(L53="","",IF(ABS(L53)&lt;=1.96*O53,"Yes","No"))</f>
        <v>Yes</v>
      </c>
      <c r="T53" s="59" t="n">
        <f aca="false">IF(D53="","",ROUND(SQRT(((D53+G53)*O53/100)^2+(J53*(D53+G53)*0.05883)^2),0))</f>
        <v>88</v>
      </c>
      <c r="U53" s="32"/>
    </row>
    <row r="54" customFormat="false" ht="15" hidden="false" customHeight="false" outlineLevel="0" collapsed="false">
      <c r="A54" s="32" t="s">
        <v>220</v>
      </c>
      <c r="B54" s="32" t="s">
        <v>222</v>
      </c>
      <c r="C54" s="32" t="s">
        <v>161</v>
      </c>
      <c r="D54" s="59" t="n">
        <v>679</v>
      </c>
      <c r="E54" s="59" t="n">
        <v>729</v>
      </c>
      <c r="F54" s="68" t="n">
        <f aca="false">IF(E54="","",D54-E54)</f>
        <v>-50</v>
      </c>
      <c r="G54" s="59" t="n">
        <v>895</v>
      </c>
      <c r="H54" s="59" t="n">
        <v>928</v>
      </c>
      <c r="I54" s="68" t="n">
        <f aca="false">IF(H54="","",G54-H54)</f>
        <v>-33</v>
      </c>
      <c r="J54" s="40" t="n">
        <f aca="false">IF(OR(D54="",D54+G54=0),"",D54/(D54+G54))</f>
        <v>0.43138500635324</v>
      </c>
      <c r="K54" s="40" t="n">
        <f aca="false">IF(E54="","",E54/(E54+H54))</f>
        <v>0.43995171997586</v>
      </c>
      <c r="L54" s="69" t="n">
        <f aca="false">IF(OR(K54="",J54=""),"",(J54-K54)*100)</f>
        <v>-0.856671362261979</v>
      </c>
      <c r="M54" s="36" t="n">
        <v>2.38316917418702</v>
      </c>
      <c r="N54" s="36" t="n">
        <v>1.39767937743113</v>
      </c>
      <c r="O54" s="36" t="n">
        <f aca="false">SQRT(M54^2+N54^2)</f>
        <v>2.76278898124549</v>
      </c>
      <c r="P54" s="40" t="n">
        <f aca="false">IF(J54="","",MAX(0,J54-1.96*O54/100))</f>
        <v>0.377234342320829</v>
      </c>
      <c r="Q54" s="40" t="n">
        <f aca="false">IF(J54="","",MIN(1,J54+1.96*O54/100))</f>
        <v>0.485535670385652</v>
      </c>
      <c r="R54" s="32" t="str">
        <f aca="false">IF(L54="","",IF(ABS(L54)&lt;=O54,"Yes","No"))</f>
        <v>Yes</v>
      </c>
      <c r="S54" s="32" t="str">
        <f aca="false">IF(L54="","",IF(ABS(L54)&lt;=1.96*O54,"Yes","No"))</f>
        <v>Yes</v>
      </c>
      <c r="T54" s="59" t="n">
        <f aca="false">IF(D54="","",ROUND(SQRT(((D54+G54)*O54/100)^2+(J54*(D54+G54)*0.05883)^2),0))</f>
        <v>59</v>
      </c>
      <c r="U54" s="32"/>
    </row>
    <row r="55" customFormat="false" ht="15" hidden="false" customHeight="false" outlineLevel="0" collapsed="false">
      <c r="A55" s="32" t="s">
        <v>220</v>
      </c>
      <c r="B55" s="32" t="s">
        <v>223</v>
      </c>
      <c r="C55" s="32" t="s">
        <v>161</v>
      </c>
      <c r="D55" s="59" t="n">
        <v>433</v>
      </c>
      <c r="E55" s="59" t="n">
        <v>441</v>
      </c>
      <c r="F55" s="68" t="n">
        <f aca="false">IF(E55="","",D55-E55)</f>
        <v>-8</v>
      </c>
      <c r="G55" s="59" t="n">
        <v>441</v>
      </c>
      <c r="H55" s="59" t="n">
        <v>513</v>
      </c>
      <c r="I55" s="68" t="n">
        <f aca="false">IF(H55="","",G55-H55)</f>
        <v>-72</v>
      </c>
      <c r="J55" s="40" t="n">
        <f aca="false">IF(OR(D55="",D55+G55=0),"",D55/(D55+G55))</f>
        <v>0.495423340961098</v>
      </c>
      <c r="K55" s="40" t="n">
        <f aca="false">IF(E55="","",E55/(E55+H55))</f>
        <v>0.462264150943396</v>
      </c>
      <c r="L55" s="69" t="n">
        <f aca="false">IF(OR(K55="",J55=""),"",(J55-K55)*100)</f>
        <v>3.31591900177022</v>
      </c>
      <c r="M55" s="36" t="n">
        <v>3.70004258347493</v>
      </c>
      <c r="N55" s="36" t="n">
        <v>1.39767937743113</v>
      </c>
      <c r="O55" s="36" t="n">
        <f aca="false">SQRT(M55^2+N55^2)</f>
        <v>3.9552272705401</v>
      </c>
      <c r="P55" s="40" t="n">
        <f aca="false">IF(J55="","",MAX(0,J55-1.96*O55/100))</f>
        <v>0.417900886458513</v>
      </c>
      <c r="Q55" s="40" t="n">
        <f aca="false">IF(J55="","",MIN(1,J55+1.96*O55/100))</f>
        <v>0.572945795463684</v>
      </c>
      <c r="R55" s="32" t="str">
        <f aca="false">IF(L55="","",IF(ABS(L55)&lt;=O55,"Yes","No"))</f>
        <v>Yes</v>
      </c>
      <c r="S55" s="32" t="str">
        <f aca="false">IF(L55="","",IF(ABS(L55)&lt;=1.96*O55,"Yes","No"))</f>
        <v>Yes</v>
      </c>
      <c r="T55" s="59" t="n">
        <f aca="false">IF(D55="","",ROUND(SQRT(((D55+G55)*O55/100)^2+(J55*(D55+G55)*0.07872)^2),0))</f>
        <v>49</v>
      </c>
      <c r="U55" s="32"/>
    </row>
    <row r="56" customFormat="false" ht="15" hidden="false" customHeight="false" outlineLevel="0" collapsed="false">
      <c r="A56" s="32" t="s">
        <v>220</v>
      </c>
      <c r="B56" s="32" t="s">
        <v>192</v>
      </c>
      <c r="C56" s="32" t="s">
        <v>161</v>
      </c>
      <c r="D56" s="59" t="n">
        <v>12103</v>
      </c>
      <c r="E56" s="59" t="n">
        <v>12402</v>
      </c>
      <c r="F56" s="68" t="n">
        <f aca="false">IF(E56="","",D56-E56)</f>
        <v>-299</v>
      </c>
      <c r="G56" s="59" t="n">
        <v>5565</v>
      </c>
      <c r="H56" s="59" t="n">
        <v>5692</v>
      </c>
      <c r="I56" s="68" t="n">
        <f aca="false">IF(H56="","",G56-H56)</f>
        <v>-127</v>
      </c>
      <c r="J56" s="40" t="n">
        <f aca="false">IF(OR(D56="",D56+G56=0),"",D56/(D56+G56))</f>
        <v>0.685023771790808</v>
      </c>
      <c r="K56" s="40" t="n">
        <f aca="false">IF(E56="","",E56/(E56+H56))</f>
        <v>0.685420581408202</v>
      </c>
      <c r="L56" s="69" t="n">
        <f aca="false">IF(OR(K56="",J56=""),"",(J56-K56)*100)</f>
        <v>-0.0396809617393412</v>
      </c>
      <c r="M56" s="36" t="n">
        <v>1.79260184981807</v>
      </c>
      <c r="N56" s="36" t="n">
        <v>1.39767937743113</v>
      </c>
      <c r="O56" s="36" t="n">
        <f aca="false">SQRT(M56^2+N56^2)</f>
        <v>2.27308799523191</v>
      </c>
      <c r="P56" s="40" t="n">
        <f aca="false">IF(J56="","",MAX(0,J56-1.96*O56/100))</f>
        <v>0.640471247084263</v>
      </c>
      <c r="Q56" s="40" t="n">
        <f aca="false">IF(J56="","",MIN(1,J56+1.96*O56/100))</f>
        <v>0.729576296497354</v>
      </c>
      <c r="R56" s="32" t="str">
        <f aca="false">IF(L56="","",IF(ABS(L56)&lt;=O56,"Yes","No"))</f>
        <v>Yes</v>
      </c>
      <c r="S56" s="32" t="str">
        <f aca="false">IF(L56="","",IF(ABS(L56)&lt;=1.96*O56,"Yes","No"))</f>
        <v>Yes</v>
      </c>
      <c r="T56" s="59" t="n">
        <f aca="false">IF(D56="","",ROUND(SQRT(((D56+G56)*O56/100)^2+(J56*(D56+G56)*0.04942)^2),0))</f>
        <v>720</v>
      </c>
      <c r="U56" s="32"/>
    </row>
    <row r="57" customFormat="false" ht="15" hidden="false" customHeight="false" outlineLevel="0" collapsed="false">
      <c r="A57" s="32" t="s">
        <v>220</v>
      </c>
      <c r="B57" s="32" t="s">
        <v>224</v>
      </c>
      <c r="C57" s="32" t="s">
        <v>161</v>
      </c>
      <c r="D57" s="59" t="n">
        <v>6244</v>
      </c>
      <c r="E57" s="59" t="n">
        <v>6681</v>
      </c>
      <c r="F57" s="68" t="n">
        <f aca="false">IF(E57="","",D57-E57)</f>
        <v>-437</v>
      </c>
      <c r="G57" s="59" t="n">
        <v>4957</v>
      </c>
      <c r="H57" s="59" t="n">
        <v>5562</v>
      </c>
      <c r="I57" s="68" t="n">
        <f aca="false">IF(H57="","",G57-H57)</f>
        <v>-605</v>
      </c>
      <c r="J57" s="40" t="n">
        <f aca="false">IF(OR(D57="",D57+G57=0),"",D57/(D57+G57))</f>
        <v>0.557450227658245</v>
      </c>
      <c r="K57" s="40" t="n">
        <f aca="false">IF(E57="","",E57/(E57+H57))</f>
        <v>0.545699583435433</v>
      </c>
      <c r="L57" s="69" t="n">
        <f aca="false">IF(OR(K57="",J57=""),"",(J57-K57)*100)</f>
        <v>1.17506442228124</v>
      </c>
      <c r="M57" s="36" t="n">
        <v>1.79260184981807</v>
      </c>
      <c r="N57" s="36" t="n">
        <v>1.39767937743113</v>
      </c>
      <c r="O57" s="36" t="n">
        <f aca="false">SQRT(M57^2+N57^2)</f>
        <v>2.27308799523191</v>
      </c>
      <c r="P57" s="40" t="n">
        <f aca="false">IF(J57="","",MAX(0,J57-1.96*O57/100))</f>
        <v>0.5128977029517</v>
      </c>
      <c r="Q57" s="40" t="n">
        <f aca="false">IF(J57="","",MIN(1,J57+1.96*O57/100))</f>
        <v>0.60200275236479</v>
      </c>
      <c r="R57" s="32" t="str">
        <f aca="false">IF(L57="","",IF(ABS(L57)&lt;=O57,"Yes","No"))</f>
        <v>Yes</v>
      </c>
      <c r="S57" s="32" t="str">
        <f aca="false">IF(L57="","",IF(ABS(L57)&lt;=1.96*O57,"Yes","No"))</f>
        <v>Yes</v>
      </c>
      <c r="T57" s="59" t="n">
        <f aca="false">IF(D57="","",ROUND(SQRT(((D57+G57)*O57/100)^2+(J57*(D57+G57)*0.04942)^2),0))</f>
        <v>400</v>
      </c>
      <c r="U57" s="32"/>
    </row>
    <row r="58" customFormat="false" ht="15" hidden="false" customHeight="false" outlineLevel="0" collapsed="false">
      <c r="A58" s="32" t="s">
        <v>220</v>
      </c>
      <c r="B58" s="32" t="s">
        <v>225</v>
      </c>
      <c r="C58" s="32" t="s">
        <v>161</v>
      </c>
      <c r="D58" s="59" t="n">
        <v>1501</v>
      </c>
      <c r="E58" s="59" t="n">
        <v>1737</v>
      </c>
      <c r="F58" s="68" t="n">
        <f aca="false">IF(E58="","",D58-E58)</f>
        <v>-236</v>
      </c>
      <c r="G58" s="59" t="n">
        <v>2341</v>
      </c>
      <c r="H58" s="59" t="n">
        <v>2662</v>
      </c>
      <c r="I58" s="68" t="n">
        <f aca="false">IF(H58="","",G58-H58)</f>
        <v>-321</v>
      </c>
      <c r="J58" s="40" t="n">
        <f aca="false">IF(OR(D58="",D58+G58=0),"",D58/(D58+G58))</f>
        <v>0.390681936491411</v>
      </c>
      <c r="K58" s="40" t="n">
        <f aca="false">IF(E58="","",E58/(E58+H58))</f>
        <v>0.394862468742896</v>
      </c>
      <c r="L58" s="69" t="n">
        <f aca="false">IF(OR(K58="",J58=""),"",(J58-K58)*100)</f>
        <v>-0.41805322514854</v>
      </c>
      <c r="M58" s="36" t="n">
        <v>1.79260184981807</v>
      </c>
      <c r="N58" s="36" t="n">
        <v>1.39767937743113</v>
      </c>
      <c r="O58" s="36" t="n">
        <f aca="false">SQRT(M58^2+N58^2)</f>
        <v>2.27308799523191</v>
      </c>
      <c r="P58" s="40" t="n">
        <f aca="false">IF(J58="","",MAX(0,J58-1.96*O58/100))</f>
        <v>0.346129411784865</v>
      </c>
      <c r="Q58" s="40" t="n">
        <f aca="false">IF(J58="","",MIN(1,J58+1.96*O58/100))</f>
        <v>0.435234461197956</v>
      </c>
      <c r="R58" s="32" t="str">
        <f aca="false">IF(L58="","",IF(ABS(L58)&lt;=O58,"Yes","No"))</f>
        <v>Yes</v>
      </c>
      <c r="S58" s="32" t="str">
        <f aca="false">IF(L58="","",IF(ABS(L58)&lt;=1.96*O58,"Yes","No"))</f>
        <v>Yes</v>
      </c>
      <c r="T58" s="59" t="n">
        <f aca="false">IF(D58="","",ROUND(SQRT(((D58+G58)*O58/100)^2+(J58*(D58+G58)*0.04942)^2),0))</f>
        <v>115</v>
      </c>
      <c r="U58" s="32"/>
    </row>
    <row r="59" customFormat="false" ht="15" hidden="false" customHeight="false" outlineLevel="0" collapsed="false">
      <c r="A59" s="32" t="s">
        <v>220</v>
      </c>
      <c r="B59" s="32" t="s">
        <v>226</v>
      </c>
      <c r="C59" s="32" t="s">
        <v>161</v>
      </c>
      <c r="D59" s="59" t="n">
        <v>25</v>
      </c>
      <c r="E59" s="59" t="n">
        <v>31</v>
      </c>
      <c r="F59" s="68" t="n">
        <f aca="false">IF(E59="","",D59-E59)</f>
        <v>-6</v>
      </c>
      <c r="G59" s="59" t="n">
        <v>43</v>
      </c>
      <c r="H59" s="59" t="n">
        <v>55</v>
      </c>
      <c r="I59" s="68" t="n">
        <f aca="false">IF(H59="","",G59-H59)</f>
        <v>-12</v>
      </c>
      <c r="J59" s="40" t="n">
        <f aca="false">IF(OR(D59="",D59+G59=0),"",D59/(D59+G59))</f>
        <v>0.367647058823529</v>
      </c>
      <c r="K59" s="40" t="n">
        <f aca="false">IF(E59="","",E59/(E59+H59))</f>
        <v>0.36046511627907</v>
      </c>
      <c r="L59" s="69" t="n">
        <f aca="false">IF(OR(K59="",J59=""),"",(J59-K59)*100)</f>
        <v>0.71819425444597</v>
      </c>
      <c r="M59" s="36" t="n">
        <v>3.70004258347493</v>
      </c>
      <c r="N59" s="36" t="n">
        <v>1.39767937743113</v>
      </c>
      <c r="O59" s="36" t="n">
        <f aca="false">SQRT(M59^2+N59^2)</f>
        <v>3.9552272705401</v>
      </c>
      <c r="P59" s="40" t="n">
        <f aca="false">IF(J59="","",MAX(0,J59-1.96*O59/100))</f>
        <v>0.290124604320944</v>
      </c>
      <c r="Q59" s="40" t="n">
        <f aca="false">IF(J59="","",MIN(1,J59+1.96*O59/100))</f>
        <v>0.445169513326115</v>
      </c>
      <c r="R59" s="32" t="str">
        <f aca="false">IF(L59="","",IF(ABS(L59)&lt;=O59,"Yes","No"))</f>
        <v>Yes</v>
      </c>
      <c r="S59" s="32" t="str">
        <f aca="false">IF(L59="","",IF(ABS(L59)&lt;=1.96*O59,"Yes","No"))</f>
        <v>Yes</v>
      </c>
      <c r="T59" s="59" t="n">
        <f aca="false">IF(D59="","",ROUND(SQRT(((D59+G59)*O59/100)^2+(J59*(D59+G59)*0.07872)^2),0))</f>
        <v>3</v>
      </c>
      <c r="U59" s="32"/>
    </row>
    <row r="60" customFormat="false" ht="15" hidden="false" customHeight="false" outlineLevel="0" collapsed="false">
      <c r="A60" s="32" t="s">
        <v>220</v>
      </c>
      <c r="B60" s="32" t="s">
        <v>227</v>
      </c>
      <c r="C60" s="32" t="s">
        <v>161</v>
      </c>
      <c r="D60" s="59" t="n">
        <v>951</v>
      </c>
      <c r="E60" s="59" t="n">
        <v>1109</v>
      </c>
      <c r="F60" s="68" t="n">
        <f aca="false">IF(E60="","",D60-E60)</f>
        <v>-158</v>
      </c>
      <c r="G60" s="59" t="n">
        <v>1312</v>
      </c>
      <c r="H60" s="59" t="n">
        <v>1408</v>
      </c>
      <c r="I60" s="68" t="n">
        <f aca="false">IF(H60="","",G60-H60)</f>
        <v>-96</v>
      </c>
      <c r="J60" s="40" t="n">
        <f aca="false">IF(OR(D60="",D60+G60=0),"",D60/(D60+G60))</f>
        <v>0.42023862129916</v>
      </c>
      <c r="K60" s="40" t="n">
        <f aca="false">IF(E60="","",E60/(E60+H60))</f>
        <v>0.440603893524037</v>
      </c>
      <c r="L60" s="69" t="n">
        <f aca="false">IF(OR(K60="",J60=""),"",(J60-K60)*100)</f>
        <v>-2.03652722248762</v>
      </c>
      <c r="M60" s="36" t="n">
        <v>2.38316917418702</v>
      </c>
      <c r="N60" s="36" t="n">
        <v>1.39767937743113</v>
      </c>
      <c r="O60" s="36" t="n">
        <f aca="false">SQRT(M60^2+N60^2)</f>
        <v>2.76278898124549</v>
      </c>
      <c r="P60" s="40" t="n">
        <f aca="false">IF(J60="","",MAX(0,J60-1.96*O60/100))</f>
        <v>0.366087957266749</v>
      </c>
      <c r="Q60" s="40" t="n">
        <f aca="false">IF(J60="","",MIN(1,J60+1.96*O60/100))</f>
        <v>0.474389285331572</v>
      </c>
      <c r="R60" s="32" t="str">
        <f aca="false">IF(L60="","",IF(ABS(L60)&lt;=O60,"Yes","No"))</f>
        <v>Yes</v>
      </c>
      <c r="S60" s="32" t="str">
        <f aca="false">IF(L60="","",IF(ABS(L60)&lt;=1.96*O60,"Yes","No"))</f>
        <v>Yes</v>
      </c>
      <c r="T60" s="59" t="n">
        <f aca="false">IF(D60="","",ROUND(SQRT(((D60+G60)*O60/100)^2+(J60*(D60+G60)*0.05883)^2),0))</f>
        <v>84</v>
      </c>
      <c r="U60" s="32"/>
    </row>
    <row r="61" customFormat="false" ht="15" hidden="false" customHeight="false" outlineLevel="0" collapsed="false">
      <c r="A61" s="32" t="s">
        <v>220</v>
      </c>
      <c r="B61" s="32" t="s">
        <v>228</v>
      </c>
      <c r="C61" s="32" t="s">
        <v>161</v>
      </c>
      <c r="D61" s="59" t="n">
        <v>129</v>
      </c>
      <c r="E61" s="59" t="n">
        <v>137</v>
      </c>
      <c r="F61" s="68" t="n">
        <f aca="false">IF(E61="","",D61-E61)</f>
        <v>-8</v>
      </c>
      <c r="G61" s="59" t="n">
        <v>219</v>
      </c>
      <c r="H61" s="59" t="n">
        <v>214</v>
      </c>
      <c r="I61" s="68" t="n">
        <f aca="false">IF(H61="","",G61-H61)</f>
        <v>5</v>
      </c>
      <c r="J61" s="40" t="n">
        <f aca="false">IF(OR(D61="",D61+G61=0),"",D61/(D61+G61))</f>
        <v>0.370689655172414</v>
      </c>
      <c r="K61" s="40" t="n">
        <f aca="false">IF(E61="","",E61/(E61+H61))</f>
        <v>0.39031339031339</v>
      </c>
      <c r="L61" s="69" t="n">
        <f aca="false">IF(OR(K61="",J61=""),"",(J61-K61)*100)</f>
        <v>-1.96237351409765</v>
      </c>
      <c r="M61" s="36" t="n">
        <v>3.70004258347493</v>
      </c>
      <c r="N61" s="36" t="n">
        <v>1.39767937743113</v>
      </c>
      <c r="O61" s="36" t="n">
        <f aca="false">SQRT(M61^2+N61^2)</f>
        <v>3.9552272705401</v>
      </c>
      <c r="P61" s="40" t="n">
        <f aca="false">IF(J61="","",MAX(0,J61-1.96*O61/100))</f>
        <v>0.293167200669828</v>
      </c>
      <c r="Q61" s="40" t="n">
        <f aca="false">IF(J61="","",MIN(1,J61+1.96*O61/100))</f>
        <v>0.448212109675</v>
      </c>
      <c r="R61" s="32" t="str">
        <f aca="false">IF(L61="","",IF(ABS(L61)&lt;=O61,"Yes","No"))</f>
        <v>Yes</v>
      </c>
      <c r="S61" s="32" t="str">
        <f aca="false">IF(L61="","",IF(ABS(L61)&lt;=1.96*O61,"Yes","No"))</f>
        <v>Yes</v>
      </c>
      <c r="T61" s="59" t="n">
        <f aca="false">IF(D61="","",ROUND(SQRT(((D61+G61)*O61/100)^2+(J61*(D61+G61)*0.07872)^2),0))</f>
        <v>17</v>
      </c>
      <c r="U61" s="32"/>
    </row>
    <row r="62" customFormat="false" ht="15" hidden="false" customHeight="false" outlineLevel="0" collapsed="false">
      <c r="A62" s="32" t="s">
        <v>220</v>
      </c>
      <c r="B62" s="32" t="s">
        <v>229</v>
      </c>
      <c r="C62" s="32" t="s">
        <v>161</v>
      </c>
      <c r="D62" s="59" t="n">
        <v>4763</v>
      </c>
      <c r="E62" s="59" t="n">
        <v>5210</v>
      </c>
      <c r="F62" s="68" t="n">
        <f aca="false">IF(E62="","",D62-E62)</f>
        <v>-447</v>
      </c>
      <c r="G62" s="59" t="n">
        <v>2187</v>
      </c>
      <c r="H62" s="59" t="n">
        <v>1883</v>
      </c>
      <c r="I62" s="68" t="n">
        <f aca="false">IF(H62="","",G62-H62)</f>
        <v>304</v>
      </c>
      <c r="J62" s="40" t="n">
        <f aca="false">IF(OR(D62="",D62+G62=0),"",D62/(D62+G62))</f>
        <v>0.685323741007194</v>
      </c>
      <c r="K62" s="40" t="n">
        <f aca="false">IF(E62="","",E62/(E62+H62))</f>
        <v>0.734526998449175</v>
      </c>
      <c r="L62" s="69" t="n">
        <f aca="false">IF(OR(K62="",J62=""),"",(J62-K62)*100)</f>
        <v>-4.9203257441981</v>
      </c>
      <c r="M62" s="36" t="n">
        <v>1.79260184981807</v>
      </c>
      <c r="N62" s="36" t="n">
        <v>1.39767937743113</v>
      </c>
      <c r="O62" s="36" t="n">
        <f aca="false">SQRT(M62^2+N62^2)</f>
        <v>2.27308799523191</v>
      </c>
      <c r="P62" s="40" t="n">
        <f aca="false">IF(J62="","",MAX(0,J62-1.96*O62/100))</f>
        <v>0.640771216300649</v>
      </c>
      <c r="Q62" s="40" t="n">
        <f aca="false">IF(J62="","",MIN(1,J62+1.96*O62/100))</f>
        <v>0.72987626571374</v>
      </c>
      <c r="R62" s="32" t="str">
        <f aca="false">IF(L62="","",IF(ABS(L62)&lt;=O62,"Yes","No"))</f>
        <v>No</v>
      </c>
      <c r="S62" s="32" t="str">
        <f aca="false">IF(L62="","",IF(ABS(L62)&lt;=1.96*O62,"Yes","No"))</f>
        <v>No</v>
      </c>
      <c r="T62" s="59" t="n">
        <f aca="false">IF(D62="","",ROUND(SQRT(((D62+G62)*O62/100)^2+(J62*(D62+G62)*0.04942)^2),0))</f>
        <v>283</v>
      </c>
      <c r="U62" s="32"/>
    </row>
    <row r="63" customFormat="false" ht="15" hidden="false" customHeight="false" outlineLevel="0" collapsed="false">
      <c r="A63" s="32" t="s">
        <v>220</v>
      </c>
      <c r="B63" s="32" t="s">
        <v>230</v>
      </c>
      <c r="C63" s="32" t="s">
        <v>161</v>
      </c>
      <c r="D63" s="59" t="n">
        <v>4021</v>
      </c>
      <c r="E63" s="59" t="n">
        <v>4158</v>
      </c>
      <c r="F63" s="68" t="n">
        <f aca="false">IF(E63="","",D63-E63)</f>
        <v>-137</v>
      </c>
      <c r="G63" s="59" t="n">
        <v>3234</v>
      </c>
      <c r="H63" s="59" t="n">
        <v>3782</v>
      </c>
      <c r="I63" s="68" t="n">
        <f aca="false">IF(H63="","",G63-H63)</f>
        <v>-548</v>
      </c>
      <c r="J63" s="40" t="n">
        <f aca="false">IF(OR(D63="",D63+G63=0),"",D63/(D63+G63))</f>
        <v>0.554238456237078</v>
      </c>
      <c r="K63" s="40" t="n">
        <f aca="false">IF(E63="","",E63/(E63+H63))</f>
        <v>0.52367758186398</v>
      </c>
      <c r="L63" s="69" t="n">
        <f aca="false">IF(OR(K63="",J63=""),"",(J63-K63)*100)</f>
        <v>3.05608743730981</v>
      </c>
      <c r="M63" s="36" t="n">
        <v>1.79260184981807</v>
      </c>
      <c r="N63" s="36" t="n">
        <v>1.39767937743113</v>
      </c>
      <c r="O63" s="36" t="n">
        <f aca="false">SQRT(M63^2+N63^2)</f>
        <v>2.27308799523191</v>
      </c>
      <c r="P63" s="40" t="n">
        <f aca="false">IF(J63="","",MAX(0,J63-1.96*O63/100))</f>
        <v>0.509685931530533</v>
      </c>
      <c r="Q63" s="40" t="n">
        <f aca="false">IF(J63="","",MIN(1,J63+1.96*O63/100))</f>
        <v>0.598790980943623</v>
      </c>
      <c r="R63" s="32" t="str">
        <f aca="false">IF(L63="","",IF(ABS(L63)&lt;=O63,"Yes","No"))</f>
        <v>No</v>
      </c>
      <c r="S63" s="32" t="str">
        <f aca="false">IF(L63="","",IF(ABS(L63)&lt;=1.96*O63,"Yes","No"))</f>
        <v>Yes</v>
      </c>
      <c r="T63" s="59" t="n">
        <f aca="false">IF(D63="","",ROUND(SQRT(((D63+G63)*O63/100)^2+(J63*(D63+G63)*0.04942)^2),0))</f>
        <v>258</v>
      </c>
      <c r="U63" s="32"/>
    </row>
    <row r="64" customFormat="false" ht="15" hidden="false" customHeight="false" outlineLevel="0" collapsed="false">
      <c r="A64" s="32" t="s">
        <v>220</v>
      </c>
      <c r="B64" s="32" t="s">
        <v>231</v>
      </c>
      <c r="C64" s="32" t="s">
        <v>161</v>
      </c>
      <c r="D64" s="59" t="n">
        <v>551</v>
      </c>
      <c r="E64" s="59" t="n">
        <v>480</v>
      </c>
      <c r="F64" s="68" t="n">
        <f aca="false">IF(E64="","",D64-E64)</f>
        <v>71</v>
      </c>
      <c r="G64" s="59" t="n">
        <v>280</v>
      </c>
      <c r="H64" s="59" t="n">
        <v>330</v>
      </c>
      <c r="I64" s="68" t="n">
        <f aca="false">IF(H64="","",G64-H64)</f>
        <v>-50</v>
      </c>
      <c r="J64" s="40" t="n">
        <f aca="false">IF(OR(D64="",D64+G64=0),"",D64/(D64+G64))</f>
        <v>0.663056558363418</v>
      </c>
      <c r="K64" s="40" t="n">
        <f aca="false">IF(E64="","",E64/(E64+H64))</f>
        <v>0.592592592592593</v>
      </c>
      <c r="L64" s="69" t="n">
        <f aca="false">IF(OR(K64="",J64=""),"",(J64-K64)*100)</f>
        <v>7.0463965770825</v>
      </c>
      <c r="M64" s="36" t="n">
        <v>3.70004258347493</v>
      </c>
      <c r="N64" s="36" t="n">
        <v>1.39767937743113</v>
      </c>
      <c r="O64" s="36" t="n">
        <f aca="false">SQRT(M64^2+N64^2)</f>
        <v>3.9552272705401</v>
      </c>
      <c r="P64" s="40" t="n">
        <f aca="false">IF(J64="","",MAX(0,J64-1.96*O64/100))</f>
        <v>0.585534103860832</v>
      </c>
      <c r="Q64" s="40" t="n">
        <f aca="false">IF(J64="","",MIN(1,J64+1.96*O64/100))</f>
        <v>0.740579012866004</v>
      </c>
      <c r="R64" s="32" t="str">
        <f aca="false">IF(L64="","",IF(ABS(L64)&lt;=O64,"Yes","No"))</f>
        <v>No</v>
      </c>
      <c r="S64" s="32" t="str">
        <f aca="false">IF(L64="","",IF(ABS(L64)&lt;=1.96*O64,"Yes","No"))</f>
        <v>Yes</v>
      </c>
      <c r="T64" s="59" t="n">
        <f aca="false">IF(D64="","",ROUND(SQRT(((D64+G64)*O64/100)^2+(J64*(D64+G64)*0.07872)^2),0))</f>
        <v>54</v>
      </c>
      <c r="U64" s="32"/>
    </row>
    <row r="65" customFormat="false" ht="15" hidden="false" customHeight="false" outlineLevel="0" collapsed="false">
      <c r="A65" s="32" t="s">
        <v>220</v>
      </c>
      <c r="B65" s="32" t="s">
        <v>232</v>
      </c>
      <c r="C65" s="32" t="s">
        <v>161</v>
      </c>
      <c r="D65" s="59" t="n">
        <v>70</v>
      </c>
      <c r="E65" s="59" t="n">
        <v>72</v>
      </c>
      <c r="F65" s="68" t="n">
        <f aca="false">IF(E65="","",D65-E65)</f>
        <v>-2</v>
      </c>
      <c r="G65" s="59" t="n">
        <v>58</v>
      </c>
      <c r="H65" s="59" t="n">
        <v>69</v>
      </c>
      <c r="I65" s="68" t="n">
        <f aca="false">IF(H65="","",G65-H65)</f>
        <v>-11</v>
      </c>
      <c r="J65" s="40" t="n">
        <f aca="false">IF(OR(D65="",D65+G65=0),"",D65/(D65+G65))</f>
        <v>0.546875</v>
      </c>
      <c r="K65" s="40" t="n">
        <f aca="false">IF(E65="","",E65/(E65+H65))</f>
        <v>0.51063829787234</v>
      </c>
      <c r="L65" s="69" t="n">
        <f aca="false">IF(OR(K65="",J65=""),"",(J65-K65)*100)</f>
        <v>3.62367021276596</v>
      </c>
      <c r="M65" s="36" t="n">
        <v>3.70004258347493</v>
      </c>
      <c r="N65" s="36" t="n">
        <v>1.39767937743113</v>
      </c>
      <c r="O65" s="36" t="n">
        <f aca="false">SQRT(M65^2+N65^2)</f>
        <v>3.9552272705401</v>
      </c>
      <c r="P65" s="40" t="n">
        <f aca="false">IF(J65="","",MAX(0,J65-1.96*O65/100))</f>
        <v>0.469352545497414</v>
      </c>
      <c r="Q65" s="40" t="n">
        <f aca="false">IF(J65="","",MIN(1,J65+1.96*O65/100))</f>
        <v>0.624397454502586</v>
      </c>
      <c r="R65" s="32" t="str">
        <f aca="false">IF(L65="","",IF(ABS(L65)&lt;=O65,"Yes","No"))</f>
        <v>Yes</v>
      </c>
      <c r="S65" s="32" t="str">
        <f aca="false">IF(L65="","",IF(ABS(L65)&lt;=1.96*O65,"Yes","No"))</f>
        <v>Yes</v>
      </c>
      <c r="T65" s="59" t="n">
        <f aca="false">IF(D65="","",ROUND(SQRT(((D65+G65)*O65/100)^2+(J65*(D65+G65)*0.07872)^2),0))</f>
        <v>7</v>
      </c>
      <c r="U65" s="32"/>
    </row>
    <row r="66" customFormat="false" ht="15" hidden="false" customHeight="false" outlineLevel="0" collapsed="false">
      <c r="A66" s="32" t="s">
        <v>220</v>
      </c>
      <c r="B66" s="32" t="s">
        <v>198</v>
      </c>
      <c r="C66" s="32" t="s">
        <v>161</v>
      </c>
      <c r="D66" s="59" t="n">
        <v>3354</v>
      </c>
      <c r="E66" s="59" t="n">
        <v>3570</v>
      </c>
      <c r="F66" s="68" t="n">
        <f aca="false">IF(E66="","",D66-E66)</f>
        <v>-216</v>
      </c>
      <c r="G66" s="59" t="n">
        <v>2650</v>
      </c>
      <c r="H66" s="59" t="n">
        <v>2883</v>
      </c>
      <c r="I66" s="68" t="n">
        <f aca="false">IF(H66="","",G66-H66)</f>
        <v>-233</v>
      </c>
      <c r="J66" s="40" t="n">
        <f aca="false">IF(OR(D66="",D66+G66=0),"",D66/(D66+G66))</f>
        <v>0.558627581612259</v>
      </c>
      <c r="K66" s="40" t="n">
        <f aca="false">IF(E66="","",E66/(E66+H66))</f>
        <v>0.553231055323106</v>
      </c>
      <c r="L66" s="69" t="n">
        <f aca="false">IF(OR(K66="",J66=""),"",(J66-K66)*100)</f>
        <v>0.539652628915288</v>
      </c>
      <c r="M66" s="36" t="n">
        <v>1.79260184981807</v>
      </c>
      <c r="N66" s="36" t="n">
        <v>1.39767937743113</v>
      </c>
      <c r="O66" s="36" t="n">
        <f aca="false">SQRT(M66^2+N66^2)</f>
        <v>2.27308799523191</v>
      </c>
      <c r="P66" s="40" t="n">
        <f aca="false">IF(J66="","",MAX(0,J66-1.96*O66/100))</f>
        <v>0.514075056905713</v>
      </c>
      <c r="Q66" s="40" t="n">
        <f aca="false">IF(J66="","",MIN(1,J66+1.96*O66/100))</f>
        <v>0.603180106318804</v>
      </c>
      <c r="R66" s="32" t="str">
        <f aca="false">IF(L66="","",IF(ABS(L66)&lt;=O66,"Yes","No"))</f>
        <v>Yes</v>
      </c>
      <c r="S66" s="32" t="str">
        <f aca="false">IF(L66="","",IF(ABS(L66)&lt;=1.96*O66,"Yes","No"))</f>
        <v>Yes</v>
      </c>
      <c r="T66" s="59" t="n">
        <f aca="false">IF(D66="","",ROUND(SQRT(((D66+G66)*O66/100)^2+(J66*(D66+G66)*0.04942)^2),0))</f>
        <v>215</v>
      </c>
      <c r="U66" s="32"/>
    </row>
    <row r="67" customFormat="false" ht="15" hidden="false" customHeight="false" outlineLevel="0" collapsed="false">
      <c r="A67" s="32" t="s">
        <v>220</v>
      </c>
      <c r="B67" s="32" t="s">
        <v>233</v>
      </c>
      <c r="C67" s="32" t="s">
        <v>161</v>
      </c>
      <c r="D67" s="59" t="n">
        <v>1337</v>
      </c>
      <c r="E67" s="59" t="n">
        <v>1372</v>
      </c>
      <c r="F67" s="68" t="n">
        <f aca="false">IF(E67="","",D67-E67)</f>
        <v>-35</v>
      </c>
      <c r="G67" s="59" t="n">
        <v>1086</v>
      </c>
      <c r="H67" s="59" t="n">
        <v>1201</v>
      </c>
      <c r="I67" s="68" t="n">
        <f aca="false">IF(H67="","",G67-H67)</f>
        <v>-115</v>
      </c>
      <c r="J67" s="40" t="n">
        <f aca="false">IF(OR(D67="",D67+G67=0),"",D67/(D67+G67))</f>
        <v>0.551795295088733</v>
      </c>
      <c r="K67" s="40" t="n">
        <f aca="false">IF(E67="","",E67/(E67+H67))</f>
        <v>0.53322969296541</v>
      </c>
      <c r="L67" s="69" t="n">
        <f aca="false">IF(OR(K67="",J67=""),"",(J67-K67)*100)</f>
        <v>1.85656021233229</v>
      </c>
      <c r="M67" s="36" t="n">
        <v>2.38316917418702</v>
      </c>
      <c r="N67" s="36" t="n">
        <v>1.39767937743113</v>
      </c>
      <c r="O67" s="36" t="n">
        <f aca="false">SQRT(M67^2+N67^2)</f>
        <v>2.76278898124549</v>
      </c>
      <c r="P67" s="40" t="n">
        <f aca="false">IF(J67="","",MAX(0,J67-1.96*O67/100))</f>
        <v>0.497644631056321</v>
      </c>
      <c r="Q67" s="40" t="n">
        <f aca="false">IF(J67="","",MIN(1,J67+1.96*O67/100))</f>
        <v>0.605945959121145</v>
      </c>
      <c r="R67" s="32" t="str">
        <f aca="false">IF(L67="","",IF(ABS(L67)&lt;=O67,"Yes","No"))</f>
        <v>Yes</v>
      </c>
      <c r="S67" s="32" t="str">
        <f aca="false">IF(L67="","",IF(ABS(L67)&lt;=1.96*O67,"Yes","No"))</f>
        <v>Yes</v>
      </c>
      <c r="T67" s="59" t="n">
        <f aca="false">IF(D67="","",ROUND(SQRT(((D67+G67)*O67/100)^2+(J67*(D67+G67)*0.05883)^2),0))</f>
        <v>103</v>
      </c>
      <c r="U67" s="32"/>
    </row>
    <row r="68" customFormat="false" ht="15" hidden="false" customHeight="false" outlineLevel="0" collapsed="false">
      <c r="A68" s="32" t="s">
        <v>220</v>
      </c>
      <c r="B68" s="32" t="s">
        <v>234</v>
      </c>
      <c r="C68" s="32" t="s">
        <v>161</v>
      </c>
      <c r="D68" s="59" t="n">
        <v>1610</v>
      </c>
      <c r="E68" s="59" t="n">
        <v>1803</v>
      </c>
      <c r="F68" s="68" t="n">
        <f aca="false">IF(E68="","",D68-E68)</f>
        <v>-193</v>
      </c>
      <c r="G68" s="59" t="n">
        <v>2979</v>
      </c>
      <c r="H68" s="59" t="n">
        <v>3303</v>
      </c>
      <c r="I68" s="68" t="n">
        <f aca="false">IF(H68="","",G68-H68)</f>
        <v>-324</v>
      </c>
      <c r="J68" s="40" t="n">
        <f aca="false">IF(OR(D68="",D68+G68=0),"",D68/(D68+G68))</f>
        <v>0.35083896273698</v>
      </c>
      <c r="K68" s="40" t="n">
        <f aca="false">IF(E68="","",E68/(E68+H68))</f>
        <v>0.353113983548766</v>
      </c>
      <c r="L68" s="69" t="n">
        <f aca="false">IF(OR(K68="",J68=""),"",(J68-K68)*100)</f>
        <v>-0.227502081178643</v>
      </c>
      <c r="M68" s="36" t="n">
        <v>1.79260184981807</v>
      </c>
      <c r="N68" s="36" t="n">
        <v>1.39767937743113</v>
      </c>
      <c r="O68" s="36" t="n">
        <f aca="false">SQRT(M68^2+N68^2)</f>
        <v>2.27308799523191</v>
      </c>
      <c r="P68" s="40" t="n">
        <f aca="false">IF(J68="","",MAX(0,J68-1.96*O68/100))</f>
        <v>0.306286438030434</v>
      </c>
      <c r="Q68" s="40" t="n">
        <f aca="false">IF(J68="","",MIN(1,J68+1.96*O68/100))</f>
        <v>0.395391487443525</v>
      </c>
      <c r="R68" s="32" t="str">
        <f aca="false">IF(L68="","",IF(ABS(L68)&lt;=O68,"Yes","No"))</f>
        <v>Yes</v>
      </c>
      <c r="S68" s="32" t="str">
        <f aca="false">IF(L68="","",IF(ABS(L68)&lt;=1.96*O68,"Yes","No"))</f>
        <v>Yes</v>
      </c>
      <c r="T68" s="59" t="n">
        <f aca="false">IF(D68="","",ROUND(SQRT(((D68+G68)*O68/100)^2+(J68*(D68+G68)*0.04942)^2),0))</f>
        <v>131</v>
      </c>
      <c r="U68" s="32"/>
    </row>
    <row r="69" customFormat="false" ht="15" hidden="false" customHeight="false" outlineLevel="0" collapsed="false">
      <c r="A69" s="32" t="s">
        <v>220</v>
      </c>
      <c r="B69" s="32" t="s">
        <v>235</v>
      </c>
      <c r="C69" s="32" t="s">
        <v>161</v>
      </c>
      <c r="D69" s="59" t="n">
        <v>424</v>
      </c>
      <c r="E69" s="59" t="n">
        <v>511</v>
      </c>
      <c r="F69" s="68" t="n">
        <f aca="false">IF(E69="","",D69-E69)</f>
        <v>-87</v>
      </c>
      <c r="G69" s="59" t="n">
        <v>786</v>
      </c>
      <c r="H69" s="59" t="n">
        <v>889</v>
      </c>
      <c r="I69" s="68" t="n">
        <f aca="false">IF(H69="","",G69-H69)</f>
        <v>-103</v>
      </c>
      <c r="J69" s="40" t="n">
        <f aca="false">IF(OR(D69="",D69+G69=0),"",D69/(D69+G69))</f>
        <v>0.350413223140496</v>
      </c>
      <c r="K69" s="40" t="n">
        <f aca="false">IF(E69="","",E69/(E69+H69))</f>
        <v>0.365</v>
      </c>
      <c r="L69" s="69" t="n">
        <f aca="false">IF(OR(K69="",J69=""),"",(J69-K69)*100)</f>
        <v>-1.45867768595041</v>
      </c>
      <c r="M69" s="36" t="n">
        <v>2.38316917418702</v>
      </c>
      <c r="N69" s="36" t="n">
        <v>1.39767937743113</v>
      </c>
      <c r="O69" s="36" t="n">
        <f aca="false">SQRT(M69^2+N69^2)</f>
        <v>2.76278898124549</v>
      </c>
      <c r="P69" s="40" t="n">
        <f aca="false">IF(J69="","",MAX(0,J69-1.96*O69/100))</f>
        <v>0.296262559108084</v>
      </c>
      <c r="Q69" s="40" t="n">
        <f aca="false">IF(J69="","",MIN(1,J69+1.96*O69/100))</f>
        <v>0.404563887172908</v>
      </c>
      <c r="R69" s="32" t="str">
        <f aca="false">IF(L69="","",IF(ABS(L69)&lt;=O69,"Yes","No"))</f>
        <v>Yes</v>
      </c>
      <c r="S69" s="32" t="str">
        <f aca="false">IF(L69="","",IF(ABS(L69)&lt;=1.96*O69,"Yes","No"))</f>
        <v>Yes</v>
      </c>
      <c r="T69" s="59" t="n">
        <f aca="false">IF(D69="","",ROUND(SQRT(((D69+G69)*O69/100)^2+(J69*(D69+G69)*0.05883)^2),0))</f>
        <v>42</v>
      </c>
      <c r="U69" s="32"/>
    </row>
    <row r="70" customFormat="false" ht="15" hidden="false" customHeight="false" outlineLevel="0" collapsed="false">
      <c r="A70" s="32" t="s">
        <v>220</v>
      </c>
      <c r="B70" s="32" t="s">
        <v>236</v>
      </c>
      <c r="C70" s="32" t="s">
        <v>161</v>
      </c>
      <c r="D70" s="59" t="n">
        <v>1443</v>
      </c>
      <c r="E70" s="59" t="n">
        <v>1632</v>
      </c>
      <c r="F70" s="68" t="n">
        <f aca="false">IF(E70="","",D70-E70)</f>
        <v>-189</v>
      </c>
      <c r="G70" s="59" t="n">
        <v>1903</v>
      </c>
      <c r="H70" s="59" t="n">
        <v>2067</v>
      </c>
      <c r="I70" s="68" t="n">
        <f aca="false">IF(H70="","",G70-H70)</f>
        <v>-164</v>
      </c>
      <c r="J70" s="40" t="n">
        <f aca="false">IF(OR(D70="",D70+G70=0),"",D70/(D70+G70))</f>
        <v>0.431261207411835</v>
      </c>
      <c r="K70" s="40" t="n">
        <f aca="false">IF(E70="","",E70/(E70+H70))</f>
        <v>0.441200324412003</v>
      </c>
      <c r="L70" s="69" t="n">
        <f aca="false">IF(OR(K70="",J70=""),"",(J70-K70)*100)</f>
        <v>-0.99391170001682</v>
      </c>
      <c r="M70" s="36" t="n">
        <v>1.79260184981807</v>
      </c>
      <c r="N70" s="36" t="n">
        <v>1.39767937743113</v>
      </c>
      <c r="O70" s="36" t="n">
        <f aca="false">SQRT(M70^2+N70^2)</f>
        <v>2.27308799523191</v>
      </c>
      <c r="P70" s="40" t="n">
        <f aca="false">IF(J70="","",MAX(0,J70-1.96*O70/100))</f>
        <v>0.38670868270529</v>
      </c>
      <c r="Q70" s="40" t="n">
        <f aca="false">IF(J70="","",MIN(1,J70+1.96*O70/100))</f>
        <v>0.47581373211838</v>
      </c>
      <c r="R70" s="32" t="str">
        <f aca="false">IF(L70="","",IF(ABS(L70)&lt;=O70,"Yes","No"))</f>
        <v>Yes</v>
      </c>
      <c r="S70" s="32" t="str">
        <f aca="false">IF(L70="","",IF(ABS(L70)&lt;=1.96*O70,"Yes","No"))</f>
        <v>Yes</v>
      </c>
      <c r="T70" s="59" t="n">
        <f aca="false">IF(D70="","",ROUND(SQRT(((D70+G70)*O70/100)^2+(J70*(D70+G70)*0.04942)^2),0))</f>
        <v>104</v>
      </c>
      <c r="U70" s="32"/>
    </row>
    <row r="71" customFormat="false" ht="15" hidden="false" customHeight="false" outlineLevel="0" collapsed="false">
      <c r="A71" s="32" t="s">
        <v>220</v>
      </c>
      <c r="B71" s="32" t="s">
        <v>237</v>
      </c>
      <c r="C71" s="32" t="s">
        <v>161</v>
      </c>
      <c r="D71" s="59" t="n">
        <v>2698</v>
      </c>
      <c r="E71" s="59" t="n">
        <v>2919</v>
      </c>
      <c r="F71" s="68" t="n">
        <f aca="false">IF(E71="","",D71-E71)</f>
        <v>-221</v>
      </c>
      <c r="G71" s="59" t="n">
        <v>2756</v>
      </c>
      <c r="H71" s="59" t="n">
        <v>3008</v>
      </c>
      <c r="I71" s="68" t="n">
        <f aca="false">IF(H71="","",G71-H71)</f>
        <v>-252</v>
      </c>
      <c r="J71" s="40" t="n">
        <f aca="false">IF(OR(D71="",D71+G71=0),"",D71/(D71+G71))</f>
        <v>0.494682801613495</v>
      </c>
      <c r="K71" s="40" t="n">
        <f aca="false">IF(E71="","",E71/(E71+H71))</f>
        <v>0.492491985827569</v>
      </c>
      <c r="L71" s="69" t="n">
        <f aca="false">IF(OR(K71="",J71=""),"",(J71-K71)*100)</f>
        <v>0.219081578592595</v>
      </c>
      <c r="M71" s="36" t="n">
        <v>1.79260184981807</v>
      </c>
      <c r="N71" s="36" t="n">
        <v>1.39767937743113</v>
      </c>
      <c r="O71" s="36" t="n">
        <f aca="false">SQRT(M71^2+N71^2)</f>
        <v>2.27308799523191</v>
      </c>
      <c r="P71" s="40" t="n">
        <f aca="false">IF(J71="","",MAX(0,J71-1.96*O71/100))</f>
        <v>0.450130276906949</v>
      </c>
      <c r="Q71" s="40" t="n">
        <f aca="false">IF(J71="","",MIN(1,J71+1.96*O71/100))</f>
        <v>0.53923532632004</v>
      </c>
      <c r="R71" s="32" t="str">
        <f aca="false">IF(L71="","",IF(ABS(L71)&lt;=O71,"Yes","No"))</f>
        <v>Yes</v>
      </c>
      <c r="S71" s="32" t="str">
        <f aca="false">IF(L71="","",IF(ABS(L71)&lt;=1.96*O71,"Yes","No"))</f>
        <v>Yes</v>
      </c>
      <c r="T71" s="59" t="n">
        <f aca="false">IF(D71="","",ROUND(SQRT(((D71+G71)*O71/100)^2+(J71*(D71+G71)*0.04942)^2),0))</f>
        <v>182</v>
      </c>
      <c r="U71" s="32"/>
    </row>
    <row r="72" customFormat="false" ht="15" hidden="false" customHeight="false" outlineLevel="0" collapsed="false">
      <c r="A72" s="32" t="s">
        <v>220</v>
      </c>
      <c r="B72" s="32" t="s">
        <v>238</v>
      </c>
      <c r="C72" s="32" t="s">
        <v>161</v>
      </c>
      <c r="D72" s="59" t="n">
        <v>1448</v>
      </c>
      <c r="E72" s="59" t="n">
        <v>1661</v>
      </c>
      <c r="F72" s="68" t="n">
        <f aca="false">IF(E72="","",D72-E72)</f>
        <v>-213</v>
      </c>
      <c r="G72" s="59" t="n">
        <v>2826</v>
      </c>
      <c r="H72" s="59" t="n">
        <v>3091</v>
      </c>
      <c r="I72" s="68" t="n">
        <f aca="false">IF(H72="","",G72-H72)</f>
        <v>-265</v>
      </c>
      <c r="J72" s="40" t="n">
        <f aca="false">IF(OR(D72="",D72+G72=0),"",D72/(D72+G72))</f>
        <v>0.338792700046795</v>
      </c>
      <c r="K72" s="40" t="n">
        <f aca="false">IF(E72="","",E72/(E72+H72))</f>
        <v>0.349537037037037</v>
      </c>
      <c r="L72" s="69" t="n">
        <f aca="false">IF(OR(K72="",J72=""),"",(J72-K72)*100)</f>
        <v>-1.07443369902425</v>
      </c>
      <c r="M72" s="36" t="n">
        <v>1.79260184981807</v>
      </c>
      <c r="N72" s="36" t="n">
        <v>1.39767937743113</v>
      </c>
      <c r="O72" s="36" t="n">
        <f aca="false">SQRT(M72^2+N72^2)</f>
        <v>2.27308799523191</v>
      </c>
      <c r="P72" s="40" t="n">
        <f aca="false">IF(J72="","",MAX(0,J72-1.96*O72/100))</f>
        <v>0.294240175340249</v>
      </c>
      <c r="Q72" s="40" t="n">
        <f aca="false">IF(J72="","",MIN(1,J72+1.96*O72/100))</f>
        <v>0.38334522475334</v>
      </c>
      <c r="R72" s="32" t="str">
        <f aca="false">IF(L72="","",IF(ABS(L72)&lt;=O72,"Yes","No"))</f>
        <v>Yes</v>
      </c>
      <c r="S72" s="32" t="str">
        <f aca="false">IF(L72="","",IF(ABS(L72)&lt;=1.96*O72,"Yes","No"))</f>
        <v>Yes</v>
      </c>
      <c r="T72" s="59" t="n">
        <f aca="false">IF(D72="","",ROUND(SQRT(((D72+G72)*O72/100)^2+(J72*(D72+G72)*0.04942)^2),0))</f>
        <v>121</v>
      </c>
      <c r="U72" s="32"/>
    </row>
    <row r="73" customFormat="false" ht="15" hidden="false" customHeight="false" outlineLevel="0" collapsed="false">
      <c r="A73" s="32" t="s">
        <v>220</v>
      </c>
      <c r="B73" s="32" t="s">
        <v>239</v>
      </c>
      <c r="C73" s="32" t="s">
        <v>161</v>
      </c>
      <c r="D73" s="59" t="n">
        <v>1161</v>
      </c>
      <c r="E73" s="59" t="n">
        <v>1272</v>
      </c>
      <c r="F73" s="68" t="n">
        <f aca="false">IF(E73="","",D73-E73)</f>
        <v>-111</v>
      </c>
      <c r="G73" s="59" t="n">
        <v>1065</v>
      </c>
      <c r="H73" s="59" t="n">
        <v>1188</v>
      </c>
      <c r="I73" s="68" t="n">
        <f aca="false">IF(H73="","",G73-H73)</f>
        <v>-123</v>
      </c>
      <c r="J73" s="40" t="n">
        <f aca="false">IF(OR(D73="",D73+G73=0),"",D73/(D73+G73))</f>
        <v>0.521563342318059</v>
      </c>
      <c r="K73" s="40" t="n">
        <f aca="false">IF(E73="","",E73/(E73+H73))</f>
        <v>0.517073170731707</v>
      </c>
      <c r="L73" s="69" t="n">
        <f aca="false">IF(OR(K73="",J73=""),"",(J73-K73)*100)</f>
        <v>0.449017158635201</v>
      </c>
      <c r="M73" s="36" t="n">
        <v>2.38316917418702</v>
      </c>
      <c r="N73" s="36" t="n">
        <v>1.39767937743113</v>
      </c>
      <c r="O73" s="36" t="n">
        <f aca="false">SQRT(M73^2+N73^2)</f>
        <v>2.76278898124549</v>
      </c>
      <c r="P73" s="40" t="n">
        <f aca="false">IF(J73="","",MAX(0,J73-1.96*O73/100))</f>
        <v>0.467412678285648</v>
      </c>
      <c r="Q73" s="40" t="n">
        <f aca="false">IF(J73="","",MIN(1,J73+1.96*O73/100))</f>
        <v>0.575714006350471</v>
      </c>
      <c r="R73" s="32" t="str">
        <f aca="false">IF(L73="","",IF(ABS(L73)&lt;=O73,"Yes","No"))</f>
        <v>Yes</v>
      </c>
      <c r="S73" s="32" t="str">
        <f aca="false">IF(L73="","",IF(ABS(L73)&lt;=1.96*O73,"Yes","No"))</f>
        <v>Yes</v>
      </c>
      <c r="T73" s="59" t="n">
        <f aca="false">IF(D73="","",ROUND(SQRT(((D73+G73)*O73/100)^2+(J73*(D73+G73)*0.05883)^2),0))</f>
        <v>92</v>
      </c>
      <c r="U73" s="32"/>
    </row>
    <row r="74" customFormat="false" ht="15" hidden="false" customHeight="false" outlineLevel="0" collapsed="false">
      <c r="A74" s="32" t="s">
        <v>220</v>
      </c>
      <c r="B74" s="32" t="s">
        <v>240</v>
      </c>
      <c r="C74" s="32" t="s">
        <v>161</v>
      </c>
      <c r="D74" s="59" t="n">
        <v>599</v>
      </c>
      <c r="E74" s="59" t="n">
        <v>644</v>
      </c>
      <c r="F74" s="68" t="n">
        <f aca="false">IF(E74="","",D74-E74)</f>
        <v>-45</v>
      </c>
      <c r="G74" s="59" t="n">
        <v>578</v>
      </c>
      <c r="H74" s="59" t="n">
        <v>634</v>
      </c>
      <c r="I74" s="68" t="n">
        <f aca="false">IF(H74="","",G74-H74)</f>
        <v>-56</v>
      </c>
      <c r="J74" s="40" t="n">
        <f aca="false">IF(OR(D74="",D74+G74=0),"",D74/(D74+G74))</f>
        <v>0.5089209855565</v>
      </c>
      <c r="K74" s="40" t="n">
        <f aca="false">IF(E74="","",E74/(E74+H74))</f>
        <v>0.503912363067293</v>
      </c>
      <c r="L74" s="69" t="n">
        <f aca="false">IF(OR(K74="",J74=""),"",(J74-K74)*100)</f>
        <v>0.500862248920697</v>
      </c>
      <c r="M74" s="36" t="n">
        <v>2.38316917418702</v>
      </c>
      <c r="N74" s="36" t="n">
        <v>1.39767937743113</v>
      </c>
      <c r="O74" s="36" t="n">
        <f aca="false">SQRT(M74^2+N74^2)</f>
        <v>2.76278898124549</v>
      </c>
      <c r="P74" s="40" t="n">
        <f aca="false">IF(J74="","",MAX(0,J74-1.96*O74/100))</f>
        <v>0.454770321524088</v>
      </c>
      <c r="Q74" s="40" t="n">
        <f aca="false">IF(J74="","",MIN(1,J74+1.96*O74/100))</f>
        <v>0.563071649588911</v>
      </c>
      <c r="R74" s="32" t="str">
        <f aca="false">IF(L74="","",IF(ABS(L74)&lt;=O74,"Yes","No"))</f>
        <v>Yes</v>
      </c>
      <c r="S74" s="32" t="str">
        <f aca="false">IF(L74="","",IF(ABS(L74)&lt;=1.96*O74,"Yes","No"))</f>
        <v>Yes</v>
      </c>
      <c r="T74" s="59" t="n">
        <f aca="false">IF(D74="","",ROUND(SQRT(((D74+G74)*O74/100)^2+(J74*(D74+G74)*0.05883)^2),0))</f>
        <v>48</v>
      </c>
      <c r="U74" s="32"/>
    </row>
    <row r="75" customFormat="false" ht="15" hidden="false" customHeight="false" outlineLevel="0" collapsed="false">
      <c r="A75" s="32" t="s">
        <v>220</v>
      </c>
      <c r="B75" s="32" t="s">
        <v>241</v>
      </c>
      <c r="C75" s="32" t="s">
        <v>161</v>
      </c>
      <c r="D75" s="59" t="n">
        <v>1831</v>
      </c>
      <c r="E75" s="59" t="n">
        <v>1957</v>
      </c>
      <c r="F75" s="68" t="n">
        <f aca="false">IF(E75="","",D75-E75)</f>
        <v>-126</v>
      </c>
      <c r="G75" s="59" t="n">
        <v>1798</v>
      </c>
      <c r="H75" s="59" t="n">
        <v>1970</v>
      </c>
      <c r="I75" s="68" t="n">
        <f aca="false">IF(H75="","",G75-H75)</f>
        <v>-172</v>
      </c>
      <c r="J75" s="40" t="n">
        <f aca="false">IF(OR(D75="",D75+G75=0),"",D75/(D75+G75))</f>
        <v>0.504546707081841</v>
      </c>
      <c r="K75" s="40" t="n">
        <f aca="false">IF(E75="","",E75/(E75+H75))</f>
        <v>0.49834479246244</v>
      </c>
      <c r="L75" s="69" t="n">
        <f aca="false">IF(OR(K75="",J75=""),"",(J75-K75)*100)</f>
        <v>0.620191461940117</v>
      </c>
      <c r="M75" s="36" t="n">
        <v>1.79260184981807</v>
      </c>
      <c r="N75" s="36" t="n">
        <v>1.39767937743113</v>
      </c>
      <c r="O75" s="36" t="n">
        <f aca="false">SQRT(M75^2+N75^2)</f>
        <v>2.27308799523191</v>
      </c>
      <c r="P75" s="40" t="n">
        <f aca="false">IF(J75="","",MAX(0,J75-1.96*O75/100))</f>
        <v>0.459994182375295</v>
      </c>
      <c r="Q75" s="40" t="n">
        <f aca="false">IF(J75="","",MIN(1,J75+1.96*O75/100))</f>
        <v>0.549099231788386</v>
      </c>
      <c r="R75" s="32" t="str">
        <f aca="false">IF(L75="","",IF(ABS(L75)&lt;=O75,"Yes","No"))</f>
        <v>Yes</v>
      </c>
      <c r="S75" s="32" t="str">
        <f aca="false">IF(L75="","",IF(ABS(L75)&lt;=1.96*O75,"Yes","No"))</f>
        <v>Yes</v>
      </c>
      <c r="T75" s="59" t="n">
        <f aca="false">IF(D75="","",ROUND(SQRT(((D75+G75)*O75/100)^2+(J75*(D75+G75)*0.04942)^2),0))</f>
        <v>122</v>
      </c>
      <c r="U75" s="32"/>
    </row>
    <row r="76" customFormat="false" ht="15" hidden="false" customHeight="false" outlineLevel="0" collapsed="false">
      <c r="A76" s="32" t="s">
        <v>220</v>
      </c>
      <c r="B76" s="32" t="s">
        <v>242</v>
      </c>
      <c r="C76" s="32" t="s">
        <v>161</v>
      </c>
      <c r="D76" s="59" t="n">
        <v>5305</v>
      </c>
      <c r="E76" s="59" t="n">
        <v>5403</v>
      </c>
      <c r="F76" s="68" t="n">
        <f aca="false">IF(E76="","",D76-E76)</f>
        <v>-98</v>
      </c>
      <c r="G76" s="59" t="n">
        <v>4372</v>
      </c>
      <c r="H76" s="59" t="n">
        <v>4910</v>
      </c>
      <c r="I76" s="68" t="n">
        <f aca="false">IF(H76="","",G76-H76)</f>
        <v>-538</v>
      </c>
      <c r="J76" s="40" t="n">
        <f aca="false">IF(OR(D76="",D76+G76=0),"",D76/(D76+G76))</f>
        <v>0.548207088973856</v>
      </c>
      <c r="K76" s="40" t="n">
        <f aca="false">IF(E76="","",E76/(E76+H76))</f>
        <v>0.523901871424416</v>
      </c>
      <c r="L76" s="69" t="n">
        <f aca="false">IF(OR(K76="",J76=""),"",(J76-K76)*100)</f>
        <v>2.43052175494397</v>
      </c>
      <c r="M76" s="36" t="n">
        <v>1.79260184981807</v>
      </c>
      <c r="N76" s="36" t="n">
        <v>1.39767937743113</v>
      </c>
      <c r="O76" s="36" t="n">
        <f aca="false">SQRT(M76^2+N76^2)</f>
        <v>2.27308799523191</v>
      </c>
      <c r="P76" s="40" t="n">
        <f aca="false">IF(J76="","",MAX(0,J76-1.96*O76/100))</f>
        <v>0.50365456426731</v>
      </c>
      <c r="Q76" s="40" t="n">
        <f aca="false">IF(J76="","",MIN(1,J76+1.96*O76/100))</f>
        <v>0.592759613680401</v>
      </c>
      <c r="R76" s="32" t="str">
        <f aca="false">IF(L76="","",IF(ABS(L76)&lt;=O76,"Yes","No"))</f>
        <v>No</v>
      </c>
      <c r="S76" s="32" t="str">
        <f aca="false">IF(L76="","",IF(ABS(L76)&lt;=1.96*O76,"Yes","No"))</f>
        <v>Yes</v>
      </c>
      <c r="T76" s="59" t="n">
        <f aca="false">IF(D76="","",ROUND(SQRT(((D76+G76)*O76/100)^2+(J76*(D76+G76)*0.04942)^2),0))</f>
        <v>342</v>
      </c>
      <c r="U76" s="32"/>
    </row>
    <row r="77" customFormat="false" ht="15" hidden="false" customHeight="false" outlineLevel="0" collapsed="false">
      <c r="A77" s="32" t="s">
        <v>220</v>
      </c>
      <c r="B77" s="32" t="s">
        <v>243</v>
      </c>
      <c r="C77" s="32" t="s">
        <v>161</v>
      </c>
      <c r="D77" s="59" t="n">
        <v>489</v>
      </c>
      <c r="E77" s="59" t="n">
        <v>511</v>
      </c>
      <c r="F77" s="68" t="n">
        <f aca="false">IF(E77="","",D77-E77)</f>
        <v>-22</v>
      </c>
      <c r="G77" s="59" t="n">
        <v>716</v>
      </c>
      <c r="H77" s="59" t="n">
        <v>778</v>
      </c>
      <c r="I77" s="68" t="n">
        <f aca="false">IF(H77="","",G77-H77)</f>
        <v>-62</v>
      </c>
      <c r="J77" s="40" t="n">
        <f aca="false">IF(OR(D77="",D77+G77=0),"",D77/(D77+G77))</f>
        <v>0.405809128630705</v>
      </c>
      <c r="K77" s="40" t="n">
        <f aca="false">IF(E77="","",E77/(E77+H77))</f>
        <v>0.396431342125679</v>
      </c>
      <c r="L77" s="69" t="n">
        <f aca="false">IF(OR(K77="",J77=""),"",(J77-K77)*100)</f>
        <v>0.937778650502658</v>
      </c>
      <c r="M77" s="36" t="n">
        <v>2.38316917418702</v>
      </c>
      <c r="N77" s="36" t="n">
        <v>1.39767937743113</v>
      </c>
      <c r="O77" s="36" t="n">
        <f aca="false">SQRT(M77^2+N77^2)</f>
        <v>2.76278898124549</v>
      </c>
      <c r="P77" s="40" t="n">
        <f aca="false">IF(J77="","",MAX(0,J77-1.96*O77/100))</f>
        <v>0.351658464598294</v>
      </c>
      <c r="Q77" s="40" t="n">
        <f aca="false">IF(J77="","",MIN(1,J77+1.96*O77/100))</f>
        <v>0.459959792663117</v>
      </c>
      <c r="R77" s="32" t="str">
        <f aca="false">IF(L77="","",IF(ABS(L77)&lt;=O77,"Yes","No"))</f>
        <v>Yes</v>
      </c>
      <c r="S77" s="32" t="str">
        <f aca="false">IF(L77="","",IF(ABS(L77)&lt;=1.96*O77,"Yes","No"))</f>
        <v>Yes</v>
      </c>
      <c r="T77" s="59" t="n">
        <f aca="false">IF(D77="","",ROUND(SQRT(((D77+G77)*O77/100)^2+(J77*(D77+G77)*0.05883)^2),0))</f>
        <v>44</v>
      </c>
      <c r="U77" s="32"/>
    </row>
    <row r="78" customFormat="false" ht="15" hidden="false" customHeight="false" outlineLevel="0" collapsed="false">
      <c r="A78" s="32" t="s">
        <v>220</v>
      </c>
      <c r="B78" s="32" t="s">
        <v>244</v>
      </c>
      <c r="C78" s="32" t="s">
        <v>161</v>
      </c>
      <c r="D78" s="59" t="n">
        <v>1001</v>
      </c>
      <c r="E78" s="59" t="n">
        <v>1076</v>
      </c>
      <c r="F78" s="68" t="n">
        <f aca="false">IF(E78="","",D78-E78)</f>
        <v>-75</v>
      </c>
      <c r="G78" s="59" t="n">
        <v>1749</v>
      </c>
      <c r="H78" s="59" t="n">
        <v>1998</v>
      </c>
      <c r="I78" s="68" t="n">
        <f aca="false">IF(H78="","",G78-H78)</f>
        <v>-249</v>
      </c>
      <c r="J78" s="40" t="n">
        <f aca="false">IF(OR(D78="",D78+G78=0),"",D78/(D78+G78))</f>
        <v>0.364</v>
      </c>
      <c r="K78" s="40" t="n">
        <f aca="false">IF(E78="","",E78/(E78+H78))</f>
        <v>0.350032530904359</v>
      </c>
      <c r="L78" s="69" t="n">
        <f aca="false">IF(OR(K78="",J78=""),"",(J78-K78)*100)</f>
        <v>1.39674690956408</v>
      </c>
      <c r="M78" s="36" t="n">
        <v>1.79260184981807</v>
      </c>
      <c r="N78" s="36" t="n">
        <v>1.39767937743113</v>
      </c>
      <c r="O78" s="36" t="n">
        <f aca="false">SQRT(M78^2+N78^2)</f>
        <v>2.27308799523191</v>
      </c>
      <c r="P78" s="40" t="n">
        <f aca="false">IF(J78="","",MAX(0,J78-1.96*O78/100))</f>
        <v>0.319447475293455</v>
      </c>
      <c r="Q78" s="40" t="n">
        <f aca="false">IF(J78="","",MIN(1,J78+1.96*O78/100))</f>
        <v>0.408552524706545</v>
      </c>
      <c r="R78" s="32" t="str">
        <f aca="false">IF(L78="","",IF(ABS(L78)&lt;=O78,"Yes","No"))</f>
        <v>Yes</v>
      </c>
      <c r="S78" s="32" t="str">
        <f aca="false">IF(L78="","",IF(ABS(L78)&lt;=1.96*O78,"Yes","No"))</f>
        <v>Yes</v>
      </c>
      <c r="T78" s="59" t="n">
        <f aca="false">IF(D78="","",ROUND(SQRT(((D78+G78)*O78/100)^2+(J78*(D78+G78)*0.04942)^2),0))</f>
        <v>80</v>
      </c>
      <c r="U78" s="32"/>
    </row>
    <row r="79" customFormat="false" ht="15" hidden="false" customHeight="false" outlineLevel="0" collapsed="false">
      <c r="A79" s="32" t="s">
        <v>220</v>
      </c>
      <c r="B79" s="32" t="s">
        <v>245</v>
      </c>
      <c r="C79" s="32" t="s">
        <v>161</v>
      </c>
      <c r="D79" s="59" t="n">
        <v>60</v>
      </c>
      <c r="E79" s="59" t="n">
        <v>65</v>
      </c>
      <c r="F79" s="68" t="n">
        <f aca="false">IF(E79="","",D79-E79)</f>
        <v>-5</v>
      </c>
      <c r="G79" s="59" t="n">
        <v>118</v>
      </c>
      <c r="H79" s="59" t="n">
        <v>129</v>
      </c>
      <c r="I79" s="68" t="n">
        <f aca="false">IF(H79="","",G79-H79)</f>
        <v>-11</v>
      </c>
      <c r="J79" s="40" t="n">
        <f aca="false">IF(OR(D79="",D79+G79=0),"",D79/(D79+G79))</f>
        <v>0.337078651685393</v>
      </c>
      <c r="K79" s="40" t="n">
        <f aca="false">IF(E79="","",E79/(E79+H79))</f>
        <v>0.335051546391753</v>
      </c>
      <c r="L79" s="69" t="n">
        <f aca="false">IF(OR(K79="",J79=""),"",(J79-K79)*100)</f>
        <v>0.20271052936407</v>
      </c>
      <c r="M79" s="36" t="n">
        <v>3.70004258347493</v>
      </c>
      <c r="N79" s="36" t="n">
        <v>1.39767937743113</v>
      </c>
      <c r="O79" s="36" t="n">
        <f aca="false">SQRT(M79^2+N79^2)</f>
        <v>3.9552272705401</v>
      </c>
      <c r="P79" s="40" t="n">
        <f aca="false">IF(J79="","",MAX(0,J79-1.96*O79/100))</f>
        <v>0.259556197182807</v>
      </c>
      <c r="Q79" s="40" t="n">
        <f aca="false">IF(J79="","",MIN(1,J79+1.96*O79/100))</f>
        <v>0.414601106187979</v>
      </c>
      <c r="R79" s="32" t="str">
        <f aca="false">IF(L79="","",IF(ABS(L79)&lt;=O79,"Yes","No"))</f>
        <v>Yes</v>
      </c>
      <c r="S79" s="32" t="str">
        <f aca="false">IF(L79="","",IF(ABS(L79)&lt;=1.96*O79,"Yes","No"))</f>
        <v>Yes</v>
      </c>
      <c r="T79" s="59" t="n">
        <f aca="false">IF(D79="","",ROUND(SQRT(((D79+G79)*O79/100)^2+(J79*(D79+G79)*0.07872)^2),0))</f>
        <v>8</v>
      </c>
      <c r="U79" s="32"/>
    </row>
    <row r="80" customFormat="false" ht="15" hidden="false" customHeight="false" outlineLevel="0" collapsed="false">
      <c r="A80" s="32" t="s">
        <v>220</v>
      </c>
      <c r="B80" s="32" t="s">
        <v>246</v>
      </c>
      <c r="C80" s="32" t="s">
        <v>161</v>
      </c>
      <c r="D80" s="59" t="n">
        <v>260</v>
      </c>
      <c r="E80" s="59" t="n">
        <v>258</v>
      </c>
      <c r="F80" s="68" t="n">
        <f aca="false">IF(E80="","",D80-E80)</f>
        <v>2</v>
      </c>
      <c r="G80" s="59" t="n">
        <v>395</v>
      </c>
      <c r="H80" s="59" t="n">
        <v>418</v>
      </c>
      <c r="I80" s="68" t="n">
        <f aca="false">IF(H80="","",G80-H80)</f>
        <v>-23</v>
      </c>
      <c r="J80" s="40" t="n">
        <f aca="false">IF(OR(D80="",D80+G80=0),"",D80/(D80+G80))</f>
        <v>0.396946564885496</v>
      </c>
      <c r="K80" s="40" t="n">
        <f aca="false">IF(E80="","",E80/(E80+H80))</f>
        <v>0.381656804733728</v>
      </c>
      <c r="L80" s="69" t="n">
        <f aca="false">IF(OR(K80="",J80=""),"",(J80-K80)*100)</f>
        <v>1.52897601517684</v>
      </c>
      <c r="M80" s="36" t="n">
        <v>3.70004258347493</v>
      </c>
      <c r="N80" s="36" t="n">
        <v>1.39767937743113</v>
      </c>
      <c r="O80" s="36" t="n">
        <f aca="false">SQRT(M80^2+N80^2)</f>
        <v>3.9552272705401</v>
      </c>
      <c r="P80" s="40" t="n">
        <f aca="false">IF(J80="","",MAX(0,J80-1.96*O80/100))</f>
        <v>0.31942411038291</v>
      </c>
      <c r="Q80" s="40" t="n">
        <f aca="false">IF(J80="","",MIN(1,J80+1.96*O80/100))</f>
        <v>0.474469019388082</v>
      </c>
      <c r="R80" s="32" t="str">
        <f aca="false">IF(L80="","",IF(ABS(L80)&lt;=O80,"Yes","No"))</f>
        <v>Yes</v>
      </c>
      <c r="S80" s="32" t="str">
        <f aca="false">IF(L80="","",IF(ABS(L80)&lt;=1.96*O80,"Yes","No"))</f>
        <v>Yes</v>
      </c>
      <c r="T80" s="59" t="n">
        <f aca="false">IF(D80="","",ROUND(SQRT(((D80+G80)*O80/100)^2+(J80*(D80+G80)*0.07872)^2),0))</f>
        <v>33</v>
      </c>
      <c r="U80" s="32"/>
    </row>
    <row r="81" customFormat="false" ht="15" hidden="false" customHeight="false" outlineLevel="0" collapsed="false">
      <c r="A81" s="32" t="s">
        <v>220</v>
      </c>
      <c r="B81" s="32" t="s">
        <v>247</v>
      </c>
      <c r="C81" s="32" t="s">
        <v>161</v>
      </c>
      <c r="D81" s="59" t="n">
        <v>139</v>
      </c>
      <c r="E81" s="59" t="n">
        <v>160</v>
      </c>
      <c r="F81" s="68" t="n">
        <f aca="false">IF(E81="","",D81-E81)</f>
        <v>-21</v>
      </c>
      <c r="G81" s="59" t="n">
        <v>195</v>
      </c>
      <c r="H81" s="59" t="n">
        <v>227</v>
      </c>
      <c r="I81" s="68" t="n">
        <f aca="false">IF(H81="","",G81-H81)</f>
        <v>-32</v>
      </c>
      <c r="J81" s="40" t="n">
        <f aca="false">IF(OR(D81="",D81+G81=0),"",D81/(D81+G81))</f>
        <v>0.416167664670659</v>
      </c>
      <c r="K81" s="40" t="n">
        <f aca="false">IF(E81="","",E81/(E81+H81))</f>
        <v>0.41343669250646</v>
      </c>
      <c r="L81" s="69" t="n">
        <f aca="false">IF(OR(K81="",J81=""),"",(J81-K81)*100)</f>
        <v>0.273097216419876</v>
      </c>
      <c r="M81" s="36" t="n">
        <v>3.70004258347493</v>
      </c>
      <c r="N81" s="36" t="n">
        <v>1.39767937743113</v>
      </c>
      <c r="O81" s="36" t="n">
        <f aca="false">SQRT(M81^2+N81^2)</f>
        <v>3.9552272705401</v>
      </c>
      <c r="P81" s="40" t="n">
        <f aca="false">IF(J81="","",MAX(0,J81-1.96*O81/100))</f>
        <v>0.338645210168073</v>
      </c>
      <c r="Q81" s="40" t="n">
        <f aca="false">IF(J81="","",MIN(1,J81+1.96*O81/100))</f>
        <v>0.493690119173245</v>
      </c>
      <c r="R81" s="32" t="str">
        <f aca="false">IF(L81="","",IF(ABS(L81)&lt;=O81,"Yes","No"))</f>
        <v>Yes</v>
      </c>
      <c r="S81" s="32" t="str">
        <f aca="false">IF(L81="","",IF(ABS(L81)&lt;=1.96*O81,"Yes","No"))</f>
        <v>Yes</v>
      </c>
      <c r="T81" s="59" t="n">
        <f aca="false">IF(D81="","",ROUND(SQRT(((D81+G81)*O81/100)^2+(J81*(D81+G81)*0.07872)^2),0))</f>
        <v>17</v>
      </c>
      <c r="U81" s="32"/>
    </row>
    <row r="82" customFormat="false" ht="15" hidden="false" customHeight="false" outlineLevel="0" collapsed="false">
      <c r="A82" s="32" t="s">
        <v>220</v>
      </c>
      <c r="B82" s="32" t="s">
        <v>248</v>
      </c>
      <c r="C82" s="32" t="s">
        <v>161</v>
      </c>
      <c r="D82" s="59" t="n">
        <v>223</v>
      </c>
      <c r="E82" s="59" t="n">
        <v>243</v>
      </c>
      <c r="F82" s="68" t="n">
        <f aca="false">IF(E82="","",D82-E82)</f>
        <v>-20</v>
      </c>
      <c r="G82" s="59" t="n">
        <v>300</v>
      </c>
      <c r="H82" s="59" t="n">
        <v>318</v>
      </c>
      <c r="I82" s="68" t="n">
        <f aca="false">IF(H82="","",G82-H82)</f>
        <v>-18</v>
      </c>
      <c r="J82" s="40" t="n">
        <f aca="false">IF(OR(D82="",D82+G82=0),"",D82/(D82+G82))</f>
        <v>0.426386233269598</v>
      </c>
      <c r="K82" s="40" t="n">
        <f aca="false">IF(E82="","",E82/(E82+H82))</f>
        <v>0.433155080213904</v>
      </c>
      <c r="L82" s="69" t="n">
        <f aca="false">IF(OR(K82="",J82=""),"",(J82-K82)*100)</f>
        <v>-0.67688469443053</v>
      </c>
      <c r="M82" s="36" t="n">
        <v>3.70004258347493</v>
      </c>
      <c r="N82" s="36" t="n">
        <v>1.39767937743113</v>
      </c>
      <c r="O82" s="36" t="n">
        <f aca="false">SQRT(M82^2+N82^2)</f>
        <v>3.9552272705401</v>
      </c>
      <c r="P82" s="40" t="n">
        <f aca="false">IF(J82="","",MAX(0,J82-1.96*O82/100))</f>
        <v>0.348863778767013</v>
      </c>
      <c r="Q82" s="40" t="n">
        <f aca="false">IF(J82="","",MIN(1,J82+1.96*O82/100))</f>
        <v>0.503908687772184</v>
      </c>
      <c r="R82" s="32" t="str">
        <f aca="false">IF(L82="","",IF(ABS(L82)&lt;=O82,"Yes","No"))</f>
        <v>Yes</v>
      </c>
      <c r="S82" s="32" t="str">
        <f aca="false">IF(L82="","",IF(ABS(L82)&lt;=1.96*O82,"Yes","No"))</f>
        <v>Yes</v>
      </c>
      <c r="T82" s="59" t="n">
        <f aca="false">IF(D82="","",ROUND(SQRT(((D82+G82)*O82/100)^2+(J82*(D82+G82)*0.07872)^2),0))</f>
        <v>27</v>
      </c>
      <c r="U82" s="32"/>
    </row>
    <row r="83" customFormat="false" ht="15" hidden="false" customHeight="false" outlineLevel="0" collapsed="false">
      <c r="A83" s="32" t="s">
        <v>220</v>
      </c>
      <c r="B83" s="32" t="s">
        <v>249</v>
      </c>
      <c r="C83" s="32" t="s">
        <v>161</v>
      </c>
      <c r="D83" s="59" t="n">
        <v>966</v>
      </c>
      <c r="E83" s="59" t="n">
        <v>1030</v>
      </c>
      <c r="F83" s="68" t="n">
        <f aca="false">IF(E83="","",D83-E83)</f>
        <v>-64</v>
      </c>
      <c r="G83" s="59" t="n">
        <v>1881</v>
      </c>
      <c r="H83" s="59" t="n">
        <v>2095</v>
      </c>
      <c r="I83" s="68" t="n">
        <f aca="false">IF(H83="","",G83-H83)</f>
        <v>-214</v>
      </c>
      <c r="J83" s="40" t="n">
        <f aca="false">IF(OR(D83="",D83+G83=0),"",D83/(D83+G83))</f>
        <v>0.339304531085353</v>
      </c>
      <c r="K83" s="40" t="n">
        <f aca="false">IF(E83="","",E83/(E83+H83))</f>
        <v>0.3296</v>
      </c>
      <c r="L83" s="69" t="n">
        <f aca="false">IF(OR(K83="",J83=""),"",(J83-K83)*100)</f>
        <v>0.970453108535302</v>
      </c>
      <c r="M83" s="36" t="n">
        <v>1.79260184981807</v>
      </c>
      <c r="N83" s="36" t="n">
        <v>1.39767937743113</v>
      </c>
      <c r="O83" s="36" t="n">
        <f aca="false">SQRT(M83^2+N83^2)</f>
        <v>2.27308799523191</v>
      </c>
      <c r="P83" s="40" t="n">
        <f aca="false">IF(J83="","",MAX(0,J83-1.96*O83/100))</f>
        <v>0.294752006378808</v>
      </c>
      <c r="Q83" s="40" t="n">
        <f aca="false">IF(J83="","",MIN(1,J83+1.96*O83/100))</f>
        <v>0.383857055791898</v>
      </c>
      <c r="R83" s="32" t="str">
        <f aca="false">IF(L83="","",IF(ABS(L83)&lt;=O83,"Yes","No"))</f>
        <v>Yes</v>
      </c>
      <c r="S83" s="32" t="str">
        <f aca="false">IF(L83="","",IF(ABS(L83)&lt;=1.96*O83,"Yes","No"))</f>
        <v>Yes</v>
      </c>
      <c r="T83" s="59" t="n">
        <f aca="false">IF(D83="","",ROUND(SQRT(((D83+G83)*O83/100)^2+(J83*(D83+G83)*0.04942)^2),0))</f>
        <v>80</v>
      </c>
      <c r="U83" s="32"/>
    </row>
    <row r="84" customFormat="false" ht="15" hidden="false" customHeight="false" outlineLevel="0" collapsed="false">
      <c r="A84" s="32" t="s">
        <v>220</v>
      </c>
      <c r="B84" s="32" t="s">
        <v>250</v>
      </c>
      <c r="C84" s="32" t="s">
        <v>161</v>
      </c>
      <c r="D84" s="59" t="n">
        <v>1395</v>
      </c>
      <c r="E84" s="59" t="n">
        <v>1575</v>
      </c>
      <c r="F84" s="68" t="n">
        <f aca="false">IF(E84="","",D84-E84)</f>
        <v>-180</v>
      </c>
      <c r="G84" s="59" t="n">
        <v>1392</v>
      </c>
      <c r="H84" s="59" t="n">
        <v>1588</v>
      </c>
      <c r="I84" s="68" t="n">
        <f aca="false">IF(H84="","",G84-H84)</f>
        <v>-196</v>
      </c>
      <c r="J84" s="40" t="n">
        <f aca="false">IF(OR(D84="",D84+G84=0),"",D84/(D84+G84))</f>
        <v>0.5005382131324</v>
      </c>
      <c r="K84" s="40" t="n">
        <f aca="false">IF(E84="","",E84/(E84+H84))</f>
        <v>0.497944988934556</v>
      </c>
      <c r="L84" s="69" t="n">
        <f aca="false">IF(OR(K84="",J84=""),"",(J84-K84)*100)</f>
        <v>0.259322419784463</v>
      </c>
      <c r="M84" s="36" t="n">
        <v>1.79260184981807</v>
      </c>
      <c r="N84" s="36" t="n">
        <v>1.39767937743113</v>
      </c>
      <c r="O84" s="36" t="n">
        <f aca="false">SQRT(M84^2+N84^2)</f>
        <v>2.27308799523191</v>
      </c>
      <c r="P84" s="40" t="n">
        <f aca="false">IF(J84="","",MAX(0,J84-1.96*O84/100))</f>
        <v>0.455985688425855</v>
      </c>
      <c r="Q84" s="40" t="n">
        <f aca="false">IF(J84="","",MIN(1,J84+1.96*O84/100))</f>
        <v>0.545090737838946</v>
      </c>
      <c r="R84" s="32" t="str">
        <f aca="false">IF(L84="","",IF(ABS(L84)&lt;=O84,"Yes","No"))</f>
        <v>Yes</v>
      </c>
      <c r="S84" s="32" t="str">
        <f aca="false">IF(L84="","",IF(ABS(L84)&lt;=1.96*O84,"Yes","No"))</f>
        <v>Yes</v>
      </c>
      <c r="T84" s="59" t="n">
        <f aca="false">IF(D84="","",ROUND(SQRT(((D84+G84)*O84/100)^2+(J84*(D84+G84)*0.04942)^2),0))</f>
        <v>94</v>
      </c>
      <c r="U84" s="32"/>
    </row>
    <row r="85" customFormat="false" ht="15" hidden="false" customHeight="false" outlineLevel="0" collapsed="false">
      <c r="A85" s="32" t="s">
        <v>220</v>
      </c>
      <c r="B85" s="32" t="s">
        <v>251</v>
      </c>
      <c r="C85" s="32" t="s">
        <v>161</v>
      </c>
      <c r="D85" s="59" t="n">
        <v>271</v>
      </c>
      <c r="E85" s="59" t="n">
        <v>305</v>
      </c>
      <c r="F85" s="68" t="n">
        <f aca="false">IF(E85="","",D85-E85)</f>
        <v>-34</v>
      </c>
      <c r="G85" s="59" t="n">
        <v>395</v>
      </c>
      <c r="H85" s="59" t="n">
        <v>419</v>
      </c>
      <c r="I85" s="68" t="n">
        <f aca="false">IF(H85="","",G85-H85)</f>
        <v>-24</v>
      </c>
      <c r="J85" s="40" t="n">
        <f aca="false">IF(OR(D85="",D85+G85=0),"",D85/(D85+G85))</f>
        <v>0.406906906906907</v>
      </c>
      <c r="K85" s="40" t="n">
        <f aca="false">IF(E85="","",E85/(E85+H85))</f>
        <v>0.421270718232044</v>
      </c>
      <c r="L85" s="69" t="n">
        <f aca="false">IF(OR(K85="",J85=""),"",(J85-K85)*100)</f>
        <v>-1.43638113251373</v>
      </c>
      <c r="M85" s="36" t="n">
        <v>3.70004258347493</v>
      </c>
      <c r="N85" s="36" t="n">
        <v>1.39767937743113</v>
      </c>
      <c r="O85" s="36" t="n">
        <f aca="false">SQRT(M85^2+N85^2)</f>
        <v>3.9552272705401</v>
      </c>
      <c r="P85" s="40" t="n">
        <f aca="false">IF(J85="","",MAX(0,J85-1.96*O85/100))</f>
        <v>0.329384452404321</v>
      </c>
      <c r="Q85" s="40" t="n">
        <f aca="false">IF(J85="","",MIN(1,J85+1.96*O85/100))</f>
        <v>0.484429361409493</v>
      </c>
      <c r="R85" s="32" t="str">
        <f aca="false">IF(L85="","",IF(ABS(L85)&lt;=O85,"Yes","No"))</f>
        <v>Yes</v>
      </c>
      <c r="S85" s="32" t="str">
        <f aca="false">IF(L85="","",IF(ABS(L85)&lt;=1.96*O85,"Yes","No"))</f>
        <v>Yes</v>
      </c>
      <c r="T85" s="59" t="n">
        <f aca="false">IF(D85="","",ROUND(SQRT(((D85+G85)*O85/100)^2+(J85*(D85+G85)*0.07872)^2),0))</f>
        <v>34</v>
      </c>
      <c r="U85" s="32"/>
    </row>
    <row r="86" customFormat="false" ht="15" hidden="false" customHeight="false" outlineLevel="0" collapsed="false">
      <c r="A86" s="32" t="s">
        <v>220</v>
      </c>
      <c r="B86" s="32" t="s">
        <v>212</v>
      </c>
      <c r="C86" s="32" t="s">
        <v>161</v>
      </c>
      <c r="D86" s="59" t="n">
        <v>732</v>
      </c>
      <c r="E86" s="59" t="n">
        <v>840</v>
      </c>
      <c r="F86" s="68" t="n">
        <f aca="false">IF(E86="","",D86-E86)</f>
        <v>-108</v>
      </c>
      <c r="G86" s="59" t="n">
        <v>1307</v>
      </c>
      <c r="H86" s="59" t="n">
        <v>1533</v>
      </c>
      <c r="I86" s="68" t="n">
        <f aca="false">IF(H86="","",G86-H86)</f>
        <v>-226</v>
      </c>
      <c r="J86" s="40" t="n">
        <f aca="false">IF(OR(D86="",D86+G86=0),"",D86/(D86+G86))</f>
        <v>0.358999509563512</v>
      </c>
      <c r="K86" s="40" t="n">
        <f aca="false">IF(E86="","",E86/(E86+H86))</f>
        <v>0.353982300884956</v>
      </c>
      <c r="L86" s="69" t="n">
        <f aca="false">IF(OR(K86="",J86=""),"",(J86-K86)*100)</f>
        <v>0.501720867855576</v>
      </c>
      <c r="M86" s="36" t="n">
        <v>2.38316917418702</v>
      </c>
      <c r="N86" s="36" t="n">
        <v>1.39767937743113</v>
      </c>
      <c r="O86" s="36" t="n">
        <f aca="false">SQRT(M86^2+N86^2)</f>
        <v>2.76278898124549</v>
      </c>
      <c r="P86" s="40" t="n">
        <f aca="false">IF(J86="","",MAX(0,J86-1.96*O86/100))</f>
        <v>0.3048488455311</v>
      </c>
      <c r="Q86" s="40" t="n">
        <f aca="false">IF(J86="","",MIN(1,J86+1.96*O86/100))</f>
        <v>0.413150173595923</v>
      </c>
      <c r="R86" s="32" t="str">
        <f aca="false">IF(L86="","",IF(ABS(L86)&lt;=O86,"Yes","No"))</f>
        <v>Yes</v>
      </c>
      <c r="S86" s="32" t="str">
        <f aca="false">IF(L86="","",IF(ABS(L86)&lt;=1.96*O86,"Yes","No"))</f>
        <v>Yes</v>
      </c>
      <c r="T86" s="59" t="n">
        <f aca="false">IF(D86="","",ROUND(SQRT(((D86+G86)*O86/100)^2+(J86*(D86+G86)*0.05883)^2),0))</f>
        <v>71</v>
      </c>
      <c r="U86" s="32"/>
    </row>
    <row r="87" customFormat="false" ht="15" hidden="false" customHeight="false" outlineLevel="0" collapsed="false">
      <c r="A87" s="32" t="s">
        <v>220</v>
      </c>
      <c r="B87" s="32" t="s">
        <v>252</v>
      </c>
      <c r="C87" s="32" t="s">
        <v>161</v>
      </c>
      <c r="D87" s="59" t="n">
        <v>180</v>
      </c>
      <c r="E87" s="59" t="n">
        <v>199</v>
      </c>
      <c r="F87" s="68" t="n">
        <f aca="false">IF(E87="","",D87-E87)</f>
        <v>-19</v>
      </c>
      <c r="G87" s="59" t="n">
        <v>188</v>
      </c>
      <c r="H87" s="59" t="n">
        <v>215</v>
      </c>
      <c r="I87" s="68" t="n">
        <f aca="false">IF(H87="","",G87-H87)</f>
        <v>-27</v>
      </c>
      <c r="J87" s="40" t="n">
        <f aca="false">IF(OR(D87="",D87+G87=0),"",D87/(D87+G87))</f>
        <v>0.489130434782609</v>
      </c>
      <c r="K87" s="40" t="n">
        <f aca="false">IF(E87="","",E87/(E87+H87))</f>
        <v>0.480676328502416</v>
      </c>
      <c r="L87" s="69" t="n">
        <f aca="false">IF(OR(K87="",J87=""),"",(J87-K87)*100)</f>
        <v>0.845410628019322</v>
      </c>
      <c r="M87" s="36" t="n">
        <v>3.70004258347493</v>
      </c>
      <c r="N87" s="36" t="n">
        <v>1.39767937743113</v>
      </c>
      <c r="O87" s="36" t="n">
        <f aca="false">SQRT(M87^2+N87^2)</f>
        <v>3.9552272705401</v>
      </c>
      <c r="P87" s="40" t="n">
        <f aca="false">IF(J87="","",MAX(0,J87-1.96*O87/100))</f>
        <v>0.411607980280023</v>
      </c>
      <c r="Q87" s="40" t="n">
        <f aca="false">IF(J87="","",MIN(1,J87+1.96*O87/100))</f>
        <v>0.566652889285195</v>
      </c>
      <c r="R87" s="32" t="str">
        <f aca="false">IF(L87="","",IF(ABS(L87)&lt;=O87,"Yes","No"))</f>
        <v>Yes</v>
      </c>
      <c r="S87" s="32" t="str">
        <f aca="false">IF(L87="","",IF(ABS(L87)&lt;=1.96*O87,"Yes","No"))</f>
        <v>Yes</v>
      </c>
      <c r="T87" s="59" t="n">
        <f aca="false">IF(D87="","",ROUND(SQRT(((D87+G87)*O87/100)^2+(J87*(D87+G87)*0.07872)^2),0))</f>
        <v>20</v>
      </c>
      <c r="U87" s="32"/>
    </row>
    <row r="88" customFormat="false" ht="15" hidden="false" customHeight="false" outlineLevel="0" collapsed="false">
      <c r="A88" s="32" t="s">
        <v>220</v>
      </c>
      <c r="B88" s="32" t="s">
        <v>253</v>
      </c>
      <c r="C88" s="32" t="s">
        <v>161</v>
      </c>
      <c r="D88" s="59" t="n">
        <v>1337</v>
      </c>
      <c r="E88" s="59" t="n">
        <v>1456</v>
      </c>
      <c r="F88" s="68" t="n">
        <f aca="false">IF(E88="","",D88-E88)</f>
        <v>-119</v>
      </c>
      <c r="G88" s="59" t="n">
        <v>1714</v>
      </c>
      <c r="H88" s="59" t="n">
        <v>1860</v>
      </c>
      <c r="I88" s="68" t="n">
        <f aca="false">IF(H88="","",G88-H88)</f>
        <v>-146</v>
      </c>
      <c r="J88" s="40" t="n">
        <f aca="false">IF(OR(D88="",D88+G88=0),"",D88/(D88+G88))</f>
        <v>0.438216978039987</v>
      </c>
      <c r="K88" s="40" t="n">
        <f aca="false">IF(E88="","",E88/(E88+H88))</f>
        <v>0.439083232810615</v>
      </c>
      <c r="L88" s="69" t="n">
        <f aca="false">IF(OR(K88="",J88=""),"",(J88-K88)*100)</f>
        <v>-0.0866254770628294</v>
      </c>
      <c r="M88" s="36" t="n">
        <v>1.79260184981807</v>
      </c>
      <c r="N88" s="36" t="n">
        <v>1.39767937743113</v>
      </c>
      <c r="O88" s="36" t="n">
        <f aca="false">SQRT(M88^2+N88^2)</f>
        <v>2.27308799523191</v>
      </c>
      <c r="P88" s="40" t="n">
        <f aca="false">IF(J88="","",MAX(0,J88-1.96*O88/100))</f>
        <v>0.393664453333441</v>
      </c>
      <c r="Q88" s="40" t="n">
        <f aca="false">IF(J88="","",MIN(1,J88+1.96*O88/100))</f>
        <v>0.482769502746532</v>
      </c>
      <c r="R88" s="32" t="str">
        <f aca="false">IF(L88="","",IF(ABS(L88)&lt;=O88,"Yes","No"))</f>
        <v>Yes</v>
      </c>
      <c r="S88" s="32" t="str">
        <f aca="false">IF(L88="","",IF(ABS(L88)&lt;=1.96*O88,"Yes","No"))</f>
        <v>Yes</v>
      </c>
      <c r="T88" s="59" t="n">
        <f aca="false">IF(D88="","",ROUND(SQRT(((D88+G88)*O88/100)^2+(J88*(D88+G88)*0.04942)^2),0))</f>
        <v>96</v>
      </c>
      <c r="U88" s="32"/>
    </row>
    <row r="89" customFormat="false" ht="15" hidden="false" customHeight="false" outlineLevel="0" collapsed="false">
      <c r="A89" s="32" t="s">
        <v>220</v>
      </c>
      <c r="B89" s="32" t="s">
        <v>254</v>
      </c>
      <c r="C89" s="32" t="s">
        <v>161</v>
      </c>
      <c r="D89" s="59" t="n">
        <v>1253</v>
      </c>
      <c r="E89" s="59" t="n">
        <v>1340</v>
      </c>
      <c r="F89" s="68" t="n">
        <f aca="false">IF(E89="","",D89-E89)</f>
        <v>-87</v>
      </c>
      <c r="G89" s="59" t="n">
        <v>875</v>
      </c>
      <c r="H89" s="59" t="n">
        <v>953</v>
      </c>
      <c r="I89" s="68" t="n">
        <f aca="false">IF(H89="","",G89-H89)</f>
        <v>-78</v>
      </c>
      <c r="J89" s="40" t="n">
        <f aca="false">IF(OR(D89="",D89+G89=0),"",D89/(D89+G89))</f>
        <v>0.588815789473684</v>
      </c>
      <c r="K89" s="40" t="n">
        <f aca="false">IF(E89="","",E89/(E89+H89))</f>
        <v>0.584387265590929</v>
      </c>
      <c r="L89" s="69" t="n">
        <f aca="false">IF(OR(K89="",J89=""),"",(J89-K89)*100)</f>
        <v>0.442852388275528</v>
      </c>
      <c r="M89" s="36" t="n">
        <v>2.38316917418702</v>
      </c>
      <c r="N89" s="36" t="n">
        <v>1.39767937743113</v>
      </c>
      <c r="O89" s="36" t="n">
        <f aca="false">SQRT(M89^2+N89^2)</f>
        <v>2.76278898124549</v>
      </c>
      <c r="P89" s="40" t="n">
        <f aca="false">IF(J89="","",MAX(0,J89-1.96*O89/100))</f>
        <v>0.534665125441273</v>
      </c>
      <c r="Q89" s="40" t="n">
        <f aca="false">IF(J89="","",MIN(1,J89+1.96*O89/100))</f>
        <v>0.642966453506096</v>
      </c>
      <c r="R89" s="32" t="str">
        <f aca="false">IF(L89="","",IF(ABS(L89)&lt;=O89,"Yes","No"))</f>
        <v>Yes</v>
      </c>
      <c r="S89" s="32" t="str">
        <f aca="false">IF(L89="","",IF(ABS(L89)&lt;=1.96*O89,"Yes","No"))</f>
        <v>Yes</v>
      </c>
      <c r="T89" s="59" t="n">
        <f aca="false">IF(D89="","",ROUND(SQRT(((D89+G89)*O89/100)^2+(J89*(D89+G89)*0.05883)^2),0))</f>
        <v>94</v>
      </c>
      <c r="U89" s="32"/>
    </row>
    <row r="90" customFormat="false" ht="15" hidden="false" customHeight="false" outlineLevel="0" collapsed="false">
      <c r="A90" s="32" t="s">
        <v>220</v>
      </c>
      <c r="B90" s="32" t="s">
        <v>255</v>
      </c>
      <c r="C90" s="32" t="s">
        <v>161</v>
      </c>
      <c r="D90" s="59" t="n">
        <v>415</v>
      </c>
      <c r="E90" s="59" t="n">
        <v>494</v>
      </c>
      <c r="F90" s="68" t="n">
        <f aca="false">IF(E90="","",D90-E90)</f>
        <v>-79</v>
      </c>
      <c r="G90" s="59" t="n">
        <v>552</v>
      </c>
      <c r="H90" s="59" t="n">
        <v>601</v>
      </c>
      <c r="I90" s="68" t="n">
        <f aca="false">IF(H90="","",G90-H90)</f>
        <v>-49</v>
      </c>
      <c r="J90" s="40" t="n">
        <f aca="false">IF(OR(D90="",D90+G90=0),"",D90/(D90+G90))</f>
        <v>0.429162357807653</v>
      </c>
      <c r="K90" s="40" t="n">
        <f aca="false">IF(E90="","",E90/(E90+H90))</f>
        <v>0.451141552511416</v>
      </c>
      <c r="L90" s="69" t="n">
        <f aca="false">IF(OR(K90="",J90=""),"",(J90-K90)*100)</f>
        <v>-2.1979194703763</v>
      </c>
      <c r="M90" s="36" t="n">
        <v>3.70004258347493</v>
      </c>
      <c r="N90" s="36" t="n">
        <v>1.39767937743113</v>
      </c>
      <c r="O90" s="36" t="n">
        <f aca="false">SQRT(M90^2+N90^2)</f>
        <v>3.9552272705401</v>
      </c>
      <c r="P90" s="40" t="n">
        <f aca="false">IF(J90="","",MAX(0,J90-1.96*O90/100))</f>
        <v>0.351639903305067</v>
      </c>
      <c r="Q90" s="40" t="n">
        <f aca="false">IF(J90="","",MIN(1,J90+1.96*O90/100))</f>
        <v>0.506684812310239</v>
      </c>
      <c r="R90" s="32" t="str">
        <f aca="false">IF(L90="","",IF(ABS(L90)&lt;=O90,"Yes","No"))</f>
        <v>Yes</v>
      </c>
      <c r="S90" s="32" t="str">
        <f aca="false">IF(L90="","",IF(ABS(L90)&lt;=1.96*O90,"Yes","No"))</f>
        <v>Yes</v>
      </c>
      <c r="T90" s="59" t="n">
        <f aca="false">IF(D90="","",ROUND(SQRT(((D90+G90)*O90/100)^2+(J90*(D90+G90)*0.07872)^2),0))</f>
        <v>50</v>
      </c>
      <c r="U90" s="32"/>
    </row>
    <row r="92" customFormat="false" ht="15" hidden="false" customHeight="false" outlineLevel="0" collapsed="false">
      <c r="A92" s="20" t="s">
        <v>383</v>
      </c>
      <c r="B92" s="70"/>
      <c r="C92" s="70"/>
      <c r="D92" s="71" t="n">
        <f aca="false">SUMIF(E2:E90,"&lt;&gt;",D2:D90)</f>
        <v>144498</v>
      </c>
      <c r="E92" s="71" t="n">
        <f aca="false">SUM(E2:E90)</f>
        <v>151364</v>
      </c>
      <c r="F92" s="72" t="n">
        <f aca="false">D92-E92</f>
        <v>-6866</v>
      </c>
      <c r="G92" s="71" t="n">
        <f aca="false">SUMIF(H2:H90,"&lt;&gt;",G2:G90)</f>
        <v>134549</v>
      </c>
      <c r="H92" s="71" t="n">
        <f aca="false">SUM(H2:H90)</f>
        <v>145527</v>
      </c>
      <c r="I92" s="72" t="n">
        <f aca="false">G92-H92</f>
        <v>-10978</v>
      </c>
      <c r="J92" s="73" t="n">
        <f aca="false">D92/(D92+G92)</f>
        <v>0.517826746032031</v>
      </c>
      <c r="K92" s="73" t="n">
        <f aca="false">E92/(E92+H92)</f>
        <v>0.509830207045683</v>
      </c>
      <c r="L92" s="74" t="n">
        <f aca="false">(J92-K92)*100</f>
        <v>0.799653898634711</v>
      </c>
      <c r="M92" s="75" t="n">
        <v>0</v>
      </c>
      <c r="N92" s="75" t="n">
        <v>1.39767937743113</v>
      </c>
      <c r="O92" s="75" t="n">
        <f aca="false">SQRT(M92^2+N92^2)</f>
        <v>1.39767937743113</v>
      </c>
      <c r="P92" s="73" t="n">
        <f aca="false">J92-1.96*O92/100</f>
        <v>0.49043223023438</v>
      </c>
      <c r="Q92" s="73" t="n">
        <f aca="false">J92+1.96*O92/100</f>
        <v>0.545221261829681</v>
      </c>
      <c r="R92" s="70" t="str">
        <f aca="false">IF(ABS(L92)&lt;=O92,"Yes","No")</f>
        <v>Yes</v>
      </c>
      <c r="S92" s="70" t="str">
        <f aca="false">IF(ABS(L92)&lt;=1.96*O92,"Yes","No")</f>
        <v>Yes</v>
      </c>
      <c r="T92" s="71" t="n">
        <f aca="false">ROUND(SQRT(((D92+G92)*O92/100)^2+(J92*(D92+G92)*0.03653)^2),0)</f>
        <v>6563</v>
      </c>
    </row>
    <row r="93" customFormat="false" ht="15" hidden="false" customHeight="false" outlineLevel="0" collapsed="false">
      <c r="A93" s="20" t="s">
        <v>384</v>
      </c>
      <c r="B93" s="70"/>
      <c r="C93" s="70"/>
      <c r="D93" s="71" t="n">
        <f aca="false">SUM(D2:D90)</f>
        <v>144498</v>
      </c>
      <c r="E93" s="71"/>
      <c r="F93" s="72"/>
      <c r="G93" s="71" t="n">
        <f aca="false">SUM(G2:G90)</f>
        <v>134549</v>
      </c>
      <c r="H93" s="71"/>
      <c r="I93" s="72"/>
      <c r="J93" s="73" t="n">
        <f aca="false">D93/(D93+G93)</f>
        <v>0.517826746032031</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112.314606741573</v>
      </c>
    </row>
    <row r="96" customFormat="false" ht="15" hidden="false" customHeight="false" outlineLevel="0" collapsed="false">
      <c r="A96" s="2" t="s">
        <v>386</v>
      </c>
      <c r="F96" s="76" t="n">
        <f aca="false">(SUMIF(I2:I90,"&gt;0")-SUMIF(I2:I90,"&lt;0"))/COUNT(I2:I90)</f>
        <v>143.213483146067</v>
      </c>
    </row>
    <row r="97" customFormat="false" ht="15" hidden="false" customHeight="false" outlineLevel="0" collapsed="false">
      <c r="A97" s="2" t="s">
        <v>387</v>
      </c>
      <c r="F97" s="77" t="n">
        <f aca="false">(SUMIF(L2:L90,"&gt;0")-SUMIF(L2:L90,"&lt;0"))/COUNT(L2:L90)</f>
        <v>1.76681117847514</v>
      </c>
    </row>
    <row r="98" customFormat="false" ht="15" hidden="false" customHeight="false" outlineLevel="0" collapsed="false">
      <c r="A98" s="5" t="s">
        <v>388</v>
      </c>
      <c r="F98" s="78" t="n">
        <f aca="false">SQRT(SUMSQ(L2:L90)/COUNT(L2:L90))</f>
        <v>2.31985970928077</v>
      </c>
    </row>
    <row r="99" customFormat="false" ht="15" hidden="false" customHeight="false" outlineLevel="0" collapsed="false">
      <c r="A99" s="5" t="s">
        <v>389</v>
      </c>
      <c r="F99" s="79" t="n">
        <f aca="false">L92</f>
        <v>0.799653898634711</v>
      </c>
    </row>
    <row r="100" customFormat="false" ht="15" hidden="false" customHeight="false" outlineLevel="0" collapsed="false">
      <c r="A100" s="5" t="s">
        <v>390</v>
      </c>
      <c r="F100" s="78" t="n">
        <f aca="false">SQRT((SUMSQ(L2:L90)-2*L92*SUM(L2:L90)+COUNT(L2:L90)*L92^2)/COUNT(L2:L90))</f>
        <v>2.40812312354176</v>
      </c>
    </row>
    <row r="101" customFormat="false" ht="15" hidden="false" customHeight="false" outlineLevel="0" collapsed="false">
      <c r="A101" s="2" t="s">
        <v>391</v>
      </c>
      <c r="F101" s="80" t="n">
        <f aca="false">D92/E92-1</f>
        <v>-0.0453608519859412</v>
      </c>
    </row>
    <row r="102" customFormat="false" ht="15" hidden="false" customHeight="false" outlineLevel="0" collapsed="false">
      <c r="A102" s="5" t="s">
        <v>392</v>
      </c>
      <c r="F102" s="81" t="n">
        <f aca="false">G92/H92-1</f>
        <v>-0.0754361733561469</v>
      </c>
    </row>
    <row r="103" customFormat="false" ht="15" hidden="false" customHeight="false" outlineLevel="0" collapsed="false">
      <c r="A103" s="2" t="s">
        <v>393</v>
      </c>
      <c r="F103" s="80" t="n">
        <f aca="false">(D92+G92)/(E92+H92)-1</f>
        <v>-0.0601028660350095</v>
      </c>
    </row>
    <row r="104" customFormat="false" ht="15" hidden="false" customHeight="false" outlineLevel="0" collapsed="false">
      <c r="A104" s="2" t="s">
        <v>394</v>
      </c>
      <c r="F104" s="77" t="n">
        <f aca="false">AVERAGE(O2:O90)</f>
        <v>2.99966672392449</v>
      </c>
    </row>
    <row r="105" customFormat="false" ht="15" hidden="false" customHeight="false" outlineLevel="0" collapsed="false">
      <c r="A105" s="5" t="s">
        <v>395</v>
      </c>
      <c r="F105" s="82" t="n">
        <f aca="false">COUNTIF(R2:R90,"Yes")/(COUNTIF(R2:R90,"Yes")+COUNTIF(R2:R90,"No"))</f>
        <v>0.820224719101124</v>
      </c>
    </row>
    <row r="106" customFormat="false" ht="15" hidden="false" customHeight="false" outlineLevel="0" collapsed="false">
      <c r="A106" s="5" t="s">
        <v>396</v>
      </c>
      <c r="F106" s="82" t="n">
        <f aca="false">COUNTIF(S2:S90,"Yes")/(COUNTIF(S2:S90,"Yes")+COUNTIF(S2:S90,"No"))</f>
        <v>0.98876404494382</v>
      </c>
    </row>
    <row r="107" customFormat="false" ht="15" hidden="false" customHeight="false" outlineLevel="0" collapsed="false">
      <c r="A107" s="2" t="s">
        <v>397</v>
      </c>
      <c r="F107" s="83" t="n">
        <f aca="false">COUNTIFS(L2:L90,"&gt;=-3",L2:L90,"&lt;=3")/COUNT(L2:L90)</f>
        <v>0.853932584269663</v>
      </c>
    </row>
    <row r="108" customFormat="false" ht="15" hidden="false" customHeight="false" outlineLevel="0" collapsed="false">
      <c r="A108" s="2" t="s">
        <v>421</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-9097.41021452317</v>
      </c>
    </row>
    <row r="112" customFormat="false" ht="15" hidden="false" customHeight="false" outlineLevel="0" collapsed="false">
      <c r="A112" s="2" t="s">
        <v>402</v>
      </c>
      <c r="F112" s="85" t="n">
        <f aca="false">F92-((D92+G92)-(E92+H92))*K92</f>
        <v>2231.41021452317</v>
      </c>
    </row>
    <row r="113" customFormat="false" ht="15" hidden="false" customHeight="false" outlineLevel="0" collapsed="false">
      <c r="A113" s="2" t="s">
        <v>403</v>
      </c>
      <c r="F113" s="85" t="n">
        <f aca="false">((D92+G92)-(E92+H92))*(1-K92)</f>
        <v>-8746.58978547683</v>
      </c>
    </row>
    <row r="114" customFormat="false" ht="15" hidden="false" customHeight="false" outlineLevel="0" collapsed="false">
      <c r="A114" s="2" t="s">
        <v>404</v>
      </c>
      <c r="F114" s="85" t="n">
        <f aca="false">I92-((D92+G92)-(E92+H92))*(1-K92)</f>
        <v>-2231.41021452317</v>
      </c>
    </row>
    <row r="115" customFormat="false" ht="15" hidden="false" customHeight="false" outlineLevel="0" collapsed="false">
      <c r="A115" s="2" t="s">
        <v>405</v>
      </c>
      <c r="F115" s="80" t="n">
        <f aca="false">(F92-((D92+G92)-(E92+H92))*K92)/E92</f>
        <v>0.0147420140490683</v>
      </c>
    </row>
    <row r="116" customFormat="false" ht="15" hidden="false" customHeight="false" outlineLevel="0" collapsed="false">
      <c r="A116" s="2" t="s">
        <v>406</v>
      </c>
      <c r="F116" s="80" t="n">
        <f aca="false">(I92-((D92+G92)-(E92+H92))*(1-K92))/H92</f>
        <v>-0.0153333073211375</v>
      </c>
    </row>
    <row r="118" customFormat="false" ht="15" hidden="false" customHeight="false" outlineLevel="0" collapsed="false">
      <c r="U118" s="5" t="s">
        <v>136</v>
      </c>
    </row>
    <row r="119" customFormat="false" ht="28.35" hidden="false" customHeight="false" outlineLevel="0" collapsed="false">
      <c r="U119" s="67" t="s">
        <v>422</v>
      </c>
    </row>
    <row r="120" customFormat="false" ht="15" hidden="false" customHeight="false" outlineLevel="0" collapsed="false">
      <c r="U120" s="67" t="s">
        <v>408</v>
      </c>
    </row>
    <row r="121" customFormat="false" ht="41.75" hidden="false" customHeight="false" outlineLevel="0" collapsed="false">
      <c r="U121" s="67" t="s">
        <v>417</v>
      </c>
    </row>
    <row r="122" customFormat="false" ht="15" hidden="false" customHeight="false" outlineLevel="0" collapsed="false">
      <c r="U122" s="67" t="s">
        <v>424</v>
      </c>
    </row>
    <row r="123" customFormat="false" ht="41.75" hidden="false" customHeight="false" outlineLevel="0" collapsed="false">
      <c r="U123" s="67" t="s">
        <v>425</v>
      </c>
    </row>
    <row r="124" customFormat="false" ht="28.35" hidden="false" customHeight="false" outlineLevel="0" collapsed="false">
      <c r="U124" s="67" t="s">
        <v>426</v>
      </c>
    </row>
    <row r="125" customFormat="false" ht="28.35" hidden="false" customHeight="false" outlineLevel="0" collapsed="false">
      <c r="U125" s="67" t="s">
        <v>413</v>
      </c>
    </row>
    <row r="126" customFormat="false" ht="41.75" hidden="false" customHeight="false" outlineLevel="0" collapsed="false">
      <c r="U126" s="67" t="s">
        <v>427</v>
      </c>
    </row>
    <row r="127" customFormat="false" ht="15" hidden="false" customHeight="false" outlineLevel="0" collapsed="false">
      <c r="U127" s="67" t="s">
        <v>428</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418</v>
      </c>
      <c r="H1" s="8" t="s">
        <v>370</v>
      </c>
      <c r="I1" s="8" t="s">
        <v>371</v>
      </c>
      <c r="J1" s="8" t="s">
        <v>372</v>
      </c>
      <c r="K1" s="8" t="s">
        <v>373</v>
      </c>
      <c r="L1" s="8" t="s">
        <v>374</v>
      </c>
      <c r="M1" s="8" t="s">
        <v>430</v>
      </c>
      <c r="N1" s="8" t="s">
        <v>431</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208</v>
      </c>
      <c r="E2" s="59" t="n">
        <v>171</v>
      </c>
      <c r="F2" s="68" t="n">
        <f aca="false">IF(E2="","",D2-E2)</f>
        <v>37</v>
      </c>
      <c r="G2" s="59" t="n">
        <v>328</v>
      </c>
      <c r="H2" s="59" t="n">
        <v>332</v>
      </c>
      <c r="I2" s="68" t="n">
        <f aca="false">IF(H2="","",G2-H2)</f>
        <v>-4</v>
      </c>
      <c r="J2" s="40" t="n">
        <f aca="false">IF(OR(D2="",D2+G2=0),"",D2/(D2+G2))</f>
        <v>0.388059701492537</v>
      </c>
      <c r="K2" s="40" t="n">
        <f aca="false">IF(E2="","",E2/(E2+H2))</f>
        <v>0.339960238568589</v>
      </c>
      <c r="L2" s="69" t="n">
        <f aca="false">IF(OR(K2="",J2=""),"",(J2-K2)*100)</f>
        <v>4.80994629239488</v>
      </c>
      <c r="M2" s="36" t="n">
        <v>3.50906161007311</v>
      </c>
      <c r="N2" s="36" t="n">
        <v>1.35464561784055</v>
      </c>
      <c r="O2" s="36" t="n">
        <f aca="false">SQRT(M2^2+N2^2)</f>
        <v>3.76145957484903</v>
      </c>
      <c r="P2" s="40" t="n">
        <f aca="false">IF(J2="","",MAX(0,J2-1.96*O2/100))</f>
        <v>0.314335093825496</v>
      </c>
      <c r="Q2" s="40" t="n">
        <f aca="false">IF(J2="","",MIN(1,J2+1.96*O2/100))</f>
        <v>0.461784309159578</v>
      </c>
      <c r="R2" s="32" t="str">
        <f aca="false">IF(L2="","",IF(ABS(L2)&lt;=O2,"Yes","No"))</f>
        <v>No</v>
      </c>
      <c r="S2" s="32" t="str">
        <f aca="false">IF(L2="","",IF(ABS(L2)&lt;=1.96*O2,"Yes","No"))</f>
        <v>Yes</v>
      </c>
      <c r="T2" s="59" t="n">
        <f aca="false">IF(D2="","",ROUND(SQRT(((D2+G2)*O2/100)^2+(J2*(D2+G2)*0.09092)^2),0))</f>
        <v>28</v>
      </c>
      <c r="U2" s="32" t="s">
        <v>432</v>
      </c>
    </row>
    <row r="3" customFormat="false" ht="15" hidden="false" customHeight="false" outlineLevel="0" collapsed="false">
      <c r="A3" s="32" t="s">
        <v>159</v>
      </c>
      <c r="B3" s="32" t="s">
        <v>165</v>
      </c>
      <c r="C3" s="32" t="s">
        <v>161</v>
      </c>
      <c r="D3" s="59" t="n">
        <v>130</v>
      </c>
      <c r="E3" s="59" t="n">
        <v>100</v>
      </c>
      <c r="F3" s="68" t="n">
        <f aca="false">IF(E3="","",D3-E3)</f>
        <v>30</v>
      </c>
      <c r="G3" s="59" t="n">
        <v>287</v>
      </c>
      <c r="H3" s="59" t="n">
        <v>303</v>
      </c>
      <c r="I3" s="68" t="n">
        <f aca="false">IF(H3="","",G3-H3)</f>
        <v>-16</v>
      </c>
      <c r="J3" s="40" t="n">
        <f aca="false">IF(OR(D3="",D3+G3=0),"",D3/(D3+G3))</f>
        <v>0.311750599520384</v>
      </c>
      <c r="K3" s="40" t="n">
        <f aca="false">IF(E3="","",E3/(E3+H3))</f>
        <v>0.248138957816377</v>
      </c>
      <c r="L3" s="69" t="n">
        <f aca="false">IF(OR(K3="",J3=""),"",(J3-K3)*100)</f>
        <v>6.36116417040065</v>
      </c>
      <c r="M3" s="36" t="n">
        <v>3.50906161007311</v>
      </c>
      <c r="N3" s="36" t="n">
        <v>1.35464561784055</v>
      </c>
      <c r="O3" s="36" t="n">
        <f aca="false">SQRT(M3^2+N3^2)</f>
        <v>3.76145957484903</v>
      </c>
      <c r="P3" s="40" t="n">
        <f aca="false">IF(J3="","",MAX(0,J3-1.96*O3/100))</f>
        <v>0.238025991853343</v>
      </c>
      <c r="Q3" s="40" t="n">
        <f aca="false">IF(J3="","",MIN(1,J3+1.96*O3/100))</f>
        <v>0.385475207187425</v>
      </c>
      <c r="R3" s="32" t="str">
        <f aca="false">IF(L3="","",IF(ABS(L3)&lt;=O3,"Yes","No"))</f>
        <v>No</v>
      </c>
      <c r="S3" s="32" t="str">
        <f aca="false">IF(L3="","",IF(ABS(L3)&lt;=1.96*O3,"Yes","No"))</f>
        <v>Yes</v>
      </c>
      <c r="T3" s="59" t="n">
        <f aca="false">IF(D3="","",ROUND(SQRT(((D3+G3)*O3/100)^2+(J3*(D3+G3)*0.09092)^2),0))</f>
        <v>20</v>
      </c>
      <c r="U3" s="32" t="s">
        <v>432</v>
      </c>
    </row>
    <row r="4" customFormat="false" ht="15" hidden="false" customHeight="false" outlineLevel="0" collapsed="false">
      <c r="A4" s="32" t="s">
        <v>159</v>
      </c>
      <c r="B4" s="32" t="s">
        <v>166</v>
      </c>
      <c r="C4" s="32" t="s">
        <v>161</v>
      </c>
      <c r="D4" s="59" t="n">
        <v>173</v>
      </c>
      <c r="E4" s="59" t="n">
        <v>111</v>
      </c>
      <c r="F4" s="68" t="n">
        <f aca="false">IF(E4="","",D4-E4)</f>
        <v>62</v>
      </c>
      <c r="G4" s="59" t="n">
        <v>309</v>
      </c>
      <c r="H4" s="59" t="n">
        <v>317</v>
      </c>
      <c r="I4" s="68" t="n">
        <f aca="false">IF(H4="","",G4-H4)</f>
        <v>-8</v>
      </c>
      <c r="J4" s="40" t="n">
        <f aca="false">IF(OR(D4="",D4+G4=0),"",D4/(D4+G4))</f>
        <v>0.358921161825726</v>
      </c>
      <c r="K4" s="40" t="n">
        <f aca="false">IF(E4="","",E4/(E4+H4))</f>
        <v>0.259345794392523</v>
      </c>
      <c r="L4" s="69" t="n">
        <f aca="false">IF(OR(K4="",J4=""),"",(J4-K4)*100)</f>
        <v>9.95753674332028</v>
      </c>
      <c r="M4" s="36" t="n">
        <v>3.50906161007311</v>
      </c>
      <c r="N4" s="36" t="n">
        <v>1.35464561784055</v>
      </c>
      <c r="O4" s="36" t="n">
        <f aca="false">SQRT(M4^2+N4^2)</f>
        <v>3.76145957484903</v>
      </c>
      <c r="P4" s="40" t="n">
        <f aca="false">IF(J4="","",MAX(0,J4-1.96*O4/100))</f>
        <v>0.285196554158685</v>
      </c>
      <c r="Q4" s="40" t="n">
        <f aca="false">IF(J4="","",MIN(1,J4+1.96*O4/100))</f>
        <v>0.432645769492767</v>
      </c>
      <c r="R4" s="32" t="str">
        <f aca="false">IF(L4="","",IF(ABS(L4)&lt;=O4,"Yes","No"))</f>
        <v>No</v>
      </c>
      <c r="S4" s="32" t="str">
        <f aca="false">IF(L4="","",IF(ABS(L4)&lt;=1.96*O4,"Yes","No"))</f>
        <v>No</v>
      </c>
      <c r="T4" s="59" t="n">
        <f aca="false">IF(D4="","",ROUND(SQRT(((D4+G4)*O4/100)^2+(J4*(D4+G4)*0.09092)^2),0))</f>
        <v>24</v>
      </c>
      <c r="U4" s="32" t="s">
        <v>432</v>
      </c>
    </row>
    <row r="5" customFormat="false" ht="15" hidden="false" customHeight="false" outlineLevel="0" collapsed="false">
      <c r="A5" s="32" t="s">
        <v>159</v>
      </c>
      <c r="B5" s="32" t="s">
        <v>167</v>
      </c>
      <c r="C5" s="32" t="s">
        <v>161</v>
      </c>
      <c r="D5" s="59" t="n">
        <v>510</v>
      </c>
      <c r="E5" s="59" t="n">
        <v>390</v>
      </c>
      <c r="F5" s="68" t="n">
        <f aca="false">IF(E5="","",D5-E5)</f>
        <v>120</v>
      </c>
      <c r="G5" s="59" t="n">
        <v>1175</v>
      </c>
      <c r="H5" s="59" t="n">
        <v>1180</v>
      </c>
      <c r="I5" s="68" t="n">
        <f aca="false">IF(H5="","",G5-H5)</f>
        <v>-5</v>
      </c>
      <c r="J5" s="40" t="n">
        <f aca="false">IF(OR(D5="",D5+G5=0),"",D5/(D5+G5))</f>
        <v>0.302670623145401</v>
      </c>
      <c r="K5" s="40" t="n">
        <f aca="false">IF(E5="","",E5/(E5+H5))</f>
        <v>0.248407643312102</v>
      </c>
      <c r="L5" s="69" t="n">
        <f aca="false">IF(OR(K5="",J5=""),"",(J5-K5)*100)</f>
        <v>5.42629798332987</v>
      </c>
      <c r="M5" s="36" t="n">
        <v>1.79639917133427</v>
      </c>
      <c r="N5" s="36" t="n">
        <v>1.35464561784055</v>
      </c>
      <c r="O5" s="36" t="n">
        <f aca="false">SQRT(M5^2+N5^2)</f>
        <v>2.24991438341664</v>
      </c>
      <c r="P5" s="40" t="n">
        <f aca="false">IF(J5="","",MAX(0,J5-1.96*O5/100))</f>
        <v>0.258572301230435</v>
      </c>
      <c r="Q5" s="40" t="n">
        <f aca="false">IF(J5="","",MIN(1,J5+1.96*O5/100))</f>
        <v>0.346768945060367</v>
      </c>
      <c r="R5" s="32" t="str">
        <f aca="false">IF(L5="","",IF(ABS(L5)&lt;=O5,"Yes","No"))</f>
        <v>No</v>
      </c>
      <c r="S5" s="32" t="str">
        <f aca="false">IF(L5="","",IF(ABS(L5)&lt;=1.96*O5,"Yes","No"))</f>
        <v>No</v>
      </c>
      <c r="T5" s="59" t="n">
        <f aca="false">IF(D5="","",ROUND(SQRT(((D5+G5)*O5/100)^2+(J5*(D5+G5)*0.06991)^2),0))</f>
        <v>52</v>
      </c>
      <c r="U5" s="32" t="s">
        <v>432</v>
      </c>
    </row>
    <row r="6" customFormat="false" ht="15" hidden="false" customHeight="false" outlineLevel="0" collapsed="false">
      <c r="A6" s="32" t="s">
        <v>159</v>
      </c>
      <c r="B6" s="32" t="s">
        <v>169</v>
      </c>
      <c r="C6" s="32" t="s">
        <v>161</v>
      </c>
      <c r="D6" s="59" t="n">
        <v>50</v>
      </c>
      <c r="E6" s="59" t="n">
        <v>47</v>
      </c>
      <c r="F6" s="68" t="n">
        <f aca="false">IF(E6="","",D6-E6)</f>
        <v>3</v>
      </c>
      <c r="G6" s="59" t="n">
        <v>76</v>
      </c>
      <c r="H6" s="59" t="n">
        <v>74</v>
      </c>
      <c r="I6" s="68" t="n">
        <f aca="false">IF(H6="","",G6-H6)</f>
        <v>2</v>
      </c>
      <c r="J6" s="40" t="n">
        <f aca="false">IF(OR(D6="",D6+G6=0),"",D6/(D6+G6))</f>
        <v>0.396825396825397</v>
      </c>
      <c r="K6" s="40" t="n">
        <f aca="false">IF(E6="","",E6/(E6+H6))</f>
        <v>0.388429752066116</v>
      </c>
      <c r="L6" s="69" t="n">
        <f aca="false">IF(OR(K6="",J6=""),"",(J6-K6)*100)</f>
        <v>0.839564475928112</v>
      </c>
      <c r="M6" s="36" t="n">
        <v>3.50906161007311</v>
      </c>
      <c r="N6" s="36" t="n">
        <v>1.35464561784055</v>
      </c>
      <c r="O6" s="36" t="n">
        <f aca="false">SQRT(M6^2+N6^2)</f>
        <v>3.76145957484903</v>
      </c>
      <c r="P6" s="40" t="n">
        <f aca="false">IF(J6="","",MAX(0,J6-1.96*O6/100))</f>
        <v>0.323100789158356</v>
      </c>
      <c r="Q6" s="40" t="n">
        <f aca="false">IF(J6="","",MIN(1,J6+1.96*O6/100))</f>
        <v>0.470550004492438</v>
      </c>
      <c r="R6" s="32" t="str">
        <f aca="false">IF(L6="","",IF(ABS(L6)&lt;=O6,"Yes","No"))</f>
        <v>Yes</v>
      </c>
      <c r="S6" s="32" t="str">
        <f aca="false">IF(L6="","",IF(ABS(L6)&lt;=1.96*O6,"Yes","No"))</f>
        <v>Yes</v>
      </c>
      <c r="T6" s="59" t="n">
        <f aca="false">IF(D6="","",ROUND(SQRT(((D6+G6)*O6/100)^2+(J6*(D6+G6)*0.09092)^2),0))</f>
        <v>7</v>
      </c>
      <c r="U6" s="32" t="s">
        <v>432</v>
      </c>
    </row>
    <row r="7" customFormat="false" ht="15" hidden="false" customHeight="false" outlineLevel="0" collapsed="false">
      <c r="A7" s="32" t="s">
        <v>159</v>
      </c>
      <c r="B7" s="32" t="s">
        <v>170</v>
      </c>
      <c r="C7" s="32" t="s">
        <v>161</v>
      </c>
      <c r="D7" s="59" t="n">
        <v>765</v>
      </c>
      <c r="E7" s="59" t="n">
        <v>631</v>
      </c>
      <c r="F7" s="68" t="n">
        <f aca="false">IF(E7="","",D7-E7)</f>
        <v>134</v>
      </c>
      <c r="G7" s="59" t="n">
        <v>1817</v>
      </c>
      <c r="H7" s="59" t="n">
        <v>1828</v>
      </c>
      <c r="I7" s="68" t="n">
        <f aca="false">IF(H7="","",G7-H7)</f>
        <v>-11</v>
      </c>
      <c r="J7" s="40" t="n">
        <f aca="false">IF(OR(D7="",D7+G7=0),"",D7/(D7+G7))</f>
        <v>0.296281951975213</v>
      </c>
      <c r="K7" s="40" t="n">
        <f aca="false">IF(E7="","",E7/(E7+H7))</f>
        <v>0.256608377389183</v>
      </c>
      <c r="L7" s="69" t="n">
        <f aca="false">IF(OR(K7="",J7=""),"",(J7-K7)*100)</f>
        <v>3.96735745860304</v>
      </c>
      <c r="M7" s="36" t="n">
        <v>1.79639917133427</v>
      </c>
      <c r="N7" s="36" t="n">
        <v>1.35464561784055</v>
      </c>
      <c r="O7" s="36" t="n">
        <f aca="false">SQRT(M7^2+N7^2)</f>
        <v>2.24991438341664</v>
      </c>
      <c r="P7" s="40" t="n">
        <f aca="false">IF(J7="","",MAX(0,J7-1.96*O7/100))</f>
        <v>0.252183630060247</v>
      </c>
      <c r="Q7" s="40" t="n">
        <f aca="false">IF(J7="","",MIN(1,J7+1.96*O7/100))</f>
        <v>0.340380273890179</v>
      </c>
      <c r="R7" s="32" t="str">
        <f aca="false">IF(L7="","",IF(ABS(L7)&lt;=O7,"Yes","No"))</f>
        <v>No</v>
      </c>
      <c r="S7" s="32" t="str">
        <f aca="false">IF(L7="","",IF(ABS(L7)&lt;=1.96*O7,"Yes","No"))</f>
        <v>Yes</v>
      </c>
      <c r="T7" s="59" t="n">
        <f aca="false">IF(D7="","",ROUND(SQRT(((D7+G7)*O7/100)^2+(J7*(D7+G7)*0.06991)^2),0))</f>
        <v>79</v>
      </c>
      <c r="U7" s="32" t="s">
        <v>432</v>
      </c>
    </row>
    <row r="8" customFormat="false" ht="15" hidden="false" customHeight="false" outlineLevel="0" collapsed="false">
      <c r="A8" s="32" t="s">
        <v>159</v>
      </c>
      <c r="B8" s="32" t="s">
        <v>171</v>
      </c>
      <c r="C8" s="32" t="s">
        <v>161</v>
      </c>
      <c r="D8" s="59" t="n">
        <v>1237</v>
      </c>
      <c r="E8" s="59" t="n">
        <v>1060</v>
      </c>
      <c r="F8" s="68" t="n">
        <f aca="false">IF(E8="","",D8-E8)</f>
        <v>177</v>
      </c>
      <c r="G8" s="59" t="n">
        <v>1510</v>
      </c>
      <c r="H8" s="59" t="n">
        <v>1517</v>
      </c>
      <c r="I8" s="68" t="n">
        <f aca="false">IF(H8="","",G8-H8)</f>
        <v>-7</v>
      </c>
      <c r="J8" s="40" t="n">
        <f aca="false">IF(OR(D8="",D8+G8=0),"",D8/(D8+G8))</f>
        <v>0.450309428467419</v>
      </c>
      <c r="K8" s="40" t="n">
        <f aca="false">IF(E8="","",E8/(E8+H8))</f>
        <v>0.411331005044626</v>
      </c>
      <c r="L8" s="69" t="n">
        <f aca="false">IF(OR(K8="",J8=""),"",(J8-K8)*100)</f>
        <v>3.89784234227935</v>
      </c>
      <c r="M8" s="36" t="n">
        <v>1.79639917133427</v>
      </c>
      <c r="N8" s="36" t="n">
        <v>1.35464561784055</v>
      </c>
      <c r="O8" s="36" t="n">
        <f aca="false">SQRT(M8^2+N8^2)</f>
        <v>2.24991438341664</v>
      </c>
      <c r="P8" s="40" t="n">
        <f aca="false">IF(J8="","",MAX(0,J8-1.96*O8/100))</f>
        <v>0.406211106552453</v>
      </c>
      <c r="Q8" s="40" t="n">
        <f aca="false">IF(J8="","",MIN(1,J8+1.96*O8/100))</f>
        <v>0.494407750382385</v>
      </c>
      <c r="R8" s="32" t="str">
        <f aca="false">IF(L8="","",IF(ABS(L8)&lt;=O8,"Yes","No"))</f>
        <v>No</v>
      </c>
      <c r="S8" s="32" t="str">
        <f aca="false">IF(L8="","",IF(ABS(L8)&lt;=1.96*O8,"Yes","No"))</f>
        <v>Yes</v>
      </c>
      <c r="T8" s="59" t="n">
        <f aca="false">IF(D8="","",ROUND(SQRT(((D8+G8)*O8/100)^2+(J8*(D8+G8)*0.06991)^2),0))</f>
        <v>106</v>
      </c>
      <c r="U8" s="32" t="s">
        <v>432</v>
      </c>
    </row>
    <row r="9" customFormat="false" ht="15" hidden="false" customHeight="false" outlineLevel="0" collapsed="false">
      <c r="A9" s="32" t="s">
        <v>159</v>
      </c>
      <c r="B9" s="32" t="s">
        <v>172</v>
      </c>
      <c r="C9" s="32" t="s">
        <v>161</v>
      </c>
      <c r="D9" s="59" t="n">
        <v>363</v>
      </c>
      <c r="E9" s="59" t="n">
        <v>335</v>
      </c>
      <c r="F9" s="68" t="n">
        <f aca="false">IF(E9="","",D9-E9)</f>
        <v>28</v>
      </c>
      <c r="G9" s="59" t="n">
        <v>751</v>
      </c>
      <c r="H9" s="59" t="n">
        <v>766</v>
      </c>
      <c r="I9" s="68" t="n">
        <f aca="false">IF(H9="","",G9-H9)</f>
        <v>-15</v>
      </c>
      <c r="J9" s="40" t="n">
        <f aca="false">IF(OR(D9="",D9+G9=0),"",D9/(D9+G9))</f>
        <v>0.325852782764812</v>
      </c>
      <c r="K9" s="40" t="n">
        <f aca="false">IF(E9="","",E9/(E9+H9))</f>
        <v>0.304268846503179</v>
      </c>
      <c r="L9" s="69" t="n">
        <f aca="false">IF(OR(K9="",J9=""),"",(J9-K9)*100)</f>
        <v>2.15839362616326</v>
      </c>
      <c r="M9" s="36" t="n">
        <v>3.50906161007311</v>
      </c>
      <c r="N9" s="36" t="n">
        <v>1.35464561784055</v>
      </c>
      <c r="O9" s="36" t="n">
        <f aca="false">SQRT(M9^2+N9^2)</f>
        <v>3.76145957484903</v>
      </c>
      <c r="P9" s="40" t="n">
        <f aca="false">IF(J9="","",MAX(0,J9-1.96*O9/100))</f>
        <v>0.25212817509777</v>
      </c>
      <c r="Q9" s="40" t="n">
        <f aca="false">IF(J9="","",MIN(1,J9+1.96*O9/100))</f>
        <v>0.399577390431853</v>
      </c>
      <c r="R9" s="32" t="str">
        <f aca="false">IF(L9="","",IF(ABS(L9)&lt;=O9,"Yes","No"))</f>
        <v>Yes</v>
      </c>
      <c r="S9" s="32" t="str">
        <f aca="false">IF(L9="","",IF(ABS(L9)&lt;=1.96*O9,"Yes","No"))</f>
        <v>Yes</v>
      </c>
      <c r="T9" s="59" t="n">
        <f aca="false">IF(D9="","",ROUND(SQRT(((D9+G9)*O9/100)^2+(J9*(D9+G9)*0.09092)^2),0))</f>
        <v>53</v>
      </c>
      <c r="U9" s="32" t="s">
        <v>432</v>
      </c>
    </row>
    <row r="10" customFormat="false" ht="15" hidden="false" customHeight="false" outlineLevel="0" collapsed="false">
      <c r="A10" s="32" t="s">
        <v>159</v>
      </c>
      <c r="B10" s="32" t="s">
        <v>173</v>
      </c>
      <c r="C10" s="32" t="s">
        <v>161</v>
      </c>
      <c r="D10" s="59" t="n">
        <v>677</v>
      </c>
      <c r="E10" s="59" t="n">
        <v>614</v>
      </c>
      <c r="F10" s="68" t="n">
        <f aca="false">IF(E10="","",D10-E10)</f>
        <v>63</v>
      </c>
      <c r="G10" s="59" t="n">
        <v>831</v>
      </c>
      <c r="H10" s="59" t="n">
        <v>846</v>
      </c>
      <c r="I10" s="68" t="n">
        <f aca="false">IF(H10="","",G10-H10)</f>
        <v>-15</v>
      </c>
      <c r="J10" s="40" t="n">
        <f aca="false">IF(OR(D10="",D10+G10=0),"",D10/(D10+G10))</f>
        <v>0.44893899204244</v>
      </c>
      <c r="K10" s="40" t="n">
        <f aca="false">IF(E10="","",E10/(E10+H10))</f>
        <v>0.420547945205479</v>
      </c>
      <c r="L10" s="69" t="n">
        <f aca="false">IF(OR(K10="",J10=""),"",(J10-K10)*100)</f>
        <v>2.83910468369609</v>
      </c>
      <c r="M10" s="36" t="n">
        <v>3.50906161007311</v>
      </c>
      <c r="N10" s="36" t="n">
        <v>1.35464561784055</v>
      </c>
      <c r="O10" s="36" t="n">
        <f aca="false">SQRT(M10^2+N10^2)</f>
        <v>3.76145957484903</v>
      </c>
      <c r="P10" s="40" t="n">
        <f aca="false">IF(J10="","",MAX(0,J10-1.96*O10/100))</f>
        <v>0.375214384375399</v>
      </c>
      <c r="Q10" s="40" t="n">
        <f aca="false">IF(J10="","",MIN(1,J10+1.96*O10/100))</f>
        <v>0.522663599709481</v>
      </c>
      <c r="R10" s="32" t="str">
        <f aca="false">IF(L10="","",IF(ABS(L10)&lt;=O10,"Yes","No"))</f>
        <v>Yes</v>
      </c>
      <c r="S10" s="32" t="str">
        <f aca="false">IF(L10="","",IF(ABS(L10)&lt;=1.96*O10,"Yes","No"))</f>
        <v>Yes</v>
      </c>
      <c r="T10" s="59" t="n">
        <f aca="false">IF(D10="","",ROUND(SQRT(((D10+G10)*O10/100)^2+(J10*(D10+G10)*0.09092)^2),0))</f>
        <v>84</v>
      </c>
      <c r="U10" s="32" t="s">
        <v>432</v>
      </c>
    </row>
    <row r="11" customFormat="false" ht="15" hidden="false" customHeight="false" outlineLevel="0" collapsed="false">
      <c r="A11" s="32" t="s">
        <v>159</v>
      </c>
      <c r="B11" s="32" t="s">
        <v>174</v>
      </c>
      <c r="C11" s="32" t="s">
        <v>161</v>
      </c>
      <c r="D11" s="59" t="n">
        <v>42</v>
      </c>
      <c r="E11" s="59" t="n">
        <v>42</v>
      </c>
      <c r="F11" s="68" t="n">
        <f aca="false">IF(E11="","",D11-E11)</f>
        <v>0</v>
      </c>
      <c r="G11" s="59" t="n">
        <v>105</v>
      </c>
      <c r="H11" s="59" t="n">
        <v>99</v>
      </c>
      <c r="I11" s="68" t="n">
        <f aca="false">IF(H11="","",G11-H11)</f>
        <v>6</v>
      </c>
      <c r="J11" s="40" t="n">
        <f aca="false">IF(OR(D11="",D11+G11=0),"",D11/(D11+G11))</f>
        <v>0.285714285714286</v>
      </c>
      <c r="K11" s="40" t="n">
        <f aca="false">IF(E11="","",E11/(E11+H11))</f>
        <v>0.297872340425532</v>
      </c>
      <c r="L11" s="69" t="n">
        <f aca="false">IF(OR(K11="",J11=""),"",(J11-K11)*100)</f>
        <v>-1.21580547112462</v>
      </c>
      <c r="M11" s="36" t="n">
        <v>3.50906161007311</v>
      </c>
      <c r="N11" s="36" t="n">
        <v>1.35464561784055</v>
      </c>
      <c r="O11" s="36" t="n">
        <f aca="false">SQRT(M11^2+N11^2)</f>
        <v>3.76145957484903</v>
      </c>
      <c r="P11" s="40" t="n">
        <f aca="false">IF(J11="","",MAX(0,J11-1.96*O11/100))</f>
        <v>0.211989678047245</v>
      </c>
      <c r="Q11" s="40" t="n">
        <f aca="false">IF(J11="","",MIN(1,J11+1.96*O11/100))</f>
        <v>0.359438893381327</v>
      </c>
      <c r="R11" s="32" t="str">
        <f aca="false">IF(L11="","",IF(ABS(L11)&lt;=O11,"Yes","No"))</f>
        <v>Yes</v>
      </c>
      <c r="S11" s="32" t="str">
        <f aca="false">IF(L11="","",IF(ABS(L11)&lt;=1.96*O11,"Yes","No"))</f>
        <v>Yes</v>
      </c>
      <c r="T11" s="59" t="n">
        <f aca="false">IF(D11="","",ROUND(SQRT(((D11+G11)*O11/100)^2+(J11*(D11+G11)*0.09092)^2),0))</f>
        <v>7</v>
      </c>
      <c r="U11" s="32" t="s">
        <v>432</v>
      </c>
    </row>
    <row r="12" customFormat="false" ht="15" hidden="false" customHeight="false" outlineLevel="0" collapsed="false">
      <c r="A12" s="32" t="s">
        <v>159</v>
      </c>
      <c r="B12" s="32" t="s">
        <v>175</v>
      </c>
      <c r="C12" s="32" t="s">
        <v>161</v>
      </c>
      <c r="D12" s="59" t="n">
        <v>66</v>
      </c>
      <c r="E12" s="59" t="n">
        <v>51</v>
      </c>
      <c r="F12" s="68" t="n">
        <f aca="false">IF(E12="","",D12-E12)</f>
        <v>15</v>
      </c>
      <c r="G12" s="59" t="n">
        <v>218</v>
      </c>
      <c r="H12" s="59" t="n">
        <v>223</v>
      </c>
      <c r="I12" s="68" t="n">
        <f aca="false">IF(H12="","",G12-H12)</f>
        <v>-5</v>
      </c>
      <c r="J12" s="40" t="n">
        <f aca="false">IF(OR(D12="",D12+G12=0),"",D12/(D12+G12))</f>
        <v>0.232394366197183</v>
      </c>
      <c r="K12" s="40" t="n">
        <f aca="false">IF(E12="","",E12/(E12+H12))</f>
        <v>0.186131386861314</v>
      </c>
      <c r="L12" s="69" t="n">
        <f aca="false">IF(OR(K12="",J12=""),"",(J12-K12)*100)</f>
        <v>4.62629793358692</v>
      </c>
      <c r="M12" s="36" t="n">
        <v>3.50906161007311</v>
      </c>
      <c r="N12" s="36" t="n">
        <v>1.35464561784055</v>
      </c>
      <c r="O12" s="36" t="n">
        <f aca="false">SQRT(M12^2+N12^2)</f>
        <v>3.76145957484903</v>
      </c>
      <c r="P12" s="40" t="n">
        <f aca="false">IF(J12="","",MAX(0,J12-1.96*O12/100))</f>
        <v>0.158669758530142</v>
      </c>
      <c r="Q12" s="40" t="n">
        <f aca="false">IF(J12="","",MIN(1,J12+1.96*O12/100))</f>
        <v>0.306118973864224</v>
      </c>
      <c r="R12" s="32" t="str">
        <f aca="false">IF(L12="","",IF(ABS(L12)&lt;=O12,"Yes","No"))</f>
        <v>No</v>
      </c>
      <c r="S12" s="32" t="str">
        <f aca="false">IF(L12="","",IF(ABS(L12)&lt;=1.96*O12,"Yes","No"))</f>
        <v>Yes</v>
      </c>
      <c r="T12" s="59" t="n">
        <f aca="false">IF(D12="","",ROUND(SQRT(((D12+G12)*O12/100)^2+(J12*(D12+G12)*0.09092)^2),0))</f>
        <v>12</v>
      </c>
      <c r="U12" s="32" t="s">
        <v>432</v>
      </c>
    </row>
    <row r="13" customFormat="false" ht="15" hidden="false" customHeight="false" outlineLevel="0" collapsed="false">
      <c r="A13" s="32" t="s">
        <v>159</v>
      </c>
      <c r="B13" s="32" t="s">
        <v>176</v>
      </c>
      <c r="C13" s="32" t="s">
        <v>161</v>
      </c>
      <c r="D13" s="59" t="n">
        <v>1016</v>
      </c>
      <c r="E13" s="59" t="n">
        <v>841</v>
      </c>
      <c r="F13" s="68" t="n">
        <f aca="false">IF(E13="","",D13-E13)</f>
        <v>175</v>
      </c>
      <c r="G13" s="59" t="n">
        <v>1400</v>
      </c>
      <c r="H13" s="59" t="n">
        <v>1410</v>
      </c>
      <c r="I13" s="68" t="n">
        <f aca="false">IF(H13="","",G13-H13)</f>
        <v>-10</v>
      </c>
      <c r="J13" s="40" t="n">
        <f aca="false">IF(OR(D13="",D13+G13=0),"",D13/(D13+G13))</f>
        <v>0.420529801324503</v>
      </c>
      <c r="K13" s="40" t="n">
        <f aca="false">IF(E13="","",E13/(E13+H13))</f>
        <v>0.373611728120835</v>
      </c>
      <c r="L13" s="69" t="n">
        <f aca="false">IF(OR(K13="",J13=""),"",(J13-K13)*100)</f>
        <v>4.69180732036681</v>
      </c>
      <c r="M13" s="36" t="n">
        <v>1.79639917133427</v>
      </c>
      <c r="N13" s="36" t="n">
        <v>1.35464561784055</v>
      </c>
      <c r="O13" s="36" t="n">
        <f aca="false">SQRT(M13^2+N13^2)</f>
        <v>2.24991438341664</v>
      </c>
      <c r="P13" s="40" t="n">
        <f aca="false">IF(J13="","",MAX(0,J13-1.96*O13/100))</f>
        <v>0.376431479409537</v>
      </c>
      <c r="Q13" s="40" t="n">
        <f aca="false">IF(J13="","",MIN(1,J13+1.96*O13/100))</f>
        <v>0.464628123239469</v>
      </c>
      <c r="R13" s="32" t="str">
        <f aca="false">IF(L13="","",IF(ABS(L13)&lt;=O13,"Yes","No"))</f>
        <v>No</v>
      </c>
      <c r="S13" s="32" t="str">
        <f aca="false">IF(L13="","",IF(ABS(L13)&lt;=1.96*O13,"Yes","No"))</f>
        <v>No</v>
      </c>
      <c r="T13" s="59" t="n">
        <f aca="false">IF(D13="","",ROUND(SQRT(((D13+G13)*O13/100)^2+(J13*(D13+G13)*0.06991)^2),0))</f>
        <v>89</v>
      </c>
      <c r="U13" s="32" t="s">
        <v>432</v>
      </c>
    </row>
    <row r="14" customFormat="false" ht="15" hidden="false" customHeight="false" outlineLevel="0" collapsed="false">
      <c r="A14" s="32" t="s">
        <v>159</v>
      </c>
      <c r="B14" s="32" t="s">
        <v>177</v>
      </c>
      <c r="C14" s="32" t="s">
        <v>161</v>
      </c>
      <c r="D14" s="59" t="n">
        <v>583</v>
      </c>
      <c r="E14" s="59" t="n">
        <v>489</v>
      </c>
      <c r="F14" s="68" t="n">
        <f aca="false">IF(E14="","",D14-E14)</f>
        <v>94</v>
      </c>
      <c r="G14" s="59" t="n">
        <v>1195</v>
      </c>
      <c r="H14" s="59" t="n">
        <v>1164</v>
      </c>
      <c r="I14" s="68" t="n">
        <f aca="false">IF(H14="","",G14-H14)</f>
        <v>31</v>
      </c>
      <c r="J14" s="40" t="n">
        <f aca="false">IF(OR(D14="",D14+G14=0),"",D14/(D14+G14))</f>
        <v>0.327896512935883</v>
      </c>
      <c r="K14" s="40" t="n">
        <f aca="false">IF(E14="","",E14/(E14+H14))</f>
        <v>0.295825771324864</v>
      </c>
      <c r="L14" s="69" t="n">
        <f aca="false">IF(OR(K14="",J14=""),"",(J14-K14)*100)</f>
        <v>3.20707416110191</v>
      </c>
      <c r="M14" s="36" t="n">
        <v>1.79639917133427</v>
      </c>
      <c r="N14" s="36" t="n">
        <v>1.35464561784055</v>
      </c>
      <c r="O14" s="36" t="n">
        <f aca="false">SQRT(M14^2+N14^2)</f>
        <v>2.24991438341664</v>
      </c>
      <c r="P14" s="40" t="n">
        <f aca="false">IF(J14="","",MAX(0,J14-1.96*O14/100))</f>
        <v>0.283798191020917</v>
      </c>
      <c r="Q14" s="40" t="n">
        <f aca="false">IF(J14="","",MIN(1,J14+1.96*O14/100))</f>
        <v>0.371994834850849</v>
      </c>
      <c r="R14" s="32" t="str">
        <f aca="false">IF(L14="","",IF(ABS(L14)&lt;=O14,"Yes","No"))</f>
        <v>No</v>
      </c>
      <c r="S14" s="32" t="str">
        <f aca="false">IF(L14="","",IF(ABS(L14)&lt;=1.96*O14,"Yes","No"))</f>
        <v>Yes</v>
      </c>
      <c r="T14" s="59" t="n">
        <f aca="false">IF(D14="","",ROUND(SQRT(((D14+G14)*O14/100)^2+(J14*(D14+G14)*0.06991)^2),0))</f>
        <v>57</v>
      </c>
      <c r="U14" s="32" t="s">
        <v>432</v>
      </c>
    </row>
    <row r="15" customFormat="false" ht="15" hidden="false" customHeight="false" outlineLevel="0" collapsed="false">
      <c r="A15" s="32" t="s">
        <v>159</v>
      </c>
      <c r="B15" s="32" t="s">
        <v>178</v>
      </c>
      <c r="C15" s="32" t="s">
        <v>161</v>
      </c>
      <c r="D15" s="59" t="n">
        <v>706</v>
      </c>
      <c r="E15" s="59" t="n">
        <v>563</v>
      </c>
      <c r="F15" s="68" t="n">
        <f aca="false">IF(E15="","",D15-E15)</f>
        <v>143</v>
      </c>
      <c r="G15" s="59" t="n">
        <v>1610</v>
      </c>
      <c r="H15" s="59" t="n">
        <v>1559</v>
      </c>
      <c r="I15" s="68" t="n">
        <f aca="false">IF(H15="","",G15-H15)</f>
        <v>51</v>
      </c>
      <c r="J15" s="40" t="n">
        <f aca="false">IF(OR(D15="",D15+G15=0),"",D15/(D15+G15))</f>
        <v>0.304835924006908</v>
      </c>
      <c r="K15" s="40" t="n">
        <f aca="false">IF(E15="","",E15/(E15+H15))</f>
        <v>0.265315739868049</v>
      </c>
      <c r="L15" s="69" t="n">
        <f aca="false">IF(OR(K15="",J15=""),"",(J15-K15)*100)</f>
        <v>3.95201841388594</v>
      </c>
      <c r="M15" s="36" t="n">
        <v>1.79639917133427</v>
      </c>
      <c r="N15" s="36" t="n">
        <v>1.35464561784055</v>
      </c>
      <c r="O15" s="36" t="n">
        <f aca="false">SQRT(M15^2+N15^2)</f>
        <v>2.24991438341664</v>
      </c>
      <c r="P15" s="40" t="n">
        <f aca="false">IF(J15="","",MAX(0,J15-1.96*O15/100))</f>
        <v>0.260737602091942</v>
      </c>
      <c r="Q15" s="40" t="n">
        <f aca="false">IF(J15="","",MIN(1,J15+1.96*O15/100))</f>
        <v>0.348934245921875</v>
      </c>
      <c r="R15" s="32" t="str">
        <f aca="false">IF(L15="","",IF(ABS(L15)&lt;=O15,"Yes","No"))</f>
        <v>No</v>
      </c>
      <c r="S15" s="32" t="str">
        <f aca="false">IF(L15="","",IF(ABS(L15)&lt;=1.96*O15,"Yes","No"))</f>
        <v>Yes</v>
      </c>
      <c r="T15" s="59" t="n">
        <f aca="false">IF(D15="","",ROUND(SQRT(((D15+G15)*O15/100)^2+(J15*(D15+G15)*0.06991)^2),0))</f>
        <v>72</v>
      </c>
      <c r="U15" s="32" t="s">
        <v>432</v>
      </c>
    </row>
    <row r="16" customFormat="false" ht="15" hidden="false" customHeight="false" outlineLevel="0" collapsed="false">
      <c r="A16" s="32" t="s">
        <v>159</v>
      </c>
      <c r="B16" s="32" t="s">
        <v>179</v>
      </c>
      <c r="C16" s="32" t="s">
        <v>161</v>
      </c>
      <c r="D16" s="59" t="n">
        <v>694</v>
      </c>
      <c r="E16" s="59" t="n">
        <v>574</v>
      </c>
      <c r="F16" s="68" t="n">
        <f aca="false">IF(E16="","",D16-E16)</f>
        <v>120</v>
      </c>
      <c r="G16" s="59" t="n">
        <v>949</v>
      </c>
      <c r="H16" s="59" t="n">
        <v>963</v>
      </c>
      <c r="I16" s="68" t="n">
        <f aca="false">IF(H16="","",G16-H16)</f>
        <v>-14</v>
      </c>
      <c r="J16" s="40" t="n">
        <f aca="false">IF(OR(D16="",D16+G16=0),"",D16/(D16+G16))</f>
        <v>0.422398052343275</v>
      </c>
      <c r="K16" s="40" t="n">
        <f aca="false">IF(E16="","",E16/(E16+H16))</f>
        <v>0.373454782042941</v>
      </c>
      <c r="L16" s="69" t="n">
        <f aca="false">IF(OR(K16="",J16=""),"",(J16-K16)*100)</f>
        <v>4.89432703003337</v>
      </c>
      <c r="M16" s="36" t="n">
        <v>1.79639917133427</v>
      </c>
      <c r="N16" s="36" t="n">
        <v>1.35464561784055</v>
      </c>
      <c r="O16" s="36" t="n">
        <f aca="false">SQRT(M16^2+N16^2)</f>
        <v>2.24991438341664</v>
      </c>
      <c r="P16" s="40" t="n">
        <f aca="false">IF(J16="","",MAX(0,J16-1.96*O16/100))</f>
        <v>0.378299730428308</v>
      </c>
      <c r="Q16" s="40" t="n">
        <f aca="false">IF(J16="","",MIN(1,J16+1.96*O16/100))</f>
        <v>0.466496374258241</v>
      </c>
      <c r="R16" s="32" t="str">
        <f aca="false">IF(L16="","",IF(ABS(L16)&lt;=O16,"Yes","No"))</f>
        <v>No</v>
      </c>
      <c r="S16" s="32" t="str">
        <f aca="false">IF(L16="","",IF(ABS(L16)&lt;=1.96*O16,"Yes","No"))</f>
        <v>No</v>
      </c>
      <c r="T16" s="59" t="n">
        <f aca="false">IF(D16="","",ROUND(SQRT(((D16+G16)*O16/100)^2+(J16*(D16+G16)*0.06991)^2),0))</f>
        <v>61</v>
      </c>
      <c r="U16" s="32" t="s">
        <v>432</v>
      </c>
    </row>
    <row r="17" customFormat="false" ht="15" hidden="false" customHeight="false" outlineLevel="0" collapsed="false">
      <c r="A17" s="32" t="s">
        <v>159</v>
      </c>
      <c r="B17" s="32" t="s">
        <v>180</v>
      </c>
      <c r="C17" s="32" t="s">
        <v>161</v>
      </c>
      <c r="D17" s="59" t="n">
        <v>159</v>
      </c>
      <c r="E17" s="59" t="n">
        <v>109</v>
      </c>
      <c r="F17" s="68" t="n">
        <f aca="false">IF(E17="","",D17-E17)</f>
        <v>50</v>
      </c>
      <c r="G17" s="59" t="n">
        <v>529</v>
      </c>
      <c r="H17" s="59" t="n">
        <v>531</v>
      </c>
      <c r="I17" s="68" t="n">
        <f aca="false">IF(H17="","",G17-H17)</f>
        <v>-2</v>
      </c>
      <c r="J17" s="40" t="n">
        <f aca="false">IF(OR(D17="",D17+G17=0),"",D17/(D17+G17))</f>
        <v>0.231104651162791</v>
      </c>
      <c r="K17" s="40" t="n">
        <f aca="false">IF(E17="","",E17/(E17+H17))</f>
        <v>0.1703125</v>
      </c>
      <c r="L17" s="69" t="n">
        <f aca="false">IF(OR(K17="",J17=""),"",(J17-K17)*100)</f>
        <v>6.07921511627907</v>
      </c>
      <c r="M17" s="36" t="n">
        <v>3.50906161007311</v>
      </c>
      <c r="N17" s="36" t="n">
        <v>1.35464561784055</v>
      </c>
      <c r="O17" s="36" t="n">
        <f aca="false">SQRT(M17^2+N17^2)</f>
        <v>3.76145957484903</v>
      </c>
      <c r="P17" s="40" t="n">
        <f aca="false">IF(J17="","",MAX(0,J17-1.96*O17/100))</f>
        <v>0.15738004349575</v>
      </c>
      <c r="Q17" s="40" t="n">
        <f aca="false">IF(J17="","",MIN(1,J17+1.96*O17/100))</f>
        <v>0.304829258829832</v>
      </c>
      <c r="R17" s="32" t="str">
        <f aca="false">IF(L17="","",IF(ABS(L17)&lt;=O17,"Yes","No"))</f>
        <v>No</v>
      </c>
      <c r="S17" s="32" t="str">
        <f aca="false">IF(L17="","",IF(ABS(L17)&lt;=1.96*O17,"Yes","No"))</f>
        <v>Yes</v>
      </c>
      <c r="T17" s="59" t="n">
        <f aca="false">IF(D17="","",ROUND(SQRT(((D17+G17)*O17/100)^2+(J17*(D17+G17)*0.09092)^2),0))</f>
        <v>30</v>
      </c>
      <c r="U17" s="32" t="s">
        <v>432</v>
      </c>
    </row>
    <row r="18" customFormat="false" ht="15" hidden="false" customHeight="false" outlineLevel="0" collapsed="false">
      <c r="A18" s="32" t="s">
        <v>159</v>
      </c>
      <c r="B18" s="32" t="s">
        <v>181</v>
      </c>
      <c r="C18" s="32" t="s">
        <v>161</v>
      </c>
      <c r="D18" s="59" t="n">
        <v>1054</v>
      </c>
      <c r="E18" s="59" t="n">
        <v>863</v>
      </c>
      <c r="F18" s="68" t="n">
        <f aca="false">IF(E18="","",D18-E18)</f>
        <v>191</v>
      </c>
      <c r="G18" s="59" t="n">
        <v>1644</v>
      </c>
      <c r="H18" s="59" t="n">
        <v>1676</v>
      </c>
      <c r="I18" s="68" t="n">
        <f aca="false">IF(H18="","",G18-H18)</f>
        <v>-32</v>
      </c>
      <c r="J18" s="40" t="n">
        <f aca="false">IF(OR(D18="",D18+G18=0),"",D18/(D18+G18))</f>
        <v>0.390659747961453</v>
      </c>
      <c r="K18" s="40" t="n">
        <f aca="false">IF(E18="","",E18/(E18+H18))</f>
        <v>0.339897597479323</v>
      </c>
      <c r="L18" s="69" t="n">
        <f aca="false">IF(OR(K18="",J18=""),"",(J18-K18)*100)</f>
        <v>5.07621504821303</v>
      </c>
      <c r="M18" s="36" t="n">
        <v>1.79639917133427</v>
      </c>
      <c r="N18" s="36" t="n">
        <v>1.35464561784055</v>
      </c>
      <c r="O18" s="36" t="n">
        <f aca="false">SQRT(M18^2+N18^2)</f>
        <v>2.24991438341664</v>
      </c>
      <c r="P18" s="40" t="n">
        <f aca="false">IF(J18="","",MAX(0,J18-1.96*O18/100))</f>
        <v>0.346561426046487</v>
      </c>
      <c r="Q18" s="40" t="n">
        <f aca="false">IF(J18="","",MIN(1,J18+1.96*O18/100))</f>
        <v>0.434758069876419</v>
      </c>
      <c r="R18" s="32" t="str">
        <f aca="false">IF(L18="","",IF(ABS(L18)&lt;=O18,"Yes","No"))</f>
        <v>No</v>
      </c>
      <c r="S18" s="32" t="str">
        <f aca="false">IF(L18="","",IF(ABS(L18)&lt;=1.96*O18,"Yes","No"))</f>
        <v>No</v>
      </c>
      <c r="T18" s="59" t="n">
        <f aca="false">IF(D18="","",ROUND(SQRT(((D18+G18)*O18/100)^2+(J18*(D18+G18)*0.06991)^2),0))</f>
        <v>95</v>
      </c>
      <c r="U18" s="32" t="s">
        <v>432</v>
      </c>
    </row>
    <row r="19" customFormat="false" ht="15" hidden="false" customHeight="false" outlineLevel="0" collapsed="false">
      <c r="A19" s="32" t="s">
        <v>159</v>
      </c>
      <c r="B19" s="32" t="s">
        <v>182</v>
      </c>
      <c r="C19" s="32" t="s">
        <v>161</v>
      </c>
      <c r="D19" s="59" t="n">
        <v>76</v>
      </c>
      <c r="E19" s="59" t="n">
        <v>52</v>
      </c>
      <c r="F19" s="68" t="n">
        <f aca="false">IF(E19="","",D19-E19)</f>
        <v>24</v>
      </c>
      <c r="G19" s="59" t="n">
        <v>165</v>
      </c>
      <c r="H19" s="59" t="n">
        <v>167</v>
      </c>
      <c r="I19" s="68" t="n">
        <f aca="false">IF(H19="","",G19-H19)</f>
        <v>-2</v>
      </c>
      <c r="J19" s="40" t="n">
        <f aca="false">IF(OR(D19="",D19+G19=0),"",D19/(D19+G19))</f>
        <v>0.315352697095436</v>
      </c>
      <c r="K19" s="40" t="n">
        <f aca="false">IF(E19="","",E19/(E19+H19))</f>
        <v>0.237442922374429</v>
      </c>
      <c r="L19" s="69" t="n">
        <f aca="false">IF(OR(K19="",J19=""),"",(J19-K19)*100)</f>
        <v>7.79097747210065</v>
      </c>
      <c r="M19" s="36" t="n">
        <v>3.50906161007311</v>
      </c>
      <c r="N19" s="36" t="n">
        <v>1.35464561784055</v>
      </c>
      <c r="O19" s="36" t="n">
        <f aca="false">SQRT(M19^2+N19^2)</f>
        <v>3.76145957484903</v>
      </c>
      <c r="P19" s="40" t="n">
        <f aca="false">IF(J19="","",MAX(0,J19-1.96*O19/100))</f>
        <v>0.241628089428395</v>
      </c>
      <c r="Q19" s="40" t="n">
        <f aca="false">IF(J19="","",MIN(1,J19+1.96*O19/100))</f>
        <v>0.389077304762477</v>
      </c>
      <c r="R19" s="32" t="str">
        <f aca="false">IF(L19="","",IF(ABS(L19)&lt;=O19,"Yes","No"))</f>
        <v>No</v>
      </c>
      <c r="S19" s="32" t="str">
        <f aca="false">IF(L19="","",IF(ABS(L19)&lt;=1.96*O19,"Yes","No"))</f>
        <v>No</v>
      </c>
      <c r="T19" s="59" t="n">
        <f aca="false">IF(D19="","",ROUND(SQRT(((D19+G19)*O19/100)^2+(J19*(D19+G19)*0.09092)^2),0))</f>
        <v>11</v>
      </c>
      <c r="U19" s="32" t="s">
        <v>432</v>
      </c>
    </row>
    <row r="20" customFormat="false" ht="15" hidden="false" customHeight="false" outlineLevel="0" collapsed="false">
      <c r="A20" s="32" t="s">
        <v>159</v>
      </c>
      <c r="B20" s="32" t="s">
        <v>183</v>
      </c>
      <c r="C20" s="32" t="s">
        <v>161</v>
      </c>
      <c r="D20" s="59" t="n">
        <v>2247</v>
      </c>
      <c r="E20" s="59" t="n">
        <v>1997</v>
      </c>
      <c r="F20" s="68" t="n">
        <f aca="false">IF(E20="","",D20-E20)</f>
        <v>250</v>
      </c>
      <c r="G20" s="59" t="n">
        <v>3764</v>
      </c>
      <c r="H20" s="59" t="n">
        <v>3474</v>
      </c>
      <c r="I20" s="68" t="n">
        <f aca="false">IF(H20="","",G20-H20)</f>
        <v>290</v>
      </c>
      <c r="J20" s="40" t="n">
        <f aca="false">IF(OR(D20="",D20+G20=0),"",D20/(D20+G20))</f>
        <v>0.373814673099318</v>
      </c>
      <c r="K20" s="40" t="n">
        <f aca="false">IF(E20="","",E20/(E20+H20))</f>
        <v>0.365015536464997</v>
      </c>
      <c r="L20" s="69" t="n">
        <f aca="false">IF(OR(K20="",J20=""),"",(J20-K20)*100)</f>
        <v>0.879913663432069</v>
      </c>
      <c r="M20" s="36" t="n">
        <v>2.09476715517026</v>
      </c>
      <c r="N20" s="36" t="n">
        <v>1.35464561784055</v>
      </c>
      <c r="O20" s="36" t="n">
        <f aca="false">SQRT(M20^2+N20^2)</f>
        <v>2.49461704161475</v>
      </c>
      <c r="P20" s="40" t="n">
        <f aca="false">IF(J20="","",MAX(0,J20-1.96*O20/100))</f>
        <v>0.324920179083669</v>
      </c>
      <c r="Q20" s="40" t="n">
        <f aca="false">IF(J20="","",MIN(1,J20+1.96*O20/100))</f>
        <v>0.422709167114967</v>
      </c>
      <c r="R20" s="32" t="str">
        <f aca="false">IF(L20="","",IF(ABS(L20)&lt;=O20,"Yes","No"))</f>
        <v>Yes</v>
      </c>
      <c r="S20" s="32" t="str">
        <f aca="false">IF(L20="","",IF(ABS(L20)&lt;=1.96*O20,"Yes","No"))</f>
        <v>Yes</v>
      </c>
      <c r="T20" s="59" t="n">
        <f aca="false">IF(D20="","",ROUND(SQRT(((D20+G20)*O20/100)^2+(J20*(D20+G20)*0.0639)^2),0))</f>
        <v>208</v>
      </c>
      <c r="U20" s="32" t="s">
        <v>432</v>
      </c>
    </row>
    <row r="21" customFormat="false" ht="15" hidden="false" customHeight="false" outlineLevel="0" collapsed="false">
      <c r="A21" s="32" t="s">
        <v>159</v>
      </c>
      <c r="B21" s="32" t="s">
        <v>185</v>
      </c>
      <c r="C21" s="32" t="s">
        <v>161</v>
      </c>
      <c r="D21" s="59" t="n">
        <v>721</v>
      </c>
      <c r="E21" s="59" t="n">
        <v>620</v>
      </c>
      <c r="F21" s="68" t="n">
        <f aca="false">IF(E21="","",D21-E21)</f>
        <v>101</v>
      </c>
      <c r="G21" s="59" t="n">
        <v>851</v>
      </c>
      <c r="H21" s="59" t="n">
        <v>917</v>
      </c>
      <c r="I21" s="68" t="n">
        <f aca="false">IF(H21="","",G21-H21)</f>
        <v>-66</v>
      </c>
      <c r="J21" s="40" t="n">
        <f aca="false">IF(OR(D21="",D21+G21=0),"",D21/(D21+G21))</f>
        <v>0.458651399491094</v>
      </c>
      <c r="K21" s="40" t="n">
        <f aca="false">IF(E21="","",E21/(E21+H21))</f>
        <v>0.403383214053351</v>
      </c>
      <c r="L21" s="69" t="n">
        <f aca="false">IF(OR(K21="",J21=""),"",(J21-K21)*100)</f>
        <v>5.52681854377434</v>
      </c>
      <c r="M21" s="36" t="n">
        <v>1.79639917133427</v>
      </c>
      <c r="N21" s="36" t="n">
        <v>1.35464561784055</v>
      </c>
      <c r="O21" s="36" t="n">
        <f aca="false">SQRT(M21^2+N21^2)</f>
        <v>2.24991438341664</v>
      </c>
      <c r="P21" s="40" t="n">
        <f aca="false">IF(J21="","",MAX(0,J21-1.96*O21/100))</f>
        <v>0.414553077576128</v>
      </c>
      <c r="Q21" s="40" t="n">
        <f aca="false">IF(J21="","",MIN(1,J21+1.96*O21/100))</f>
        <v>0.50274972140606</v>
      </c>
      <c r="R21" s="32" t="str">
        <f aca="false">IF(L21="","",IF(ABS(L21)&lt;=O21,"Yes","No"))</f>
        <v>No</v>
      </c>
      <c r="S21" s="32" t="str">
        <f aca="false">IF(L21="","",IF(ABS(L21)&lt;=1.96*O21,"Yes","No"))</f>
        <v>No</v>
      </c>
      <c r="T21" s="59" t="n">
        <f aca="false">IF(D21="","",ROUND(SQRT(((D21+G21)*O21/100)^2+(J21*(D21+G21)*0.06991)^2),0))</f>
        <v>62</v>
      </c>
      <c r="U21" s="32" t="s">
        <v>432</v>
      </c>
    </row>
    <row r="22" customFormat="false" ht="15" hidden="false" customHeight="false" outlineLevel="0" collapsed="false">
      <c r="A22" s="32" t="s">
        <v>159</v>
      </c>
      <c r="B22" s="32" t="s">
        <v>186</v>
      </c>
      <c r="C22" s="32" t="s">
        <v>161</v>
      </c>
      <c r="D22" s="59" t="n">
        <v>858</v>
      </c>
      <c r="E22" s="59" t="n">
        <v>723</v>
      </c>
      <c r="F22" s="68" t="n">
        <f aca="false">IF(E22="","",D22-E22)</f>
        <v>135</v>
      </c>
      <c r="G22" s="59" t="n">
        <v>1868</v>
      </c>
      <c r="H22" s="59" t="n">
        <v>1892</v>
      </c>
      <c r="I22" s="68" t="n">
        <f aca="false">IF(H22="","",G22-H22)</f>
        <v>-24</v>
      </c>
      <c r="J22" s="40" t="n">
        <f aca="false">IF(OR(D22="",D22+G22=0),"",D22/(D22+G22))</f>
        <v>0.31474688187821</v>
      </c>
      <c r="K22" s="40" t="n">
        <f aca="false">IF(E22="","",E22/(E22+H22))</f>
        <v>0.276481835564054</v>
      </c>
      <c r="L22" s="69" t="n">
        <f aca="false">IF(OR(K22="",J22=""),"",(J22-K22)*100)</f>
        <v>3.82650463141563</v>
      </c>
      <c r="M22" s="36" t="n">
        <v>1.79639917133427</v>
      </c>
      <c r="N22" s="36" t="n">
        <v>1.35464561784055</v>
      </c>
      <c r="O22" s="36" t="n">
        <f aca="false">SQRT(M22^2+N22^2)</f>
        <v>2.24991438341664</v>
      </c>
      <c r="P22" s="40" t="n">
        <f aca="false">IF(J22="","",MAX(0,J22-1.96*O22/100))</f>
        <v>0.270648559963244</v>
      </c>
      <c r="Q22" s="40" t="n">
        <f aca="false">IF(J22="","",MIN(1,J22+1.96*O22/100))</f>
        <v>0.358845203793176</v>
      </c>
      <c r="R22" s="32" t="str">
        <f aca="false">IF(L22="","",IF(ABS(L22)&lt;=O22,"Yes","No"))</f>
        <v>No</v>
      </c>
      <c r="S22" s="32" t="str">
        <f aca="false">IF(L22="","",IF(ABS(L22)&lt;=1.96*O22,"Yes","No"))</f>
        <v>Yes</v>
      </c>
      <c r="T22" s="59" t="n">
        <f aca="false">IF(D22="","",ROUND(SQRT(((D22+G22)*O22/100)^2+(J22*(D22+G22)*0.06991)^2),0))</f>
        <v>86</v>
      </c>
      <c r="U22" s="32" t="s">
        <v>432</v>
      </c>
    </row>
    <row r="23" customFormat="false" ht="15" hidden="false" customHeight="false" outlineLevel="0" collapsed="false">
      <c r="A23" s="32" t="s">
        <v>159</v>
      </c>
      <c r="B23" s="32" t="s">
        <v>187</v>
      </c>
      <c r="C23" s="32" t="s">
        <v>161</v>
      </c>
      <c r="D23" s="59" t="n">
        <v>374</v>
      </c>
      <c r="E23" s="59" t="n">
        <v>323</v>
      </c>
      <c r="F23" s="68" t="n">
        <f aca="false">IF(E23="","",D23-E23)</f>
        <v>51</v>
      </c>
      <c r="G23" s="59" t="n">
        <v>859</v>
      </c>
      <c r="H23" s="59" t="n">
        <v>898</v>
      </c>
      <c r="I23" s="68" t="n">
        <f aca="false">IF(H23="","",G23-H23)</f>
        <v>-39</v>
      </c>
      <c r="J23" s="40" t="n">
        <f aca="false">IF(OR(D23="",D23+G23=0),"",D23/(D23+G23))</f>
        <v>0.303325223033252</v>
      </c>
      <c r="K23" s="40" t="n">
        <f aca="false">IF(E23="","",E23/(E23+H23))</f>
        <v>0.264537264537265</v>
      </c>
      <c r="L23" s="69" t="n">
        <f aca="false">IF(OR(K23="",J23=""),"",(J23-K23)*100)</f>
        <v>3.87879584959877</v>
      </c>
      <c r="M23" s="36" t="n">
        <v>3.50906161007311</v>
      </c>
      <c r="N23" s="36" t="n">
        <v>1.35464561784055</v>
      </c>
      <c r="O23" s="36" t="n">
        <f aca="false">SQRT(M23^2+N23^2)</f>
        <v>3.76145957484903</v>
      </c>
      <c r="P23" s="40" t="n">
        <f aca="false">IF(J23="","",MAX(0,J23-1.96*O23/100))</f>
        <v>0.229600615366211</v>
      </c>
      <c r="Q23" s="40" t="n">
        <f aca="false">IF(J23="","",MIN(1,J23+1.96*O23/100))</f>
        <v>0.377049830700293</v>
      </c>
      <c r="R23" s="32" t="str">
        <f aca="false">IF(L23="","",IF(ABS(L23)&lt;=O23,"Yes","No"))</f>
        <v>No</v>
      </c>
      <c r="S23" s="32" t="str">
        <f aca="false">IF(L23="","",IF(ABS(L23)&lt;=1.96*O23,"Yes","No"))</f>
        <v>Yes</v>
      </c>
      <c r="T23" s="59" t="n">
        <f aca="false">IF(D23="","",ROUND(SQRT(((D23+G23)*O23/100)^2+(J23*(D23+G23)*0.09092)^2),0))</f>
        <v>58</v>
      </c>
      <c r="U23" s="32" t="s">
        <v>432</v>
      </c>
    </row>
    <row r="24" customFormat="false" ht="15" hidden="false" customHeight="false" outlineLevel="0" collapsed="false">
      <c r="A24" s="32" t="s">
        <v>159</v>
      </c>
      <c r="B24" s="32" t="s">
        <v>188</v>
      </c>
      <c r="C24" s="32" t="s">
        <v>161</v>
      </c>
      <c r="D24" s="59" t="n">
        <v>81</v>
      </c>
      <c r="E24" s="59" t="n">
        <v>62</v>
      </c>
      <c r="F24" s="68" t="n">
        <f aca="false">IF(E24="","",D24-E24)</f>
        <v>19</v>
      </c>
      <c r="G24" s="59" t="n">
        <v>93</v>
      </c>
      <c r="H24" s="59" t="n">
        <v>91</v>
      </c>
      <c r="I24" s="68" t="n">
        <f aca="false">IF(H24="","",G24-H24)</f>
        <v>2</v>
      </c>
      <c r="J24" s="40" t="n">
        <f aca="false">IF(OR(D24="",D24+G24=0),"",D24/(D24+G24))</f>
        <v>0.46551724137931</v>
      </c>
      <c r="K24" s="40" t="n">
        <f aca="false">IF(E24="","",E24/(E24+H24))</f>
        <v>0.405228758169935</v>
      </c>
      <c r="L24" s="69" t="n">
        <f aca="false">IF(OR(K24="",J24=""),"",(J24-K24)*100)</f>
        <v>6.02884832093757</v>
      </c>
      <c r="M24" s="36" t="n">
        <v>3.50906161007311</v>
      </c>
      <c r="N24" s="36" t="n">
        <v>1.35464561784055</v>
      </c>
      <c r="O24" s="36" t="n">
        <f aca="false">SQRT(M24^2+N24^2)</f>
        <v>3.76145957484903</v>
      </c>
      <c r="P24" s="40" t="n">
        <f aca="false">IF(J24="","",MAX(0,J24-1.96*O24/100))</f>
        <v>0.391792633712269</v>
      </c>
      <c r="Q24" s="40" t="n">
        <f aca="false">IF(J24="","",MIN(1,J24+1.96*O24/100))</f>
        <v>0.539241849046351</v>
      </c>
      <c r="R24" s="32" t="str">
        <f aca="false">IF(L24="","",IF(ABS(L24)&lt;=O24,"Yes","No"))</f>
        <v>No</v>
      </c>
      <c r="S24" s="32" t="str">
        <f aca="false">IF(L24="","",IF(ABS(L24)&lt;=1.96*O24,"Yes","No"))</f>
        <v>Yes</v>
      </c>
      <c r="T24" s="59" t="n">
        <f aca="false">IF(D24="","",ROUND(SQRT(((D24+G24)*O24/100)^2+(J24*(D24+G24)*0.09092)^2),0))</f>
        <v>10</v>
      </c>
      <c r="U24" s="32" t="s">
        <v>432</v>
      </c>
    </row>
    <row r="25" customFormat="false" ht="15" hidden="false" customHeight="false" outlineLevel="0" collapsed="false">
      <c r="A25" s="32" t="s">
        <v>189</v>
      </c>
      <c r="B25" s="32" t="s">
        <v>190</v>
      </c>
      <c r="C25" s="32" t="s">
        <v>161</v>
      </c>
      <c r="D25" s="59" t="n">
        <v>678</v>
      </c>
      <c r="E25" s="59" t="n">
        <v>644</v>
      </c>
      <c r="F25" s="68" t="n">
        <f aca="false">IF(E25="","",D25-E25)</f>
        <v>34</v>
      </c>
      <c r="G25" s="59" t="n">
        <v>655</v>
      </c>
      <c r="H25" s="59" t="n">
        <v>735</v>
      </c>
      <c r="I25" s="68" t="n">
        <f aca="false">IF(H25="","",G25-H25)</f>
        <v>-80</v>
      </c>
      <c r="J25" s="40" t="n">
        <f aca="false">IF(OR(D25="",D25+G25=0),"",D25/(D25+G25))</f>
        <v>0.508627156789197</v>
      </c>
      <c r="K25" s="40" t="n">
        <f aca="false">IF(E25="","",E25/(E25+H25))</f>
        <v>0.467005076142132</v>
      </c>
      <c r="L25" s="69" t="n">
        <f aca="false">IF(OR(K25="",J25=""),"",(J25-K25)*100)</f>
        <v>4.16220806470654</v>
      </c>
      <c r="M25" s="36" t="n">
        <v>3.50906161007311</v>
      </c>
      <c r="N25" s="36" t="n">
        <v>1.35464561784055</v>
      </c>
      <c r="O25" s="36" t="n">
        <f aca="false">SQRT(M25^2+N25^2)</f>
        <v>3.76145957484903</v>
      </c>
      <c r="P25" s="40" t="n">
        <f aca="false">IF(J25="","",MAX(0,J25-1.96*O25/100))</f>
        <v>0.434902549122156</v>
      </c>
      <c r="Q25" s="40" t="n">
        <f aca="false">IF(J25="","",MIN(1,J25+1.96*O25/100))</f>
        <v>0.582351764456238</v>
      </c>
      <c r="R25" s="32" t="str">
        <f aca="false">IF(L25="","",IF(ABS(L25)&lt;=O25,"Yes","No"))</f>
        <v>No</v>
      </c>
      <c r="S25" s="32" t="str">
        <f aca="false">IF(L25="","",IF(ABS(L25)&lt;=1.96*O25,"Yes","No"))</f>
        <v>Yes</v>
      </c>
      <c r="T25" s="59" t="n">
        <f aca="false">IF(D25="","",ROUND(SQRT(((D25+G25)*O25/100)^2+(J25*(D25+G25)*0.09092)^2),0))</f>
        <v>79</v>
      </c>
      <c r="U25" s="32"/>
    </row>
    <row r="26" customFormat="false" ht="15" hidden="false" customHeight="false" outlineLevel="0" collapsed="false">
      <c r="A26" s="32" t="s">
        <v>189</v>
      </c>
      <c r="B26" s="32" t="s">
        <v>191</v>
      </c>
      <c r="C26" s="32" t="s">
        <v>161</v>
      </c>
      <c r="D26" s="59" t="n">
        <v>27785</v>
      </c>
      <c r="E26" s="59" t="n">
        <v>27952</v>
      </c>
      <c r="F26" s="68" t="n">
        <f aca="false">IF(E26="","",D26-E26)</f>
        <v>-167</v>
      </c>
      <c r="G26" s="59" t="n">
        <v>12581</v>
      </c>
      <c r="H26" s="59" t="n">
        <v>12938</v>
      </c>
      <c r="I26" s="68" t="n">
        <f aca="false">IF(H26="","",G26-H26)</f>
        <v>-357</v>
      </c>
      <c r="J26" s="40" t="n">
        <f aca="false">IF(OR(D26="",D26+G26=0),"",D26/(D26+G26))</f>
        <v>0.688326809691324</v>
      </c>
      <c r="K26" s="40" t="n">
        <f aca="false">IF(E26="","",E26/(E26+H26))</f>
        <v>0.6835901198337</v>
      </c>
      <c r="L26" s="69" t="n">
        <f aca="false">IF(OR(K26="",J26=""),"",(J26-K26)*100)</f>
        <v>0.473668985762421</v>
      </c>
      <c r="M26" s="36" t="n">
        <v>2.09476715517026</v>
      </c>
      <c r="N26" s="36" t="n">
        <v>1.35464561784055</v>
      </c>
      <c r="O26" s="36" t="n">
        <f aca="false">SQRT(M26^2+N26^2)</f>
        <v>2.49461704161475</v>
      </c>
      <c r="P26" s="40" t="n">
        <f aca="false">IF(J26="","",MAX(0,J26-1.96*O26/100))</f>
        <v>0.639432315675675</v>
      </c>
      <c r="Q26" s="40" t="n">
        <f aca="false">IF(J26="","",MIN(1,J26+1.96*O26/100))</f>
        <v>0.737221303706974</v>
      </c>
      <c r="R26" s="32" t="str">
        <f aca="false">IF(L26="","",IF(ABS(L26)&lt;=O26,"Yes","No"))</f>
        <v>Yes</v>
      </c>
      <c r="S26" s="32" t="str">
        <f aca="false">IF(L26="","",IF(ABS(L26)&lt;=1.96*O26,"Yes","No"))</f>
        <v>Yes</v>
      </c>
      <c r="T26" s="59" t="n">
        <f aca="false">IF(D26="","",ROUND(SQRT(((D26+G26)*O26/100)^2+(J26*(D26+G26)*0.0639)^2),0))</f>
        <v>2041</v>
      </c>
      <c r="U26" s="32"/>
    </row>
    <row r="27" customFormat="false" ht="15" hidden="false" customHeight="false" outlineLevel="0" collapsed="false">
      <c r="A27" s="32" t="s">
        <v>189</v>
      </c>
      <c r="B27" s="32" t="s">
        <v>192</v>
      </c>
      <c r="C27" s="32" t="s">
        <v>161</v>
      </c>
      <c r="D27" s="59" t="n">
        <v>6417</v>
      </c>
      <c r="E27" s="59" t="n">
        <v>6475</v>
      </c>
      <c r="F27" s="68" t="n">
        <f aca="false">IF(E27="","",D27-E27)</f>
        <v>-58</v>
      </c>
      <c r="G27" s="59" t="n">
        <v>3655</v>
      </c>
      <c r="H27" s="59" t="n">
        <v>3784</v>
      </c>
      <c r="I27" s="68" t="n">
        <f aca="false">IF(H27="","",G27-H27)</f>
        <v>-129</v>
      </c>
      <c r="J27" s="40" t="n">
        <f aca="false">IF(OR(D27="",D27+G27=0),"",D27/(D27+G27))</f>
        <v>0.637112787926926</v>
      </c>
      <c r="K27" s="40" t="n">
        <f aca="false">IF(E27="","",E27/(E27+H27))</f>
        <v>0.631153133833707</v>
      </c>
      <c r="L27" s="69" t="n">
        <f aca="false">IF(OR(K27="",J27=""),"",(J27-K27)*100)</f>
        <v>0.595965409321919</v>
      </c>
      <c r="M27" s="36" t="n">
        <v>2.09476715517026</v>
      </c>
      <c r="N27" s="36" t="n">
        <v>1.35464561784055</v>
      </c>
      <c r="O27" s="36" t="n">
        <f aca="false">SQRT(M27^2+N27^2)</f>
        <v>2.49461704161475</v>
      </c>
      <c r="P27" s="40" t="n">
        <f aca="false">IF(J27="","",MAX(0,J27-1.96*O27/100))</f>
        <v>0.588218293911277</v>
      </c>
      <c r="Q27" s="40" t="n">
        <f aca="false">IF(J27="","",MIN(1,J27+1.96*O27/100))</f>
        <v>0.686007281942575</v>
      </c>
      <c r="R27" s="32" t="str">
        <f aca="false">IF(L27="","",IF(ABS(L27)&lt;=O27,"Yes","No"))</f>
        <v>Yes</v>
      </c>
      <c r="S27" s="32" t="str">
        <f aca="false">IF(L27="","",IF(ABS(L27)&lt;=1.96*O27,"Yes","No"))</f>
        <v>Yes</v>
      </c>
      <c r="T27" s="59" t="n">
        <f aca="false">IF(D27="","",ROUND(SQRT(((D27+G27)*O27/100)^2+(J27*(D27+G27)*0.0639)^2),0))</f>
        <v>481</v>
      </c>
      <c r="U27" s="32"/>
    </row>
    <row r="28" customFormat="false" ht="15" hidden="false" customHeight="false" outlineLevel="0" collapsed="false">
      <c r="A28" s="32" t="s">
        <v>189</v>
      </c>
      <c r="B28" s="32" t="s">
        <v>193</v>
      </c>
      <c r="C28" s="32" t="s">
        <v>161</v>
      </c>
      <c r="D28" s="59" t="n">
        <v>1687</v>
      </c>
      <c r="E28" s="59" t="n">
        <v>1582</v>
      </c>
      <c r="F28" s="68" t="n">
        <f aca="false">IF(E28="","",D28-E28)</f>
        <v>105</v>
      </c>
      <c r="G28" s="59" t="n">
        <v>1356</v>
      </c>
      <c r="H28" s="59" t="n">
        <v>1496</v>
      </c>
      <c r="I28" s="68" t="n">
        <f aca="false">IF(H28="","",G28-H28)</f>
        <v>-140</v>
      </c>
      <c r="J28" s="40" t="n">
        <f aca="false">IF(OR(D28="",D28+G28=0),"",D28/(D28+G28))</f>
        <v>0.554387117975682</v>
      </c>
      <c r="K28" s="40" t="n">
        <f aca="false">IF(E28="","",E28/(E28+H28))</f>
        <v>0.513970110461339</v>
      </c>
      <c r="L28" s="69" t="n">
        <f aca="false">IF(OR(K28="",J28=""),"",(J28-K28)*100)</f>
        <v>4.04170075143433</v>
      </c>
      <c r="M28" s="36" t="n">
        <v>1.79639917133427</v>
      </c>
      <c r="N28" s="36" t="n">
        <v>1.35464561784055</v>
      </c>
      <c r="O28" s="36" t="n">
        <f aca="false">SQRT(M28^2+N28^2)</f>
        <v>2.24991438341664</v>
      </c>
      <c r="P28" s="40" t="n">
        <f aca="false">IF(J28="","",MAX(0,J28-1.96*O28/100))</f>
        <v>0.510288796060716</v>
      </c>
      <c r="Q28" s="40" t="n">
        <f aca="false">IF(J28="","",MIN(1,J28+1.96*O28/100))</f>
        <v>0.598485439890648</v>
      </c>
      <c r="R28" s="32" t="str">
        <f aca="false">IF(L28="","",IF(ABS(L28)&lt;=O28,"Yes","No"))</f>
        <v>No</v>
      </c>
      <c r="S28" s="32" t="str">
        <f aca="false">IF(L28="","",IF(ABS(L28)&lt;=1.96*O28,"Yes","No"))</f>
        <v>Yes</v>
      </c>
      <c r="T28" s="59" t="n">
        <f aca="false">IF(D28="","",ROUND(SQRT(((D28+G28)*O28/100)^2+(J28*(D28+G28)*0.06991)^2),0))</f>
        <v>136</v>
      </c>
      <c r="U28" s="32"/>
    </row>
    <row r="29" customFormat="false" ht="15" hidden="false" customHeight="false" outlineLevel="0" collapsed="false">
      <c r="A29" s="32" t="s">
        <v>189</v>
      </c>
      <c r="B29" s="32" t="s">
        <v>194</v>
      </c>
      <c r="C29" s="32" t="s">
        <v>161</v>
      </c>
      <c r="D29" s="59" t="n">
        <v>741</v>
      </c>
      <c r="E29" s="59" t="n">
        <v>704</v>
      </c>
      <c r="F29" s="68" t="n">
        <f aca="false">IF(E29="","",D29-E29)</f>
        <v>37</v>
      </c>
      <c r="G29" s="59" t="n">
        <v>724</v>
      </c>
      <c r="H29" s="59" t="n">
        <v>791</v>
      </c>
      <c r="I29" s="68" t="n">
        <f aca="false">IF(H29="","",G29-H29)</f>
        <v>-67</v>
      </c>
      <c r="J29" s="40" t="n">
        <f aca="false">IF(OR(D29="",D29+G29=0),"",D29/(D29+G29))</f>
        <v>0.50580204778157</v>
      </c>
      <c r="K29" s="40" t="n">
        <f aca="false">IF(E29="","",E29/(E29+H29))</f>
        <v>0.470903010033445</v>
      </c>
      <c r="L29" s="69" t="n">
        <f aca="false">IF(OR(K29="",J29=""),"",(J29-K29)*100)</f>
        <v>3.48990377481252</v>
      </c>
      <c r="M29" s="36" t="n">
        <v>3.50906161007311</v>
      </c>
      <c r="N29" s="36" t="n">
        <v>1.35464561784055</v>
      </c>
      <c r="O29" s="36" t="n">
        <f aca="false">SQRT(M29^2+N29^2)</f>
        <v>3.76145957484903</v>
      </c>
      <c r="P29" s="40" t="n">
        <f aca="false">IF(J29="","",MAX(0,J29-1.96*O29/100))</f>
        <v>0.432077440114529</v>
      </c>
      <c r="Q29" s="40" t="n">
        <f aca="false">IF(J29="","",MIN(1,J29+1.96*O29/100))</f>
        <v>0.579526655448611</v>
      </c>
      <c r="R29" s="32" t="str">
        <f aca="false">IF(L29="","",IF(ABS(L29)&lt;=O29,"Yes","No"))</f>
        <v>Yes</v>
      </c>
      <c r="S29" s="32" t="str">
        <f aca="false">IF(L29="","",IF(ABS(L29)&lt;=1.96*O29,"Yes","No"))</f>
        <v>Yes</v>
      </c>
      <c r="T29" s="59" t="n">
        <f aca="false">IF(D29="","",ROUND(SQRT(((D29+G29)*O29/100)^2+(J29*(D29+G29)*0.09092)^2),0))</f>
        <v>87</v>
      </c>
      <c r="U29" s="32"/>
    </row>
    <row r="30" customFormat="false" ht="15" hidden="false" customHeight="false" outlineLevel="0" collapsed="false">
      <c r="A30" s="32" t="s">
        <v>189</v>
      </c>
      <c r="B30" s="32" t="s">
        <v>195</v>
      </c>
      <c r="C30" s="32" t="s">
        <v>161</v>
      </c>
      <c r="D30" s="59" t="n">
        <v>916</v>
      </c>
      <c r="E30" s="59" t="n">
        <v>878</v>
      </c>
      <c r="F30" s="68" t="n">
        <f aca="false">IF(E30="","",D30-E30)</f>
        <v>38</v>
      </c>
      <c r="G30" s="59" t="n">
        <v>794</v>
      </c>
      <c r="H30" s="59" t="n">
        <v>870</v>
      </c>
      <c r="I30" s="68" t="n">
        <f aca="false">IF(H30="","",G30-H30)</f>
        <v>-76</v>
      </c>
      <c r="J30" s="40" t="n">
        <f aca="false">IF(OR(D30="",D30+G30=0),"",D30/(D30+G30))</f>
        <v>0.535672514619883</v>
      </c>
      <c r="K30" s="40" t="n">
        <f aca="false">IF(E30="","",E30/(E30+H30))</f>
        <v>0.502288329519451</v>
      </c>
      <c r="L30" s="69" t="n">
        <f aca="false">IF(OR(K30="",J30=""),"",(J30-K30)*100)</f>
        <v>3.33841851004323</v>
      </c>
      <c r="M30" s="36" t="n">
        <v>1.79639917133427</v>
      </c>
      <c r="N30" s="36" t="n">
        <v>1.35464561784055</v>
      </c>
      <c r="O30" s="36" t="n">
        <f aca="false">SQRT(M30^2+N30^2)</f>
        <v>2.24991438341664</v>
      </c>
      <c r="P30" s="40" t="n">
        <f aca="false">IF(J30="","",MAX(0,J30-1.96*O30/100))</f>
        <v>0.491574192704917</v>
      </c>
      <c r="Q30" s="40" t="n">
        <f aca="false">IF(J30="","",MIN(1,J30+1.96*O30/100))</f>
        <v>0.579770836534849</v>
      </c>
      <c r="R30" s="32" t="str">
        <f aca="false">IF(L30="","",IF(ABS(L30)&lt;=O30,"Yes","No"))</f>
        <v>No</v>
      </c>
      <c r="S30" s="32" t="str">
        <f aca="false">IF(L30="","",IF(ABS(L30)&lt;=1.96*O30,"Yes","No"))</f>
        <v>Yes</v>
      </c>
      <c r="T30" s="59" t="n">
        <f aca="false">IF(D30="","",ROUND(SQRT(((D30+G30)*O30/100)^2+(J30*(D30+G30)*0.06991)^2),0))</f>
        <v>75</v>
      </c>
      <c r="U30" s="32"/>
    </row>
    <row r="31" customFormat="false" ht="15" hidden="false" customHeight="false" outlineLevel="0" collapsed="false">
      <c r="A31" s="32" t="s">
        <v>189</v>
      </c>
      <c r="B31" s="32" t="s">
        <v>196</v>
      </c>
      <c r="C31" s="32" t="s">
        <v>161</v>
      </c>
      <c r="D31" s="59" t="n">
        <v>3477</v>
      </c>
      <c r="E31" s="59" t="n">
        <v>3393</v>
      </c>
      <c r="F31" s="68" t="n">
        <f aca="false">IF(E31="","",D31-E31)</f>
        <v>84</v>
      </c>
      <c r="G31" s="59" t="n">
        <v>3032</v>
      </c>
      <c r="H31" s="59" t="n">
        <v>3078</v>
      </c>
      <c r="I31" s="68" t="n">
        <f aca="false">IF(H31="","",G31-H31)</f>
        <v>-46</v>
      </c>
      <c r="J31" s="40" t="n">
        <f aca="false">IF(OR(D31="",D31+G31=0),"",D31/(D31+G31))</f>
        <v>0.534183438316178</v>
      </c>
      <c r="K31" s="40" t="n">
        <f aca="false">IF(E31="","",E31/(E31+H31))</f>
        <v>0.524339360222531</v>
      </c>
      <c r="L31" s="69" t="n">
        <f aca="false">IF(OR(K31="",J31=""),"",(J31-K31)*100)</f>
        <v>0.98440780936464</v>
      </c>
      <c r="M31" s="36" t="n">
        <v>2.09476715517026</v>
      </c>
      <c r="N31" s="36" t="n">
        <v>1.35464561784055</v>
      </c>
      <c r="O31" s="36" t="n">
        <f aca="false">SQRT(M31^2+N31^2)</f>
        <v>2.49461704161475</v>
      </c>
      <c r="P31" s="40" t="n">
        <f aca="false">IF(J31="","",MAX(0,J31-1.96*O31/100))</f>
        <v>0.485288944300529</v>
      </c>
      <c r="Q31" s="40" t="n">
        <f aca="false">IF(J31="","",MIN(1,J31+1.96*O31/100))</f>
        <v>0.583077932331827</v>
      </c>
      <c r="R31" s="32" t="str">
        <f aca="false">IF(L31="","",IF(ABS(L31)&lt;=O31,"Yes","No"))</f>
        <v>Yes</v>
      </c>
      <c r="S31" s="32" t="str">
        <f aca="false">IF(L31="","",IF(ABS(L31)&lt;=1.96*O31,"Yes","No"))</f>
        <v>Yes</v>
      </c>
      <c r="T31" s="59" t="n">
        <f aca="false">IF(D31="","",ROUND(SQRT(((D31+G31)*O31/100)^2+(J31*(D31+G31)*0.0639)^2),0))</f>
        <v>275</v>
      </c>
      <c r="U31" s="32"/>
    </row>
    <row r="32" customFormat="false" ht="15" hidden="false" customHeight="false" outlineLevel="0" collapsed="false">
      <c r="A32" s="32" t="s">
        <v>189</v>
      </c>
      <c r="B32" s="32" t="s">
        <v>197</v>
      </c>
      <c r="C32" s="32" t="s">
        <v>161</v>
      </c>
      <c r="D32" s="59" t="n">
        <v>1412</v>
      </c>
      <c r="E32" s="59" t="n">
        <v>1481</v>
      </c>
      <c r="F32" s="68" t="n">
        <f aca="false">IF(E32="","",D32-E32)</f>
        <v>-69</v>
      </c>
      <c r="G32" s="59" t="n">
        <v>697</v>
      </c>
      <c r="H32" s="59" t="n">
        <v>737</v>
      </c>
      <c r="I32" s="68" t="n">
        <f aca="false">IF(H32="","",G32-H32)</f>
        <v>-40</v>
      </c>
      <c r="J32" s="40" t="n">
        <f aca="false">IF(OR(D32="",D32+G32=0),"",D32/(D32+G32))</f>
        <v>0.669511616880038</v>
      </c>
      <c r="K32" s="40" t="n">
        <f aca="false">IF(E32="","",E32/(E32+H32))</f>
        <v>0.667718665464382</v>
      </c>
      <c r="L32" s="69" t="n">
        <f aca="false">IF(OR(K32="",J32=""),"",(J32-K32)*100)</f>
        <v>0.179295141565561</v>
      </c>
      <c r="M32" s="36" t="n">
        <v>1.79639917133427</v>
      </c>
      <c r="N32" s="36" t="n">
        <v>1.35464561784055</v>
      </c>
      <c r="O32" s="36" t="n">
        <f aca="false">SQRT(M32^2+N32^2)</f>
        <v>2.24991438341664</v>
      </c>
      <c r="P32" s="40" t="n">
        <f aca="false">IF(J32="","",MAX(0,J32-1.96*O32/100))</f>
        <v>0.625413294965072</v>
      </c>
      <c r="Q32" s="40" t="n">
        <f aca="false">IF(J32="","",MIN(1,J32+1.96*O32/100))</f>
        <v>0.713609938795004</v>
      </c>
      <c r="R32" s="32" t="str">
        <f aca="false">IF(L32="","",IF(ABS(L32)&lt;=O32,"Yes","No"))</f>
        <v>Yes</v>
      </c>
      <c r="S32" s="32" t="str">
        <f aca="false">IF(L32="","",IF(ABS(L32)&lt;=1.96*O32,"Yes","No"))</f>
        <v>Yes</v>
      </c>
      <c r="T32" s="59" t="n">
        <f aca="false">IF(D32="","",ROUND(SQRT(((D32+G32)*O32/100)^2+(J32*(D32+G32)*0.06991)^2),0))</f>
        <v>110</v>
      </c>
      <c r="U32" s="32"/>
    </row>
    <row r="33" customFormat="false" ht="15" hidden="false" customHeight="false" outlineLevel="0" collapsed="false">
      <c r="A33" s="32" t="s">
        <v>189</v>
      </c>
      <c r="B33" s="32" t="s">
        <v>198</v>
      </c>
      <c r="C33" s="32" t="s">
        <v>161</v>
      </c>
      <c r="D33" s="59" t="n">
        <v>388</v>
      </c>
      <c r="E33" s="59" t="n">
        <v>405</v>
      </c>
      <c r="F33" s="68" t="n">
        <f aca="false">IF(E33="","",D33-E33)</f>
        <v>-17</v>
      </c>
      <c r="G33" s="59" t="n">
        <v>292</v>
      </c>
      <c r="H33" s="59" t="n">
        <v>304</v>
      </c>
      <c r="I33" s="68" t="n">
        <f aca="false">IF(H33="","",G33-H33)</f>
        <v>-12</v>
      </c>
      <c r="J33" s="40" t="n">
        <f aca="false">IF(OR(D33="",D33+G33=0),"",D33/(D33+G33))</f>
        <v>0.570588235294118</v>
      </c>
      <c r="K33" s="40" t="n">
        <f aca="false">IF(E33="","",E33/(E33+H33))</f>
        <v>0.571227080394922</v>
      </c>
      <c r="L33" s="69" t="n">
        <f aca="false">IF(OR(K33="",J33=""),"",(J33-K33)*100)</f>
        <v>-0.0638845100804808</v>
      </c>
      <c r="M33" s="36" t="n">
        <v>3.50906161007311</v>
      </c>
      <c r="N33" s="36" t="n">
        <v>1.35464561784055</v>
      </c>
      <c r="O33" s="36" t="n">
        <f aca="false">SQRT(M33^2+N33^2)</f>
        <v>3.76145957484903</v>
      </c>
      <c r="P33" s="40" t="n">
        <f aca="false">IF(J33="","",MAX(0,J33-1.96*O33/100))</f>
        <v>0.496863627627077</v>
      </c>
      <c r="Q33" s="40" t="n">
        <f aca="false">IF(J33="","",MIN(1,J33+1.96*O33/100))</f>
        <v>0.644312842961159</v>
      </c>
      <c r="R33" s="32" t="str">
        <f aca="false">IF(L33="","",IF(ABS(L33)&lt;=O33,"Yes","No"))</f>
        <v>Yes</v>
      </c>
      <c r="S33" s="32" t="str">
        <f aca="false">IF(L33="","",IF(ABS(L33)&lt;=1.96*O33,"Yes","No"))</f>
        <v>Yes</v>
      </c>
      <c r="T33" s="59" t="n">
        <f aca="false">IF(D33="","",ROUND(SQRT(((D33+G33)*O33/100)^2+(J33*(D33+G33)*0.09092)^2),0))</f>
        <v>44</v>
      </c>
      <c r="U33" s="32"/>
    </row>
    <row r="34" customFormat="false" ht="15" hidden="false" customHeight="false" outlineLevel="0" collapsed="false">
      <c r="A34" s="32" t="s">
        <v>189</v>
      </c>
      <c r="B34" s="32" t="s">
        <v>199</v>
      </c>
      <c r="C34" s="32" t="s">
        <v>161</v>
      </c>
      <c r="D34" s="59" t="n">
        <v>656</v>
      </c>
      <c r="E34" s="59" t="n">
        <v>602</v>
      </c>
      <c r="F34" s="68" t="n">
        <f aca="false">IF(E34="","",D34-E34)</f>
        <v>54</v>
      </c>
      <c r="G34" s="59" t="n">
        <v>1322</v>
      </c>
      <c r="H34" s="59" t="n">
        <v>1339</v>
      </c>
      <c r="I34" s="68" t="n">
        <f aca="false">IF(H34="","",G34-H34)</f>
        <v>-17</v>
      </c>
      <c r="J34" s="40" t="n">
        <f aca="false">IF(OR(D34="",D34+G34=0),"",D34/(D34+G34))</f>
        <v>0.33164812942366</v>
      </c>
      <c r="K34" s="40" t="n">
        <f aca="false">IF(E34="","",E34/(E34+H34))</f>
        <v>0.310149407521896</v>
      </c>
      <c r="L34" s="69" t="n">
        <f aca="false">IF(OR(K34="",J34=""),"",(J34-K34)*100)</f>
        <v>2.14987219017644</v>
      </c>
      <c r="M34" s="36" t="n">
        <v>1.79639917133427</v>
      </c>
      <c r="N34" s="36" t="n">
        <v>1.35464561784055</v>
      </c>
      <c r="O34" s="36" t="n">
        <f aca="false">SQRT(M34^2+N34^2)</f>
        <v>2.24991438341664</v>
      </c>
      <c r="P34" s="40" t="n">
        <f aca="false">IF(J34="","",MAX(0,J34-1.96*O34/100))</f>
        <v>0.287549807508694</v>
      </c>
      <c r="Q34" s="40" t="n">
        <f aca="false">IF(J34="","",MIN(1,J34+1.96*O34/100))</f>
        <v>0.375746451338626</v>
      </c>
      <c r="R34" s="32" t="str">
        <f aca="false">IF(L34="","",IF(ABS(L34)&lt;=O34,"Yes","No"))</f>
        <v>Yes</v>
      </c>
      <c r="S34" s="32" t="str">
        <f aca="false">IF(L34="","",IF(ABS(L34)&lt;=1.96*O34,"Yes","No"))</f>
        <v>Yes</v>
      </c>
      <c r="T34" s="59" t="n">
        <f aca="false">IF(D34="","",ROUND(SQRT(((D34+G34)*O34/100)^2+(J34*(D34+G34)*0.06991)^2),0))</f>
        <v>64</v>
      </c>
      <c r="U34" s="32"/>
    </row>
    <row r="35" customFormat="false" ht="15" hidden="false" customHeight="false" outlineLevel="0" collapsed="false">
      <c r="A35" s="32" t="s">
        <v>189</v>
      </c>
      <c r="B35" s="32" t="s">
        <v>200</v>
      </c>
      <c r="C35" s="32" t="s">
        <v>161</v>
      </c>
      <c r="D35" s="59" t="n">
        <v>9700</v>
      </c>
      <c r="E35" s="59" t="n">
        <v>9782</v>
      </c>
      <c r="F35" s="68" t="n">
        <f aca="false">IF(E35="","",D35-E35)</f>
        <v>-82</v>
      </c>
      <c r="G35" s="59" t="n">
        <v>9887</v>
      </c>
      <c r="H35" s="59" t="n">
        <v>10014</v>
      </c>
      <c r="I35" s="68" t="n">
        <f aca="false">IF(H35="","",G35-H35)</f>
        <v>-127</v>
      </c>
      <c r="J35" s="40" t="n">
        <f aca="false">IF(OR(D35="",D35+G35=0),"",D35/(D35+G35))</f>
        <v>0.495226425690509</v>
      </c>
      <c r="K35" s="40" t="n">
        <f aca="false">IF(E35="","",E35/(E35+H35))</f>
        <v>0.494140230349566</v>
      </c>
      <c r="L35" s="69" t="n">
        <f aca="false">IF(OR(K35="",J35=""),"",(J35-K35)*100)</f>
        <v>0.108619534094345</v>
      </c>
      <c r="M35" s="36" t="n">
        <v>2.09476715517026</v>
      </c>
      <c r="N35" s="36" t="n">
        <v>1.35464561784055</v>
      </c>
      <c r="O35" s="36" t="n">
        <f aca="false">SQRT(M35^2+N35^2)</f>
        <v>2.49461704161475</v>
      </c>
      <c r="P35" s="40" t="n">
        <f aca="false">IF(J35="","",MAX(0,J35-1.96*O35/100))</f>
        <v>0.44633193167486</v>
      </c>
      <c r="Q35" s="40" t="n">
        <f aca="false">IF(J35="","",MIN(1,J35+1.96*O35/100))</f>
        <v>0.544120919706158</v>
      </c>
      <c r="R35" s="32" t="str">
        <f aca="false">IF(L35="","",IF(ABS(L35)&lt;=O35,"Yes","No"))</f>
        <v>Yes</v>
      </c>
      <c r="S35" s="32" t="str">
        <f aca="false">IF(L35="","",IF(ABS(L35)&lt;=1.96*O35,"Yes","No"))</f>
        <v>Yes</v>
      </c>
      <c r="T35" s="59" t="n">
        <f aca="false">IF(D35="","",ROUND(SQRT(((D35+G35)*O35/100)^2+(J35*(D35+G35)*0.0639)^2),0))</f>
        <v>789</v>
      </c>
      <c r="U35" s="32"/>
    </row>
    <row r="36" customFormat="false" ht="15" hidden="false" customHeight="false" outlineLevel="0" collapsed="false">
      <c r="A36" s="32" t="s">
        <v>189</v>
      </c>
      <c r="B36" s="32" t="s">
        <v>201</v>
      </c>
      <c r="C36" s="32" t="s">
        <v>161</v>
      </c>
      <c r="D36" s="59" t="n">
        <v>916</v>
      </c>
      <c r="E36" s="59" t="n">
        <v>920</v>
      </c>
      <c r="F36" s="68" t="n">
        <f aca="false">IF(E36="","",D36-E36)</f>
        <v>-4</v>
      </c>
      <c r="G36" s="59" t="n">
        <v>1571</v>
      </c>
      <c r="H36" s="59" t="n">
        <v>1596</v>
      </c>
      <c r="I36" s="68" t="n">
        <f aca="false">IF(H36="","",G36-H36)</f>
        <v>-25</v>
      </c>
      <c r="J36" s="40" t="n">
        <f aca="false">IF(OR(D36="",D36+G36=0),"",D36/(D36+G36))</f>
        <v>0.368315239244069</v>
      </c>
      <c r="K36" s="40" t="n">
        <f aca="false">IF(E36="","",E36/(E36+H36))</f>
        <v>0.365659777424483</v>
      </c>
      <c r="L36" s="69" t="n">
        <f aca="false">IF(OR(K36="",J36=""),"",(J36-K36)*100)</f>
        <v>0.265546181958587</v>
      </c>
      <c r="M36" s="36" t="n">
        <v>1.79639917133427</v>
      </c>
      <c r="N36" s="36" t="n">
        <v>1.35464561784055</v>
      </c>
      <c r="O36" s="36" t="n">
        <f aca="false">SQRT(M36^2+N36^2)</f>
        <v>2.24991438341664</v>
      </c>
      <c r="P36" s="40" t="n">
        <f aca="false">IF(J36="","",MAX(0,J36-1.96*O36/100))</f>
        <v>0.324216917329103</v>
      </c>
      <c r="Q36" s="40" t="n">
        <f aca="false">IF(J36="","",MIN(1,J36+1.96*O36/100))</f>
        <v>0.412413561159035</v>
      </c>
      <c r="R36" s="32" t="str">
        <f aca="false">IF(L36="","",IF(ABS(L36)&lt;=O36,"Yes","No"))</f>
        <v>Yes</v>
      </c>
      <c r="S36" s="32" t="str">
        <f aca="false">IF(L36="","",IF(ABS(L36)&lt;=1.96*O36,"Yes","No"))</f>
        <v>Yes</v>
      </c>
      <c r="T36" s="59" t="n">
        <f aca="false">IF(D36="","",ROUND(SQRT(((D36+G36)*O36/100)^2+(J36*(D36+G36)*0.06991)^2),0))</f>
        <v>85</v>
      </c>
      <c r="U36" s="32"/>
    </row>
    <row r="37" customFormat="false" ht="15" hidden="false" customHeight="false" outlineLevel="0" collapsed="false">
      <c r="A37" s="32" t="s">
        <v>189</v>
      </c>
      <c r="B37" s="32" t="s">
        <v>202</v>
      </c>
      <c r="C37" s="32" t="s">
        <v>161</v>
      </c>
      <c r="D37" s="59" t="n">
        <v>514</v>
      </c>
      <c r="E37" s="59" t="n">
        <v>533</v>
      </c>
      <c r="F37" s="68" t="n">
        <f aca="false">IF(E37="","",D37-E37)</f>
        <v>-19</v>
      </c>
      <c r="G37" s="59" t="n">
        <v>945</v>
      </c>
      <c r="H37" s="59" t="n">
        <v>955</v>
      </c>
      <c r="I37" s="68" t="n">
        <f aca="false">IF(H37="","",G37-H37)</f>
        <v>-10</v>
      </c>
      <c r="J37" s="40" t="n">
        <f aca="false">IF(OR(D37="",D37+G37=0),"",D37/(D37+G37))</f>
        <v>0.352296093214531</v>
      </c>
      <c r="K37" s="40" t="n">
        <f aca="false">IF(E37="","",E37/(E37+H37))</f>
        <v>0.358198924731183</v>
      </c>
      <c r="L37" s="69" t="n">
        <f aca="false">IF(OR(K37="",J37=""),"",(J37-K37)*100)</f>
        <v>-0.590283151665233</v>
      </c>
      <c r="M37" s="36" t="n">
        <v>3.50906161007311</v>
      </c>
      <c r="N37" s="36" t="n">
        <v>1.35464561784055</v>
      </c>
      <c r="O37" s="36" t="n">
        <f aca="false">SQRT(M37^2+N37^2)</f>
        <v>3.76145957484903</v>
      </c>
      <c r="P37" s="40" t="n">
        <f aca="false">IF(J37="","",MAX(0,J37-1.96*O37/100))</f>
        <v>0.278571485547489</v>
      </c>
      <c r="Q37" s="40" t="n">
        <f aca="false">IF(J37="","",MIN(1,J37+1.96*O37/100))</f>
        <v>0.426020700881572</v>
      </c>
      <c r="R37" s="32" t="str">
        <f aca="false">IF(L37="","",IF(ABS(L37)&lt;=O37,"Yes","No"))</f>
        <v>Yes</v>
      </c>
      <c r="S37" s="32" t="str">
        <f aca="false">IF(L37="","",IF(ABS(L37)&lt;=1.96*O37,"Yes","No"))</f>
        <v>Yes</v>
      </c>
      <c r="T37" s="59" t="n">
        <f aca="false">IF(D37="","",ROUND(SQRT(((D37+G37)*O37/100)^2+(J37*(D37+G37)*0.09092)^2),0))</f>
        <v>72</v>
      </c>
      <c r="U37" s="32"/>
    </row>
    <row r="38" customFormat="false" ht="15" hidden="false" customHeight="false" outlineLevel="0" collapsed="false">
      <c r="A38" s="32" t="s">
        <v>189</v>
      </c>
      <c r="B38" s="32" t="s">
        <v>203</v>
      </c>
      <c r="C38" s="32" t="s">
        <v>161</v>
      </c>
      <c r="D38" s="59" t="n">
        <v>818</v>
      </c>
      <c r="E38" s="59" t="n">
        <v>846</v>
      </c>
      <c r="F38" s="68" t="n">
        <f aca="false">IF(E38="","",D38-E38)</f>
        <v>-28</v>
      </c>
      <c r="G38" s="59" t="n">
        <v>1818</v>
      </c>
      <c r="H38" s="59" t="n">
        <v>1783</v>
      </c>
      <c r="I38" s="68" t="n">
        <f aca="false">IF(H38="","",G38-H38)</f>
        <v>35</v>
      </c>
      <c r="J38" s="40" t="n">
        <f aca="false">IF(OR(D38="",D38+G38=0),"",D38/(D38+G38))</f>
        <v>0.310318664643399</v>
      </c>
      <c r="K38" s="40" t="n">
        <f aca="false">IF(E38="","",E38/(E38+H38))</f>
        <v>0.321795359452263</v>
      </c>
      <c r="L38" s="69" t="n">
        <f aca="false">IF(OR(K38="",J38=""),"",(J38-K38)*100)</f>
        <v>-1.14766948088642</v>
      </c>
      <c r="M38" s="36" t="n">
        <v>1.79639917133427</v>
      </c>
      <c r="N38" s="36" t="n">
        <v>1.35464561784055</v>
      </c>
      <c r="O38" s="36" t="n">
        <f aca="false">SQRT(M38^2+N38^2)</f>
        <v>2.24991438341664</v>
      </c>
      <c r="P38" s="40" t="n">
        <f aca="false">IF(J38="","",MAX(0,J38-1.96*O38/100))</f>
        <v>0.266220342728433</v>
      </c>
      <c r="Q38" s="40" t="n">
        <f aca="false">IF(J38="","",MIN(1,J38+1.96*O38/100))</f>
        <v>0.354416986558365</v>
      </c>
      <c r="R38" s="32" t="str">
        <f aca="false">IF(L38="","",IF(ABS(L38)&lt;=O38,"Yes","No"))</f>
        <v>Yes</v>
      </c>
      <c r="S38" s="32" t="str">
        <f aca="false">IF(L38="","",IF(ABS(L38)&lt;=1.96*O38,"Yes","No"))</f>
        <v>Yes</v>
      </c>
      <c r="T38" s="59" t="n">
        <f aca="false">IF(D38="","",ROUND(SQRT(((D38+G38)*O38/100)^2+(J38*(D38+G38)*0.06991)^2),0))</f>
        <v>82</v>
      </c>
      <c r="U38" s="32"/>
    </row>
    <row r="39" customFormat="false" ht="15" hidden="false" customHeight="false" outlineLevel="0" collapsed="false">
      <c r="A39" s="32" t="s">
        <v>189</v>
      </c>
      <c r="B39" s="32" t="s">
        <v>204</v>
      </c>
      <c r="C39" s="32" t="s">
        <v>161</v>
      </c>
      <c r="D39" s="59" t="n">
        <v>944</v>
      </c>
      <c r="E39" s="59" t="n">
        <v>997</v>
      </c>
      <c r="F39" s="68" t="n">
        <f aca="false">IF(E39="","",D39-E39)</f>
        <v>-53</v>
      </c>
      <c r="G39" s="59" t="n">
        <v>873</v>
      </c>
      <c r="H39" s="59" t="n">
        <v>860</v>
      </c>
      <c r="I39" s="68" t="n">
        <f aca="false">IF(H39="","",G39-H39)</f>
        <v>13</v>
      </c>
      <c r="J39" s="40" t="n">
        <f aca="false">IF(OR(D39="",D39+G39=0),"",D39/(D39+G39))</f>
        <v>0.519537699504678</v>
      </c>
      <c r="K39" s="40" t="n">
        <f aca="false">IF(E39="","",E39/(E39+H39))</f>
        <v>0.536887452880991</v>
      </c>
      <c r="L39" s="69" t="n">
        <f aca="false">IF(OR(K39="",J39=""),"",(J39-K39)*100)</f>
        <v>-1.73497533763128</v>
      </c>
      <c r="M39" s="36" t="n">
        <v>1.79639917133427</v>
      </c>
      <c r="N39" s="36" t="n">
        <v>1.35464561784055</v>
      </c>
      <c r="O39" s="36" t="n">
        <f aca="false">SQRT(M39^2+N39^2)</f>
        <v>2.24991438341664</v>
      </c>
      <c r="P39" s="40" t="n">
        <f aca="false">IF(J39="","",MAX(0,J39-1.96*O39/100))</f>
        <v>0.475439377589712</v>
      </c>
      <c r="Q39" s="40" t="n">
        <f aca="false">IF(J39="","",MIN(1,J39+1.96*O39/100))</f>
        <v>0.563636021419644</v>
      </c>
      <c r="R39" s="32" t="str">
        <f aca="false">IF(L39="","",IF(ABS(L39)&lt;=O39,"Yes","No"))</f>
        <v>Yes</v>
      </c>
      <c r="S39" s="32" t="str">
        <f aca="false">IF(L39="","",IF(ABS(L39)&lt;=1.96*O39,"Yes","No"))</f>
        <v>Yes</v>
      </c>
      <c r="T39" s="59" t="n">
        <f aca="false">IF(D39="","",ROUND(SQRT(((D39+G39)*O39/100)^2+(J39*(D39+G39)*0.06991)^2),0))</f>
        <v>78</v>
      </c>
      <c r="U39" s="32"/>
    </row>
    <row r="40" customFormat="false" ht="15" hidden="false" customHeight="false" outlineLevel="0" collapsed="false">
      <c r="A40" s="32" t="s">
        <v>189</v>
      </c>
      <c r="B40" s="32" t="s">
        <v>205</v>
      </c>
      <c r="C40" s="32" t="s">
        <v>161</v>
      </c>
      <c r="D40" s="59" t="n">
        <v>4010</v>
      </c>
      <c r="E40" s="59" t="n">
        <v>3900</v>
      </c>
      <c r="F40" s="68" t="n">
        <f aca="false">IF(E40="","",D40-E40)</f>
        <v>110</v>
      </c>
      <c r="G40" s="59" t="n">
        <v>5652</v>
      </c>
      <c r="H40" s="59" t="n">
        <v>5859</v>
      </c>
      <c r="I40" s="68" t="n">
        <f aca="false">IF(H40="","",G40-H40)</f>
        <v>-207</v>
      </c>
      <c r="J40" s="40" t="n">
        <f aca="false">IF(OR(D40="",D40+G40=0),"",D40/(D40+G40))</f>
        <v>0.415027944524943</v>
      </c>
      <c r="K40" s="40" t="n">
        <f aca="false">IF(E40="","",E40/(E40+H40))</f>
        <v>0.399631109744851</v>
      </c>
      <c r="L40" s="69" t="n">
        <f aca="false">IF(OR(K40="",J40=""),"",(J40-K40)*100)</f>
        <v>1.53968347800922</v>
      </c>
      <c r="M40" s="36" t="n">
        <v>2.09476715517026</v>
      </c>
      <c r="N40" s="36" t="n">
        <v>1.35464561784055</v>
      </c>
      <c r="O40" s="36" t="n">
        <f aca="false">SQRT(M40^2+N40^2)</f>
        <v>2.49461704161475</v>
      </c>
      <c r="P40" s="40" t="n">
        <f aca="false">IF(J40="","",MAX(0,J40-1.96*O40/100))</f>
        <v>0.366133450509294</v>
      </c>
      <c r="Q40" s="40" t="n">
        <f aca="false">IF(J40="","",MIN(1,J40+1.96*O40/100))</f>
        <v>0.463922438540592</v>
      </c>
      <c r="R40" s="32" t="str">
        <f aca="false">IF(L40="","",IF(ABS(L40)&lt;=O40,"Yes","No"))</f>
        <v>Yes</v>
      </c>
      <c r="S40" s="32" t="str">
        <f aca="false">IF(L40="","",IF(ABS(L40)&lt;=1.96*O40,"Yes","No"))</f>
        <v>Yes</v>
      </c>
      <c r="T40" s="59" t="n">
        <f aca="false">IF(D40="","",ROUND(SQRT(((D40+G40)*O40/100)^2+(J40*(D40+G40)*0.0639)^2),0))</f>
        <v>352</v>
      </c>
      <c r="U40" s="32"/>
    </row>
    <row r="41" customFormat="false" ht="15" hidden="false" customHeight="false" outlineLevel="0" collapsed="false">
      <c r="A41" s="32" t="s">
        <v>189</v>
      </c>
      <c r="B41" s="32" t="s">
        <v>206</v>
      </c>
      <c r="C41" s="32" t="s">
        <v>161</v>
      </c>
      <c r="D41" s="59" t="n">
        <v>3985</v>
      </c>
      <c r="E41" s="59" t="n">
        <v>4029</v>
      </c>
      <c r="F41" s="68" t="n">
        <f aca="false">IF(E41="","",D41-E41)</f>
        <v>-44</v>
      </c>
      <c r="G41" s="59" t="n">
        <v>4135</v>
      </c>
      <c r="H41" s="59" t="n">
        <v>4143</v>
      </c>
      <c r="I41" s="68" t="n">
        <f aca="false">IF(H41="","",G41-H41)</f>
        <v>-8</v>
      </c>
      <c r="J41" s="40" t="n">
        <f aca="false">IF(OR(D41="",D41+G41=0),"",D41/(D41+G41))</f>
        <v>0.49076354679803</v>
      </c>
      <c r="K41" s="40" t="n">
        <f aca="false">IF(E41="","",E41/(E41+H41))</f>
        <v>0.49302496328928</v>
      </c>
      <c r="L41" s="69" t="n">
        <f aca="false">IF(OR(K41="",J41=""),"",(J41-K41)*100)</f>
        <v>-0.226141649125089</v>
      </c>
      <c r="M41" s="36" t="n">
        <v>2.09476715517026</v>
      </c>
      <c r="N41" s="36" t="n">
        <v>1.35464561784055</v>
      </c>
      <c r="O41" s="36" t="n">
        <f aca="false">SQRT(M41^2+N41^2)</f>
        <v>2.49461704161475</v>
      </c>
      <c r="P41" s="40" t="n">
        <f aca="false">IF(J41="","",MAX(0,J41-1.96*O41/100))</f>
        <v>0.441869052782381</v>
      </c>
      <c r="Q41" s="40" t="n">
        <f aca="false">IF(J41="","",MIN(1,J41+1.96*O41/100))</f>
        <v>0.539658040813679</v>
      </c>
      <c r="R41" s="32" t="str">
        <f aca="false">IF(L41="","",IF(ABS(L41)&lt;=O41,"Yes","No"))</f>
        <v>Yes</v>
      </c>
      <c r="S41" s="32" t="str">
        <f aca="false">IF(L41="","",IF(ABS(L41)&lt;=1.96*O41,"Yes","No"))</f>
        <v>Yes</v>
      </c>
      <c r="T41" s="59" t="n">
        <f aca="false">IF(D41="","",ROUND(SQRT(((D41+G41)*O41/100)^2+(J41*(D41+G41)*0.0639)^2),0))</f>
        <v>325</v>
      </c>
      <c r="U41" s="32"/>
    </row>
    <row r="42" customFormat="false" ht="15" hidden="false" customHeight="false" outlineLevel="0" collapsed="false">
      <c r="A42" s="32" t="s">
        <v>189</v>
      </c>
      <c r="B42" s="32" t="s">
        <v>207</v>
      </c>
      <c r="C42" s="32" t="s">
        <v>161</v>
      </c>
      <c r="D42" s="59" t="n">
        <v>792</v>
      </c>
      <c r="E42" s="59" t="n">
        <v>748</v>
      </c>
      <c r="F42" s="68" t="n">
        <f aca="false">IF(E42="","",D42-E42)</f>
        <v>44</v>
      </c>
      <c r="G42" s="59" t="n">
        <v>1065</v>
      </c>
      <c r="H42" s="59" t="n">
        <v>1149</v>
      </c>
      <c r="I42" s="68" t="n">
        <f aca="false">IF(H42="","",G42-H42)</f>
        <v>-84</v>
      </c>
      <c r="J42" s="40" t="n">
        <f aca="false">IF(OR(D42="",D42+G42=0),"",D42/(D42+G42))</f>
        <v>0.426494345718901</v>
      </c>
      <c r="K42" s="40" t="n">
        <f aca="false">IF(E42="","",E42/(E42+H42))</f>
        <v>0.394306800210859</v>
      </c>
      <c r="L42" s="69" t="n">
        <f aca="false">IF(OR(K42="",J42=""),"",(J42-K42)*100)</f>
        <v>3.21875455080422</v>
      </c>
      <c r="M42" s="36" t="n">
        <v>1.79639917133427</v>
      </c>
      <c r="N42" s="36" t="n">
        <v>1.35464561784055</v>
      </c>
      <c r="O42" s="36" t="n">
        <f aca="false">SQRT(M42^2+N42^2)</f>
        <v>2.24991438341664</v>
      </c>
      <c r="P42" s="40" t="n">
        <f aca="false">IF(J42="","",MAX(0,J42-1.96*O42/100))</f>
        <v>0.382396023803935</v>
      </c>
      <c r="Q42" s="40" t="n">
        <f aca="false">IF(J42="","",MIN(1,J42+1.96*O42/100))</f>
        <v>0.470592667633868</v>
      </c>
      <c r="R42" s="32" t="str">
        <f aca="false">IF(L42="","",IF(ABS(L42)&lt;=O42,"Yes","No"))</f>
        <v>No</v>
      </c>
      <c r="S42" s="32" t="str">
        <f aca="false">IF(L42="","",IF(ABS(L42)&lt;=1.96*O42,"Yes","No"))</f>
        <v>Yes</v>
      </c>
      <c r="T42" s="59" t="n">
        <f aca="false">IF(D42="","",ROUND(SQRT(((D42+G42)*O42/100)^2+(J42*(D42+G42)*0.06991)^2),0))</f>
        <v>69</v>
      </c>
      <c r="U42" s="32"/>
    </row>
    <row r="43" customFormat="false" ht="15" hidden="false" customHeight="false" outlineLevel="0" collapsed="false">
      <c r="A43" s="32" t="s">
        <v>189</v>
      </c>
      <c r="B43" s="32" t="s">
        <v>208</v>
      </c>
      <c r="C43" s="32" t="s">
        <v>161</v>
      </c>
      <c r="D43" s="59" t="n">
        <v>6663</v>
      </c>
      <c r="E43" s="59" t="n">
        <v>6668</v>
      </c>
      <c r="F43" s="68" t="n">
        <f aca="false">IF(E43="","",D43-E43)</f>
        <v>-5</v>
      </c>
      <c r="G43" s="59" t="n">
        <v>5795</v>
      </c>
      <c r="H43" s="59" t="n">
        <v>5856</v>
      </c>
      <c r="I43" s="68" t="n">
        <f aca="false">IF(H43="","",G43-H43)</f>
        <v>-61</v>
      </c>
      <c r="J43" s="40" t="n">
        <f aca="false">IF(OR(D43="",D43+G43=0),"",D43/(D43+G43))</f>
        <v>0.534837052496388</v>
      </c>
      <c r="K43" s="40" t="n">
        <f aca="false">IF(E43="","",E43/(E43+H43))</f>
        <v>0.532417757904823</v>
      </c>
      <c r="L43" s="69" t="n">
        <f aca="false">IF(OR(K43="",J43=""),"",(J43-K43)*100)</f>
        <v>0.24192945915652</v>
      </c>
      <c r="M43" s="36" t="n">
        <v>2.09476715517026</v>
      </c>
      <c r="N43" s="36" t="n">
        <v>1.35464561784055</v>
      </c>
      <c r="O43" s="36" t="n">
        <f aca="false">SQRT(M43^2+N43^2)</f>
        <v>2.49461704161475</v>
      </c>
      <c r="P43" s="40" t="n">
        <f aca="false">IF(J43="","",MAX(0,J43-1.96*O43/100))</f>
        <v>0.485942558480739</v>
      </c>
      <c r="Q43" s="40" t="n">
        <f aca="false">IF(J43="","",MIN(1,J43+1.96*O43/100))</f>
        <v>0.583731546512037</v>
      </c>
      <c r="R43" s="32" t="str">
        <f aca="false">IF(L43="","",IF(ABS(L43)&lt;=O43,"Yes","No"))</f>
        <v>Yes</v>
      </c>
      <c r="S43" s="32" t="str">
        <f aca="false">IF(L43="","",IF(ABS(L43)&lt;=1.96*O43,"Yes","No"))</f>
        <v>Yes</v>
      </c>
      <c r="T43" s="59" t="n">
        <f aca="false">IF(D43="","",ROUND(SQRT(((D43+G43)*O43/100)^2+(J43*(D43+G43)*0.0639)^2),0))</f>
        <v>527</v>
      </c>
      <c r="U43" s="32"/>
    </row>
    <row r="44" customFormat="false" ht="15" hidden="false" customHeight="false" outlineLevel="0" collapsed="false">
      <c r="A44" s="32" t="s">
        <v>189</v>
      </c>
      <c r="B44" s="32" t="s">
        <v>209</v>
      </c>
      <c r="C44" s="32" t="s">
        <v>161</v>
      </c>
      <c r="D44" s="59" t="n">
        <v>7250</v>
      </c>
      <c r="E44" s="59" t="n">
        <v>7495</v>
      </c>
      <c r="F44" s="68" t="n">
        <f aca="false">IF(E44="","",D44-E44)</f>
        <v>-245</v>
      </c>
      <c r="G44" s="59" t="n">
        <v>6953</v>
      </c>
      <c r="H44" s="59" t="n">
        <v>7011</v>
      </c>
      <c r="I44" s="68" t="n">
        <f aca="false">IF(H44="","",G44-H44)</f>
        <v>-58</v>
      </c>
      <c r="J44" s="40" t="n">
        <f aca="false">IF(OR(D44="",D44+G44=0),"",D44/(D44+G44))</f>
        <v>0.510455537562487</v>
      </c>
      <c r="K44" s="40" t="n">
        <f aca="false">IF(E44="","",E44/(E44+H44))</f>
        <v>0.516682751964704</v>
      </c>
      <c r="L44" s="69" t="n">
        <f aca="false">IF(OR(K44="",J44=""),"",(J44-K44)*100)</f>
        <v>-0.622721440221741</v>
      </c>
      <c r="M44" s="36" t="n">
        <v>2.09476715517026</v>
      </c>
      <c r="N44" s="36" t="n">
        <v>1.35464561784055</v>
      </c>
      <c r="O44" s="36" t="n">
        <f aca="false">SQRT(M44^2+N44^2)</f>
        <v>2.49461704161475</v>
      </c>
      <c r="P44" s="40" t="n">
        <f aca="false">IF(J44="","",MAX(0,J44-1.96*O44/100))</f>
        <v>0.461561043546838</v>
      </c>
      <c r="Q44" s="40" t="n">
        <f aca="false">IF(J44="","",MIN(1,J44+1.96*O44/100))</f>
        <v>0.559350031578136</v>
      </c>
      <c r="R44" s="32" t="str">
        <f aca="false">IF(L44="","",IF(ABS(L44)&lt;=O44,"Yes","No"))</f>
        <v>Yes</v>
      </c>
      <c r="S44" s="32" t="str">
        <f aca="false">IF(L44="","",IF(ABS(L44)&lt;=1.96*O44,"Yes","No"))</f>
        <v>Yes</v>
      </c>
      <c r="T44" s="59" t="n">
        <f aca="false">IF(D44="","",ROUND(SQRT(((D44+G44)*O44/100)^2+(J44*(D44+G44)*0.0639)^2),0))</f>
        <v>583</v>
      </c>
      <c r="U44" s="32"/>
    </row>
    <row r="45" customFormat="false" ht="15" hidden="false" customHeight="false" outlineLevel="0" collapsed="false">
      <c r="A45" s="32" t="s">
        <v>189</v>
      </c>
      <c r="B45" s="32" t="s">
        <v>210</v>
      </c>
      <c r="C45" s="32" t="s">
        <v>161</v>
      </c>
      <c r="D45" s="59" t="n">
        <v>2275</v>
      </c>
      <c r="E45" s="59" t="n">
        <v>2222</v>
      </c>
      <c r="F45" s="68" t="n">
        <f aca="false">IF(E45="","",D45-E45)</f>
        <v>53</v>
      </c>
      <c r="G45" s="59" t="n">
        <v>2960</v>
      </c>
      <c r="H45" s="59" t="n">
        <v>2955</v>
      </c>
      <c r="I45" s="68" t="n">
        <f aca="false">IF(H45="","",G45-H45)</f>
        <v>5</v>
      </c>
      <c r="J45" s="40" t="n">
        <f aca="false">IF(OR(D45="",D45+G45=0),"",D45/(D45+G45))</f>
        <v>0.434574976122254</v>
      </c>
      <c r="K45" s="40" t="n">
        <f aca="false">IF(E45="","",E45/(E45+H45))</f>
        <v>0.42920610392119</v>
      </c>
      <c r="L45" s="69" t="n">
        <f aca="false">IF(OR(K45="",J45=""),"",(J45-K45)*100)</f>
        <v>0.536887220106419</v>
      </c>
      <c r="M45" s="36" t="n">
        <v>2.09476715517026</v>
      </c>
      <c r="N45" s="36" t="n">
        <v>1.35464561784055</v>
      </c>
      <c r="O45" s="36" t="n">
        <f aca="false">SQRT(M45^2+N45^2)</f>
        <v>2.49461704161475</v>
      </c>
      <c r="P45" s="40" t="n">
        <f aca="false">IF(J45="","",MAX(0,J45-1.96*O45/100))</f>
        <v>0.385680482106605</v>
      </c>
      <c r="Q45" s="40" t="n">
        <f aca="false">IF(J45="","",MIN(1,J45+1.96*O45/100))</f>
        <v>0.483469470137903</v>
      </c>
      <c r="R45" s="32" t="str">
        <f aca="false">IF(L45="","",IF(ABS(L45)&lt;=O45,"Yes","No"))</f>
        <v>Yes</v>
      </c>
      <c r="S45" s="32" t="str">
        <f aca="false">IF(L45="","",IF(ABS(L45)&lt;=1.96*O45,"Yes","No"))</f>
        <v>Yes</v>
      </c>
      <c r="T45" s="59" t="n">
        <f aca="false">IF(D45="","",ROUND(SQRT(((D45+G45)*O45/100)^2+(J45*(D45+G45)*0.0639)^2),0))</f>
        <v>195</v>
      </c>
      <c r="U45" s="32"/>
    </row>
    <row r="46" customFormat="false" ht="15" hidden="false" customHeight="false" outlineLevel="0" collapsed="false">
      <c r="A46" s="32" t="s">
        <v>189</v>
      </c>
      <c r="B46" s="32" t="s">
        <v>211</v>
      </c>
      <c r="C46" s="32" t="s">
        <v>161</v>
      </c>
      <c r="D46" s="59" t="n">
        <v>4901</v>
      </c>
      <c r="E46" s="59" t="n">
        <v>4817</v>
      </c>
      <c r="F46" s="68" t="n">
        <f aca="false">IF(E46="","",D46-E46)</f>
        <v>84</v>
      </c>
      <c r="G46" s="59" t="n">
        <v>5432</v>
      </c>
      <c r="H46" s="59" t="n">
        <v>5501</v>
      </c>
      <c r="I46" s="68" t="n">
        <f aca="false">IF(H46="","",G46-H46)</f>
        <v>-69</v>
      </c>
      <c r="J46" s="40" t="n">
        <f aca="false">IF(OR(D46="",D46+G46=0),"",D46/(D46+G46))</f>
        <v>0.474305622762025</v>
      </c>
      <c r="K46" s="40" t="n">
        <f aca="false">IF(E46="","",E46/(E46+H46))</f>
        <v>0.466854041480907</v>
      </c>
      <c r="L46" s="69" t="n">
        <f aca="false">IF(OR(K46="",J46=""),"",(J46-K46)*100)</f>
        <v>0.745158128111745</v>
      </c>
      <c r="M46" s="36" t="n">
        <v>2.09476715517026</v>
      </c>
      <c r="N46" s="36" t="n">
        <v>1.35464561784055</v>
      </c>
      <c r="O46" s="36" t="n">
        <f aca="false">SQRT(M46^2+N46^2)</f>
        <v>2.49461704161475</v>
      </c>
      <c r="P46" s="40" t="n">
        <f aca="false">IF(J46="","",MAX(0,J46-1.96*O46/100))</f>
        <v>0.425411128746376</v>
      </c>
      <c r="Q46" s="40" t="n">
        <f aca="false">IF(J46="","",MIN(1,J46+1.96*O46/100))</f>
        <v>0.523200116777674</v>
      </c>
      <c r="R46" s="32" t="str">
        <f aca="false">IF(L46="","",IF(ABS(L46)&lt;=O46,"Yes","No"))</f>
        <v>Yes</v>
      </c>
      <c r="S46" s="32" t="str">
        <f aca="false">IF(L46="","",IF(ABS(L46)&lt;=1.96*O46,"Yes","No"))</f>
        <v>Yes</v>
      </c>
      <c r="T46" s="59" t="n">
        <f aca="false">IF(D46="","",ROUND(SQRT(((D46+G46)*O46/100)^2+(J46*(D46+G46)*0.0639)^2),0))</f>
        <v>406</v>
      </c>
      <c r="U46" s="32"/>
    </row>
    <row r="47" customFormat="false" ht="15" hidden="false" customHeight="false" outlineLevel="0" collapsed="false">
      <c r="A47" s="32" t="s">
        <v>189</v>
      </c>
      <c r="B47" s="32" t="s">
        <v>212</v>
      </c>
      <c r="C47" s="32" t="s">
        <v>161</v>
      </c>
      <c r="D47" s="59" t="n">
        <v>1325</v>
      </c>
      <c r="E47" s="59" t="n">
        <v>1231</v>
      </c>
      <c r="F47" s="68" t="n">
        <f aca="false">IF(E47="","",D47-E47)</f>
        <v>94</v>
      </c>
      <c r="G47" s="59" t="n">
        <v>2486</v>
      </c>
      <c r="H47" s="59" t="n">
        <v>2578</v>
      </c>
      <c r="I47" s="68" t="n">
        <f aca="false">IF(H47="","",G47-H47)</f>
        <v>-92</v>
      </c>
      <c r="J47" s="40" t="n">
        <f aca="false">IF(OR(D47="",D47+G47=0),"",D47/(D47+G47))</f>
        <v>0.347677774862241</v>
      </c>
      <c r="K47" s="40" t="n">
        <f aca="false">IF(E47="","",E47/(E47+H47))</f>
        <v>0.323181937516409</v>
      </c>
      <c r="L47" s="69" t="n">
        <f aca="false">IF(OR(K47="",J47=""),"",(J47-K47)*100)</f>
        <v>2.44958373458324</v>
      </c>
      <c r="M47" s="36" t="n">
        <v>2.09476715517026</v>
      </c>
      <c r="N47" s="36" t="n">
        <v>1.35464561784055</v>
      </c>
      <c r="O47" s="36" t="n">
        <f aca="false">SQRT(M47^2+N47^2)</f>
        <v>2.49461704161475</v>
      </c>
      <c r="P47" s="40" t="n">
        <f aca="false">IF(J47="","",MAX(0,J47-1.96*O47/100))</f>
        <v>0.298783280846592</v>
      </c>
      <c r="Q47" s="40" t="n">
        <f aca="false">IF(J47="","",MIN(1,J47+1.96*O47/100))</f>
        <v>0.39657226887789</v>
      </c>
      <c r="R47" s="32" t="str">
        <f aca="false">IF(L47="","",IF(ABS(L47)&lt;=O47,"Yes","No"))</f>
        <v>Yes</v>
      </c>
      <c r="S47" s="32" t="str">
        <f aca="false">IF(L47="","",IF(ABS(L47)&lt;=1.96*O47,"Yes","No"))</f>
        <v>Yes</v>
      </c>
      <c r="T47" s="59" t="n">
        <f aca="false">IF(D47="","",ROUND(SQRT(((D47+G47)*O47/100)^2+(J47*(D47+G47)*0.0639)^2),0))</f>
        <v>127</v>
      </c>
      <c r="U47" s="32"/>
    </row>
    <row r="48" customFormat="false" ht="15" hidden="false" customHeight="false" outlineLevel="0" collapsed="false">
      <c r="A48" s="32" t="s">
        <v>189</v>
      </c>
      <c r="B48" s="32" t="s">
        <v>213</v>
      </c>
      <c r="C48" s="32" t="s">
        <v>161</v>
      </c>
      <c r="D48" s="59" t="n">
        <v>1117</v>
      </c>
      <c r="E48" s="59" t="n">
        <v>1073</v>
      </c>
      <c r="F48" s="68" t="n">
        <f aca="false">IF(E48="","",D48-E48)</f>
        <v>44</v>
      </c>
      <c r="G48" s="59" t="n">
        <v>2108</v>
      </c>
      <c r="H48" s="59" t="n">
        <v>2156</v>
      </c>
      <c r="I48" s="68" t="n">
        <f aca="false">IF(H48="","",G48-H48)</f>
        <v>-48</v>
      </c>
      <c r="J48" s="40" t="n">
        <f aca="false">IF(OR(D48="",D48+G48=0),"",D48/(D48+G48))</f>
        <v>0.346356589147287</v>
      </c>
      <c r="K48" s="40" t="n">
        <f aca="false">IF(E48="","",E48/(E48+H48))</f>
        <v>0.332301021988232</v>
      </c>
      <c r="L48" s="69" t="n">
        <f aca="false">IF(OR(K48="",J48=""),"",(J48-K48)*100)</f>
        <v>1.40555671590552</v>
      </c>
      <c r="M48" s="36" t="n">
        <v>1.79639917133427</v>
      </c>
      <c r="N48" s="36" t="n">
        <v>1.35464561784055</v>
      </c>
      <c r="O48" s="36" t="n">
        <f aca="false">SQRT(M48^2+N48^2)</f>
        <v>2.24991438341664</v>
      </c>
      <c r="P48" s="40" t="n">
        <f aca="false">IF(J48="","",MAX(0,J48-1.96*O48/100))</f>
        <v>0.302258267232321</v>
      </c>
      <c r="Q48" s="40" t="n">
        <f aca="false">IF(J48="","",MIN(1,J48+1.96*O48/100))</f>
        <v>0.390454911062253</v>
      </c>
      <c r="R48" s="32" t="str">
        <f aca="false">IF(L48="","",IF(ABS(L48)&lt;=O48,"Yes","No"))</f>
        <v>Yes</v>
      </c>
      <c r="S48" s="32" t="str">
        <f aca="false">IF(L48="","",IF(ABS(L48)&lt;=1.96*O48,"Yes","No"))</f>
        <v>Yes</v>
      </c>
      <c r="T48" s="59" t="n">
        <f aca="false">IF(D48="","",ROUND(SQRT(((D48+G48)*O48/100)^2+(J48*(D48+G48)*0.06991)^2),0))</f>
        <v>107</v>
      </c>
      <c r="U48" s="32"/>
    </row>
    <row r="49" customFormat="false" ht="15" hidden="false" customHeight="false" outlineLevel="0" collapsed="false">
      <c r="A49" s="32" t="s">
        <v>189</v>
      </c>
      <c r="B49" s="32" t="s">
        <v>214</v>
      </c>
      <c r="C49" s="32" t="s">
        <v>161</v>
      </c>
      <c r="D49" s="59" t="n">
        <v>7586</v>
      </c>
      <c r="E49" s="59" t="n">
        <v>7458</v>
      </c>
      <c r="F49" s="68" t="n">
        <f aca="false">IF(E49="","",D49-E49)</f>
        <v>128</v>
      </c>
      <c r="G49" s="59" t="n">
        <v>6543</v>
      </c>
      <c r="H49" s="59" t="n">
        <v>6731</v>
      </c>
      <c r="I49" s="68" t="n">
        <f aca="false">IF(H49="","",G49-H49)</f>
        <v>-188</v>
      </c>
      <c r="J49" s="40" t="n">
        <f aca="false">IF(OR(D49="",D49+G49=0),"",D49/(D49+G49))</f>
        <v>0.53690990162078</v>
      </c>
      <c r="K49" s="40" t="n">
        <f aca="false">IF(E49="","",E49/(E49+H49))</f>
        <v>0.525618436817253</v>
      </c>
      <c r="L49" s="69" t="n">
        <f aca="false">IF(OR(K49="",J49=""),"",(J49-K49)*100)</f>
        <v>1.12914648035272</v>
      </c>
      <c r="M49" s="36" t="n">
        <v>2.09476715517026</v>
      </c>
      <c r="N49" s="36" t="n">
        <v>1.35464561784055</v>
      </c>
      <c r="O49" s="36" t="n">
        <f aca="false">SQRT(M49^2+N49^2)</f>
        <v>2.49461704161475</v>
      </c>
      <c r="P49" s="40" t="n">
        <f aca="false">IF(J49="","",MAX(0,J49-1.96*O49/100))</f>
        <v>0.488015407605131</v>
      </c>
      <c r="Q49" s="40" t="n">
        <f aca="false">IF(J49="","",MIN(1,J49+1.96*O49/100))</f>
        <v>0.585804395636429</v>
      </c>
      <c r="R49" s="32" t="str">
        <f aca="false">IF(L49="","",IF(ABS(L49)&lt;=O49,"Yes","No"))</f>
        <v>Yes</v>
      </c>
      <c r="S49" s="32" t="str">
        <f aca="false">IF(L49="","",IF(ABS(L49)&lt;=1.96*O49,"Yes","No"))</f>
        <v>Yes</v>
      </c>
      <c r="T49" s="59" t="n">
        <f aca="false">IF(D49="","",ROUND(SQRT(((D49+G49)*O49/100)^2+(J49*(D49+G49)*0.0639)^2),0))</f>
        <v>599</v>
      </c>
      <c r="U49" s="32"/>
    </row>
    <row r="50" customFormat="false" ht="15" hidden="false" customHeight="false" outlineLevel="0" collapsed="false">
      <c r="A50" s="32" t="s">
        <v>215</v>
      </c>
      <c r="B50" s="32" t="s">
        <v>216</v>
      </c>
      <c r="C50" s="32" t="s">
        <v>161</v>
      </c>
      <c r="D50" s="59" t="n">
        <v>492</v>
      </c>
      <c r="E50" s="59" t="n">
        <v>482</v>
      </c>
      <c r="F50" s="68" t="n">
        <f aca="false">IF(E50="","",D50-E50)</f>
        <v>10</v>
      </c>
      <c r="G50" s="59" t="n">
        <v>1026</v>
      </c>
      <c r="H50" s="59" t="n">
        <v>987</v>
      </c>
      <c r="I50" s="68" t="n">
        <f aca="false">IF(H50="","",G50-H50)</f>
        <v>39</v>
      </c>
      <c r="J50" s="40" t="n">
        <f aca="false">IF(OR(D50="",D50+G50=0),"",D50/(D50+G50))</f>
        <v>0.324110671936759</v>
      </c>
      <c r="K50" s="40" t="n">
        <f aca="false">IF(E50="","",E50/(E50+H50))</f>
        <v>0.328114363512594</v>
      </c>
      <c r="L50" s="69" t="n">
        <f aca="false">IF(OR(K50="",J50=""),"",(J50-K50)*100)</f>
        <v>-0.400369157583469</v>
      </c>
      <c r="M50" s="36" t="n">
        <v>3.50906161007311</v>
      </c>
      <c r="N50" s="36" t="n">
        <v>1.35464561784055</v>
      </c>
      <c r="O50" s="36" t="n">
        <f aca="false">SQRT(M50^2+N50^2)</f>
        <v>3.76145957484903</v>
      </c>
      <c r="P50" s="40" t="n">
        <f aca="false">IF(J50="","",MAX(0,J50-1.96*O50/100))</f>
        <v>0.250386064269718</v>
      </c>
      <c r="Q50" s="40" t="n">
        <f aca="false">IF(J50="","",MIN(1,J50+1.96*O50/100))</f>
        <v>0.3978352796038</v>
      </c>
      <c r="R50" s="32" t="str">
        <f aca="false">IF(L50="","",IF(ABS(L50)&lt;=O50,"Yes","No"))</f>
        <v>Yes</v>
      </c>
      <c r="S50" s="32" t="str">
        <f aca="false">IF(L50="","",IF(ABS(L50)&lt;=1.96*O50,"Yes","No"))</f>
        <v>Yes</v>
      </c>
      <c r="T50" s="59" t="n">
        <f aca="false">IF(D50="","",ROUND(SQRT(((D50+G50)*O50/100)^2+(J50*(D50+G50)*0.09092)^2),0))</f>
        <v>73</v>
      </c>
      <c r="U50" s="32"/>
    </row>
    <row r="51" customFormat="false" ht="15" hidden="false" customHeight="false" outlineLevel="0" collapsed="false">
      <c r="A51" s="32" t="s">
        <v>215</v>
      </c>
      <c r="B51" s="32" t="s">
        <v>218</v>
      </c>
      <c r="C51" s="32" t="s">
        <v>161</v>
      </c>
      <c r="D51" s="59" t="n">
        <v>1466</v>
      </c>
      <c r="E51" s="59" t="n">
        <v>1425</v>
      </c>
      <c r="F51" s="68" t="n">
        <f aca="false">IF(E51="","",D51-E51)</f>
        <v>41</v>
      </c>
      <c r="G51" s="59" t="n">
        <v>2581</v>
      </c>
      <c r="H51" s="59" t="n">
        <v>2491</v>
      </c>
      <c r="I51" s="68" t="n">
        <f aca="false">IF(H51="","",G51-H51)</f>
        <v>90</v>
      </c>
      <c r="J51" s="40" t="n">
        <f aca="false">IF(OR(D51="",D51+G51=0),"",D51/(D51+G51))</f>
        <v>0.36224363726217</v>
      </c>
      <c r="K51" s="40" t="n">
        <f aca="false">IF(E51="","",E51/(E51+H51))</f>
        <v>0.363891726251277</v>
      </c>
      <c r="L51" s="69" t="n">
        <f aca="false">IF(OR(K51="",J51=""),"",(J51-K51)*100)</f>
        <v>-0.164808898910729</v>
      </c>
      <c r="M51" s="36" t="n">
        <v>2.09476715517026</v>
      </c>
      <c r="N51" s="36" t="n">
        <v>1.35464561784055</v>
      </c>
      <c r="O51" s="36" t="n">
        <f aca="false">SQRT(M51^2+N51^2)</f>
        <v>2.49461704161475</v>
      </c>
      <c r="P51" s="40" t="n">
        <f aca="false">IF(J51="","",MAX(0,J51-1.96*O51/100))</f>
        <v>0.31334914324652</v>
      </c>
      <c r="Q51" s="40" t="n">
        <f aca="false">IF(J51="","",MIN(1,J51+1.96*O51/100))</f>
        <v>0.411138131277819</v>
      </c>
      <c r="R51" s="32" t="str">
        <f aca="false">IF(L51="","",IF(ABS(L51)&lt;=O51,"Yes","No"))</f>
        <v>Yes</v>
      </c>
      <c r="S51" s="32" t="str">
        <f aca="false">IF(L51="","",IF(ABS(L51)&lt;=1.96*O51,"Yes","No"))</f>
        <v>Yes</v>
      </c>
      <c r="T51" s="59" t="n">
        <f aca="false">IF(D51="","",ROUND(SQRT(((D51+G51)*O51/100)^2+(J51*(D51+G51)*0.0639)^2),0))</f>
        <v>138</v>
      </c>
      <c r="U51" s="32" t="s">
        <v>433</v>
      </c>
    </row>
    <row r="52" customFormat="false" ht="15" hidden="false" customHeight="false" outlineLevel="0" collapsed="false">
      <c r="A52" s="32" t="s">
        <v>215</v>
      </c>
      <c r="B52" s="32" t="s">
        <v>219</v>
      </c>
      <c r="C52" s="32" t="s">
        <v>161</v>
      </c>
      <c r="D52" s="59" t="n">
        <v>564</v>
      </c>
      <c r="E52" s="59" t="n">
        <v>502</v>
      </c>
      <c r="F52" s="68" t="n">
        <f aca="false">IF(E52="","",D52-E52)</f>
        <v>62</v>
      </c>
      <c r="G52" s="59" t="n">
        <v>939</v>
      </c>
      <c r="H52" s="59" t="n">
        <v>795</v>
      </c>
      <c r="I52" s="68" t="n">
        <f aca="false">IF(H52="","",G52-H52)</f>
        <v>144</v>
      </c>
      <c r="J52" s="40" t="n">
        <f aca="false">IF(OR(D52="",D52+G52=0),"",D52/(D52+G52))</f>
        <v>0.375249500998004</v>
      </c>
      <c r="K52" s="40" t="n">
        <f aca="false">IF(E52="","",E52/(E52+H52))</f>
        <v>0.387047031611411</v>
      </c>
      <c r="L52" s="69" t="n">
        <f aca="false">IF(OR(K52="",J52=""),"",(J52-K52)*100)</f>
        <v>-1.1797530613407</v>
      </c>
      <c r="M52" s="36" t="n">
        <v>3.50906161007311</v>
      </c>
      <c r="N52" s="36" t="n">
        <v>1.35464561784055</v>
      </c>
      <c r="O52" s="36" t="n">
        <f aca="false">SQRT(M52^2+N52^2)</f>
        <v>3.76145957484903</v>
      </c>
      <c r="P52" s="40" t="n">
        <f aca="false">IF(J52="","",MAX(0,J52-1.96*O52/100))</f>
        <v>0.301524893330963</v>
      </c>
      <c r="Q52" s="40" t="n">
        <f aca="false">IF(J52="","",MIN(1,J52+1.96*O52/100))</f>
        <v>0.448974108665045</v>
      </c>
      <c r="R52" s="32" t="str">
        <f aca="false">IF(L52="","",IF(ABS(L52)&lt;=O52,"Yes","No"))</f>
        <v>Yes</v>
      </c>
      <c r="S52" s="32" t="str">
        <f aca="false">IF(L52="","",IF(ABS(L52)&lt;=1.96*O52,"Yes","No"))</f>
        <v>Yes</v>
      </c>
      <c r="T52" s="59" t="n">
        <f aca="false">IF(D52="","",ROUND(SQRT(((D52+G52)*O52/100)^2+(J52*(D52+G52)*0.09092)^2),0))</f>
        <v>76</v>
      </c>
      <c r="U52" s="32" t="s">
        <v>434</v>
      </c>
    </row>
    <row r="53" customFormat="false" ht="15" hidden="false" customHeight="false" outlineLevel="0" collapsed="false">
      <c r="A53" s="32" t="s">
        <v>220</v>
      </c>
      <c r="B53" s="32" t="s">
        <v>221</v>
      </c>
      <c r="C53" s="32" t="s">
        <v>161</v>
      </c>
      <c r="D53" s="59" t="n">
        <v>1425</v>
      </c>
      <c r="E53" s="59" t="n">
        <v>1432</v>
      </c>
      <c r="F53" s="68" t="n">
        <f aca="false">IF(E53="","",D53-E53)</f>
        <v>-7</v>
      </c>
      <c r="G53" s="59" t="n">
        <v>1951</v>
      </c>
      <c r="H53" s="59" t="n">
        <v>1882</v>
      </c>
      <c r="I53" s="68" t="n">
        <f aca="false">IF(H53="","",G53-H53)</f>
        <v>69</v>
      </c>
      <c r="J53" s="40" t="n">
        <f aca="false">IF(OR(D53="",D53+G53=0),"",D53/(D53+G53))</f>
        <v>0.422097156398104</v>
      </c>
      <c r="K53" s="40" t="n">
        <f aca="false">IF(E53="","",E53/(E53+H53))</f>
        <v>0.432106216053108</v>
      </c>
      <c r="L53" s="69" t="n">
        <f aca="false">IF(OR(K53="",J53=""),"",(J53-K53)*100)</f>
        <v>-1.00090596550038</v>
      </c>
      <c r="M53" s="36" t="n">
        <v>1.79639917133427</v>
      </c>
      <c r="N53" s="36" t="n">
        <v>1.35464561784055</v>
      </c>
      <c r="O53" s="36" t="n">
        <f aca="false">SQRT(M53^2+N53^2)</f>
        <v>2.24991438341664</v>
      </c>
      <c r="P53" s="40" t="n">
        <f aca="false">IF(J53="","",MAX(0,J53-1.96*O53/100))</f>
        <v>0.377998834483138</v>
      </c>
      <c r="Q53" s="40" t="n">
        <f aca="false">IF(J53="","",MIN(1,J53+1.96*O53/100))</f>
        <v>0.46619547831307</v>
      </c>
      <c r="R53" s="32" t="str">
        <f aca="false">IF(L53="","",IF(ABS(L53)&lt;=O53,"Yes","No"))</f>
        <v>Yes</v>
      </c>
      <c r="S53" s="32" t="str">
        <f aca="false">IF(L53="","",IF(ABS(L53)&lt;=1.96*O53,"Yes","No"))</f>
        <v>Yes</v>
      </c>
      <c r="T53" s="59" t="n">
        <f aca="false">IF(D53="","",ROUND(SQRT(((D53+G53)*O53/100)^2+(J53*(D53+G53)*0.06991)^2),0))</f>
        <v>125</v>
      </c>
      <c r="U53" s="32"/>
    </row>
    <row r="54" customFormat="false" ht="15" hidden="false" customHeight="false" outlineLevel="0" collapsed="false">
      <c r="A54" s="32" t="s">
        <v>220</v>
      </c>
      <c r="B54" s="32" t="s">
        <v>222</v>
      </c>
      <c r="C54" s="32" t="s">
        <v>161</v>
      </c>
      <c r="D54" s="59" t="n">
        <v>1002</v>
      </c>
      <c r="E54" s="59" t="n">
        <v>965</v>
      </c>
      <c r="F54" s="68" t="n">
        <f aca="false">IF(E54="","",D54-E54)</f>
        <v>37</v>
      </c>
      <c r="G54" s="59" t="n">
        <v>1293</v>
      </c>
      <c r="H54" s="59" t="n">
        <v>1342</v>
      </c>
      <c r="I54" s="68" t="n">
        <f aca="false">IF(H54="","",G54-H54)</f>
        <v>-49</v>
      </c>
      <c r="J54" s="40" t="n">
        <f aca="false">IF(OR(D54="",D54+G54=0),"",D54/(D54+G54))</f>
        <v>0.436601307189543</v>
      </c>
      <c r="K54" s="40" t="n">
        <f aca="false">IF(E54="","",E54/(E54+H54))</f>
        <v>0.418292154312961</v>
      </c>
      <c r="L54" s="69" t="n">
        <f aca="false">IF(OR(K54="",J54=""),"",(J54-K54)*100)</f>
        <v>1.83091528765819</v>
      </c>
      <c r="M54" s="36" t="n">
        <v>1.79639917133427</v>
      </c>
      <c r="N54" s="36" t="n">
        <v>1.35464561784055</v>
      </c>
      <c r="O54" s="36" t="n">
        <f aca="false">SQRT(M54^2+N54^2)</f>
        <v>2.24991438341664</v>
      </c>
      <c r="P54" s="40" t="n">
        <f aca="false">IF(J54="","",MAX(0,J54-1.96*O54/100))</f>
        <v>0.392502985274576</v>
      </c>
      <c r="Q54" s="40" t="n">
        <f aca="false">IF(J54="","",MIN(1,J54+1.96*O54/100))</f>
        <v>0.480699629104509</v>
      </c>
      <c r="R54" s="32" t="str">
        <f aca="false">IF(L54="","",IF(ABS(L54)&lt;=O54,"Yes","No"))</f>
        <v>Yes</v>
      </c>
      <c r="S54" s="32" t="str">
        <f aca="false">IF(L54="","",IF(ABS(L54)&lt;=1.96*O54,"Yes","No"))</f>
        <v>Yes</v>
      </c>
      <c r="T54" s="59" t="n">
        <f aca="false">IF(D54="","",ROUND(SQRT(((D54+G54)*O54/100)^2+(J54*(D54+G54)*0.06991)^2),0))</f>
        <v>87</v>
      </c>
      <c r="U54" s="32"/>
    </row>
    <row r="55" customFormat="false" ht="15" hidden="false" customHeight="false" outlineLevel="0" collapsed="false">
      <c r="A55" s="32" t="s">
        <v>220</v>
      </c>
      <c r="B55" s="32" t="s">
        <v>223</v>
      </c>
      <c r="C55" s="32" t="s">
        <v>161</v>
      </c>
      <c r="D55" s="59" t="n">
        <v>581</v>
      </c>
      <c r="E55" s="59" t="n">
        <v>579</v>
      </c>
      <c r="F55" s="68" t="n">
        <f aca="false">IF(E55="","",D55-E55)</f>
        <v>2</v>
      </c>
      <c r="G55" s="59" t="n">
        <v>674</v>
      </c>
      <c r="H55" s="59" t="n">
        <v>695</v>
      </c>
      <c r="I55" s="68" t="n">
        <f aca="false">IF(H55="","",G55-H55)</f>
        <v>-21</v>
      </c>
      <c r="J55" s="40" t="n">
        <f aca="false">IF(OR(D55="",D55+G55=0),"",D55/(D55+G55))</f>
        <v>0.462948207171315</v>
      </c>
      <c r="K55" s="40" t="n">
        <f aca="false">IF(E55="","",E55/(E55+H55))</f>
        <v>0.45447409733124</v>
      </c>
      <c r="L55" s="69" t="n">
        <f aca="false">IF(OR(K55="",J55=""),"",(J55-K55)*100)</f>
        <v>0.847410984007457</v>
      </c>
      <c r="M55" s="36" t="n">
        <v>3.50906161007311</v>
      </c>
      <c r="N55" s="36" t="n">
        <v>1.35464561784055</v>
      </c>
      <c r="O55" s="36" t="n">
        <f aca="false">SQRT(M55^2+N55^2)</f>
        <v>3.76145957484903</v>
      </c>
      <c r="P55" s="40" t="n">
        <f aca="false">IF(J55="","",MAX(0,J55-1.96*O55/100))</f>
        <v>0.389223599504274</v>
      </c>
      <c r="Q55" s="40" t="n">
        <f aca="false">IF(J55="","",MIN(1,J55+1.96*O55/100))</f>
        <v>0.536672814838356</v>
      </c>
      <c r="R55" s="32" t="str">
        <f aca="false">IF(L55="","",IF(ABS(L55)&lt;=O55,"Yes","No"))</f>
        <v>Yes</v>
      </c>
      <c r="S55" s="32" t="str">
        <f aca="false">IF(L55="","",IF(ABS(L55)&lt;=1.96*O55,"Yes","No"))</f>
        <v>Yes</v>
      </c>
      <c r="T55" s="59" t="n">
        <f aca="false">IF(D55="","",ROUND(SQRT(((D55+G55)*O55/100)^2+(J55*(D55+G55)*0.09092)^2),0))</f>
        <v>71</v>
      </c>
      <c r="U55" s="32"/>
    </row>
    <row r="56" customFormat="false" ht="15" hidden="false" customHeight="false" outlineLevel="0" collapsed="false">
      <c r="A56" s="32" t="s">
        <v>220</v>
      </c>
      <c r="B56" s="32" t="s">
        <v>192</v>
      </c>
      <c r="C56" s="32" t="s">
        <v>161</v>
      </c>
      <c r="D56" s="59" t="n">
        <v>16999</v>
      </c>
      <c r="E56" s="59" t="n">
        <v>16692</v>
      </c>
      <c r="F56" s="68" t="n">
        <f aca="false">IF(E56="","",D56-E56)</f>
        <v>307</v>
      </c>
      <c r="G56" s="59" t="n">
        <v>8329</v>
      </c>
      <c r="H56" s="59" t="n">
        <v>8176</v>
      </c>
      <c r="I56" s="68" t="n">
        <f aca="false">IF(H56="","",G56-H56)</f>
        <v>153</v>
      </c>
      <c r="J56" s="40" t="n">
        <f aca="false">IF(OR(D56="",D56+G56=0),"",D56/(D56+G56))</f>
        <v>0.671154453569173</v>
      </c>
      <c r="K56" s="40" t="n">
        <f aca="false">IF(E56="","",E56/(E56+H56))</f>
        <v>0.671224063052919</v>
      </c>
      <c r="L56" s="69" t="n">
        <f aca="false">IF(OR(K56="",J56=""),"",(J56-K56)*100)</f>
        <v>-0.00696094837469019</v>
      </c>
      <c r="M56" s="36" t="n">
        <v>2.09476715517026</v>
      </c>
      <c r="N56" s="36" t="n">
        <v>1.35464561784055</v>
      </c>
      <c r="O56" s="36" t="n">
        <f aca="false">SQRT(M56^2+N56^2)</f>
        <v>2.49461704161475</v>
      </c>
      <c r="P56" s="40" t="n">
        <f aca="false">IF(J56="","",MAX(0,J56-1.96*O56/100))</f>
        <v>0.622259959553523</v>
      </c>
      <c r="Q56" s="40" t="n">
        <f aca="false">IF(J56="","",MIN(1,J56+1.96*O56/100))</f>
        <v>0.720048947584822</v>
      </c>
      <c r="R56" s="32" t="str">
        <f aca="false">IF(L56="","",IF(ABS(L56)&lt;=O56,"Yes","No"))</f>
        <v>Yes</v>
      </c>
      <c r="S56" s="32" t="str">
        <f aca="false">IF(L56="","",IF(ABS(L56)&lt;=1.96*O56,"Yes","No"))</f>
        <v>Yes</v>
      </c>
      <c r="T56" s="59" t="n">
        <f aca="false">IF(D56="","",ROUND(SQRT(((D56+G56)*O56/100)^2+(J56*(D56+G56)*0.0639)^2),0))</f>
        <v>1257</v>
      </c>
      <c r="U56" s="32"/>
    </row>
    <row r="57" customFormat="false" ht="15" hidden="false" customHeight="false" outlineLevel="0" collapsed="false">
      <c r="A57" s="32" t="s">
        <v>220</v>
      </c>
      <c r="B57" s="32" t="s">
        <v>224</v>
      </c>
      <c r="C57" s="32" t="s">
        <v>161</v>
      </c>
      <c r="D57" s="59" t="n">
        <v>8252</v>
      </c>
      <c r="E57" s="59" t="n">
        <v>8164</v>
      </c>
      <c r="F57" s="68" t="n">
        <f aca="false">IF(E57="","",D57-E57)</f>
        <v>88</v>
      </c>
      <c r="G57" s="59" t="n">
        <v>7288</v>
      </c>
      <c r="H57" s="59" t="n">
        <v>7277</v>
      </c>
      <c r="I57" s="68" t="n">
        <f aca="false">IF(H57="","",G57-H57)</f>
        <v>11</v>
      </c>
      <c r="J57" s="40" t="n">
        <f aca="false">IF(OR(D57="",D57+G57=0),"",D57/(D57+G57))</f>
        <v>0.531016731016731</v>
      </c>
      <c r="K57" s="40" t="n">
        <f aca="false">IF(E57="","",E57/(E57+H57))</f>
        <v>0.528722233015996</v>
      </c>
      <c r="L57" s="69" t="n">
        <f aca="false">IF(OR(K57="",J57=""),"",(J57-K57)*100)</f>
        <v>0.229449800073456</v>
      </c>
      <c r="M57" s="36" t="n">
        <v>2.09476715517026</v>
      </c>
      <c r="N57" s="36" t="n">
        <v>1.35464561784055</v>
      </c>
      <c r="O57" s="36" t="n">
        <f aca="false">SQRT(M57^2+N57^2)</f>
        <v>2.49461704161475</v>
      </c>
      <c r="P57" s="40" t="n">
        <f aca="false">IF(J57="","",MAX(0,J57-1.96*O57/100))</f>
        <v>0.482122237001082</v>
      </c>
      <c r="Q57" s="40" t="n">
        <f aca="false">IF(J57="","",MIN(1,J57+1.96*O57/100))</f>
        <v>0.57991122503238</v>
      </c>
      <c r="R57" s="32" t="str">
        <f aca="false">IF(L57="","",IF(ABS(L57)&lt;=O57,"Yes","No"))</f>
        <v>Yes</v>
      </c>
      <c r="S57" s="32" t="str">
        <f aca="false">IF(L57="","",IF(ABS(L57)&lt;=1.96*O57,"Yes","No"))</f>
        <v>Yes</v>
      </c>
      <c r="T57" s="59" t="n">
        <f aca="false">IF(D57="","",ROUND(SQRT(((D57+G57)*O57/100)^2+(J57*(D57+G57)*0.0639)^2),0))</f>
        <v>654</v>
      </c>
      <c r="U57" s="32"/>
    </row>
    <row r="58" customFormat="false" ht="15" hidden="false" customHeight="false" outlineLevel="0" collapsed="false">
      <c r="A58" s="32" t="s">
        <v>220</v>
      </c>
      <c r="B58" s="32" t="s">
        <v>225</v>
      </c>
      <c r="C58" s="32" t="s">
        <v>161</v>
      </c>
      <c r="D58" s="59" t="n">
        <v>2026</v>
      </c>
      <c r="E58" s="59" t="n">
        <v>1988</v>
      </c>
      <c r="F58" s="68" t="n">
        <f aca="false">IF(E58="","",D58-E58)</f>
        <v>38</v>
      </c>
      <c r="G58" s="59" t="n">
        <v>3359</v>
      </c>
      <c r="H58" s="59" t="n">
        <v>3385</v>
      </c>
      <c r="I58" s="68" t="n">
        <f aca="false">IF(H58="","",G58-H58)</f>
        <v>-26</v>
      </c>
      <c r="J58" s="40" t="n">
        <f aca="false">IF(OR(D58="",D58+G58=0),"",D58/(D58+G58))</f>
        <v>0.376230269266481</v>
      </c>
      <c r="K58" s="40" t="n">
        <f aca="false">IF(E58="","",E58/(E58+H58))</f>
        <v>0.36999813884236</v>
      </c>
      <c r="L58" s="69" t="n">
        <f aca="false">IF(OR(K58="",J58=""),"",(J58-K58)*100)</f>
        <v>0.623213042412102</v>
      </c>
      <c r="M58" s="36" t="n">
        <v>2.09476715517026</v>
      </c>
      <c r="N58" s="36" t="n">
        <v>1.35464561784055</v>
      </c>
      <c r="O58" s="36" t="n">
        <f aca="false">SQRT(M58^2+N58^2)</f>
        <v>2.49461704161475</v>
      </c>
      <c r="P58" s="40" t="n">
        <f aca="false">IF(J58="","",MAX(0,J58-1.96*O58/100))</f>
        <v>0.327335775250832</v>
      </c>
      <c r="Q58" s="40" t="n">
        <f aca="false">IF(J58="","",MIN(1,J58+1.96*O58/100))</f>
        <v>0.42512476328213</v>
      </c>
      <c r="R58" s="32" t="str">
        <f aca="false">IF(L58="","",IF(ABS(L58)&lt;=O58,"Yes","No"))</f>
        <v>Yes</v>
      </c>
      <c r="S58" s="32" t="str">
        <f aca="false">IF(L58="","",IF(ABS(L58)&lt;=1.96*O58,"Yes","No"))</f>
        <v>Yes</v>
      </c>
      <c r="T58" s="59" t="n">
        <f aca="false">IF(D58="","",ROUND(SQRT(((D58+G58)*O58/100)^2+(J58*(D58+G58)*0.0639)^2),0))</f>
        <v>187</v>
      </c>
      <c r="U58" s="32"/>
    </row>
    <row r="59" customFormat="false" ht="15" hidden="false" customHeight="false" outlineLevel="0" collapsed="false">
      <c r="A59" s="32" t="s">
        <v>220</v>
      </c>
      <c r="B59" s="32" t="s">
        <v>226</v>
      </c>
      <c r="C59" s="32" t="s">
        <v>161</v>
      </c>
      <c r="D59" s="59" t="n">
        <v>46</v>
      </c>
      <c r="E59" s="59" t="n">
        <v>39</v>
      </c>
      <c r="F59" s="68" t="n">
        <f aca="false">IF(E59="","",D59-E59)</f>
        <v>7</v>
      </c>
      <c r="G59" s="59" t="n">
        <v>74</v>
      </c>
      <c r="H59" s="59" t="n">
        <v>79</v>
      </c>
      <c r="I59" s="68" t="n">
        <f aca="false">IF(H59="","",G59-H59)</f>
        <v>-5</v>
      </c>
      <c r="J59" s="40" t="n">
        <f aca="false">IF(OR(D59="",D59+G59=0),"",D59/(D59+G59))</f>
        <v>0.383333333333333</v>
      </c>
      <c r="K59" s="40" t="n">
        <f aca="false">IF(E59="","",E59/(E59+H59))</f>
        <v>0.330508474576271</v>
      </c>
      <c r="L59" s="69" t="n">
        <f aca="false">IF(OR(K59="",J59=""),"",(J59-K59)*100)</f>
        <v>5.28248587570622</v>
      </c>
      <c r="M59" s="36" t="n">
        <v>3.50906161007311</v>
      </c>
      <c r="N59" s="36" t="n">
        <v>1.35464561784055</v>
      </c>
      <c r="O59" s="36" t="n">
        <f aca="false">SQRT(M59^2+N59^2)</f>
        <v>3.76145957484903</v>
      </c>
      <c r="P59" s="40" t="n">
        <f aca="false">IF(J59="","",MAX(0,J59-1.96*O59/100))</f>
        <v>0.309608725666292</v>
      </c>
      <c r="Q59" s="40" t="n">
        <f aca="false">IF(J59="","",MIN(1,J59+1.96*O59/100))</f>
        <v>0.457057941000374</v>
      </c>
      <c r="R59" s="32" t="str">
        <f aca="false">IF(L59="","",IF(ABS(L59)&lt;=O59,"Yes","No"))</f>
        <v>No</v>
      </c>
      <c r="S59" s="32" t="str">
        <f aca="false">IF(L59="","",IF(ABS(L59)&lt;=1.96*O59,"Yes","No"))</f>
        <v>Yes</v>
      </c>
      <c r="T59" s="59" t="n">
        <f aca="false">IF(D59="","",ROUND(SQRT(((D59+G59)*O59/100)^2+(J59*(D59+G59)*0.09092)^2),0))</f>
        <v>6</v>
      </c>
      <c r="U59" s="32"/>
    </row>
    <row r="60" customFormat="false" ht="15" hidden="false" customHeight="false" outlineLevel="0" collapsed="false">
      <c r="A60" s="32" t="s">
        <v>220</v>
      </c>
      <c r="B60" s="32" t="s">
        <v>227</v>
      </c>
      <c r="C60" s="32" t="s">
        <v>161</v>
      </c>
      <c r="D60" s="59" t="n">
        <v>1273</v>
      </c>
      <c r="E60" s="59" t="n">
        <v>1215</v>
      </c>
      <c r="F60" s="68" t="n">
        <f aca="false">IF(E60="","",D60-E60)</f>
        <v>58</v>
      </c>
      <c r="G60" s="59" t="n">
        <v>1792</v>
      </c>
      <c r="H60" s="59" t="n">
        <v>1784</v>
      </c>
      <c r="I60" s="68" t="n">
        <f aca="false">IF(H60="","",G60-H60)</f>
        <v>8</v>
      </c>
      <c r="J60" s="40" t="n">
        <f aca="false">IF(OR(D60="",D60+G60=0),"",D60/(D60+G60))</f>
        <v>0.415334420880914</v>
      </c>
      <c r="K60" s="40" t="n">
        <f aca="false">IF(E60="","",E60/(E60+H60))</f>
        <v>0.405135045015005</v>
      </c>
      <c r="L60" s="69" t="n">
        <f aca="false">IF(OR(K60="",J60=""),"",(J60-K60)*100)</f>
        <v>1.01993758659085</v>
      </c>
      <c r="M60" s="36" t="n">
        <v>1.79639917133427</v>
      </c>
      <c r="N60" s="36" t="n">
        <v>1.35464561784055</v>
      </c>
      <c r="O60" s="36" t="n">
        <f aca="false">SQRT(M60^2+N60^2)</f>
        <v>2.24991438341664</v>
      </c>
      <c r="P60" s="40" t="n">
        <f aca="false">IF(J60="","",MAX(0,J60-1.96*O60/100))</f>
        <v>0.371236098965947</v>
      </c>
      <c r="Q60" s="40" t="n">
        <f aca="false">IF(J60="","",MIN(1,J60+1.96*O60/100))</f>
        <v>0.45943274279588</v>
      </c>
      <c r="R60" s="32" t="str">
        <f aca="false">IF(L60="","",IF(ABS(L60)&lt;=O60,"Yes","No"))</f>
        <v>Yes</v>
      </c>
      <c r="S60" s="32" t="str">
        <f aca="false">IF(L60="","",IF(ABS(L60)&lt;=1.96*O60,"Yes","No"))</f>
        <v>Yes</v>
      </c>
      <c r="T60" s="59" t="n">
        <f aca="false">IF(D60="","",ROUND(SQRT(((D60+G60)*O60/100)^2+(J60*(D60+G60)*0.06991)^2),0))</f>
        <v>113</v>
      </c>
      <c r="U60" s="32"/>
    </row>
    <row r="61" customFormat="false" ht="15" hidden="false" customHeight="false" outlineLevel="0" collapsed="false">
      <c r="A61" s="32" t="s">
        <v>220</v>
      </c>
      <c r="B61" s="32" t="s">
        <v>228</v>
      </c>
      <c r="C61" s="32" t="s">
        <v>161</v>
      </c>
      <c r="D61" s="59" t="n">
        <v>204</v>
      </c>
      <c r="E61" s="59" t="n">
        <v>166</v>
      </c>
      <c r="F61" s="68" t="n">
        <f aca="false">IF(E61="","",D61-E61)</f>
        <v>38</v>
      </c>
      <c r="G61" s="59" t="n">
        <v>308</v>
      </c>
      <c r="H61" s="59" t="n">
        <v>332</v>
      </c>
      <c r="I61" s="68" t="n">
        <f aca="false">IF(H61="","",G61-H61)</f>
        <v>-24</v>
      </c>
      <c r="J61" s="40" t="n">
        <f aca="false">IF(OR(D61="",D61+G61=0),"",D61/(D61+G61))</f>
        <v>0.3984375</v>
      </c>
      <c r="K61" s="40" t="n">
        <f aca="false">IF(E61="","",E61/(E61+H61))</f>
        <v>0.333333333333333</v>
      </c>
      <c r="L61" s="69" t="n">
        <f aca="false">IF(OR(K61="",J61=""),"",(J61-K61)*100)</f>
        <v>6.51041666666667</v>
      </c>
      <c r="M61" s="36" t="n">
        <v>3.50906161007311</v>
      </c>
      <c r="N61" s="36" t="n">
        <v>1.35464561784055</v>
      </c>
      <c r="O61" s="36" t="n">
        <f aca="false">SQRT(M61^2+N61^2)</f>
        <v>3.76145957484903</v>
      </c>
      <c r="P61" s="40" t="n">
        <f aca="false">IF(J61="","",MAX(0,J61-1.96*O61/100))</f>
        <v>0.324712892332959</v>
      </c>
      <c r="Q61" s="40" t="n">
        <f aca="false">IF(J61="","",MIN(1,J61+1.96*O61/100))</f>
        <v>0.472162107667041</v>
      </c>
      <c r="R61" s="32" t="str">
        <f aca="false">IF(L61="","",IF(ABS(L61)&lt;=O61,"Yes","No"))</f>
        <v>No</v>
      </c>
      <c r="S61" s="32" t="str">
        <f aca="false">IF(L61="","",IF(ABS(L61)&lt;=1.96*O61,"Yes","No"))</f>
        <v>Yes</v>
      </c>
      <c r="T61" s="59" t="n">
        <f aca="false">IF(D61="","",ROUND(SQRT(((D61+G61)*O61/100)^2+(J61*(D61+G61)*0.09092)^2),0))</f>
        <v>27</v>
      </c>
      <c r="U61" s="32"/>
    </row>
    <row r="62" customFormat="false" ht="15" hidden="false" customHeight="false" outlineLevel="0" collapsed="false">
      <c r="A62" s="32" t="s">
        <v>220</v>
      </c>
      <c r="B62" s="32" t="s">
        <v>229</v>
      </c>
      <c r="C62" s="32" t="s">
        <v>161</v>
      </c>
      <c r="D62" s="59" t="n">
        <v>7173</v>
      </c>
      <c r="E62" s="59" t="n">
        <v>7095</v>
      </c>
      <c r="F62" s="68" t="n">
        <f aca="false">IF(E62="","",D62-E62)</f>
        <v>78</v>
      </c>
      <c r="G62" s="59" t="n">
        <v>3234</v>
      </c>
      <c r="H62" s="59" t="n">
        <v>2953</v>
      </c>
      <c r="I62" s="68" t="n">
        <f aca="false">IF(H62="","",G62-H62)</f>
        <v>281</v>
      </c>
      <c r="J62" s="40" t="n">
        <f aca="false">IF(OR(D62="",D62+G62=0),"",D62/(D62+G62))</f>
        <v>0.689247621793024</v>
      </c>
      <c r="K62" s="40" t="n">
        <f aca="false">IF(E62="","",E62/(E62+H62))</f>
        <v>0.706110668789809</v>
      </c>
      <c r="L62" s="69" t="n">
        <f aca="false">IF(OR(K62="",J62=""),"",(J62-K62)*100)</f>
        <v>-1.6863046996785</v>
      </c>
      <c r="M62" s="36" t="n">
        <v>2.09476715517026</v>
      </c>
      <c r="N62" s="36" t="n">
        <v>1.35464561784055</v>
      </c>
      <c r="O62" s="36" t="n">
        <f aca="false">SQRT(M62^2+N62^2)</f>
        <v>2.49461704161475</v>
      </c>
      <c r="P62" s="40" t="n">
        <f aca="false">IF(J62="","",MAX(0,J62-1.96*O62/100))</f>
        <v>0.640353127777375</v>
      </c>
      <c r="Q62" s="40" t="n">
        <f aca="false">IF(J62="","",MIN(1,J62+1.96*O62/100))</f>
        <v>0.738142115808673</v>
      </c>
      <c r="R62" s="32" t="str">
        <f aca="false">IF(L62="","",IF(ABS(L62)&lt;=O62,"Yes","No"))</f>
        <v>Yes</v>
      </c>
      <c r="S62" s="32" t="str">
        <f aca="false">IF(L62="","",IF(ABS(L62)&lt;=1.96*O62,"Yes","No"))</f>
        <v>Yes</v>
      </c>
      <c r="T62" s="59" t="n">
        <f aca="false">IF(D62="","",ROUND(SQRT(((D62+G62)*O62/100)^2+(J62*(D62+G62)*0.0639)^2),0))</f>
        <v>527</v>
      </c>
      <c r="U62" s="32"/>
    </row>
    <row r="63" customFormat="false" ht="15" hidden="false" customHeight="false" outlineLevel="0" collapsed="false">
      <c r="A63" s="32" t="s">
        <v>220</v>
      </c>
      <c r="B63" s="32" t="s">
        <v>230</v>
      </c>
      <c r="C63" s="32" t="s">
        <v>161</v>
      </c>
      <c r="D63" s="59" t="n">
        <v>5241</v>
      </c>
      <c r="E63" s="59" t="n">
        <v>5038</v>
      </c>
      <c r="F63" s="68" t="n">
        <f aca="false">IF(E63="","",D63-E63)</f>
        <v>203</v>
      </c>
      <c r="G63" s="59" t="n">
        <v>4714</v>
      </c>
      <c r="H63" s="59" t="n">
        <v>4815</v>
      </c>
      <c r="I63" s="68" t="n">
        <f aca="false">IF(H63="","",G63-H63)</f>
        <v>-101</v>
      </c>
      <c r="J63" s="40" t="n">
        <f aca="false">IF(OR(D63="",D63+G63=0),"",D63/(D63+G63))</f>
        <v>0.526469110999498</v>
      </c>
      <c r="K63" s="40" t="n">
        <f aca="false">IF(E63="","",E63/(E63+H63))</f>
        <v>0.511316350350147</v>
      </c>
      <c r="L63" s="69" t="n">
        <f aca="false">IF(OR(K63="",J63=""),"",(J63-K63)*100)</f>
        <v>1.51527606493507</v>
      </c>
      <c r="M63" s="36" t="n">
        <v>2.09476715517026</v>
      </c>
      <c r="N63" s="36" t="n">
        <v>1.35464561784055</v>
      </c>
      <c r="O63" s="36" t="n">
        <f aca="false">SQRT(M63^2+N63^2)</f>
        <v>2.49461704161475</v>
      </c>
      <c r="P63" s="40" t="n">
        <f aca="false">IF(J63="","",MAX(0,J63-1.96*O63/100))</f>
        <v>0.477574616983849</v>
      </c>
      <c r="Q63" s="40" t="n">
        <f aca="false">IF(J63="","",MIN(1,J63+1.96*O63/100))</f>
        <v>0.575363605015147</v>
      </c>
      <c r="R63" s="32" t="str">
        <f aca="false">IF(L63="","",IF(ABS(L63)&lt;=O63,"Yes","No"))</f>
        <v>Yes</v>
      </c>
      <c r="S63" s="32" t="str">
        <f aca="false">IF(L63="","",IF(ABS(L63)&lt;=1.96*O63,"Yes","No"))</f>
        <v>Yes</v>
      </c>
      <c r="T63" s="59" t="n">
        <f aca="false">IF(D63="","",ROUND(SQRT(((D63+G63)*O63/100)^2+(J63*(D63+G63)*0.0639)^2),0))</f>
        <v>417</v>
      </c>
      <c r="U63" s="32"/>
    </row>
    <row r="64" customFormat="false" ht="15" hidden="false" customHeight="false" outlineLevel="0" collapsed="false">
      <c r="A64" s="32" t="s">
        <v>220</v>
      </c>
      <c r="B64" s="32" t="s">
        <v>231</v>
      </c>
      <c r="C64" s="32" t="s">
        <v>161</v>
      </c>
      <c r="D64" s="59" t="n">
        <v>733</v>
      </c>
      <c r="E64" s="59" t="n">
        <v>768</v>
      </c>
      <c r="F64" s="68" t="n">
        <f aca="false">IF(E64="","",D64-E64)</f>
        <v>-35</v>
      </c>
      <c r="G64" s="59" t="n">
        <v>430</v>
      </c>
      <c r="H64" s="59" t="n">
        <v>460</v>
      </c>
      <c r="I64" s="68" t="n">
        <f aca="false">IF(H64="","",G64-H64)</f>
        <v>-30</v>
      </c>
      <c r="J64" s="40" t="n">
        <f aca="false">IF(OR(D64="",D64+G64=0),"",D64/(D64+G64))</f>
        <v>0.630266552020636</v>
      </c>
      <c r="K64" s="40" t="n">
        <f aca="false">IF(E64="","",E64/(E64+H64))</f>
        <v>0.625407166123778</v>
      </c>
      <c r="L64" s="69" t="n">
        <f aca="false">IF(OR(K64="",J64=""),"",(J64-K64)*100)</f>
        <v>0.485938589685786</v>
      </c>
      <c r="M64" s="36" t="n">
        <v>3.50906161007311</v>
      </c>
      <c r="N64" s="36" t="n">
        <v>1.35464561784055</v>
      </c>
      <c r="O64" s="36" t="n">
        <f aca="false">SQRT(M64^2+N64^2)</f>
        <v>3.76145957484903</v>
      </c>
      <c r="P64" s="40" t="n">
        <f aca="false">IF(J64="","",MAX(0,J64-1.96*O64/100))</f>
        <v>0.556541944353595</v>
      </c>
      <c r="Q64" s="40" t="n">
        <f aca="false">IF(J64="","",MIN(1,J64+1.96*O64/100))</f>
        <v>0.703991159687677</v>
      </c>
      <c r="R64" s="32" t="str">
        <f aca="false">IF(L64="","",IF(ABS(L64)&lt;=O64,"Yes","No"))</f>
        <v>Yes</v>
      </c>
      <c r="S64" s="32" t="str">
        <f aca="false">IF(L64="","",IF(ABS(L64)&lt;=1.96*O64,"Yes","No"))</f>
        <v>Yes</v>
      </c>
      <c r="T64" s="59" t="n">
        <f aca="false">IF(D64="","",ROUND(SQRT(((D64+G64)*O64/100)^2+(J64*(D64+G64)*0.09092)^2),0))</f>
        <v>80</v>
      </c>
      <c r="U64" s="32"/>
    </row>
    <row r="65" customFormat="false" ht="15" hidden="false" customHeight="false" outlineLevel="0" collapsed="false">
      <c r="A65" s="32" t="s">
        <v>220</v>
      </c>
      <c r="B65" s="32" t="s">
        <v>232</v>
      </c>
      <c r="C65" s="32" t="s">
        <v>161</v>
      </c>
      <c r="D65" s="59" t="n">
        <v>113</v>
      </c>
      <c r="E65" s="59" t="n">
        <v>101</v>
      </c>
      <c r="F65" s="68" t="n">
        <f aca="false">IF(E65="","",D65-E65)</f>
        <v>12</v>
      </c>
      <c r="G65" s="59" t="n">
        <v>89</v>
      </c>
      <c r="H65" s="59" t="n">
        <v>100</v>
      </c>
      <c r="I65" s="68" t="n">
        <f aca="false">IF(H65="","",G65-H65)</f>
        <v>-11</v>
      </c>
      <c r="J65" s="40" t="n">
        <f aca="false">IF(OR(D65="",D65+G65=0),"",D65/(D65+G65))</f>
        <v>0.55940594059406</v>
      </c>
      <c r="K65" s="40" t="n">
        <f aca="false">IF(E65="","",E65/(E65+H65))</f>
        <v>0.502487562189055</v>
      </c>
      <c r="L65" s="69" t="n">
        <f aca="false">IF(OR(K65="",J65=""),"",(J65-K65)*100)</f>
        <v>5.69183784050047</v>
      </c>
      <c r="M65" s="36" t="n">
        <v>3.50906161007311</v>
      </c>
      <c r="N65" s="36" t="n">
        <v>1.35464561784055</v>
      </c>
      <c r="O65" s="36" t="n">
        <f aca="false">SQRT(M65^2+N65^2)</f>
        <v>3.76145957484903</v>
      </c>
      <c r="P65" s="40" t="n">
        <f aca="false">IF(J65="","",MAX(0,J65-1.96*O65/100))</f>
        <v>0.485681332927018</v>
      </c>
      <c r="Q65" s="40" t="n">
        <f aca="false">IF(J65="","",MIN(1,J65+1.96*O65/100))</f>
        <v>0.633130548261101</v>
      </c>
      <c r="R65" s="32" t="str">
        <f aca="false">IF(L65="","",IF(ABS(L65)&lt;=O65,"Yes","No"))</f>
        <v>No</v>
      </c>
      <c r="S65" s="32" t="str">
        <f aca="false">IF(L65="","",IF(ABS(L65)&lt;=1.96*O65,"Yes","No"))</f>
        <v>Yes</v>
      </c>
      <c r="T65" s="59" t="n">
        <f aca="false">IF(D65="","",ROUND(SQRT(((D65+G65)*O65/100)^2+(J65*(D65+G65)*0.09092)^2),0))</f>
        <v>13</v>
      </c>
      <c r="U65" s="32"/>
    </row>
    <row r="66" customFormat="false" ht="15" hidden="false" customHeight="false" outlineLevel="0" collapsed="false">
      <c r="A66" s="32" t="s">
        <v>220</v>
      </c>
      <c r="B66" s="32" t="s">
        <v>198</v>
      </c>
      <c r="C66" s="32" t="s">
        <v>161</v>
      </c>
      <c r="D66" s="59" t="n">
        <v>4218</v>
      </c>
      <c r="E66" s="59" t="n">
        <v>4234</v>
      </c>
      <c r="F66" s="68" t="n">
        <f aca="false">IF(E66="","",D66-E66)</f>
        <v>-16</v>
      </c>
      <c r="G66" s="59" t="n">
        <v>3727</v>
      </c>
      <c r="H66" s="59" t="n">
        <v>3699</v>
      </c>
      <c r="I66" s="68" t="n">
        <f aca="false">IF(H66="","",G66-H66)</f>
        <v>28</v>
      </c>
      <c r="J66" s="40" t="n">
        <f aca="false">IF(OR(D66="",D66+G66=0),"",D66/(D66+G66))</f>
        <v>0.530899937067338</v>
      </c>
      <c r="K66" s="40" t="n">
        <f aca="false">IF(E66="","",E66/(E66+H66))</f>
        <v>0.533719904197655</v>
      </c>
      <c r="L66" s="69" t="n">
        <f aca="false">IF(OR(K66="",J66=""),"",(J66-K66)*100)</f>
        <v>-0.28199671303174</v>
      </c>
      <c r="M66" s="36" t="n">
        <v>2.09476715517026</v>
      </c>
      <c r="N66" s="36" t="n">
        <v>1.35464561784055</v>
      </c>
      <c r="O66" s="36" t="n">
        <f aca="false">SQRT(M66^2+N66^2)</f>
        <v>2.49461704161475</v>
      </c>
      <c r="P66" s="40" t="n">
        <f aca="false">IF(J66="","",MAX(0,J66-1.96*O66/100))</f>
        <v>0.482005443051689</v>
      </c>
      <c r="Q66" s="40" t="n">
        <f aca="false">IF(J66="","",MIN(1,J66+1.96*O66/100))</f>
        <v>0.579794431082987</v>
      </c>
      <c r="R66" s="32" t="str">
        <f aca="false">IF(L66="","",IF(ABS(L66)&lt;=O66,"Yes","No"))</f>
        <v>Yes</v>
      </c>
      <c r="S66" s="32" t="str">
        <f aca="false">IF(L66="","",IF(ABS(L66)&lt;=1.96*O66,"Yes","No"))</f>
        <v>Yes</v>
      </c>
      <c r="T66" s="59" t="n">
        <f aca="false">IF(D66="","",ROUND(SQRT(((D66+G66)*O66/100)^2+(J66*(D66+G66)*0.0639)^2),0))</f>
        <v>335</v>
      </c>
      <c r="U66" s="32"/>
    </row>
    <row r="67" customFormat="false" ht="15" hidden="false" customHeight="false" outlineLevel="0" collapsed="false">
      <c r="A67" s="32" t="s">
        <v>220</v>
      </c>
      <c r="B67" s="32" t="s">
        <v>233</v>
      </c>
      <c r="C67" s="32" t="s">
        <v>161</v>
      </c>
      <c r="D67" s="59" t="n">
        <v>1764</v>
      </c>
      <c r="E67" s="59" t="n">
        <v>1646</v>
      </c>
      <c r="F67" s="68" t="n">
        <f aca="false">IF(E67="","",D67-E67)</f>
        <v>118</v>
      </c>
      <c r="G67" s="59" t="n">
        <v>1541</v>
      </c>
      <c r="H67" s="59" t="n">
        <v>1608</v>
      </c>
      <c r="I67" s="68" t="n">
        <f aca="false">IF(H67="","",G67-H67)</f>
        <v>-67</v>
      </c>
      <c r="J67" s="40" t="n">
        <f aca="false">IF(OR(D67="",D67+G67=0),"",D67/(D67+G67))</f>
        <v>0.533736762481089</v>
      </c>
      <c r="K67" s="40" t="n">
        <f aca="false">IF(E67="","",E67/(E67+H67))</f>
        <v>0.505838967424708</v>
      </c>
      <c r="L67" s="69" t="n">
        <f aca="false">IF(OR(K67="",J67=""),"",(J67-K67)*100)</f>
        <v>2.78977950563812</v>
      </c>
      <c r="M67" s="36" t="n">
        <v>1.79639917133427</v>
      </c>
      <c r="N67" s="36" t="n">
        <v>1.35464561784055</v>
      </c>
      <c r="O67" s="36" t="n">
        <f aca="false">SQRT(M67^2+N67^2)</f>
        <v>2.24991438341664</v>
      </c>
      <c r="P67" s="40" t="n">
        <f aca="false">IF(J67="","",MAX(0,J67-1.96*O67/100))</f>
        <v>0.489638440566123</v>
      </c>
      <c r="Q67" s="40" t="n">
        <f aca="false">IF(J67="","",MIN(1,J67+1.96*O67/100))</f>
        <v>0.577835084396055</v>
      </c>
      <c r="R67" s="32" t="str">
        <f aca="false">IF(L67="","",IF(ABS(L67)&lt;=O67,"Yes","No"))</f>
        <v>No</v>
      </c>
      <c r="S67" s="32" t="str">
        <f aca="false">IF(L67="","",IF(ABS(L67)&lt;=1.96*O67,"Yes","No"))</f>
        <v>Yes</v>
      </c>
      <c r="T67" s="59" t="n">
        <f aca="false">IF(D67="","",ROUND(SQRT(((D67+G67)*O67/100)^2+(J67*(D67+G67)*0.06991)^2),0))</f>
        <v>144</v>
      </c>
      <c r="U67" s="32"/>
    </row>
    <row r="68" customFormat="false" ht="15" hidden="false" customHeight="false" outlineLevel="0" collapsed="false">
      <c r="A68" s="32" t="s">
        <v>220</v>
      </c>
      <c r="B68" s="32" t="s">
        <v>234</v>
      </c>
      <c r="C68" s="32" t="s">
        <v>161</v>
      </c>
      <c r="D68" s="59" t="n">
        <v>2287</v>
      </c>
      <c r="E68" s="59" t="n">
        <v>2137</v>
      </c>
      <c r="F68" s="68" t="n">
        <f aca="false">IF(E68="","",D68-E68)</f>
        <v>150</v>
      </c>
      <c r="G68" s="59" t="n">
        <v>4140</v>
      </c>
      <c r="H68" s="59" t="n">
        <v>4258</v>
      </c>
      <c r="I68" s="68" t="n">
        <f aca="false">IF(H68="","",G68-H68)</f>
        <v>-118</v>
      </c>
      <c r="J68" s="40" t="n">
        <f aca="false">IF(OR(D68="",D68+G68=0),"",D68/(D68+G68))</f>
        <v>0.355842539287381</v>
      </c>
      <c r="K68" s="40" t="n">
        <f aca="false">IF(E68="","",E68/(E68+H68))</f>
        <v>0.334167318217357</v>
      </c>
      <c r="L68" s="69" t="n">
        <f aca="false">IF(OR(K68="",J68=""),"",(J68-K68)*100)</f>
        <v>2.16752210700241</v>
      </c>
      <c r="M68" s="36" t="n">
        <v>2.09476715517026</v>
      </c>
      <c r="N68" s="36" t="n">
        <v>1.35464561784055</v>
      </c>
      <c r="O68" s="36" t="n">
        <f aca="false">SQRT(M68^2+N68^2)</f>
        <v>2.49461704161475</v>
      </c>
      <c r="P68" s="40" t="n">
        <f aca="false">IF(J68="","",MAX(0,J68-1.96*O68/100))</f>
        <v>0.306948045271732</v>
      </c>
      <c r="Q68" s="40" t="n">
        <f aca="false">IF(J68="","",MIN(1,J68+1.96*O68/100))</f>
        <v>0.40473703330303</v>
      </c>
      <c r="R68" s="32" t="str">
        <f aca="false">IF(L68="","",IF(ABS(L68)&lt;=O68,"Yes","No"))</f>
        <v>Yes</v>
      </c>
      <c r="S68" s="32" t="str">
        <f aca="false">IF(L68="","",IF(ABS(L68)&lt;=1.96*O68,"Yes","No"))</f>
        <v>Yes</v>
      </c>
      <c r="T68" s="59" t="n">
        <f aca="false">IF(D68="","",ROUND(SQRT(((D68+G68)*O68/100)^2+(J68*(D68+G68)*0.0639)^2),0))</f>
        <v>217</v>
      </c>
      <c r="U68" s="32"/>
    </row>
    <row r="69" customFormat="false" ht="15" hidden="false" customHeight="false" outlineLevel="0" collapsed="false">
      <c r="A69" s="32" t="s">
        <v>220</v>
      </c>
      <c r="B69" s="32" t="s">
        <v>235</v>
      </c>
      <c r="C69" s="32" t="s">
        <v>161</v>
      </c>
      <c r="D69" s="59" t="n">
        <v>648</v>
      </c>
      <c r="E69" s="59" t="n">
        <v>580</v>
      </c>
      <c r="F69" s="68" t="n">
        <f aca="false">IF(E69="","",D69-E69)</f>
        <v>68</v>
      </c>
      <c r="G69" s="59" t="n">
        <v>1137</v>
      </c>
      <c r="H69" s="59" t="n">
        <v>1159</v>
      </c>
      <c r="I69" s="68" t="n">
        <f aca="false">IF(H69="","",G69-H69)</f>
        <v>-22</v>
      </c>
      <c r="J69" s="40" t="n">
        <f aca="false">IF(OR(D69="",D69+G69=0),"",D69/(D69+G69))</f>
        <v>0.363025210084034</v>
      </c>
      <c r="K69" s="40" t="n">
        <f aca="false">IF(E69="","",E69/(E69+H69))</f>
        <v>0.333525014376078</v>
      </c>
      <c r="L69" s="69" t="n">
        <f aca="false">IF(OR(K69="",J69=""),"",(J69-K69)*100)</f>
        <v>2.95001957079554</v>
      </c>
      <c r="M69" s="36" t="n">
        <v>1.79639917133427</v>
      </c>
      <c r="N69" s="36" t="n">
        <v>1.35464561784055</v>
      </c>
      <c r="O69" s="36" t="n">
        <f aca="false">SQRT(M69^2+N69^2)</f>
        <v>2.24991438341664</v>
      </c>
      <c r="P69" s="40" t="n">
        <f aca="false">IF(J69="","",MAX(0,J69-1.96*O69/100))</f>
        <v>0.318926888169068</v>
      </c>
      <c r="Q69" s="40" t="n">
        <f aca="false">IF(J69="","",MIN(1,J69+1.96*O69/100))</f>
        <v>0.407123531999</v>
      </c>
      <c r="R69" s="32" t="str">
        <f aca="false">IF(L69="","",IF(ABS(L69)&lt;=O69,"Yes","No"))</f>
        <v>No</v>
      </c>
      <c r="S69" s="32" t="str">
        <f aca="false">IF(L69="","",IF(ABS(L69)&lt;=1.96*O69,"Yes","No"))</f>
        <v>Yes</v>
      </c>
      <c r="T69" s="59" t="n">
        <f aca="false">IF(D69="","",ROUND(SQRT(((D69+G69)*O69/100)^2+(J69*(D69+G69)*0.06991)^2),0))</f>
        <v>61</v>
      </c>
      <c r="U69" s="32"/>
    </row>
    <row r="70" customFormat="false" ht="15" hidden="false" customHeight="false" outlineLevel="0" collapsed="false">
      <c r="A70" s="32" t="s">
        <v>220</v>
      </c>
      <c r="B70" s="32" t="s">
        <v>236</v>
      </c>
      <c r="C70" s="32" t="s">
        <v>161</v>
      </c>
      <c r="D70" s="59" t="n">
        <v>1952</v>
      </c>
      <c r="E70" s="59" t="n">
        <v>1879</v>
      </c>
      <c r="F70" s="68" t="n">
        <f aca="false">IF(E70="","",D70-E70)</f>
        <v>73</v>
      </c>
      <c r="G70" s="59" t="n">
        <v>2483</v>
      </c>
      <c r="H70" s="59" t="n">
        <v>2565</v>
      </c>
      <c r="I70" s="68" t="n">
        <f aca="false">IF(H70="","",G70-H70)</f>
        <v>-82</v>
      </c>
      <c r="J70" s="40" t="n">
        <f aca="false">IF(OR(D70="",D70+G70=0),"",D70/(D70+G70))</f>
        <v>0.440135287485908</v>
      </c>
      <c r="K70" s="40" t="n">
        <f aca="false">IF(E70="","",E70/(E70+H70))</f>
        <v>0.422817281728173</v>
      </c>
      <c r="L70" s="69" t="n">
        <f aca="false">IF(OR(K70="",J70=""),"",(J70-K70)*100)</f>
        <v>1.73180057577347</v>
      </c>
      <c r="M70" s="36" t="n">
        <v>2.09476715517026</v>
      </c>
      <c r="N70" s="36" t="n">
        <v>1.35464561784055</v>
      </c>
      <c r="O70" s="36" t="n">
        <f aca="false">SQRT(M70^2+N70^2)</f>
        <v>2.49461704161475</v>
      </c>
      <c r="P70" s="40" t="n">
        <f aca="false">IF(J70="","",MAX(0,J70-1.96*O70/100))</f>
        <v>0.391240793470259</v>
      </c>
      <c r="Q70" s="40" t="n">
        <f aca="false">IF(J70="","",MIN(1,J70+1.96*O70/100))</f>
        <v>0.489029781501557</v>
      </c>
      <c r="R70" s="32" t="str">
        <f aca="false">IF(L70="","",IF(ABS(L70)&lt;=O70,"Yes","No"))</f>
        <v>Yes</v>
      </c>
      <c r="S70" s="32" t="str">
        <f aca="false">IF(L70="","",IF(ABS(L70)&lt;=1.96*O70,"Yes","No"))</f>
        <v>Yes</v>
      </c>
      <c r="T70" s="59" t="n">
        <f aca="false">IF(D70="","",ROUND(SQRT(((D70+G70)*O70/100)^2+(J70*(D70+G70)*0.0639)^2),0))</f>
        <v>167</v>
      </c>
      <c r="U70" s="32"/>
    </row>
    <row r="71" customFormat="false" ht="15" hidden="false" customHeight="false" outlineLevel="0" collapsed="false">
      <c r="A71" s="32" t="s">
        <v>220</v>
      </c>
      <c r="B71" s="32" t="s">
        <v>237</v>
      </c>
      <c r="C71" s="32" t="s">
        <v>161</v>
      </c>
      <c r="D71" s="59" t="n">
        <v>3431</v>
      </c>
      <c r="E71" s="59" t="n">
        <v>3370</v>
      </c>
      <c r="F71" s="68" t="n">
        <f aca="false">IF(E71="","",D71-E71)</f>
        <v>61</v>
      </c>
      <c r="G71" s="59" t="n">
        <v>3809</v>
      </c>
      <c r="H71" s="59" t="n">
        <v>3831</v>
      </c>
      <c r="I71" s="68" t="n">
        <f aca="false">IF(H71="","",G71-H71)</f>
        <v>-22</v>
      </c>
      <c r="J71" s="40" t="n">
        <f aca="false">IF(OR(D71="",D71+G71=0),"",D71/(D71+G71))</f>
        <v>0.473895027624309</v>
      </c>
      <c r="K71" s="40" t="n">
        <f aca="false">IF(E71="","",E71/(E71+H71))</f>
        <v>0.467990556867102</v>
      </c>
      <c r="L71" s="69" t="n">
        <f aca="false">IF(OR(K71="",J71=""),"",(J71-K71)*100)</f>
        <v>0.590447075720763</v>
      </c>
      <c r="M71" s="36" t="n">
        <v>2.09476715517026</v>
      </c>
      <c r="N71" s="36" t="n">
        <v>1.35464561784055</v>
      </c>
      <c r="O71" s="36" t="n">
        <f aca="false">SQRT(M71^2+N71^2)</f>
        <v>2.49461704161475</v>
      </c>
      <c r="P71" s="40" t="n">
        <f aca="false">IF(J71="","",MAX(0,J71-1.96*O71/100))</f>
        <v>0.42500053360866</v>
      </c>
      <c r="Q71" s="40" t="n">
        <f aca="false">IF(J71="","",MIN(1,J71+1.96*O71/100))</f>
        <v>0.522789521639959</v>
      </c>
      <c r="R71" s="32" t="str">
        <f aca="false">IF(L71="","",IF(ABS(L71)&lt;=O71,"Yes","No"))</f>
        <v>Yes</v>
      </c>
      <c r="S71" s="32" t="str">
        <f aca="false">IF(L71="","",IF(ABS(L71)&lt;=1.96*O71,"Yes","No"))</f>
        <v>Yes</v>
      </c>
      <c r="T71" s="59" t="n">
        <f aca="false">IF(D71="","",ROUND(SQRT(((D71+G71)*O71/100)^2+(J71*(D71+G71)*0.0639)^2),0))</f>
        <v>284</v>
      </c>
      <c r="U71" s="32"/>
    </row>
    <row r="72" customFormat="false" ht="15" hidden="false" customHeight="false" outlineLevel="0" collapsed="false">
      <c r="A72" s="32" t="s">
        <v>220</v>
      </c>
      <c r="B72" s="32" t="s">
        <v>238</v>
      </c>
      <c r="C72" s="32" t="s">
        <v>161</v>
      </c>
      <c r="D72" s="59" t="n">
        <v>2072</v>
      </c>
      <c r="E72" s="59" t="n">
        <v>1920</v>
      </c>
      <c r="F72" s="68" t="n">
        <f aca="false">IF(E72="","",D72-E72)</f>
        <v>152</v>
      </c>
      <c r="G72" s="59" t="n">
        <v>3825</v>
      </c>
      <c r="H72" s="59" t="n">
        <v>3865</v>
      </c>
      <c r="I72" s="68" t="n">
        <f aca="false">IF(H72="","",G72-H72)</f>
        <v>-40</v>
      </c>
      <c r="J72" s="40" t="n">
        <f aca="false">IF(OR(D72="",D72+G72=0),"",D72/(D72+G72))</f>
        <v>0.351365100898762</v>
      </c>
      <c r="K72" s="40" t="n">
        <f aca="false">IF(E72="","",E72/(E72+H72))</f>
        <v>0.331892826274849</v>
      </c>
      <c r="L72" s="69" t="n">
        <f aca="false">IF(OR(K72="",J72=""),"",(J72-K72)*100)</f>
        <v>1.94722746239134</v>
      </c>
      <c r="M72" s="36" t="n">
        <v>2.09476715517026</v>
      </c>
      <c r="N72" s="36" t="n">
        <v>1.35464561784055</v>
      </c>
      <c r="O72" s="36" t="n">
        <f aca="false">SQRT(M72^2+N72^2)</f>
        <v>2.49461704161475</v>
      </c>
      <c r="P72" s="40" t="n">
        <f aca="false">IF(J72="","",MAX(0,J72-1.96*O72/100))</f>
        <v>0.302470606883113</v>
      </c>
      <c r="Q72" s="40" t="n">
        <f aca="false">IF(J72="","",MIN(1,J72+1.96*O72/100))</f>
        <v>0.400259594914411</v>
      </c>
      <c r="R72" s="32" t="str">
        <f aca="false">IF(L72="","",IF(ABS(L72)&lt;=O72,"Yes","No"))</f>
        <v>Yes</v>
      </c>
      <c r="S72" s="32" t="str">
        <f aca="false">IF(L72="","",IF(ABS(L72)&lt;=1.96*O72,"Yes","No"))</f>
        <v>Yes</v>
      </c>
      <c r="T72" s="59" t="n">
        <f aca="false">IF(D72="","",ROUND(SQRT(((D72+G72)*O72/100)^2+(J72*(D72+G72)*0.0639)^2),0))</f>
        <v>198</v>
      </c>
      <c r="U72" s="32"/>
    </row>
    <row r="73" customFormat="false" ht="15" hidden="false" customHeight="false" outlineLevel="0" collapsed="false">
      <c r="A73" s="32" t="s">
        <v>220</v>
      </c>
      <c r="B73" s="32" t="s">
        <v>239</v>
      </c>
      <c r="C73" s="32" t="s">
        <v>161</v>
      </c>
      <c r="D73" s="59" t="n">
        <v>1637</v>
      </c>
      <c r="E73" s="59" t="n">
        <v>1490</v>
      </c>
      <c r="F73" s="68" t="n">
        <f aca="false">IF(E73="","",D73-E73)</f>
        <v>147</v>
      </c>
      <c r="G73" s="59" t="n">
        <v>1572</v>
      </c>
      <c r="H73" s="59" t="n">
        <v>1627</v>
      </c>
      <c r="I73" s="68" t="n">
        <f aca="false">IF(H73="","",G73-H73)</f>
        <v>-55</v>
      </c>
      <c r="J73" s="40" t="n">
        <f aca="false">IF(OR(D73="",D73+G73=0),"",D73/(D73+G73))</f>
        <v>0.510127765659084</v>
      </c>
      <c r="K73" s="40" t="n">
        <f aca="false">IF(E73="","",E73/(E73+H73))</f>
        <v>0.478023740776388</v>
      </c>
      <c r="L73" s="69" t="n">
        <f aca="false">IF(OR(K73="",J73=""),"",(J73-K73)*100)</f>
        <v>3.21040248826963</v>
      </c>
      <c r="M73" s="36" t="n">
        <v>1.79639917133427</v>
      </c>
      <c r="N73" s="36" t="n">
        <v>1.35464561784055</v>
      </c>
      <c r="O73" s="36" t="n">
        <f aca="false">SQRT(M73^2+N73^2)</f>
        <v>2.24991438341664</v>
      </c>
      <c r="P73" s="40" t="n">
        <f aca="false">IF(J73="","",MAX(0,J73-1.96*O73/100))</f>
        <v>0.466029443744118</v>
      </c>
      <c r="Q73" s="40" t="n">
        <f aca="false">IF(J73="","",MIN(1,J73+1.96*O73/100))</f>
        <v>0.55422608757405</v>
      </c>
      <c r="R73" s="32" t="str">
        <f aca="false">IF(L73="","",IF(ABS(L73)&lt;=O73,"Yes","No"))</f>
        <v>No</v>
      </c>
      <c r="S73" s="32" t="str">
        <f aca="false">IF(L73="","",IF(ABS(L73)&lt;=1.96*O73,"Yes","No"))</f>
        <v>Yes</v>
      </c>
      <c r="T73" s="59" t="n">
        <f aca="false">IF(D73="","",ROUND(SQRT(((D73+G73)*O73/100)^2+(J73*(D73+G73)*0.06991)^2),0))</f>
        <v>135</v>
      </c>
      <c r="U73" s="32"/>
    </row>
    <row r="74" customFormat="false" ht="15" hidden="false" customHeight="false" outlineLevel="0" collapsed="false">
      <c r="A74" s="32" t="s">
        <v>220</v>
      </c>
      <c r="B74" s="32" t="s">
        <v>240</v>
      </c>
      <c r="C74" s="32" t="s">
        <v>161</v>
      </c>
      <c r="D74" s="59" t="n">
        <v>760</v>
      </c>
      <c r="E74" s="59" t="n">
        <v>731</v>
      </c>
      <c r="F74" s="68" t="n">
        <f aca="false">IF(E74="","",D74-E74)</f>
        <v>29</v>
      </c>
      <c r="G74" s="59" t="n">
        <v>779</v>
      </c>
      <c r="H74" s="59" t="n">
        <v>843</v>
      </c>
      <c r="I74" s="68" t="n">
        <f aca="false">IF(H74="","",G74-H74)</f>
        <v>-64</v>
      </c>
      <c r="J74" s="40" t="n">
        <f aca="false">IF(OR(D74="",D74+G74=0),"",D74/(D74+G74))</f>
        <v>0.493827160493827</v>
      </c>
      <c r="K74" s="40" t="n">
        <f aca="false">IF(E74="","",E74/(E74+H74))</f>
        <v>0.464421855146125</v>
      </c>
      <c r="L74" s="69" t="n">
        <f aca="false">IF(OR(K74="",J74=""),"",(J74-K74)*100)</f>
        <v>2.94053053477026</v>
      </c>
      <c r="M74" s="36" t="n">
        <v>1.79639917133427</v>
      </c>
      <c r="N74" s="36" t="n">
        <v>1.35464561784055</v>
      </c>
      <c r="O74" s="36" t="n">
        <f aca="false">SQRT(M74^2+N74^2)</f>
        <v>2.24991438341664</v>
      </c>
      <c r="P74" s="40" t="n">
        <f aca="false">IF(J74="","",MAX(0,J74-1.96*O74/100))</f>
        <v>0.449728838578861</v>
      </c>
      <c r="Q74" s="40" t="n">
        <f aca="false">IF(J74="","",MIN(1,J74+1.96*O74/100))</f>
        <v>0.537925482408793</v>
      </c>
      <c r="R74" s="32" t="str">
        <f aca="false">IF(L74="","",IF(ABS(L74)&lt;=O74,"Yes","No"))</f>
        <v>No</v>
      </c>
      <c r="S74" s="32" t="str">
        <f aca="false">IF(L74="","",IF(ABS(L74)&lt;=1.96*O74,"Yes","No"))</f>
        <v>Yes</v>
      </c>
      <c r="T74" s="59" t="n">
        <f aca="false">IF(D74="","",ROUND(SQRT(((D74+G74)*O74/100)^2+(J74*(D74+G74)*0.06991)^2),0))</f>
        <v>63</v>
      </c>
      <c r="U74" s="32"/>
    </row>
    <row r="75" customFormat="false" ht="15" hidden="false" customHeight="false" outlineLevel="0" collapsed="false">
      <c r="A75" s="32" t="s">
        <v>220</v>
      </c>
      <c r="B75" s="32" t="s">
        <v>241</v>
      </c>
      <c r="C75" s="32" t="s">
        <v>161</v>
      </c>
      <c r="D75" s="59" t="n">
        <v>2540</v>
      </c>
      <c r="E75" s="59" t="n">
        <v>2355</v>
      </c>
      <c r="F75" s="68" t="n">
        <f aca="false">IF(E75="","",D75-E75)</f>
        <v>185</v>
      </c>
      <c r="G75" s="59" t="n">
        <v>2649</v>
      </c>
      <c r="H75" s="59" t="n">
        <v>2934</v>
      </c>
      <c r="I75" s="68" t="n">
        <f aca="false">IF(H75="","",G75-H75)</f>
        <v>-285</v>
      </c>
      <c r="J75" s="40" t="n">
        <f aca="false">IF(OR(D75="",D75+G75=0),"",D75/(D75+G75))</f>
        <v>0.489497012911929</v>
      </c>
      <c r="K75" s="40" t="n">
        <f aca="false">IF(E75="","",E75/(E75+H75))</f>
        <v>0.445263754963131</v>
      </c>
      <c r="L75" s="69" t="n">
        <f aca="false">IF(OR(K75="",J75=""),"",(J75-K75)*100)</f>
        <v>4.42332579487981</v>
      </c>
      <c r="M75" s="36" t="n">
        <v>2.09476715517026</v>
      </c>
      <c r="N75" s="36" t="n">
        <v>1.35464561784055</v>
      </c>
      <c r="O75" s="36" t="n">
        <f aca="false">SQRT(M75^2+N75^2)</f>
        <v>2.49461704161475</v>
      </c>
      <c r="P75" s="40" t="n">
        <f aca="false">IF(J75="","",MAX(0,J75-1.96*O75/100))</f>
        <v>0.44060251889628</v>
      </c>
      <c r="Q75" s="40" t="n">
        <f aca="false">IF(J75="","",MIN(1,J75+1.96*O75/100))</f>
        <v>0.538391506927578</v>
      </c>
      <c r="R75" s="32" t="str">
        <f aca="false">IF(L75="","",IF(ABS(L75)&lt;=O75,"Yes","No"))</f>
        <v>No</v>
      </c>
      <c r="S75" s="32" t="str">
        <f aca="false">IF(L75="","",IF(ABS(L75)&lt;=1.96*O75,"Yes","No"))</f>
        <v>Yes</v>
      </c>
      <c r="T75" s="59" t="n">
        <f aca="false">IF(D75="","",ROUND(SQRT(((D75+G75)*O75/100)^2+(J75*(D75+G75)*0.0639)^2),0))</f>
        <v>208</v>
      </c>
      <c r="U75" s="32"/>
    </row>
    <row r="76" customFormat="false" ht="15" hidden="false" customHeight="false" outlineLevel="0" collapsed="false">
      <c r="A76" s="32" t="s">
        <v>220</v>
      </c>
      <c r="B76" s="32" t="s">
        <v>242</v>
      </c>
      <c r="C76" s="32" t="s">
        <v>161</v>
      </c>
      <c r="D76" s="59" t="n">
        <v>6996</v>
      </c>
      <c r="E76" s="59" t="n">
        <v>6698</v>
      </c>
      <c r="F76" s="68" t="n">
        <f aca="false">IF(E76="","",D76-E76)</f>
        <v>298</v>
      </c>
      <c r="G76" s="59" t="n">
        <v>6251</v>
      </c>
      <c r="H76" s="59" t="n">
        <v>6630</v>
      </c>
      <c r="I76" s="68" t="n">
        <f aca="false">IF(H76="","",G76-H76)</f>
        <v>-379</v>
      </c>
      <c r="J76" s="40" t="n">
        <f aca="false">IF(OR(D76="",D76+G76=0),"",D76/(D76+G76))</f>
        <v>0.528119574243225</v>
      </c>
      <c r="K76" s="40" t="n">
        <f aca="false">IF(E76="","",E76/(E76+H76))</f>
        <v>0.502551020408163</v>
      </c>
      <c r="L76" s="69" t="n">
        <f aca="false">IF(OR(K76="",J76=""),"",(J76-K76)*100)</f>
        <v>2.55685538350616</v>
      </c>
      <c r="M76" s="36" t="n">
        <v>2.09476715517026</v>
      </c>
      <c r="N76" s="36" t="n">
        <v>1.35464561784055</v>
      </c>
      <c r="O76" s="36" t="n">
        <f aca="false">SQRT(M76^2+N76^2)</f>
        <v>2.49461704161475</v>
      </c>
      <c r="P76" s="40" t="n">
        <f aca="false">IF(J76="","",MAX(0,J76-1.96*O76/100))</f>
        <v>0.479225080227576</v>
      </c>
      <c r="Q76" s="40" t="n">
        <f aca="false">IF(J76="","",MIN(1,J76+1.96*O76/100))</f>
        <v>0.577014068258874</v>
      </c>
      <c r="R76" s="32" t="str">
        <f aca="false">IF(L76="","",IF(ABS(L76)&lt;=O76,"Yes","No"))</f>
        <v>No</v>
      </c>
      <c r="S76" s="32" t="str">
        <f aca="false">IF(L76="","",IF(ABS(L76)&lt;=1.96*O76,"Yes","No"))</f>
        <v>Yes</v>
      </c>
      <c r="T76" s="59" t="n">
        <f aca="false">IF(D76="","",ROUND(SQRT(((D76+G76)*O76/100)^2+(J76*(D76+G76)*0.0639)^2),0))</f>
        <v>556</v>
      </c>
      <c r="U76" s="32"/>
    </row>
    <row r="77" customFormat="false" ht="15" hidden="false" customHeight="false" outlineLevel="0" collapsed="false">
      <c r="A77" s="32" t="s">
        <v>220</v>
      </c>
      <c r="B77" s="32" t="s">
        <v>243</v>
      </c>
      <c r="C77" s="32" t="s">
        <v>161</v>
      </c>
      <c r="D77" s="59" t="n">
        <v>716</v>
      </c>
      <c r="E77" s="59" t="n">
        <v>678</v>
      </c>
      <c r="F77" s="68" t="n">
        <f aca="false">IF(E77="","",D77-E77)</f>
        <v>38</v>
      </c>
      <c r="G77" s="59" t="n">
        <v>1087</v>
      </c>
      <c r="H77" s="59" t="n">
        <v>1089</v>
      </c>
      <c r="I77" s="68" t="n">
        <f aca="false">IF(H77="","",G77-H77)</f>
        <v>-2</v>
      </c>
      <c r="J77" s="40" t="n">
        <f aca="false">IF(OR(D77="",D77+G77=0),"",D77/(D77+G77))</f>
        <v>0.397115917914587</v>
      </c>
      <c r="K77" s="40" t="n">
        <f aca="false">IF(E77="","",E77/(E77+H77))</f>
        <v>0.383701188455009</v>
      </c>
      <c r="L77" s="69" t="n">
        <f aca="false">IF(OR(K77="",J77=""),"",(J77-K77)*100)</f>
        <v>1.34147294595783</v>
      </c>
      <c r="M77" s="36" t="n">
        <v>1.79639917133427</v>
      </c>
      <c r="N77" s="36" t="n">
        <v>1.35464561784055</v>
      </c>
      <c r="O77" s="36" t="n">
        <f aca="false">SQRT(M77^2+N77^2)</f>
        <v>2.24991438341664</v>
      </c>
      <c r="P77" s="40" t="n">
        <f aca="false">IF(J77="","",MAX(0,J77-1.96*O77/100))</f>
        <v>0.353017595999621</v>
      </c>
      <c r="Q77" s="40" t="n">
        <f aca="false">IF(J77="","",MIN(1,J77+1.96*O77/100))</f>
        <v>0.441214239829553</v>
      </c>
      <c r="R77" s="32" t="str">
        <f aca="false">IF(L77="","",IF(ABS(L77)&lt;=O77,"Yes","No"))</f>
        <v>Yes</v>
      </c>
      <c r="S77" s="32" t="str">
        <f aca="false">IF(L77="","",IF(ABS(L77)&lt;=1.96*O77,"Yes","No"))</f>
        <v>Yes</v>
      </c>
      <c r="T77" s="59" t="n">
        <f aca="false">IF(D77="","",ROUND(SQRT(((D77+G77)*O77/100)^2+(J77*(D77+G77)*0.06991)^2),0))</f>
        <v>64</v>
      </c>
      <c r="U77" s="32"/>
    </row>
    <row r="78" customFormat="false" ht="15" hidden="false" customHeight="false" outlineLevel="0" collapsed="false">
      <c r="A78" s="32" t="s">
        <v>220</v>
      </c>
      <c r="B78" s="32" t="s">
        <v>244</v>
      </c>
      <c r="C78" s="32" t="s">
        <v>161</v>
      </c>
      <c r="D78" s="59" t="n">
        <v>1416</v>
      </c>
      <c r="E78" s="59" t="n">
        <v>1368</v>
      </c>
      <c r="F78" s="68" t="n">
        <f aca="false">IF(E78="","",D78-E78)</f>
        <v>48</v>
      </c>
      <c r="G78" s="59" t="n">
        <v>2444</v>
      </c>
      <c r="H78" s="59" t="n">
        <v>2520</v>
      </c>
      <c r="I78" s="68" t="n">
        <f aca="false">IF(H78="","",G78-H78)</f>
        <v>-76</v>
      </c>
      <c r="J78" s="40" t="n">
        <f aca="false">IF(OR(D78="",D78+G78=0),"",D78/(D78+G78))</f>
        <v>0.366839378238342</v>
      </c>
      <c r="K78" s="40" t="n">
        <f aca="false">IF(E78="","",E78/(E78+H78))</f>
        <v>0.351851851851852</v>
      </c>
      <c r="L78" s="69" t="n">
        <f aca="false">IF(OR(K78="",J78=""),"",(J78-K78)*100)</f>
        <v>1.49875263864901</v>
      </c>
      <c r="M78" s="36" t="n">
        <v>2.09476715517026</v>
      </c>
      <c r="N78" s="36" t="n">
        <v>1.35464561784055</v>
      </c>
      <c r="O78" s="36" t="n">
        <f aca="false">SQRT(M78^2+N78^2)</f>
        <v>2.49461704161475</v>
      </c>
      <c r="P78" s="40" t="n">
        <f aca="false">IF(J78="","",MAX(0,J78-1.96*O78/100))</f>
        <v>0.317944884222693</v>
      </c>
      <c r="Q78" s="40" t="n">
        <f aca="false">IF(J78="","",MIN(1,J78+1.96*O78/100))</f>
        <v>0.415733872253991</v>
      </c>
      <c r="R78" s="32" t="str">
        <f aca="false">IF(L78="","",IF(ABS(L78)&lt;=O78,"Yes","No"))</f>
        <v>Yes</v>
      </c>
      <c r="S78" s="32" t="str">
        <f aca="false">IF(L78="","",IF(ABS(L78)&lt;=1.96*O78,"Yes","No"))</f>
        <v>Yes</v>
      </c>
      <c r="T78" s="59" t="n">
        <f aca="false">IF(D78="","",ROUND(SQRT(((D78+G78)*O78/100)^2+(J78*(D78+G78)*0.0639)^2),0))</f>
        <v>132</v>
      </c>
      <c r="U78" s="32"/>
    </row>
    <row r="79" customFormat="false" ht="15" hidden="false" customHeight="false" outlineLevel="0" collapsed="false">
      <c r="A79" s="32" t="s">
        <v>220</v>
      </c>
      <c r="B79" s="32" t="s">
        <v>245</v>
      </c>
      <c r="C79" s="32" t="s">
        <v>161</v>
      </c>
      <c r="D79" s="59" t="n">
        <v>89</v>
      </c>
      <c r="E79" s="59" t="n">
        <v>82</v>
      </c>
      <c r="F79" s="68" t="n">
        <f aca="false">IF(E79="","",D79-E79)</f>
        <v>7</v>
      </c>
      <c r="G79" s="59" t="n">
        <v>174</v>
      </c>
      <c r="H79" s="59" t="n">
        <v>171</v>
      </c>
      <c r="I79" s="68" t="n">
        <f aca="false">IF(H79="","",G79-H79)</f>
        <v>3</v>
      </c>
      <c r="J79" s="40" t="n">
        <f aca="false">IF(OR(D79="",D79+G79=0),"",D79/(D79+G79))</f>
        <v>0.338403041825095</v>
      </c>
      <c r="K79" s="40" t="n">
        <f aca="false">IF(E79="","",E79/(E79+H79))</f>
        <v>0.324110671936759</v>
      </c>
      <c r="L79" s="69" t="n">
        <f aca="false">IF(OR(K79="",J79=""),"",(J79-K79)*100)</f>
        <v>1.42923698883362</v>
      </c>
      <c r="M79" s="36" t="n">
        <v>3.50906161007311</v>
      </c>
      <c r="N79" s="36" t="n">
        <v>1.35464561784055</v>
      </c>
      <c r="O79" s="36" t="n">
        <f aca="false">SQRT(M79^2+N79^2)</f>
        <v>3.76145957484903</v>
      </c>
      <c r="P79" s="40" t="n">
        <f aca="false">IF(J79="","",MAX(0,J79-1.96*O79/100))</f>
        <v>0.264678434158054</v>
      </c>
      <c r="Q79" s="40" t="n">
        <f aca="false">IF(J79="","",MIN(1,J79+1.96*O79/100))</f>
        <v>0.412127649492136</v>
      </c>
      <c r="R79" s="32" t="str">
        <f aca="false">IF(L79="","",IF(ABS(L79)&lt;=O79,"Yes","No"))</f>
        <v>Yes</v>
      </c>
      <c r="S79" s="32" t="str">
        <f aca="false">IF(L79="","",IF(ABS(L79)&lt;=1.96*O79,"Yes","No"))</f>
        <v>Yes</v>
      </c>
      <c r="T79" s="59" t="n">
        <f aca="false">IF(D79="","",ROUND(SQRT(((D79+G79)*O79/100)^2+(J79*(D79+G79)*0.09092)^2),0))</f>
        <v>13</v>
      </c>
      <c r="U79" s="32"/>
    </row>
    <row r="80" customFormat="false" ht="15" hidden="false" customHeight="false" outlineLevel="0" collapsed="false">
      <c r="A80" s="32" t="s">
        <v>220</v>
      </c>
      <c r="B80" s="32" t="s">
        <v>246</v>
      </c>
      <c r="C80" s="32" t="s">
        <v>161</v>
      </c>
      <c r="D80" s="59" t="n">
        <v>365</v>
      </c>
      <c r="E80" s="59" t="n">
        <v>331</v>
      </c>
      <c r="F80" s="68" t="n">
        <f aca="false">IF(E80="","",D80-E80)</f>
        <v>34</v>
      </c>
      <c r="G80" s="59" t="n">
        <v>522</v>
      </c>
      <c r="H80" s="59" t="n">
        <v>571</v>
      </c>
      <c r="I80" s="68" t="n">
        <f aca="false">IF(H80="","",G80-H80)</f>
        <v>-49</v>
      </c>
      <c r="J80" s="40" t="n">
        <f aca="false">IF(OR(D80="",D80+G80=0),"",D80/(D80+G80))</f>
        <v>0.411499436302142</v>
      </c>
      <c r="K80" s="40" t="n">
        <f aca="false">IF(E80="","",E80/(E80+H80))</f>
        <v>0.366962305986696</v>
      </c>
      <c r="L80" s="69" t="n">
        <f aca="false">IF(OR(K80="",J80=""),"",(J80-K80)*100)</f>
        <v>4.45371303154458</v>
      </c>
      <c r="M80" s="36" t="n">
        <v>3.50906161007311</v>
      </c>
      <c r="N80" s="36" t="n">
        <v>1.35464561784055</v>
      </c>
      <c r="O80" s="36" t="n">
        <f aca="false">SQRT(M80^2+N80^2)</f>
        <v>3.76145957484903</v>
      </c>
      <c r="P80" s="40" t="n">
        <f aca="false">IF(J80="","",MAX(0,J80-1.96*O80/100))</f>
        <v>0.337774828635101</v>
      </c>
      <c r="Q80" s="40" t="n">
        <f aca="false">IF(J80="","",MIN(1,J80+1.96*O80/100))</f>
        <v>0.485224043969183</v>
      </c>
      <c r="R80" s="32" t="str">
        <f aca="false">IF(L80="","",IF(ABS(L80)&lt;=O80,"Yes","No"))</f>
        <v>No</v>
      </c>
      <c r="S80" s="32" t="str">
        <f aca="false">IF(L80="","",IF(ABS(L80)&lt;=1.96*O80,"Yes","No"))</f>
        <v>Yes</v>
      </c>
      <c r="T80" s="59" t="n">
        <f aca="false">IF(D80="","",ROUND(SQRT(((D80+G80)*O80/100)^2+(J80*(D80+G80)*0.09092)^2),0))</f>
        <v>47</v>
      </c>
      <c r="U80" s="32"/>
    </row>
    <row r="81" customFormat="false" ht="15" hidden="false" customHeight="false" outlineLevel="0" collapsed="false">
      <c r="A81" s="32" t="s">
        <v>220</v>
      </c>
      <c r="B81" s="32" t="s">
        <v>247</v>
      </c>
      <c r="C81" s="32" t="s">
        <v>161</v>
      </c>
      <c r="D81" s="59" t="n">
        <v>228</v>
      </c>
      <c r="E81" s="59" t="n">
        <v>212</v>
      </c>
      <c r="F81" s="68" t="n">
        <f aca="false">IF(E81="","",D81-E81)</f>
        <v>16</v>
      </c>
      <c r="G81" s="59" t="n">
        <v>297</v>
      </c>
      <c r="H81" s="59" t="n">
        <v>308</v>
      </c>
      <c r="I81" s="68" t="n">
        <f aca="false">IF(H81="","",G81-H81)</f>
        <v>-11</v>
      </c>
      <c r="J81" s="40" t="n">
        <f aca="false">IF(OR(D81="",D81+G81=0),"",D81/(D81+G81))</f>
        <v>0.434285714285714</v>
      </c>
      <c r="K81" s="40" t="n">
        <f aca="false">IF(E81="","",E81/(E81+H81))</f>
        <v>0.407692307692308</v>
      </c>
      <c r="L81" s="69" t="n">
        <f aca="false">IF(OR(K81="",J81=""),"",(J81-K81)*100)</f>
        <v>2.65934065934066</v>
      </c>
      <c r="M81" s="36" t="n">
        <v>3.50906161007311</v>
      </c>
      <c r="N81" s="36" t="n">
        <v>1.35464561784055</v>
      </c>
      <c r="O81" s="36" t="n">
        <f aca="false">SQRT(M81^2+N81^2)</f>
        <v>3.76145957484903</v>
      </c>
      <c r="P81" s="40" t="n">
        <f aca="false">IF(J81="","",MAX(0,J81-1.96*O81/100))</f>
        <v>0.360561106618673</v>
      </c>
      <c r="Q81" s="40" t="n">
        <f aca="false">IF(J81="","",MIN(1,J81+1.96*O81/100))</f>
        <v>0.508010321952755</v>
      </c>
      <c r="R81" s="32" t="str">
        <f aca="false">IF(L81="","",IF(ABS(L81)&lt;=O81,"Yes","No"))</f>
        <v>Yes</v>
      </c>
      <c r="S81" s="32" t="str">
        <f aca="false">IF(L81="","",IF(ABS(L81)&lt;=1.96*O81,"Yes","No"))</f>
        <v>Yes</v>
      </c>
      <c r="T81" s="59" t="n">
        <f aca="false">IF(D81="","",ROUND(SQRT(((D81+G81)*O81/100)^2+(J81*(D81+G81)*0.09092)^2),0))</f>
        <v>29</v>
      </c>
      <c r="U81" s="32"/>
    </row>
    <row r="82" customFormat="false" ht="15" hidden="false" customHeight="false" outlineLevel="0" collapsed="false">
      <c r="A82" s="32" t="s">
        <v>220</v>
      </c>
      <c r="B82" s="32" t="s">
        <v>248</v>
      </c>
      <c r="C82" s="32" t="s">
        <v>161</v>
      </c>
      <c r="D82" s="59" t="n">
        <v>293</v>
      </c>
      <c r="E82" s="59" t="n">
        <v>272</v>
      </c>
      <c r="F82" s="68" t="n">
        <f aca="false">IF(E82="","",D82-E82)</f>
        <v>21</v>
      </c>
      <c r="G82" s="59" t="n">
        <v>394</v>
      </c>
      <c r="H82" s="59" t="n">
        <v>400</v>
      </c>
      <c r="I82" s="68" t="n">
        <f aca="false">IF(H82="","",G82-H82)</f>
        <v>-6</v>
      </c>
      <c r="J82" s="40" t="n">
        <f aca="false">IF(OR(D82="",D82+G82=0),"",D82/(D82+G82))</f>
        <v>0.426491994177584</v>
      </c>
      <c r="K82" s="40" t="n">
        <f aca="false">IF(E82="","",E82/(E82+H82))</f>
        <v>0.404761904761905</v>
      </c>
      <c r="L82" s="69" t="n">
        <f aca="false">IF(OR(K82="",J82=""),"",(J82-K82)*100)</f>
        <v>2.17300894156789</v>
      </c>
      <c r="M82" s="36" t="n">
        <v>3.50906161007311</v>
      </c>
      <c r="N82" s="36" t="n">
        <v>1.35464561784055</v>
      </c>
      <c r="O82" s="36" t="n">
        <f aca="false">SQRT(M82^2+N82^2)</f>
        <v>3.76145957484903</v>
      </c>
      <c r="P82" s="40" t="n">
        <f aca="false">IF(J82="","",MAX(0,J82-1.96*O82/100))</f>
        <v>0.352767386510543</v>
      </c>
      <c r="Q82" s="40" t="n">
        <f aca="false">IF(J82="","",MIN(1,J82+1.96*O82/100))</f>
        <v>0.500216601844625</v>
      </c>
      <c r="R82" s="32" t="str">
        <f aca="false">IF(L82="","",IF(ABS(L82)&lt;=O82,"Yes","No"))</f>
        <v>Yes</v>
      </c>
      <c r="S82" s="32" t="str">
        <f aca="false">IF(L82="","",IF(ABS(L82)&lt;=1.96*O82,"Yes","No"))</f>
        <v>Yes</v>
      </c>
      <c r="T82" s="59" t="n">
        <f aca="false">IF(D82="","",ROUND(SQRT(((D82+G82)*O82/100)^2+(J82*(D82+G82)*0.09092)^2),0))</f>
        <v>37</v>
      </c>
      <c r="U82" s="32"/>
    </row>
    <row r="83" customFormat="false" ht="15" hidden="false" customHeight="false" outlineLevel="0" collapsed="false">
      <c r="A83" s="32" t="s">
        <v>220</v>
      </c>
      <c r="B83" s="32" t="s">
        <v>249</v>
      </c>
      <c r="C83" s="32" t="s">
        <v>161</v>
      </c>
      <c r="D83" s="59" t="n">
        <v>1303</v>
      </c>
      <c r="E83" s="59" t="n">
        <v>1207</v>
      </c>
      <c r="F83" s="68" t="n">
        <f aca="false">IF(E83="","",D83-E83)</f>
        <v>96</v>
      </c>
      <c r="G83" s="59" t="n">
        <v>2603</v>
      </c>
      <c r="H83" s="59" t="n">
        <v>2601</v>
      </c>
      <c r="I83" s="68" t="n">
        <f aca="false">IF(H83="","",G83-H83)</f>
        <v>2</v>
      </c>
      <c r="J83" s="40" t="n">
        <f aca="false">IF(OR(D83="",D83+G83=0),"",D83/(D83+G83))</f>
        <v>0.333589349718382</v>
      </c>
      <c r="K83" s="40" t="n">
        <f aca="false">IF(E83="","",E83/(E83+H83))</f>
        <v>0.316964285714286</v>
      </c>
      <c r="L83" s="69" t="n">
        <f aca="false">IF(OR(K83="",J83=""),"",(J83-K83)*100)</f>
        <v>1.66250640040963</v>
      </c>
      <c r="M83" s="36" t="n">
        <v>2.09476715517026</v>
      </c>
      <c r="N83" s="36" t="n">
        <v>1.35464561784055</v>
      </c>
      <c r="O83" s="36" t="n">
        <f aca="false">SQRT(M83^2+N83^2)</f>
        <v>2.49461704161475</v>
      </c>
      <c r="P83" s="40" t="n">
        <f aca="false">IF(J83="","",MAX(0,J83-1.96*O83/100))</f>
        <v>0.284694855702733</v>
      </c>
      <c r="Q83" s="40" t="n">
        <f aca="false">IF(J83="","",MIN(1,J83+1.96*O83/100))</f>
        <v>0.382483843734031</v>
      </c>
      <c r="R83" s="32" t="str">
        <f aca="false">IF(L83="","",IF(ABS(L83)&lt;=O83,"Yes","No"))</f>
        <v>Yes</v>
      </c>
      <c r="S83" s="32" t="str">
        <f aca="false">IF(L83="","",IF(ABS(L83)&lt;=1.96*O83,"Yes","No"))</f>
        <v>Yes</v>
      </c>
      <c r="T83" s="59" t="n">
        <f aca="false">IF(D83="","",ROUND(SQRT(((D83+G83)*O83/100)^2+(J83*(D83+G83)*0.0639)^2),0))</f>
        <v>128</v>
      </c>
      <c r="U83" s="32"/>
    </row>
    <row r="84" customFormat="false" ht="15" hidden="false" customHeight="false" outlineLevel="0" collapsed="false">
      <c r="A84" s="32" t="s">
        <v>220</v>
      </c>
      <c r="B84" s="32" t="s">
        <v>250</v>
      </c>
      <c r="C84" s="32" t="s">
        <v>161</v>
      </c>
      <c r="D84" s="59" t="n">
        <v>1924</v>
      </c>
      <c r="E84" s="59" t="n">
        <v>1838</v>
      </c>
      <c r="F84" s="68" t="n">
        <f aca="false">IF(E84="","",D84-E84)</f>
        <v>86</v>
      </c>
      <c r="G84" s="59" t="n">
        <v>2066</v>
      </c>
      <c r="H84" s="59" t="n">
        <v>2112</v>
      </c>
      <c r="I84" s="68" t="n">
        <f aca="false">IF(H84="","",G84-H84)</f>
        <v>-46</v>
      </c>
      <c r="J84" s="40" t="n">
        <f aca="false">IF(OR(D84="",D84+G84=0),"",D84/(D84+G84))</f>
        <v>0.482205513784461</v>
      </c>
      <c r="K84" s="40" t="n">
        <f aca="false">IF(E84="","",E84/(E84+H84))</f>
        <v>0.465316455696203</v>
      </c>
      <c r="L84" s="69" t="n">
        <f aca="false">IF(OR(K84="",J84=""),"",(J84-K84)*100)</f>
        <v>1.68890580882586</v>
      </c>
      <c r="M84" s="36" t="n">
        <v>2.09476715517026</v>
      </c>
      <c r="N84" s="36" t="n">
        <v>1.35464561784055</v>
      </c>
      <c r="O84" s="36" t="n">
        <f aca="false">SQRT(M84^2+N84^2)</f>
        <v>2.49461704161475</v>
      </c>
      <c r="P84" s="40" t="n">
        <f aca="false">IF(J84="","",MAX(0,J84-1.96*O84/100))</f>
        <v>0.433311019768812</v>
      </c>
      <c r="Q84" s="40" t="n">
        <f aca="false">IF(J84="","",MIN(1,J84+1.96*O84/100))</f>
        <v>0.53110000780011</v>
      </c>
      <c r="R84" s="32" t="str">
        <f aca="false">IF(L84="","",IF(ABS(L84)&lt;=O84,"Yes","No"))</f>
        <v>Yes</v>
      </c>
      <c r="S84" s="32" t="str">
        <f aca="false">IF(L84="","",IF(ABS(L84)&lt;=1.96*O84,"Yes","No"))</f>
        <v>Yes</v>
      </c>
      <c r="T84" s="59" t="n">
        <f aca="false">IF(D84="","",ROUND(SQRT(((D84+G84)*O84/100)^2+(J84*(D84+G84)*0.0639)^2),0))</f>
        <v>158</v>
      </c>
      <c r="U84" s="32"/>
    </row>
    <row r="85" customFormat="false" ht="15" hidden="false" customHeight="false" outlineLevel="0" collapsed="false">
      <c r="A85" s="32" t="s">
        <v>220</v>
      </c>
      <c r="B85" s="32" t="s">
        <v>251</v>
      </c>
      <c r="C85" s="32" t="s">
        <v>161</v>
      </c>
      <c r="D85" s="59" t="n">
        <v>409</v>
      </c>
      <c r="E85" s="59" t="n">
        <v>379</v>
      </c>
      <c r="F85" s="68" t="n">
        <f aca="false">IF(E85="","",D85-E85)</f>
        <v>30</v>
      </c>
      <c r="G85" s="59" t="n">
        <v>587</v>
      </c>
      <c r="H85" s="59" t="n">
        <v>605</v>
      </c>
      <c r="I85" s="68" t="n">
        <f aca="false">IF(H85="","",G85-H85)</f>
        <v>-18</v>
      </c>
      <c r="J85" s="40" t="n">
        <f aca="false">IF(OR(D85="",D85+G85=0),"",D85/(D85+G85))</f>
        <v>0.410642570281125</v>
      </c>
      <c r="K85" s="40" t="n">
        <f aca="false">IF(E85="","",E85/(E85+H85))</f>
        <v>0.385162601626016</v>
      </c>
      <c r="L85" s="69" t="n">
        <f aca="false">IF(OR(K85="",J85=""),"",(J85-K85)*100)</f>
        <v>2.54799686551082</v>
      </c>
      <c r="M85" s="36" t="n">
        <v>3.50906161007311</v>
      </c>
      <c r="N85" s="36" t="n">
        <v>1.35464561784055</v>
      </c>
      <c r="O85" s="36" t="n">
        <f aca="false">SQRT(M85^2+N85^2)</f>
        <v>3.76145957484903</v>
      </c>
      <c r="P85" s="40" t="n">
        <f aca="false">IF(J85="","",MAX(0,J85-1.96*O85/100))</f>
        <v>0.336917962614083</v>
      </c>
      <c r="Q85" s="40" t="n">
        <f aca="false">IF(J85="","",MIN(1,J85+1.96*O85/100))</f>
        <v>0.484367177948166</v>
      </c>
      <c r="R85" s="32" t="str">
        <f aca="false">IF(L85="","",IF(ABS(L85)&lt;=O85,"Yes","No"))</f>
        <v>Yes</v>
      </c>
      <c r="S85" s="32" t="str">
        <f aca="false">IF(L85="","",IF(ABS(L85)&lt;=1.96*O85,"Yes","No"))</f>
        <v>Yes</v>
      </c>
      <c r="T85" s="59" t="n">
        <f aca="false">IF(D85="","",ROUND(SQRT(((D85+G85)*O85/100)^2+(J85*(D85+G85)*0.09092)^2),0))</f>
        <v>53</v>
      </c>
      <c r="U85" s="32"/>
    </row>
    <row r="86" customFormat="false" ht="15" hidden="false" customHeight="false" outlineLevel="0" collapsed="false">
      <c r="A86" s="32" t="s">
        <v>220</v>
      </c>
      <c r="B86" s="32" t="s">
        <v>212</v>
      </c>
      <c r="C86" s="32" t="s">
        <v>161</v>
      </c>
      <c r="D86" s="59" t="n">
        <v>1103</v>
      </c>
      <c r="E86" s="59" t="n">
        <v>1032</v>
      </c>
      <c r="F86" s="68" t="n">
        <f aca="false">IF(E86="","",D86-E86)</f>
        <v>71</v>
      </c>
      <c r="G86" s="59" t="n">
        <v>1951</v>
      </c>
      <c r="H86" s="59" t="n">
        <v>1971</v>
      </c>
      <c r="I86" s="68" t="n">
        <f aca="false">IF(H86="","",G86-H86)</f>
        <v>-20</v>
      </c>
      <c r="J86" s="40" t="n">
        <f aca="false">IF(OR(D86="",D86+G86=0),"",D86/(D86+G86))</f>
        <v>0.361165684348396</v>
      </c>
      <c r="K86" s="40" t="n">
        <f aca="false">IF(E86="","",E86/(E86+H86))</f>
        <v>0.343656343656344</v>
      </c>
      <c r="L86" s="69" t="n">
        <f aca="false">IF(OR(K86="",J86=""),"",(J86-K86)*100)</f>
        <v>1.75093406920518</v>
      </c>
      <c r="M86" s="36" t="n">
        <v>1.79639917133427</v>
      </c>
      <c r="N86" s="36" t="n">
        <v>1.35464561784055</v>
      </c>
      <c r="O86" s="36" t="n">
        <f aca="false">SQRT(M86^2+N86^2)</f>
        <v>2.24991438341664</v>
      </c>
      <c r="P86" s="40" t="n">
        <f aca="false">IF(J86="","",MAX(0,J86-1.96*O86/100))</f>
        <v>0.317067362433429</v>
      </c>
      <c r="Q86" s="40" t="n">
        <f aca="false">IF(J86="","",MIN(1,J86+1.96*O86/100))</f>
        <v>0.405264006263362</v>
      </c>
      <c r="R86" s="32" t="str">
        <f aca="false">IF(L86="","",IF(ABS(L86)&lt;=O86,"Yes","No"))</f>
        <v>Yes</v>
      </c>
      <c r="S86" s="32" t="str">
        <f aca="false">IF(L86="","",IF(ABS(L86)&lt;=1.96*O86,"Yes","No"))</f>
        <v>Yes</v>
      </c>
      <c r="T86" s="59" t="n">
        <f aca="false">IF(D86="","",ROUND(SQRT(((D86+G86)*O86/100)^2+(J86*(D86+G86)*0.06991)^2),0))</f>
        <v>103</v>
      </c>
      <c r="U86" s="32"/>
    </row>
    <row r="87" customFormat="false" ht="15" hidden="false" customHeight="false" outlineLevel="0" collapsed="false">
      <c r="A87" s="32" t="s">
        <v>220</v>
      </c>
      <c r="B87" s="32" t="s">
        <v>252</v>
      </c>
      <c r="C87" s="32" t="s">
        <v>161</v>
      </c>
      <c r="D87" s="59" t="n">
        <v>288</v>
      </c>
      <c r="E87" s="59" t="n">
        <v>249</v>
      </c>
      <c r="F87" s="68" t="n">
        <f aca="false">IF(E87="","",D87-E87)</f>
        <v>39</v>
      </c>
      <c r="G87" s="59" t="n">
        <v>272</v>
      </c>
      <c r="H87" s="59" t="n">
        <v>326</v>
      </c>
      <c r="I87" s="68" t="n">
        <f aca="false">IF(H87="","",G87-H87)</f>
        <v>-54</v>
      </c>
      <c r="J87" s="40" t="n">
        <f aca="false">IF(OR(D87="",D87+G87=0),"",D87/(D87+G87))</f>
        <v>0.514285714285714</v>
      </c>
      <c r="K87" s="40" t="n">
        <f aca="false">IF(E87="","",E87/(E87+H87))</f>
        <v>0.43304347826087</v>
      </c>
      <c r="L87" s="69" t="n">
        <f aca="false">IF(OR(K87="",J87=""),"",(J87-K87)*100)</f>
        <v>8.12422360248447</v>
      </c>
      <c r="M87" s="36" t="n">
        <v>3.50906161007311</v>
      </c>
      <c r="N87" s="36" t="n">
        <v>1.35464561784055</v>
      </c>
      <c r="O87" s="36" t="n">
        <f aca="false">SQRT(M87^2+N87^2)</f>
        <v>3.76145957484903</v>
      </c>
      <c r="P87" s="40" t="n">
        <f aca="false">IF(J87="","",MAX(0,J87-1.96*O87/100))</f>
        <v>0.440561106618673</v>
      </c>
      <c r="Q87" s="40" t="n">
        <f aca="false">IF(J87="","",MIN(1,J87+1.96*O87/100))</f>
        <v>0.588010321952755</v>
      </c>
      <c r="R87" s="32" t="str">
        <f aca="false">IF(L87="","",IF(ABS(L87)&lt;=O87,"Yes","No"))</f>
        <v>No</v>
      </c>
      <c r="S87" s="32" t="str">
        <f aca="false">IF(L87="","",IF(ABS(L87)&lt;=1.96*O87,"Yes","No"))</f>
        <v>No</v>
      </c>
      <c r="T87" s="59" t="n">
        <f aca="false">IF(D87="","",ROUND(SQRT(((D87+G87)*O87/100)^2+(J87*(D87+G87)*0.09092)^2),0))</f>
        <v>34</v>
      </c>
      <c r="U87" s="32"/>
    </row>
    <row r="88" customFormat="false" ht="15" hidden="false" customHeight="false" outlineLevel="0" collapsed="false">
      <c r="A88" s="32" t="s">
        <v>220</v>
      </c>
      <c r="B88" s="32" t="s">
        <v>253</v>
      </c>
      <c r="C88" s="32" t="s">
        <v>161</v>
      </c>
      <c r="D88" s="59" t="n">
        <v>1857</v>
      </c>
      <c r="E88" s="59" t="n">
        <v>1767</v>
      </c>
      <c r="F88" s="68" t="n">
        <f aca="false">IF(E88="","",D88-E88)</f>
        <v>90</v>
      </c>
      <c r="G88" s="59" t="n">
        <v>2347</v>
      </c>
      <c r="H88" s="59" t="n">
        <v>2379</v>
      </c>
      <c r="I88" s="68" t="n">
        <f aca="false">IF(H88="","",G88-H88)</f>
        <v>-32</v>
      </c>
      <c r="J88" s="40" t="n">
        <f aca="false">IF(OR(D88="",D88+G88=0),"",D88/(D88+G88))</f>
        <v>0.441722169362512</v>
      </c>
      <c r="K88" s="40" t="n">
        <f aca="false">IF(E88="","",E88/(E88+H88))</f>
        <v>0.426193921852388</v>
      </c>
      <c r="L88" s="69" t="n">
        <f aca="false">IF(OR(K88="",J88=""),"",(J88-K88)*100)</f>
        <v>1.55282475101241</v>
      </c>
      <c r="M88" s="36" t="n">
        <v>2.09476715517026</v>
      </c>
      <c r="N88" s="36" t="n">
        <v>1.35464561784055</v>
      </c>
      <c r="O88" s="36" t="n">
        <f aca="false">SQRT(M88^2+N88^2)</f>
        <v>2.49461704161475</v>
      </c>
      <c r="P88" s="40" t="n">
        <f aca="false">IF(J88="","",MAX(0,J88-1.96*O88/100))</f>
        <v>0.392827675346863</v>
      </c>
      <c r="Q88" s="40" t="n">
        <f aca="false">IF(J88="","",MIN(1,J88+1.96*O88/100))</f>
        <v>0.490616663378161</v>
      </c>
      <c r="R88" s="32" t="str">
        <f aca="false">IF(L88="","",IF(ABS(L88)&lt;=O88,"Yes","No"))</f>
        <v>Yes</v>
      </c>
      <c r="S88" s="32" t="str">
        <f aca="false">IF(L88="","",IF(ABS(L88)&lt;=1.96*O88,"Yes","No"))</f>
        <v>Yes</v>
      </c>
      <c r="T88" s="59" t="n">
        <f aca="false">IF(D88="","",ROUND(SQRT(((D88+G88)*O88/100)^2+(J88*(D88+G88)*0.0639)^2),0))</f>
        <v>158</v>
      </c>
      <c r="U88" s="32"/>
    </row>
    <row r="89" customFormat="false" ht="15" hidden="false" customHeight="false" outlineLevel="0" collapsed="false">
      <c r="A89" s="32" t="s">
        <v>220</v>
      </c>
      <c r="B89" s="32" t="s">
        <v>254</v>
      </c>
      <c r="C89" s="32" t="s">
        <v>161</v>
      </c>
      <c r="D89" s="59" t="n">
        <v>1975</v>
      </c>
      <c r="E89" s="59" t="n">
        <v>1908</v>
      </c>
      <c r="F89" s="68" t="n">
        <f aca="false">IF(E89="","",D89-E89)</f>
        <v>67</v>
      </c>
      <c r="G89" s="59" t="n">
        <v>1480</v>
      </c>
      <c r="H89" s="59" t="n">
        <v>1518</v>
      </c>
      <c r="I89" s="68" t="n">
        <f aca="false">IF(H89="","",G89-H89)</f>
        <v>-38</v>
      </c>
      <c r="J89" s="40" t="n">
        <f aca="false">IF(OR(D89="",D89+G89=0),"",D89/(D89+G89))</f>
        <v>0.571635311143271</v>
      </c>
      <c r="K89" s="40" t="n">
        <f aca="false">IF(E89="","",E89/(E89+H89))</f>
        <v>0.5569176882662</v>
      </c>
      <c r="L89" s="69" t="n">
        <f aca="false">IF(OR(K89="",J89=""),"",(J89-K89)*100)</f>
        <v>1.47176228770709</v>
      </c>
      <c r="M89" s="36" t="n">
        <v>1.79639917133427</v>
      </c>
      <c r="N89" s="36" t="n">
        <v>1.35464561784055</v>
      </c>
      <c r="O89" s="36" t="n">
        <f aca="false">SQRT(M89^2+N89^2)</f>
        <v>2.24991438341664</v>
      </c>
      <c r="P89" s="40" t="n">
        <f aca="false">IF(J89="","",MAX(0,J89-1.96*O89/100))</f>
        <v>0.527536989228305</v>
      </c>
      <c r="Q89" s="40" t="n">
        <f aca="false">IF(J89="","",MIN(1,J89+1.96*O89/100))</f>
        <v>0.615733633058237</v>
      </c>
      <c r="R89" s="32" t="str">
        <f aca="false">IF(L89="","",IF(ABS(L89)&lt;=O89,"Yes","No"))</f>
        <v>Yes</v>
      </c>
      <c r="S89" s="32" t="str">
        <f aca="false">IF(L89="","",IF(ABS(L89)&lt;=1.96*O89,"Yes","No"))</f>
        <v>Yes</v>
      </c>
      <c r="T89" s="59" t="n">
        <f aca="false">IF(D89="","",ROUND(SQRT(((D89+G89)*O89/100)^2+(J89*(D89+G89)*0.06991)^2),0))</f>
        <v>158</v>
      </c>
      <c r="U89" s="32"/>
    </row>
    <row r="90" customFormat="false" ht="15" hidden="false" customHeight="false" outlineLevel="0" collapsed="false">
      <c r="A90" s="32" t="s">
        <v>220</v>
      </c>
      <c r="B90" s="32" t="s">
        <v>255</v>
      </c>
      <c r="C90" s="32" t="s">
        <v>161</v>
      </c>
      <c r="D90" s="59" t="n">
        <v>543</v>
      </c>
      <c r="E90" s="59" t="n">
        <v>508</v>
      </c>
      <c r="F90" s="68" t="n">
        <f aca="false">IF(E90="","",D90-E90)</f>
        <v>35</v>
      </c>
      <c r="G90" s="59" t="n">
        <v>725</v>
      </c>
      <c r="H90" s="59" t="n">
        <v>791</v>
      </c>
      <c r="I90" s="68" t="n">
        <f aca="false">IF(H90="","",G90-H90)</f>
        <v>-66</v>
      </c>
      <c r="J90" s="40" t="n">
        <f aca="false">IF(OR(D90="",D90+G90=0),"",D90/(D90+G90))</f>
        <v>0.428233438485804</v>
      </c>
      <c r="K90" s="40" t="n">
        <f aca="false">IF(E90="","",E90/(E90+H90))</f>
        <v>0.391070053887606</v>
      </c>
      <c r="L90" s="69" t="n">
        <f aca="false">IF(OR(K90="",J90=""),"",(J90-K90)*100)</f>
        <v>3.71633845981986</v>
      </c>
      <c r="M90" s="36" t="n">
        <v>3.50906161007311</v>
      </c>
      <c r="N90" s="36" t="n">
        <v>1.35464561784055</v>
      </c>
      <c r="O90" s="36" t="n">
        <f aca="false">SQRT(M90^2+N90^2)</f>
        <v>3.76145957484903</v>
      </c>
      <c r="P90" s="40" t="n">
        <f aca="false">IF(J90="","",MAX(0,J90-1.96*O90/100))</f>
        <v>0.354508830818763</v>
      </c>
      <c r="Q90" s="40" t="n">
        <f aca="false">IF(J90="","",MIN(1,J90+1.96*O90/100))</f>
        <v>0.501958046152845</v>
      </c>
      <c r="R90" s="32" t="str">
        <f aca="false">IF(L90="","",IF(ABS(L90)&lt;=O90,"Yes","No"))</f>
        <v>Yes</v>
      </c>
      <c r="S90" s="32" t="str">
        <f aca="false">IF(L90="","",IF(ABS(L90)&lt;=1.96*O90,"Yes","No"))</f>
        <v>Yes</v>
      </c>
      <c r="T90" s="59" t="n">
        <f aca="false">IF(D90="","",ROUND(SQRT(((D90+G90)*O90/100)^2+(J90*(D90+G90)*0.09092)^2),0))</f>
        <v>69</v>
      </c>
      <c r="U90" s="32"/>
    </row>
    <row r="92" customFormat="false" ht="15" hidden="false" customHeight="false" outlineLevel="0" collapsed="false">
      <c r="A92" s="20" t="s">
        <v>383</v>
      </c>
      <c r="B92" s="70"/>
      <c r="C92" s="70"/>
      <c r="D92" s="71" t="n">
        <f aca="false">SUMIF(E2:E90,"&lt;&gt;",D2:D90)</f>
        <v>198147</v>
      </c>
      <c r="E92" s="71" t="n">
        <f aca="false">SUM(E2:E90)</f>
        <v>193125</v>
      </c>
      <c r="F92" s="72" t="n">
        <f aca="false">D92-E92</f>
        <v>5022</v>
      </c>
      <c r="G92" s="71" t="n">
        <f aca="false">SUMIF(H2:H90,"&lt;&gt;",G2:G90)</f>
        <v>192608</v>
      </c>
      <c r="H92" s="71" t="n">
        <f aca="false">SUM(H2:H90)</f>
        <v>195380</v>
      </c>
      <c r="I92" s="72" t="n">
        <f aca="false">G92-H92</f>
        <v>-2772</v>
      </c>
      <c r="J92" s="73" t="n">
        <f aca="false">D92/(D92+G92)</f>
        <v>0.507087561259613</v>
      </c>
      <c r="K92" s="73" t="n">
        <f aca="false">E92/(E92+H92)</f>
        <v>0.497097849448527</v>
      </c>
      <c r="L92" s="74" t="n">
        <f aca="false">(J92-K92)*100</f>
        <v>0.998971181108582</v>
      </c>
      <c r="M92" s="75" t="n">
        <v>0</v>
      </c>
      <c r="N92" s="75" t="n">
        <v>1.35464561784055</v>
      </c>
      <c r="O92" s="75" t="n">
        <f aca="false">SQRT(M92^2+N92^2)</f>
        <v>1.35464561784055</v>
      </c>
      <c r="P92" s="73" t="n">
        <f aca="false">J92-1.96*O92/100</f>
        <v>0.480536507149938</v>
      </c>
      <c r="Q92" s="73" t="n">
        <f aca="false">J92+1.96*O92/100</f>
        <v>0.533638615369288</v>
      </c>
      <c r="R92" s="70" t="str">
        <f aca="false">IF(ABS(L92)&lt;=O92,"Yes","No")</f>
        <v>Yes</v>
      </c>
      <c r="S92" s="70" t="str">
        <f aca="false">IF(ABS(L92)&lt;=1.96*O92,"Yes","No")</f>
        <v>Yes</v>
      </c>
      <c r="T92" s="71" t="n">
        <f aca="false">ROUND(SQRT(((D92+G92)*O92/100)^2+(J92*(D92+G92)*0.05027)^2),0)</f>
        <v>11280</v>
      </c>
    </row>
    <row r="93" customFormat="false" ht="15" hidden="false" customHeight="false" outlineLevel="0" collapsed="false">
      <c r="A93" s="20" t="s">
        <v>384</v>
      </c>
      <c r="B93" s="70"/>
      <c r="C93" s="70"/>
      <c r="D93" s="71" t="n">
        <f aca="false">SUM(D2:D90)</f>
        <v>198147</v>
      </c>
      <c r="E93" s="71"/>
      <c r="F93" s="72"/>
      <c r="G93" s="71" t="n">
        <f aca="false">SUM(G2:G90)</f>
        <v>192608</v>
      </c>
      <c r="H93" s="71"/>
      <c r="I93" s="72"/>
      <c r="J93" s="73" t="n">
        <f aca="false">D93/(D93+G93)</f>
        <v>0.507087561259613</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75.5056179775281</v>
      </c>
    </row>
    <row r="96" customFormat="false" ht="15" hidden="false" customHeight="false" outlineLevel="0" collapsed="false">
      <c r="A96" s="2" t="s">
        <v>386</v>
      </c>
      <c r="F96" s="76" t="n">
        <f aca="false">(SUMIF(I2:I90,"&gt;0")-SUMIF(I2:I90,"&lt;0"))/COUNT(I2:I90)</f>
        <v>59.5280898876405</v>
      </c>
    </row>
    <row r="97" customFormat="false" ht="15" hidden="false" customHeight="false" outlineLevel="0" collapsed="false">
      <c r="A97" s="2" t="s">
        <v>387</v>
      </c>
      <c r="F97" s="77" t="n">
        <f aca="false">(SUMIF(L2:L90,"&gt;0")-SUMIF(L2:L90,"&lt;0"))/COUNT(L2:L90)</f>
        <v>2.55630019746202</v>
      </c>
    </row>
    <row r="98" customFormat="false" ht="15" hidden="false" customHeight="false" outlineLevel="0" collapsed="false">
      <c r="A98" s="5" t="s">
        <v>388</v>
      </c>
      <c r="F98" s="78" t="n">
        <f aca="false">SQRT(SUMSQ(L2:L90)/COUNT(L2:L90))</f>
        <v>3.30184764442583</v>
      </c>
    </row>
    <row r="99" customFormat="false" ht="15" hidden="false" customHeight="false" outlineLevel="0" collapsed="false">
      <c r="A99" s="5" t="s">
        <v>389</v>
      </c>
      <c r="F99" s="79" t="n">
        <f aca="false">L92</f>
        <v>0.998971181108582</v>
      </c>
    </row>
    <row r="100" customFormat="false" ht="15" hidden="false" customHeight="false" outlineLevel="0" collapsed="false">
      <c r="A100" s="5" t="s">
        <v>390</v>
      </c>
      <c r="F100" s="78" t="n">
        <f aca="false">SQRT((SUMSQ(L2:L90)-2*L92*SUM(L2:L90)+COUNT(L2:L90)*L92^2)/COUNT(L2:L90))</f>
        <v>2.69374455505414</v>
      </c>
    </row>
    <row r="101" customFormat="false" ht="15" hidden="false" customHeight="false" outlineLevel="0" collapsed="false">
      <c r="A101" s="2" t="s">
        <v>391</v>
      </c>
      <c r="F101" s="80" t="n">
        <f aca="false">D92/E92-1</f>
        <v>0.0260038834951457</v>
      </c>
    </row>
    <row r="102" customFormat="false" ht="15" hidden="false" customHeight="false" outlineLevel="0" collapsed="false">
      <c r="A102" s="5" t="s">
        <v>392</v>
      </c>
      <c r="F102" s="81" t="n">
        <f aca="false">G92/H92-1</f>
        <v>-0.0141877367181902</v>
      </c>
    </row>
    <row r="103" customFormat="false" ht="15" hidden="false" customHeight="false" outlineLevel="0" collapsed="false">
      <c r="A103" s="2" t="s">
        <v>393</v>
      </c>
      <c r="F103" s="80" t="n">
        <f aca="false">(D92+G92)/(E92+H92)-1</f>
        <v>0.00579143125571102</v>
      </c>
    </row>
    <row r="104" customFormat="false" ht="15" hidden="false" customHeight="false" outlineLevel="0" collapsed="false">
      <c r="A104" s="2" t="s">
        <v>394</v>
      </c>
      <c r="F104" s="77" t="n">
        <f aca="false">AVERAGE(O2:O90)</f>
        <v>2.84190804059546</v>
      </c>
    </row>
    <row r="105" customFormat="false" ht="15" hidden="false" customHeight="false" outlineLevel="0" collapsed="false">
      <c r="A105" s="5" t="s">
        <v>395</v>
      </c>
      <c r="F105" s="82" t="n">
        <f aca="false">COUNTIF(R2:R90,"Yes")/(COUNTIF(R2:R90,"Yes")+COUNTIF(R2:R90,"No"))</f>
        <v>0.629213483146067</v>
      </c>
    </row>
    <row r="106" customFormat="false" ht="15" hidden="false" customHeight="false" outlineLevel="0" collapsed="false">
      <c r="A106" s="5" t="s">
        <v>396</v>
      </c>
      <c r="F106" s="82" t="n">
        <f aca="false">COUNTIF(S2:S90,"Yes")/(COUNTIF(S2:S90,"Yes")+COUNTIF(S2:S90,"No"))</f>
        <v>0.910112359550562</v>
      </c>
    </row>
    <row r="107" customFormat="false" ht="15" hidden="false" customHeight="false" outlineLevel="0" collapsed="false">
      <c r="A107" s="2" t="s">
        <v>397</v>
      </c>
      <c r="F107" s="83" t="n">
        <f aca="false">COUNTIFS(L2:L90,"&gt;=-3",L2:L90,"&lt;=3")/COUNT(L2:L90)</f>
        <v>0.651685393258427</v>
      </c>
    </row>
    <row r="108" customFormat="false" ht="15" hidden="false" customHeight="false" outlineLevel="0" collapsed="false">
      <c r="A108" s="2" t="s">
        <v>435</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1118.47016125919</v>
      </c>
    </row>
    <row r="112" customFormat="false" ht="15" hidden="false" customHeight="false" outlineLevel="0" collapsed="false">
      <c r="A112" s="2" t="s">
        <v>402</v>
      </c>
      <c r="F112" s="85" t="n">
        <f aca="false">F92-((D92+G92)-(E92+H92))*K92</f>
        <v>3903.52983874081</v>
      </c>
    </row>
    <row r="113" customFormat="false" ht="15" hidden="false" customHeight="false" outlineLevel="0" collapsed="false">
      <c r="A113" s="2" t="s">
        <v>403</v>
      </c>
      <c r="F113" s="85" t="n">
        <f aca="false">((D92+G92)-(E92+H92))*(1-K92)</f>
        <v>1131.52983874081</v>
      </c>
    </row>
    <row r="114" customFormat="false" ht="15" hidden="false" customHeight="false" outlineLevel="0" collapsed="false">
      <c r="A114" s="2" t="s">
        <v>404</v>
      </c>
      <c r="F114" s="85" t="n">
        <f aca="false">I92-((D92+G92)-(E92+H92))*(1-K92)</f>
        <v>-3903.52983874081</v>
      </c>
    </row>
    <row r="115" customFormat="false" ht="15" hidden="false" customHeight="false" outlineLevel="0" collapsed="false">
      <c r="A115" s="2" t="s">
        <v>405</v>
      </c>
      <c r="F115" s="80" t="n">
        <f aca="false">(F92-((D92+G92)-(E92+H92))*K92)/E92</f>
        <v>0.0202124522394346</v>
      </c>
    </row>
    <row r="116" customFormat="false" ht="15" hidden="false" customHeight="false" outlineLevel="0" collapsed="false">
      <c r="A116" s="2" t="s">
        <v>406</v>
      </c>
      <c r="F116" s="80" t="n">
        <f aca="false">(I92-((D92+G92)-(E92+H92))*(1-K92))/H92</f>
        <v>-0.0199791679739012</v>
      </c>
    </row>
    <row r="118" customFormat="false" ht="15" hidden="false" customHeight="false" outlineLevel="0" collapsed="false">
      <c r="U118" s="5" t="s">
        <v>136</v>
      </c>
    </row>
    <row r="119" customFormat="false" ht="41.75" hidden="false" customHeight="false" outlineLevel="0" collapsed="false">
      <c r="U119" s="67" t="s">
        <v>436</v>
      </c>
    </row>
    <row r="120" customFormat="false" ht="41.75" hidden="false" customHeight="false" outlineLevel="0" collapsed="false">
      <c r="U120" s="67" t="s">
        <v>437</v>
      </c>
    </row>
    <row r="121" customFormat="false" ht="15" hidden="false" customHeight="false" outlineLevel="0" collapsed="false">
      <c r="U121" s="67" t="s">
        <v>438</v>
      </c>
    </row>
    <row r="122" customFormat="false" ht="28.35" hidden="false" customHeight="false" outlineLevel="0" collapsed="false">
      <c r="U122" s="67" t="s">
        <v>439</v>
      </c>
    </row>
    <row r="123" customFormat="false" ht="41.75" hidden="false" customHeight="false" outlineLevel="0" collapsed="false">
      <c r="U123" s="67" t="s">
        <v>440</v>
      </c>
    </row>
    <row r="124" customFormat="false" ht="28.35" hidden="false" customHeight="false" outlineLevel="0" collapsed="false">
      <c r="U124" s="67" t="s">
        <v>441</v>
      </c>
    </row>
    <row r="125" customFormat="false" ht="28.35" hidden="false" customHeight="false" outlineLevel="0" collapsed="false">
      <c r="U125" s="67" t="s">
        <v>413</v>
      </c>
    </row>
    <row r="126" customFormat="false" ht="41.75" hidden="false" customHeight="false" outlineLevel="0" collapsed="false">
      <c r="U126" s="67" t="s">
        <v>442</v>
      </c>
    </row>
    <row r="127" customFormat="false" ht="15" hidden="false" customHeight="false" outlineLevel="0" collapsed="false">
      <c r="U127" s="67" t="s">
        <v>443</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418</v>
      </c>
      <c r="H1" s="8" t="s">
        <v>370</v>
      </c>
      <c r="I1" s="8" t="s">
        <v>371</v>
      </c>
      <c r="J1" s="8" t="s">
        <v>372</v>
      </c>
      <c r="K1" s="8" t="s">
        <v>373</v>
      </c>
      <c r="L1" s="8" t="s">
        <v>374</v>
      </c>
      <c r="M1" s="8" t="s">
        <v>430</v>
      </c>
      <c r="N1" s="8" t="s">
        <v>431</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218</v>
      </c>
      <c r="E2" s="59" t="n">
        <v>171</v>
      </c>
      <c r="F2" s="68" t="n">
        <f aca="false">IF(E2="","",D2-E2)</f>
        <v>47</v>
      </c>
      <c r="G2" s="59" t="n">
        <v>318</v>
      </c>
      <c r="H2" s="59" t="n">
        <v>332</v>
      </c>
      <c r="I2" s="68" t="n">
        <f aca="false">IF(H2="","",G2-H2)</f>
        <v>-14</v>
      </c>
      <c r="J2" s="40" t="n">
        <f aca="false">IF(OR(D2="",D2+G2=0),"",D2/(D2+G2))</f>
        <v>0.406716417910448</v>
      </c>
      <c r="K2" s="40" t="n">
        <f aca="false">IF(E2="","",E2/(E2+H2))</f>
        <v>0.339960238568589</v>
      </c>
      <c r="L2" s="69" t="n">
        <f aca="false">IF(OR(K2="",J2=""),"",(J2-K2)*100)</f>
        <v>6.67561793418593</v>
      </c>
      <c r="M2" s="36" t="n">
        <v>3.3526268319753</v>
      </c>
      <c r="N2" s="36" t="n">
        <v>1.35427844951641</v>
      </c>
      <c r="O2" s="36" t="n">
        <f aca="false">SQRT(M2^2+N2^2)</f>
        <v>3.61582311421692</v>
      </c>
      <c r="P2" s="40" t="n">
        <f aca="false">IF(J2="","",MAX(0,J2-1.96*O2/100))</f>
        <v>0.335846284871796</v>
      </c>
      <c r="Q2" s="40" t="n">
        <f aca="false">IF(J2="","",MIN(1,J2+1.96*O2/100))</f>
        <v>0.477586550949099</v>
      </c>
      <c r="R2" s="32" t="str">
        <f aca="false">IF(L2="","",IF(ABS(L2)&lt;=O2,"Yes","No"))</f>
        <v>No</v>
      </c>
      <c r="S2" s="32" t="str">
        <f aca="false">IF(L2="","",IF(ABS(L2)&lt;=1.96*O2,"Yes","No"))</f>
        <v>Yes</v>
      </c>
      <c r="T2" s="59" t="n">
        <f aca="false">IF(D2="","",ROUND(SQRT(((D2+G2)*O2/100)^2+(J2*(D2+G2)*0.09092)^2),0))</f>
        <v>28</v>
      </c>
      <c r="U2" s="32" t="s">
        <v>432</v>
      </c>
    </row>
    <row r="3" customFormat="false" ht="15" hidden="false" customHeight="false" outlineLevel="0" collapsed="false">
      <c r="A3" s="32" t="s">
        <v>159</v>
      </c>
      <c r="B3" s="32" t="s">
        <v>165</v>
      </c>
      <c r="C3" s="32" t="s">
        <v>161</v>
      </c>
      <c r="D3" s="59" t="n">
        <v>130</v>
      </c>
      <c r="E3" s="59" t="n">
        <v>100</v>
      </c>
      <c r="F3" s="68" t="n">
        <f aca="false">IF(E3="","",D3-E3)</f>
        <v>30</v>
      </c>
      <c r="G3" s="59" t="n">
        <v>287</v>
      </c>
      <c r="H3" s="59" t="n">
        <v>303</v>
      </c>
      <c r="I3" s="68" t="n">
        <f aca="false">IF(H3="","",G3-H3)</f>
        <v>-16</v>
      </c>
      <c r="J3" s="40" t="n">
        <f aca="false">IF(OR(D3="",D3+G3=0),"",D3/(D3+G3))</f>
        <v>0.311750599520384</v>
      </c>
      <c r="K3" s="40" t="n">
        <f aca="false">IF(E3="","",E3/(E3+H3))</f>
        <v>0.248138957816377</v>
      </c>
      <c r="L3" s="69" t="n">
        <f aca="false">IF(OR(K3="",J3=""),"",(J3-K3)*100)</f>
        <v>6.36116417040065</v>
      </c>
      <c r="M3" s="36" t="n">
        <v>3.3526268319753</v>
      </c>
      <c r="N3" s="36" t="n">
        <v>1.35427844951641</v>
      </c>
      <c r="O3" s="36" t="n">
        <f aca="false">SQRT(M3^2+N3^2)</f>
        <v>3.61582311421692</v>
      </c>
      <c r="P3" s="40" t="n">
        <f aca="false">IF(J3="","",MAX(0,J3-1.96*O3/100))</f>
        <v>0.240880466481732</v>
      </c>
      <c r="Q3" s="40" t="n">
        <f aca="false">IF(J3="","",MIN(1,J3+1.96*O3/100))</f>
        <v>0.382620732559035</v>
      </c>
      <c r="R3" s="32" t="str">
        <f aca="false">IF(L3="","",IF(ABS(L3)&lt;=O3,"Yes","No"))</f>
        <v>No</v>
      </c>
      <c r="S3" s="32" t="str">
        <f aca="false">IF(L3="","",IF(ABS(L3)&lt;=1.96*O3,"Yes","No"))</f>
        <v>Yes</v>
      </c>
      <c r="T3" s="59" t="n">
        <f aca="false">IF(D3="","",ROUND(SQRT(((D3+G3)*O3/100)^2+(J3*(D3+G3)*0.09092)^2),0))</f>
        <v>19</v>
      </c>
      <c r="U3" s="32" t="s">
        <v>432</v>
      </c>
    </row>
    <row r="4" customFormat="false" ht="15" hidden="false" customHeight="false" outlineLevel="0" collapsed="false">
      <c r="A4" s="32" t="s">
        <v>159</v>
      </c>
      <c r="B4" s="32" t="s">
        <v>166</v>
      </c>
      <c r="C4" s="32" t="s">
        <v>161</v>
      </c>
      <c r="D4" s="59" t="n">
        <v>173</v>
      </c>
      <c r="E4" s="59" t="n">
        <v>111</v>
      </c>
      <c r="F4" s="68" t="n">
        <f aca="false">IF(E4="","",D4-E4)</f>
        <v>62</v>
      </c>
      <c r="G4" s="59" t="n">
        <v>309</v>
      </c>
      <c r="H4" s="59" t="n">
        <v>317</v>
      </c>
      <c r="I4" s="68" t="n">
        <f aca="false">IF(H4="","",G4-H4)</f>
        <v>-8</v>
      </c>
      <c r="J4" s="40" t="n">
        <f aca="false">IF(OR(D4="",D4+G4=0),"",D4/(D4+G4))</f>
        <v>0.358921161825726</v>
      </c>
      <c r="K4" s="40" t="n">
        <f aca="false">IF(E4="","",E4/(E4+H4))</f>
        <v>0.259345794392523</v>
      </c>
      <c r="L4" s="69" t="n">
        <f aca="false">IF(OR(K4="",J4=""),"",(J4-K4)*100)</f>
        <v>9.95753674332028</v>
      </c>
      <c r="M4" s="36" t="n">
        <v>3.3526268319753</v>
      </c>
      <c r="N4" s="36" t="n">
        <v>1.35427844951641</v>
      </c>
      <c r="O4" s="36" t="n">
        <f aca="false">SQRT(M4^2+N4^2)</f>
        <v>3.61582311421692</v>
      </c>
      <c r="P4" s="40" t="n">
        <f aca="false">IF(J4="","",MAX(0,J4-1.96*O4/100))</f>
        <v>0.288051028787075</v>
      </c>
      <c r="Q4" s="40" t="n">
        <f aca="false">IF(J4="","",MIN(1,J4+1.96*O4/100))</f>
        <v>0.429791294864378</v>
      </c>
      <c r="R4" s="32" t="str">
        <f aca="false">IF(L4="","",IF(ABS(L4)&lt;=O4,"Yes","No"))</f>
        <v>No</v>
      </c>
      <c r="S4" s="32" t="str">
        <f aca="false">IF(L4="","",IF(ABS(L4)&lt;=1.96*O4,"Yes","No"))</f>
        <v>No</v>
      </c>
      <c r="T4" s="59" t="n">
        <f aca="false">IF(D4="","",ROUND(SQRT(((D4+G4)*O4/100)^2+(J4*(D4+G4)*0.09092)^2),0))</f>
        <v>23</v>
      </c>
      <c r="U4" s="32" t="s">
        <v>432</v>
      </c>
    </row>
    <row r="5" customFormat="false" ht="15" hidden="false" customHeight="false" outlineLevel="0" collapsed="false">
      <c r="A5" s="32" t="s">
        <v>159</v>
      </c>
      <c r="B5" s="32" t="s">
        <v>167</v>
      </c>
      <c r="C5" s="32" t="s">
        <v>161</v>
      </c>
      <c r="D5" s="59" t="n">
        <v>517</v>
      </c>
      <c r="E5" s="59" t="n">
        <v>390</v>
      </c>
      <c r="F5" s="68" t="n">
        <f aca="false">IF(E5="","",D5-E5)</f>
        <v>127</v>
      </c>
      <c r="G5" s="59" t="n">
        <v>1168</v>
      </c>
      <c r="H5" s="59" t="n">
        <v>1180</v>
      </c>
      <c r="I5" s="68" t="n">
        <f aca="false">IF(H5="","",G5-H5)</f>
        <v>-12</v>
      </c>
      <c r="J5" s="40" t="n">
        <f aca="false">IF(OR(D5="",D5+G5=0),"",D5/(D5+G5))</f>
        <v>0.306824925816024</v>
      </c>
      <c r="K5" s="40" t="n">
        <f aca="false">IF(E5="","",E5/(E5+H5))</f>
        <v>0.248407643312102</v>
      </c>
      <c r="L5" s="69" t="n">
        <f aca="false">IF(OR(K5="",J5=""),"",(J5-K5)*100)</f>
        <v>5.84172825039218</v>
      </c>
      <c r="M5" s="36" t="n">
        <v>1.87165329242132</v>
      </c>
      <c r="N5" s="36" t="n">
        <v>1.35427844951641</v>
      </c>
      <c r="O5" s="36" t="n">
        <f aca="false">SQRT(M5^2+N5^2)</f>
        <v>2.31022859601731</v>
      </c>
      <c r="P5" s="40" t="n">
        <f aca="false">IF(J5="","",MAX(0,J5-1.96*O5/100))</f>
        <v>0.261544445334084</v>
      </c>
      <c r="Q5" s="40" t="n">
        <f aca="false">IF(J5="","",MIN(1,J5+1.96*O5/100))</f>
        <v>0.352105406297963</v>
      </c>
      <c r="R5" s="32" t="str">
        <f aca="false">IF(L5="","",IF(ABS(L5)&lt;=O5,"Yes","No"))</f>
        <v>No</v>
      </c>
      <c r="S5" s="32" t="str">
        <f aca="false">IF(L5="","",IF(ABS(L5)&lt;=1.96*O5,"Yes","No"))</f>
        <v>No</v>
      </c>
      <c r="T5" s="59" t="n">
        <f aca="false">IF(D5="","",ROUND(SQRT(((D5+G5)*O5/100)^2+(J5*(D5+G5)*0.06991)^2),0))</f>
        <v>53</v>
      </c>
      <c r="U5" s="32" t="s">
        <v>432</v>
      </c>
    </row>
    <row r="6" customFormat="false" ht="15" hidden="false" customHeight="false" outlineLevel="0" collapsed="false">
      <c r="A6" s="32" t="s">
        <v>159</v>
      </c>
      <c r="B6" s="32" t="s">
        <v>169</v>
      </c>
      <c r="C6" s="32" t="s">
        <v>161</v>
      </c>
      <c r="D6" s="59" t="n">
        <v>50</v>
      </c>
      <c r="E6" s="59" t="n">
        <v>47</v>
      </c>
      <c r="F6" s="68" t="n">
        <f aca="false">IF(E6="","",D6-E6)</f>
        <v>3</v>
      </c>
      <c r="G6" s="59" t="n">
        <v>76</v>
      </c>
      <c r="H6" s="59" t="n">
        <v>74</v>
      </c>
      <c r="I6" s="68" t="n">
        <f aca="false">IF(H6="","",G6-H6)</f>
        <v>2</v>
      </c>
      <c r="J6" s="40" t="n">
        <f aca="false">IF(OR(D6="",D6+G6=0),"",D6/(D6+G6))</f>
        <v>0.396825396825397</v>
      </c>
      <c r="K6" s="40" t="n">
        <f aca="false">IF(E6="","",E6/(E6+H6))</f>
        <v>0.388429752066116</v>
      </c>
      <c r="L6" s="69" t="n">
        <f aca="false">IF(OR(K6="",J6=""),"",(J6-K6)*100)</f>
        <v>0.839564475928112</v>
      </c>
      <c r="M6" s="36" t="n">
        <v>3.3526268319753</v>
      </c>
      <c r="N6" s="36" t="n">
        <v>1.35427844951641</v>
      </c>
      <c r="O6" s="36" t="n">
        <f aca="false">SQRT(M6^2+N6^2)</f>
        <v>3.61582311421692</v>
      </c>
      <c r="P6" s="40" t="n">
        <f aca="false">IF(J6="","",MAX(0,J6-1.96*O6/100))</f>
        <v>0.325955263786745</v>
      </c>
      <c r="Q6" s="40" t="n">
        <f aca="false">IF(J6="","",MIN(1,J6+1.96*O6/100))</f>
        <v>0.467695529864048</v>
      </c>
      <c r="R6" s="32" t="str">
        <f aca="false">IF(L6="","",IF(ABS(L6)&lt;=O6,"Yes","No"))</f>
        <v>Yes</v>
      </c>
      <c r="S6" s="32" t="str">
        <f aca="false">IF(L6="","",IF(ABS(L6)&lt;=1.96*O6,"Yes","No"))</f>
        <v>Yes</v>
      </c>
      <c r="T6" s="59" t="n">
        <f aca="false">IF(D6="","",ROUND(SQRT(((D6+G6)*O6/100)^2+(J6*(D6+G6)*0.09092)^2),0))</f>
        <v>6</v>
      </c>
      <c r="U6" s="32" t="s">
        <v>432</v>
      </c>
    </row>
    <row r="7" customFormat="false" ht="15" hidden="false" customHeight="false" outlineLevel="0" collapsed="false">
      <c r="A7" s="32" t="s">
        <v>159</v>
      </c>
      <c r="B7" s="32" t="s">
        <v>170</v>
      </c>
      <c r="C7" s="32" t="s">
        <v>161</v>
      </c>
      <c r="D7" s="59" t="n">
        <v>767</v>
      </c>
      <c r="E7" s="59" t="n">
        <v>631</v>
      </c>
      <c r="F7" s="68" t="n">
        <f aca="false">IF(E7="","",D7-E7)</f>
        <v>136</v>
      </c>
      <c r="G7" s="59" t="n">
        <v>1815</v>
      </c>
      <c r="H7" s="59" t="n">
        <v>1828</v>
      </c>
      <c r="I7" s="68" t="n">
        <f aca="false">IF(H7="","",G7-H7)</f>
        <v>-13</v>
      </c>
      <c r="J7" s="40" t="n">
        <f aca="false">IF(OR(D7="",D7+G7=0),"",D7/(D7+G7))</f>
        <v>0.29705654531371</v>
      </c>
      <c r="K7" s="40" t="n">
        <f aca="false">IF(E7="","",E7/(E7+H7))</f>
        <v>0.256608377389183</v>
      </c>
      <c r="L7" s="69" t="n">
        <f aca="false">IF(OR(K7="",J7=""),"",(J7-K7)*100)</f>
        <v>4.04481679245277</v>
      </c>
      <c r="M7" s="36" t="n">
        <v>1.87165329242132</v>
      </c>
      <c r="N7" s="36" t="n">
        <v>1.35427844951641</v>
      </c>
      <c r="O7" s="36" t="n">
        <f aca="false">SQRT(M7^2+N7^2)</f>
        <v>2.31022859601731</v>
      </c>
      <c r="P7" s="40" t="n">
        <f aca="false">IF(J7="","",MAX(0,J7-1.96*O7/100))</f>
        <v>0.251776064831771</v>
      </c>
      <c r="Q7" s="40" t="n">
        <f aca="false">IF(J7="","",MIN(1,J7+1.96*O7/100))</f>
        <v>0.34233702579565</v>
      </c>
      <c r="R7" s="32" t="str">
        <f aca="false">IF(L7="","",IF(ABS(L7)&lt;=O7,"Yes","No"))</f>
        <v>No</v>
      </c>
      <c r="S7" s="32" t="str">
        <f aca="false">IF(L7="","",IF(ABS(L7)&lt;=1.96*O7,"Yes","No"))</f>
        <v>Yes</v>
      </c>
      <c r="T7" s="59" t="n">
        <f aca="false">IF(D7="","",ROUND(SQRT(((D7+G7)*O7/100)^2+(J7*(D7+G7)*0.06991)^2),0))</f>
        <v>80</v>
      </c>
      <c r="U7" s="32" t="s">
        <v>432</v>
      </c>
    </row>
    <row r="8" customFormat="false" ht="15" hidden="false" customHeight="false" outlineLevel="0" collapsed="false">
      <c r="A8" s="32" t="s">
        <v>159</v>
      </c>
      <c r="B8" s="32" t="s">
        <v>171</v>
      </c>
      <c r="C8" s="32" t="s">
        <v>161</v>
      </c>
      <c r="D8" s="59" t="n">
        <v>1258</v>
      </c>
      <c r="E8" s="59" t="n">
        <v>1060</v>
      </c>
      <c r="F8" s="68" t="n">
        <f aca="false">IF(E8="","",D8-E8)</f>
        <v>198</v>
      </c>
      <c r="G8" s="59" t="n">
        <v>1489</v>
      </c>
      <c r="H8" s="59" t="n">
        <v>1517</v>
      </c>
      <c r="I8" s="68" t="n">
        <f aca="false">IF(H8="","",G8-H8)</f>
        <v>-28</v>
      </c>
      <c r="J8" s="40" t="n">
        <f aca="false">IF(OR(D8="",D8+G8=0),"",D8/(D8+G8))</f>
        <v>0.457954131780124</v>
      </c>
      <c r="K8" s="40" t="n">
        <f aca="false">IF(E8="","",E8/(E8+H8))</f>
        <v>0.411331005044626</v>
      </c>
      <c r="L8" s="69" t="n">
        <f aca="false">IF(OR(K8="",J8=""),"",(J8-K8)*100)</f>
        <v>4.66231267354982</v>
      </c>
      <c r="M8" s="36" t="n">
        <v>1.87165329242132</v>
      </c>
      <c r="N8" s="36" t="n">
        <v>1.35427844951641</v>
      </c>
      <c r="O8" s="36" t="n">
        <f aca="false">SQRT(M8^2+N8^2)</f>
        <v>2.31022859601731</v>
      </c>
      <c r="P8" s="40" t="n">
        <f aca="false">IF(J8="","",MAX(0,J8-1.96*O8/100))</f>
        <v>0.412673651298184</v>
      </c>
      <c r="Q8" s="40" t="n">
        <f aca="false">IF(J8="","",MIN(1,J8+1.96*O8/100))</f>
        <v>0.503234612262063</v>
      </c>
      <c r="R8" s="32" t="str">
        <f aca="false">IF(L8="","",IF(ABS(L8)&lt;=O8,"Yes","No"))</f>
        <v>No</v>
      </c>
      <c r="S8" s="32" t="str">
        <f aca="false">IF(L8="","",IF(ABS(L8)&lt;=1.96*O8,"Yes","No"))</f>
        <v>No</v>
      </c>
      <c r="T8" s="59" t="n">
        <f aca="false">IF(D8="","",ROUND(SQRT(((D8+G8)*O8/100)^2+(J8*(D8+G8)*0.06991)^2),0))</f>
        <v>108</v>
      </c>
      <c r="U8" s="32" t="s">
        <v>432</v>
      </c>
    </row>
    <row r="9" customFormat="false" ht="15" hidden="false" customHeight="false" outlineLevel="0" collapsed="false">
      <c r="A9" s="32" t="s">
        <v>159</v>
      </c>
      <c r="B9" s="32" t="s">
        <v>172</v>
      </c>
      <c r="C9" s="32" t="s">
        <v>161</v>
      </c>
      <c r="D9" s="59" t="n">
        <v>361</v>
      </c>
      <c r="E9" s="59" t="n">
        <v>335</v>
      </c>
      <c r="F9" s="68" t="n">
        <f aca="false">IF(E9="","",D9-E9)</f>
        <v>26</v>
      </c>
      <c r="G9" s="59" t="n">
        <v>753</v>
      </c>
      <c r="H9" s="59" t="n">
        <v>766</v>
      </c>
      <c r="I9" s="68" t="n">
        <f aca="false">IF(H9="","",G9-H9)</f>
        <v>-13</v>
      </c>
      <c r="J9" s="40" t="n">
        <f aca="false">IF(OR(D9="",D9+G9=0),"",D9/(D9+G9))</f>
        <v>0.324057450628366</v>
      </c>
      <c r="K9" s="40" t="n">
        <f aca="false">IF(E9="","",E9/(E9+H9))</f>
        <v>0.304268846503179</v>
      </c>
      <c r="L9" s="69" t="n">
        <f aca="false">IF(OR(K9="",J9=""),"",(J9-K9)*100)</f>
        <v>1.97886041251873</v>
      </c>
      <c r="M9" s="36" t="n">
        <v>3.3526268319753</v>
      </c>
      <c r="N9" s="36" t="n">
        <v>1.35427844951641</v>
      </c>
      <c r="O9" s="36" t="n">
        <f aca="false">SQRT(M9^2+N9^2)</f>
        <v>3.61582311421692</v>
      </c>
      <c r="P9" s="40" t="n">
        <f aca="false">IF(J9="","",MAX(0,J9-1.96*O9/100))</f>
        <v>0.253187317589715</v>
      </c>
      <c r="Q9" s="40" t="n">
        <f aca="false">IF(J9="","",MIN(1,J9+1.96*O9/100))</f>
        <v>0.394927583667018</v>
      </c>
      <c r="R9" s="32" t="str">
        <f aca="false">IF(L9="","",IF(ABS(L9)&lt;=O9,"Yes","No"))</f>
        <v>Yes</v>
      </c>
      <c r="S9" s="32" t="str">
        <f aca="false">IF(L9="","",IF(ABS(L9)&lt;=1.96*O9,"Yes","No"))</f>
        <v>Yes</v>
      </c>
      <c r="T9" s="59" t="n">
        <f aca="false">IF(D9="","",ROUND(SQRT(((D9+G9)*O9/100)^2+(J9*(D9+G9)*0.09092)^2),0))</f>
        <v>52</v>
      </c>
      <c r="U9" s="32" t="s">
        <v>432</v>
      </c>
    </row>
    <row r="10" customFormat="false" ht="15" hidden="false" customHeight="false" outlineLevel="0" collapsed="false">
      <c r="A10" s="32" t="s">
        <v>159</v>
      </c>
      <c r="B10" s="32" t="s">
        <v>173</v>
      </c>
      <c r="C10" s="32" t="s">
        <v>161</v>
      </c>
      <c r="D10" s="59" t="n">
        <v>683</v>
      </c>
      <c r="E10" s="59" t="n">
        <v>614</v>
      </c>
      <c r="F10" s="68" t="n">
        <f aca="false">IF(E10="","",D10-E10)</f>
        <v>69</v>
      </c>
      <c r="G10" s="59" t="n">
        <v>825</v>
      </c>
      <c r="H10" s="59" t="n">
        <v>846</v>
      </c>
      <c r="I10" s="68" t="n">
        <f aca="false">IF(H10="","",G10-H10)</f>
        <v>-21</v>
      </c>
      <c r="J10" s="40" t="n">
        <f aca="false">IF(OR(D10="",D10+G10=0),"",D10/(D10+G10))</f>
        <v>0.452917771883289</v>
      </c>
      <c r="K10" s="40" t="n">
        <f aca="false">IF(E10="","",E10/(E10+H10))</f>
        <v>0.420547945205479</v>
      </c>
      <c r="L10" s="69" t="n">
        <f aca="false">IF(OR(K10="",J10=""),"",(J10-K10)*100)</f>
        <v>3.23698266778097</v>
      </c>
      <c r="M10" s="36" t="n">
        <v>3.3526268319753</v>
      </c>
      <c r="N10" s="36" t="n">
        <v>1.35427844951641</v>
      </c>
      <c r="O10" s="36" t="n">
        <f aca="false">SQRT(M10^2+N10^2)</f>
        <v>3.61582311421692</v>
      </c>
      <c r="P10" s="40" t="n">
        <f aca="false">IF(J10="","",MAX(0,J10-1.96*O10/100))</f>
        <v>0.382047638844638</v>
      </c>
      <c r="Q10" s="40" t="n">
        <f aca="false">IF(J10="","",MIN(1,J10+1.96*O10/100))</f>
        <v>0.523787904921941</v>
      </c>
      <c r="R10" s="32" t="str">
        <f aca="false">IF(L10="","",IF(ABS(L10)&lt;=O10,"Yes","No"))</f>
        <v>Yes</v>
      </c>
      <c r="S10" s="32" t="str">
        <f aca="false">IF(L10="","",IF(ABS(L10)&lt;=1.96*O10,"Yes","No"))</f>
        <v>Yes</v>
      </c>
      <c r="T10" s="59" t="n">
        <f aca="false">IF(D10="","",ROUND(SQRT(((D10+G10)*O10/100)^2+(J10*(D10+G10)*0.09092)^2),0))</f>
        <v>83</v>
      </c>
      <c r="U10" s="32" t="s">
        <v>432</v>
      </c>
    </row>
    <row r="11" customFormat="false" ht="15" hidden="false" customHeight="false" outlineLevel="0" collapsed="false">
      <c r="A11" s="32" t="s">
        <v>159</v>
      </c>
      <c r="B11" s="32" t="s">
        <v>174</v>
      </c>
      <c r="C11" s="32" t="s">
        <v>161</v>
      </c>
      <c r="D11" s="59" t="n">
        <v>44</v>
      </c>
      <c r="E11" s="59" t="n">
        <v>42</v>
      </c>
      <c r="F11" s="68" t="n">
        <f aca="false">IF(E11="","",D11-E11)</f>
        <v>2</v>
      </c>
      <c r="G11" s="59" t="n">
        <v>103</v>
      </c>
      <c r="H11" s="59" t="n">
        <v>99</v>
      </c>
      <c r="I11" s="68" t="n">
        <f aca="false">IF(H11="","",G11-H11)</f>
        <v>4</v>
      </c>
      <c r="J11" s="40" t="n">
        <f aca="false">IF(OR(D11="",D11+G11=0),"",D11/(D11+G11))</f>
        <v>0.299319727891156</v>
      </c>
      <c r="K11" s="40" t="n">
        <f aca="false">IF(E11="","",E11/(E11+H11))</f>
        <v>0.297872340425532</v>
      </c>
      <c r="L11" s="69" t="n">
        <f aca="false">IF(OR(K11="",J11=""),"",(J11-K11)*100)</f>
        <v>0.144738746562456</v>
      </c>
      <c r="M11" s="36" t="n">
        <v>3.3526268319753</v>
      </c>
      <c r="N11" s="36" t="n">
        <v>1.35427844951641</v>
      </c>
      <c r="O11" s="36" t="n">
        <f aca="false">SQRT(M11^2+N11^2)</f>
        <v>3.61582311421692</v>
      </c>
      <c r="P11" s="40" t="n">
        <f aca="false">IF(J11="","",MAX(0,J11-1.96*O11/100))</f>
        <v>0.228449594852505</v>
      </c>
      <c r="Q11" s="40" t="n">
        <f aca="false">IF(J11="","",MIN(1,J11+1.96*O11/100))</f>
        <v>0.370189860929808</v>
      </c>
      <c r="R11" s="32" t="str">
        <f aca="false">IF(L11="","",IF(ABS(L11)&lt;=O11,"Yes","No"))</f>
        <v>Yes</v>
      </c>
      <c r="S11" s="32" t="str">
        <f aca="false">IF(L11="","",IF(ABS(L11)&lt;=1.96*O11,"Yes","No"))</f>
        <v>Yes</v>
      </c>
      <c r="T11" s="59" t="n">
        <f aca="false">IF(D11="","",ROUND(SQRT(((D11+G11)*O11/100)^2+(J11*(D11+G11)*0.09092)^2),0))</f>
        <v>7</v>
      </c>
      <c r="U11" s="32" t="s">
        <v>432</v>
      </c>
    </row>
    <row r="12" customFormat="false" ht="15" hidden="false" customHeight="false" outlineLevel="0" collapsed="false">
      <c r="A12" s="32" t="s">
        <v>159</v>
      </c>
      <c r="B12" s="32" t="s">
        <v>175</v>
      </c>
      <c r="C12" s="32" t="s">
        <v>161</v>
      </c>
      <c r="D12" s="59" t="n">
        <v>63</v>
      </c>
      <c r="E12" s="59" t="n">
        <v>51</v>
      </c>
      <c r="F12" s="68" t="n">
        <f aca="false">IF(E12="","",D12-E12)</f>
        <v>12</v>
      </c>
      <c r="G12" s="59" t="n">
        <v>221</v>
      </c>
      <c r="H12" s="59" t="n">
        <v>223</v>
      </c>
      <c r="I12" s="68" t="n">
        <f aca="false">IF(H12="","",G12-H12)</f>
        <v>-2</v>
      </c>
      <c r="J12" s="40" t="n">
        <f aca="false">IF(OR(D12="",D12+G12=0),"",D12/(D12+G12))</f>
        <v>0.221830985915493</v>
      </c>
      <c r="K12" s="40" t="n">
        <f aca="false">IF(E12="","",E12/(E12+H12))</f>
        <v>0.186131386861314</v>
      </c>
      <c r="L12" s="69" t="n">
        <f aca="false">IF(OR(K12="",J12=""),"",(J12-K12)*100)</f>
        <v>3.56995990541791</v>
      </c>
      <c r="M12" s="36" t="n">
        <v>3.3526268319753</v>
      </c>
      <c r="N12" s="36" t="n">
        <v>1.35427844951641</v>
      </c>
      <c r="O12" s="36" t="n">
        <f aca="false">SQRT(M12^2+N12^2)</f>
        <v>3.61582311421692</v>
      </c>
      <c r="P12" s="40" t="n">
        <f aca="false">IF(J12="","",MAX(0,J12-1.96*O12/100))</f>
        <v>0.150960852876841</v>
      </c>
      <c r="Q12" s="40" t="n">
        <f aca="false">IF(J12="","",MIN(1,J12+1.96*O12/100))</f>
        <v>0.292701118954145</v>
      </c>
      <c r="R12" s="32" t="str">
        <f aca="false">IF(L12="","",IF(ABS(L12)&lt;=O12,"Yes","No"))</f>
        <v>Yes</v>
      </c>
      <c r="S12" s="32" t="str">
        <f aca="false">IF(L12="","",IF(ABS(L12)&lt;=1.96*O12,"Yes","No"))</f>
        <v>Yes</v>
      </c>
      <c r="T12" s="59" t="n">
        <f aca="false">IF(D12="","",ROUND(SQRT(((D12+G12)*O12/100)^2+(J12*(D12+G12)*0.09092)^2),0))</f>
        <v>12</v>
      </c>
      <c r="U12" s="32" t="s">
        <v>432</v>
      </c>
    </row>
    <row r="13" customFormat="false" ht="15" hidden="false" customHeight="false" outlineLevel="0" collapsed="false">
      <c r="A13" s="32" t="s">
        <v>159</v>
      </c>
      <c r="B13" s="32" t="s">
        <v>176</v>
      </c>
      <c r="C13" s="32" t="s">
        <v>161</v>
      </c>
      <c r="D13" s="59" t="n">
        <v>1045</v>
      </c>
      <c r="E13" s="59" t="n">
        <v>841</v>
      </c>
      <c r="F13" s="68" t="n">
        <f aca="false">IF(E13="","",D13-E13)</f>
        <v>204</v>
      </c>
      <c r="G13" s="59" t="n">
        <v>1371</v>
      </c>
      <c r="H13" s="59" t="n">
        <v>1410</v>
      </c>
      <c r="I13" s="68" t="n">
        <f aca="false">IF(H13="","",G13-H13)</f>
        <v>-39</v>
      </c>
      <c r="J13" s="40" t="n">
        <f aca="false">IF(OR(D13="",D13+G13=0),"",D13/(D13+G13))</f>
        <v>0.432533112582781</v>
      </c>
      <c r="K13" s="40" t="n">
        <f aca="false">IF(E13="","",E13/(E13+H13))</f>
        <v>0.373611728120835</v>
      </c>
      <c r="L13" s="69" t="n">
        <f aca="false">IF(OR(K13="",J13=""),"",(J13-K13)*100)</f>
        <v>5.89213844619462</v>
      </c>
      <c r="M13" s="36" t="n">
        <v>1.87165329242132</v>
      </c>
      <c r="N13" s="36" t="n">
        <v>1.35427844951641</v>
      </c>
      <c r="O13" s="36" t="n">
        <f aca="false">SQRT(M13^2+N13^2)</f>
        <v>2.31022859601731</v>
      </c>
      <c r="P13" s="40" t="n">
        <f aca="false">IF(J13="","",MAX(0,J13-1.96*O13/100))</f>
        <v>0.387252632100842</v>
      </c>
      <c r="Q13" s="40" t="n">
        <f aca="false">IF(J13="","",MIN(1,J13+1.96*O13/100))</f>
        <v>0.477813593064721</v>
      </c>
      <c r="R13" s="32" t="str">
        <f aca="false">IF(L13="","",IF(ABS(L13)&lt;=O13,"Yes","No"))</f>
        <v>No</v>
      </c>
      <c r="S13" s="32" t="str">
        <f aca="false">IF(L13="","",IF(ABS(L13)&lt;=1.96*O13,"Yes","No"))</f>
        <v>No</v>
      </c>
      <c r="T13" s="59" t="n">
        <f aca="false">IF(D13="","",ROUND(SQRT(((D13+G13)*O13/100)^2+(J13*(D13+G13)*0.06991)^2),0))</f>
        <v>92</v>
      </c>
      <c r="U13" s="32" t="s">
        <v>432</v>
      </c>
    </row>
    <row r="14" customFormat="false" ht="15" hidden="false" customHeight="false" outlineLevel="0" collapsed="false">
      <c r="A14" s="32" t="s">
        <v>159</v>
      </c>
      <c r="B14" s="32" t="s">
        <v>177</v>
      </c>
      <c r="C14" s="32" t="s">
        <v>161</v>
      </c>
      <c r="D14" s="59" t="n">
        <v>579</v>
      </c>
      <c r="E14" s="59" t="n">
        <v>489</v>
      </c>
      <c r="F14" s="68" t="n">
        <f aca="false">IF(E14="","",D14-E14)</f>
        <v>90</v>
      </c>
      <c r="G14" s="59" t="n">
        <v>1199</v>
      </c>
      <c r="H14" s="59" t="n">
        <v>1164</v>
      </c>
      <c r="I14" s="68" t="n">
        <f aca="false">IF(H14="","",G14-H14)</f>
        <v>35</v>
      </c>
      <c r="J14" s="40" t="n">
        <f aca="false">IF(OR(D14="",D14+G14=0),"",D14/(D14+G14))</f>
        <v>0.325646794150731</v>
      </c>
      <c r="K14" s="40" t="n">
        <f aca="false">IF(E14="","",E14/(E14+H14))</f>
        <v>0.295825771324864</v>
      </c>
      <c r="L14" s="69" t="n">
        <f aca="false">IF(OR(K14="",J14=""),"",(J14-K14)*100)</f>
        <v>2.98210228258673</v>
      </c>
      <c r="M14" s="36" t="n">
        <v>1.87165329242132</v>
      </c>
      <c r="N14" s="36" t="n">
        <v>1.35427844951641</v>
      </c>
      <c r="O14" s="36" t="n">
        <f aca="false">SQRT(M14^2+N14^2)</f>
        <v>2.31022859601731</v>
      </c>
      <c r="P14" s="40" t="n">
        <f aca="false">IF(J14="","",MAX(0,J14-1.96*O14/100))</f>
        <v>0.280366313668792</v>
      </c>
      <c r="Q14" s="40" t="n">
        <f aca="false">IF(J14="","",MIN(1,J14+1.96*O14/100))</f>
        <v>0.370927274632671</v>
      </c>
      <c r="R14" s="32" t="str">
        <f aca="false">IF(L14="","",IF(ABS(L14)&lt;=O14,"Yes","No"))</f>
        <v>No</v>
      </c>
      <c r="S14" s="32" t="str">
        <f aca="false">IF(L14="","",IF(ABS(L14)&lt;=1.96*O14,"Yes","No"))</f>
        <v>Yes</v>
      </c>
      <c r="T14" s="59" t="n">
        <f aca="false">IF(D14="","",ROUND(SQRT(((D14+G14)*O14/100)^2+(J14*(D14+G14)*0.06991)^2),0))</f>
        <v>58</v>
      </c>
      <c r="U14" s="32" t="s">
        <v>432</v>
      </c>
    </row>
    <row r="15" customFormat="false" ht="15" hidden="false" customHeight="false" outlineLevel="0" collapsed="false">
      <c r="A15" s="32" t="s">
        <v>159</v>
      </c>
      <c r="B15" s="32" t="s">
        <v>178</v>
      </c>
      <c r="C15" s="32" t="s">
        <v>161</v>
      </c>
      <c r="D15" s="59" t="n">
        <v>713</v>
      </c>
      <c r="E15" s="59" t="n">
        <v>563</v>
      </c>
      <c r="F15" s="68" t="n">
        <f aca="false">IF(E15="","",D15-E15)</f>
        <v>150</v>
      </c>
      <c r="G15" s="59" t="n">
        <v>1603</v>
      </c>
      <c r="H15" s="59" t="n">
        <v>1559</v>
      </c>
      <c r="I15" s="68" t="n">
        <f aca="false">IF(H15="","",G15-H15)</f>
        <v>44</v>
      </c>
      <c r="J15" s="40" t="n">
        <f aca="false">IF(OR(D15="",D15+G15=0),"",D15/(D15+G15))</f>
        <v>0.307858376511226</v>
      </c>
      <c r="K15" s="40" t="n">
        <f aca="false">IF(E15="","",E15/(E15+H15))</f>
        <v>0.265315739868049</v>
      </c>
      <c r="L15" s="69" t="n">
        <f aca="false">IF(OR(K15="",J15=""),"",(J15-K15)*100)</f>
        <v>4.25426366431773</v>
      </c>
      <c r="M15" s="36" t="n">
        <v>1.87165329242132</v>
      </c>
      <c r="N15" s="36" t="n">
        <v>1.35427844951641</v>
      </c>
      <c r="O15" s="36" t="n">
        <f aca="false">SQRT(M15^2+N15^2)</f>
        <v>2.31022859601731</v>
      </c>
      <c r="P15" s="40" t="n">
        <f aca="false">IF(J15="","",MAX(0,J15-1.96*O15/100))</f>
        <v>0.262577896029287</v>
      </c>
      <c r="Q15" s="40" t="n">
        <f aca="false">IF(J15="","",MIN(1,J15+1.96*O15/100))</f>
        <v>0.353138856993166</v>
      </c>
      <c r="R15" s="32" t="str">
        <f aca="false">IF(L15="","",IF(ABS(L15)&lt;=O15,"Yes","No"))</f>
        <v>No</v>
      </c>
      <c r="S15" s="32" t="str">
        <f aca="false">IF(L15="","",IF(ABS(L15)&lt;=1.96*O15,"Yes","No"))</f>
        <v>Yes</v>
      </c>
      <c r="T15" s="59" t="n">
        <f aca="false">IF(D15="","",ROUND(SQRT(((D15+G15)*O15/100)^2+(J15*(D15+G15)*0.06991)^2),0))</f>
        <v>73</v>
      </c>
      <c r="U15" s="32" t="s">
        <v>432</v>
      </c>
    </row>
    <row r="16" customFormat="false" ht="15" hidden="false" customHeight="false" outlineLevel="0" collapsed="false">
      <c r="A16" s="32" t="s">
        <v>159</v>
      </c>
      <c r="B16" s="32" t="s">
        <v>179</v>
      </c>
      <c r="C16" s="32" t="s">
        <v>161</v>
      </c>
      <c r="D16" s="59" t="n">
        <v>710</v>
      </c>
      <c r="E16" s="59" t="n">
        <v>574</v>
      </c>
      <c r="F16" s="68" t="n">
        <f aca="false">IF(E16="","",D16-E16)</f>
        <v>136</v>
      </c>
      <c r="G16" s="59" t="n">
        <v>933</v>
      </c>
      <c r="H16" s="59" t="n">
        <v>963</v>
      </c>
      <c r="I16" s="68" t="n">
        <f aca="false">IF(H16="","",G16-H16)</f>
        <v>-30</v>
      </c>
      <c r="J16" s="40" t="n">
        <f aca="false">IF(OR(D16="",D16+G16=0),"",D16/(D16+G16))</f>
        <v>0.432136335970785</v>
      </c>
      <c r="K16" s="40" t="n">
        <f aca="false">IF(E16="","",E16/(E16+H16))</f>
        <v>0.373454782042941</v>
      </c>
      <c r="L16" s="69" t="n">
        <f aca="false">IF(OR(K16="",J16=""),"",(J16-K16)*100)</f>
        <v>5.86815539278444</v>
      </c>
      <c r="M16" s="36" t="n">
        <v>1.87165329242132</v>
      </c>
      <c r="N16" s="36" t="n">
        <v>1.35427844951641</v>
      </c>
      <c r="O16" s="36" t="n">
        <f aca="false">SQRT(M16^2+N16^2)</f>
        <v>2.31022859601731</v>
      </c>
      <c r="P16" s="40" t="n">
        <f aca="false">IF(J16="","",MAX(0,J16-1.96*O16/100))</f>
        <v>0.386855855488846</v>
      </c>
      <c r="Q16" s="40" t="n">
        <f aca="false">IF(J16="","",MIN(1,J16+1.96*O16/100))</f>
        <v>0.477416816452725</v>
      </c>
      <c r="R16" s="32" t="str">
        <f aca="false">IF(L16="","",IF(ABS(L16)&lt;=O16,"Yes","No"))</f>
        <v>No</v>
      </c>
      <c r="S16" s="32" t="str">
        <f aca="false">IF(L16="","",IF(ABS(L16)&lt;=1.96*O16,"Yes","No"))</f>
        <v>No</v>
      </c>
      <c r="T16" s="59" t="n">
        <f aca="false">IF(D16="","",ROUND(SQRT(((D16+G16)*O16/100)^2+(J16*(D16+G16)*0.06991)^2),0))</f>
        <v>62</v>
      </c>
      <c r="U16" s="32" t="s">
        <v>432</v>
      </c>
    </row>
    <row r="17" customFormat="false" ht="15" hidden="false" customHeight="false" outlineLevel="0" collapsed="false">
      <c r="A17" s="32" t="s">
        <v>159</v>
      </c>
      <c r="B17" s="32" t="s">
        <v>180</v>
      </c>
      <c r="C17" s="32" t="s">
        <v>161</v>
      </c>
      <c r="D17" s="59" t="n">
        <v>138</v>
      </c>
      <c r="E17" s="59" t="n">
        <v>109</v>
      </c>
      <c r="F17" s="68" t="n">
        <f aca="false">IF(E17="","",D17-E17)</f>
        <v>29</v>
      </c>
      <c r="G17" s="59" t="n">
        <v>550</v>
      </c>
      <c r="H17" s="59" t="n">
        <v>531</v>
      </c>
      <c r="I17" s="68" t="n">
        <f aca="false">IF(H17="","",G17-H17)</f>
        <v>19</v>
      </c>
      <c r="J17" s="40" t="n">
        <f aca="false">IF(OR(D17="",D17+G17=0),"",D17/(D17+G17))</f>
        <v>0.200581395348837</v>
      </c>
      <c r="K17" s="40" t="n">
        <f aca="false">IF(E17="","",E17/(E17+H17))</f>
        <v>0.1703125</v>
      </c>
      <c r="L17" s="69" t="n">
        <f aca="false">IF(OR(K17="",J17=""),"",(J17-K17)*100)</f>
        <v>3.02688953488372</v>
      </c>
      <c r="M17" s="36" t="n">
        <v>3.3526268319753</v>
      </c>
      <c r="N17" s="36" t="n">
        <v>1.35427844951641</v>
      </c>
      <c r="O17" s="36" t="n">
        <f aca="false">SQRT(M17^2+N17^2)</f>
        <v>3.61582311421692</v>
      </c>
      <c r="P17" s="40" t="n">
        <f aca="false">IF(J17="","",MAX(0,J17-1.96*O17/100))</f>
        <v>0.129711262310186</v>
      </c>
      <c r="Q17" s="40" t="n">
        <f aca="false">IF(J17="","",MIN(1,J17+1.96*O17/100))</f>
        <v>0.271451528387489</v>
      </c>
      <c r="R17" s="32" t="str">
        <f aca="false">IF(L17="","",IF(ABS(L17)&lt;=O17,"Yes","No"))</f>
        <v>Yes</v>
      </c>
      <c r="S17" s="32" t="str">
        <f aca="false">IF(L17="","",IF(ABS(L17)&lt;=1.96*O17,"Yes","No"))</f>
        <v>Yes</v>
      </c>
      <c r="T17" s="59" t="n">
        <f aca="false">IF(D17="","",ROUND(SQRT(((D17+G17)*O17/100)^2+(J17*(D17+G17)*0.09092)^2),0))</f>
        <v>28</v>
      </c>
      <c r="U17" s="32" t="s">
        <v>432</v>
      </c>
    </row>
    <row r="18" customFormat="false" ht="15" hidden="false" customHeight="false" outlineLevel="0" collapsed="false">
      <c r="A18" s="32" t="s">
        <v>159</v>
      </c>
      <c r="B18" s="32" t="s">
        <v>181</v>
      </c>
      <c r="C18" s="32" t="s">
        <v>161</v>
      </c>
      <c r="D18" s="59" t="n">
        <v>1040</v>
      </c>
      <c r="E18" s="59" t="n">
        <v>863</v>
      </c>
      <c r="F18" s="68" t="n">
        <f aca="false">IF(E18="","",D18-E18)</f>
        <v>177</v>
      </c>
      <c r="G18" s="59" t="n">
        <v>1658</v>
      </c>
      <c r="H18" s="59" t="n">
        <v>1676</v>
      </c>
      <c r="I18" s="68" t="n">
        <f aca="false">IF(H18="","",G18-H18)</f>
        <v>-18</v>
      </c>
      <c r="J18" s="40" t="n">
        <f aca="false">IF(OR(D18="",D18+G18=0),"",D18/(D18+G18))</f>
        <v>0.385470719051149</v>
      </c>
      <c r="K18" s="40" t="n">
        <f aca="false">IF(E18="","",E18/(E18+H18))</f>
        <v>0.339897597479323</v>
      </c>
      <c r="L18" s="69" t="n">
        <f aca="false">IF(OR(K18="",J18=""),"",(J18-K18)*100)</f>
        <v>4.55731215718264</v>
      </c>
      <c r="M18" s="36" t="n">
        <v>1.87165329242132</v>
      </c>
      <c r="N18" s="36" t="n">
        <v>1.35427844951641</v>
      </c>
      <c r="O18" s="36" t="n">
        <f aca="false">SQRT(M18^2+N18^2)</f>
        <v>2.31022859601731</v>
      </c>
      <c r="P18" s="40" t="n">
        <f aca="false">IF(J18="","",MAX(0,J18-1.96*O18/100))</f>
        <v>0.34019023856921</v>
      </c>
      <c r="Q18" s="40" t="n">
        <f aca="false">IF(J18="","",MIN(1,J18+1.96*O18/100))</f>
        <v>0.430751199533088</v>
      </c>
      <c r="R18" s="32" t="str">
        <f aca="false">IF(L18="","",IF(ABS(L18)&lt;=O18,"Yes","No"))</f>
        <v>No</v>
      </c>
      <c r="S18" s="32" t="str">
        <f aca="false">IF(L18="","",IF(ABS(L18)&lt;=1.96*O18,"Yes","No"))</f>
        <v>No</v>
      </c>
      <c r="T18" s="59" t="n">
        <f aca="false">IF(D18="","",ROUND(SQRT(((D18+G18)*O18/100)^2+(J18*(D18+G18)*0.06991)^2),0))</f>
        <v>96</v>
      </c>
      <c r="U18" s="32" t="s">
        <v>432</v>
      </c>
    </row>
    <row r="19" customFormat="false" ht="15" hidden="false" customHeight="false" outlineLevel="0" collapsed="false">
      <c r="A19" s="32" t="s">
        <v>159</v>
      </c>
      <c r="B19" s="32" t="s">
        <v>182</v>
      </c>
      <c r="C19" s="32" t="s">
        <v>161</v>
      </c>
      <c r="D19" s="59" t="n">
        <v>75</v>
      </c>
      <c r="E19" s="59" t="n">
        <v>52</v>
      </c>
      <c r="F19" s="68" t="n">
        <f aca="false">IF(E19="","",D19-E19)</f>
        <v>23</v>
      </c>
      <c r="G19" s="59" t="n">
        <v>166</v>
      </c>
      <c r="H19" s="59" t="n">
        <v>167</v>
      </c>
      <c r="I19" s="68" t="n">
        <f aca="false">IF(H19="","",G19-H19)</f>
        <v>-1</v>
      </c>
      <c r="J19" s="40" t="n">
        <f aca="false">IF(OR(D19="",D19+G19=0),"",D19/(D19+G19))</f>
        <v>0.311203319502075</v>
      </c>
      <c r="K19" s="40" t="n">
        <f aca="false">IF(E19="","",E19/(E19+H19))</f>
        <v>0.237442922374429</v>
      </c>
      <c r="L19" s="69" t="n">
        <f aca="false">IF(OR(K19="",J19=""),"",(J19-K19)*100)</f>
        <v>7.37603971276455</v>
      </c>
      <c r="M19" s="36" t="n">
        <v>3.3526268319753</v>
      </c>
      <c r="N19" s="36" t="n">
        <v>1.35427844951641</v>
      </c>
      <c r="O19" s="36" t="n">
        <f aca="false">SQRT(M19^2+N19^2)</f>
        <v>3.61582311421692</v>
      </c>
      <c r="P19" s="40" t="n">
        <f aca="false">IF(J19="","",MAX(0,J19-1.96*O19/100))</f>
        <v>0.240333186463423</v>
      </c>
      <c r="Q19" s="40" t="n">
        <f aca="false">IF(J19="","",MIN(1,J19+1.96*O19/100))</f>
        <v>0.382073452540726</v>
      </c>
      <c r="R19" s="32" t="str">
        <f aca="false">IF(L19="","",IF(ABS(L19)&lt;=O19,"Yes","No"))</f>
        <v>No</v>
      </c>
      <c r="S19" s="32" t="str">
        <f aca="false">IF(L19="","",IF(ABS(L19)&lt;=1.96*O19,"Yes","No"))</f>
        <v>No</v>
      </c>
      <c r="T19" s="59" t="n">
        <f aca="false">IF(D19="","",ROUND(SQRT(((D19+G19)*O19/100)^2+(J19*(D19+G19)*0.09092)^2),0))</f>
        <v>11</v>
      </c>
      <c r="U19" s="32" t="s">
        <v>432</v>
      </c>
    </row>
    <row r="20" customFormat="false" ht="15" hidden="false" customHeight="false" outlineLevel="0" collapsed="false">
      <c r="A20" s="32" t="s">
        <v>159</v>
      </c>
      <c r="B20" s="32" t="s">
        <v>183</v>
      </c>
      <c r="C20" s="32" t="s">
        <v>161</v>
      </c>
      <c r="D20" s="59" t="n">
        <v>2228</v>
      </c>
      <c r="E20" s="59" t="n">
        <v>1997</v>
      </c>
      <c r="F20" s="68" t="n">
        <f aca="false">IF(E20="","",D20-E20)</f>
        <v>231</v>
      </c>
      <c r="G20" s="59" t="n">
        <v>3783</v>
      </c>
      <c r="H20" s="59" t="n">
        <v>3474</v>
      </c>
      <c r="I20" s="68" t="n">
        <f aca="false">IF(H20="","",G20-H20)</f>
        <v>309</v>
      </c>
      <c r="J20" s="40" t="n">
        <f aca="false">IF(OR(D20="",D20+G20=0),"",D20/(D20+G20))</f>
        <v>0.370653801364166</v>
      </c>
      <c r="K20" s="40" t="n">
        <f aca="false">IF(E20="","",E20/(E20+H20))</f>
        <v>0.365015536464997</v>
      </c>
      <c r="L20" s="69" t="n">
        <f aca="false">IF(OR(K20="",J20=""),"",(J20-K20)*100)</f>
        <v>0.563826489916847</v>
      </c>
      <c r="M20" s="36" t="n">
        <v>1.87647777182119</v>
      </c>
      <c r="N20" s="36" t="n">
        <v>1.35427844951641</v>
      </c>
      <c r="O20" s="36" t="n">
        <f aca="false">SQRT(M20^2+N20^2)</f>
        <v>2.31413892127581</v>
      </c>
      <c r="P20" s="40" t="n">
        <f aca="false">IF(J20="","",MAX(0,J20-1.96*O20/100))</f>
        <v>0.32529667850716</v>
      </c>
      <c r="Q20" s="40" t="n">
        <f aca="false">IF(J20="","",MIN(1,J20+1.96*O20/100))</f>
        <v>0.416010924221172</v>
      </c>
      <c r="R20" s="32" t="str">
        <f aca="false">IF(L20="","",IF(ABS(L20)&lt;=O20,"Yes","No"))</f>
        <v>Yes</v>
      </c>
      <c r="S20" s="32" t="str">
        <f aca="false">IF(L20="","",IF(ABS(L20)&lt;=1.96*O20,"Yes","No"))</f>
        <v>Yes</v>
      </c>
      <c r="T20" s="59" t="n">
        <f aca="false">IF(D20="","",ROUND(SQRT(((D20+G20)*O20/100)^2+(J20*(D20+G20)*0.0639)^2),0))</f>
        <v>199</v>
      </c>
      <c r="U20" s="32" t="s">
        <v>432</v>
      </c>
    </row>
    <row r="21" customFormat="false" ht="15" hidden="false" customHeight="false" outlineLevel="0" collapsed="false">
      <c r="A21" s="32" t="s">
        <v>159</v>
      </c>
      <c r="B21" s="32" t="s">
        <v>185</v>
      </c>
      <c r="C21" s="32" t="s">
        <v>161</v>
      </c>
      <c r="D21" s="59" t="n">
        <v>740</v>
      </c>
      <c r="E21" s="59" t="n">
        <v>620</v>
      </c>
      <c r="F21" s="68" t="n">
        <f aca="false">IF(E21="","",D21-E21)</f>
        <v>120</v>
      </c>
      <c r="G21" s="59" t="n">
        <v>832</v>
      </c>
      <c r="H21" s="59" t="n">
        <v>917</v>
      </c>
      <c r="I21" s="68" t="n">
        <f aca="false">IF(H21="","",G21-H21)</f>
        <v>-85</v>
      </c>
      <c r="J21" s="40" t="n">
        <f aca="false">IF(OR(D21="",D21+G21=0),"",D21/(D21+G21))</f>
        <v>0.470737913486005</v>
      </c>
      <c r="K21" s="40" t="n">
        <f aca="false">IF(E21="","",E21/(E21+H21))</f>
        <v>0.403383214053351</v>
      </c>
      <c r="L21" s="69" t="n">
        <f aca="false">IF(OR(K21="",J21=""),"",(J21-K21)*100)</f>
        <v>6.73546994326544</v>
      </c>
      <c r="M21" s="36" t="n">
        <v>1.87165329242132</v>
      </c>
      <c r="N21" s="36" t="n">
        <v>1.35427844951641</v>
      </c>
      <c r="O21" s="36" t="n">
        <f aca="false">SQRT(M21^2+N21^2)</f>
        <v>2.31022859601731</v>
      </c>
      <c r="P21" s="40" t="n">
        <f aca="false">IF(J21="","",MAX(0,J21-1.96*O21/100))</f>
        <v>0.425457433004066</v>
      </c>
      <c r="Q21" s="40" t="n">
        <f aca="false">IF(J21="","",MIN(1,J21+1.96*O21/100))</f>
        <v>0.516018393967944</v>
      </c>
      <c r="R21" s="32" t="str">
        <f aca="false">IF(L21="","",IF(ABS(L21)&lt;=O21,"Yes","No"))</f>
        <v>No</v>
      </c>
      <c r="S21" s="32" t="str">
        <f aca="false">IF(L21="","",IF(ABS(L21)&lt;=1.96*O21,"Yes","No"))</f>
        <v>No</v>
      </c>
      <c r="T21" s="59" t="n">
        <f aca="false">IF(D21="","",ROUND(SQRT(((D21+G21)*O21/100)^2+(J21*(D21+G21)*0.06991)^2),0))</f>
        <v>63</v>
      </c>
      <c r="U21" s="32" t="s">
        <v>432</v>
      </c>
    </row>
    <row r="22" customFormat="false" ht="15" hidden="false" customHeight="false" outlineLevel="0" collapsed="false">
      <c r="A22" s="32" t="s">
        <v>159</v>
      </c>
      <c r="B22" s="32" t="s">
        <v>186</v>
      </c>
      <c r="C22" s="32" t="s">
        <v>161</v>
      </c>
      <c r="D22" s="59" t="n">
        <v>852</v>
      </c>
      <c r="E22" s="59" t="n">
        <v>723</v>
      </c>
      <c r="F22" s="68" t="n">
        <f aca="false">IF(E22="","",D22-E22)</f>
        <v>129</v>
      </c>
      <c r="G22" s="59" t="n">
        <v>1874</v>
      </c>
      <c r="H22" s="59" t="n">
        <v>1892</v>
      </c>
      <c r="I22" s="68" t="n">
        <f aca="false">IF(H22="","",G22-H22)</f>
        <v>-18</v>
      </c>
      <c r="J22" s="40" t="n">
        <f aca="false">IF(OR(D22="",D22+G22=0),"",D22/(D22+G22))</f>
        <v>0.312545854732208</v>
      </c>
      <c r="K22" s="40" t="n">
        <f aca="false">IF(E22="","",E22/(E22+H22))</f>
        <v>0.276481835564054</v>
      </c>
      <c r="L22" s="69" t="n">
        <f aca="false">IF(OR(K22="",J22=""),"",(J22-K22)*100)</f>
        <v>3.60640191681548</v>
      </c>
      <c r="M22" s="36" t="n">
        <v>1.87165329242132</v>
      </c>
      <c r="N22" s="36" t="n">
        <v>1.35427844951641</v>
      </c>
      <c r="O22" s="36" t="n">
        <f aca="false">SQRT(M22^2+N22^2)</f>
        <v>2.31022859601731</v>
      </c>
      <c r="P22" s="40" t="n">
        <f aca="false">IF(J22="","",MAX(0,J22-1.96*O22/100))</f>
        <v>0.267265374250269</v>
      </c>
      <c r="Q22" s="40" t="n">
        <f aca="false">IF(J22="","",MIN(1,J22+1.96*O22/100))</f>
        <v>0.357826335214148</v>
      </c>
      <c r="R22" s="32" t="str">
        <f aca="false">IF(L22="","",IF(ABS(L22)&lt;=O22,"Yes","No"))</f>
        <v>No</v>
      </c>
      <c r="S22" s="32" t="str">
        <f aca="false">IF(L22="","",IF(ABS(L22)&lt;=1.96*O22,"Yes","No"))</f>
        <v>Yes</v>
      </c>
      <c r="T22" s="59" t="n">
        <f aca="false">IF(D22="","",ROUND(SQRT(((D22+G22)*O22/100)^2+(J22*(D22+G22)*0.06991)^2),0))</f>
        <v>87</v>
      </c>
      <c r="U22" s="32" t="s">
        <v>432</v>
      </c>
    </row>
    <row r="23" customFormat="false" ht="15" hidden="false" customHeight="false" outlineLevel="0" collapsed="false">
      <c r="A23" s="32" t="s">
        <v>159</v>
      </c>
      <c r="B23" s="32" t="s">
        <v>187</v>
      </c>
      <c r="C23" s="32" t="s">
        <v>161</v>
      </c>
      <c r="D23" s="59" t="n">
        <v>369</v>
      </c>
      <c r="E23" s="59" t="n">
        <v>323</v>
      </c>
      <c r="F23" s="68" t="n">
        <f aca="false">IF(E23="","",D23-E23)</f>
        <v>46</v>
      </c>
      <c r="G23" s="59" t="n">
        <v>864</v>
      </c>
      <c r="H23" s="59" t="n">
        <v>898</v>
      </c>
      <c r="I23" s="68" t="n">
        <f aca="false">IF(H23="","",G23-H23)</f>
        <v>-34</v>
      </c>
      <c r="J23" s="40" t="n">
        <f aca="false">IF(OR(D23="",D23+G23=0),"",D23/(D23+G23))</f>
        <v>0.299270072992701</v>
      </c>
      <c r="K23" s="40" t="n">
        <f aca="false">IF(E23="","",E23/(E23+H23))</f>
        <v>0.264537264537265</v>
      </c>
      <c r="L23" s="69" t="n">
        <f aca="false">IF(OR(K23="",J23=""),"",(J23-K23)*100)</f>
        <v>3.47328084554362</v>
      </c>
      <c r="M23" s="36" t="n">
        <v>3.3526268319753</v>
      </c>
      <c r="N23" s="36" t="n">
        <v>1.35427844951641</v>
      </c>
      <c r="O23" s="36" t="n">
        <f aca="false">SQRT(M23^2+N23^2)</f>
        <v>3.61582311421692</v>
      </c>
      <c r="P23" s="40" t="n">
        <f aca="false">IF(J23="","",MAX(0,J23-1.96*O23/100))</f>
        <v>0.228399939954049</v>
      </c>
      <c r="Q23" s="40" t="n">
        <f aca="false">IF(J23="","",MIN(1,J23+1.96*O23/100))</f>
        <v>0.370140206031352</v>
      </c>
      <c r="R23" s="32" t="str">
        <f aca="false">IF(L23="","",IF(ABS(L23)&lt;=O23,"Yes","No"))</f>
        <v>Yes</v>
      </c>
      <c r="S23" s="32" t="str">
        <f aca="false">IF(L23="","",IF(ABS(L23)&lt;=1.96*O23,"Yes","No"))</f>
        <v>Yes</v>
      </c>
      <c r="T23" s="59" t="n">
        <f aca="false">IF(D23="","",ROUND(SQRT(((D23+G23)*O23/100)^2+(J23*(D23+G23)*0.09092)^2),0))</f>
        <v>56</v>
      </c>
      <c r="U23" s="32" t="s">
        <v>432</v>
      </c>
    </row>
    <row r="24" customFormat="false" ht="15" hidden="false" customHeight="false" outlineLevel="0" collapsed="false">
      <c r="A24" s="32" t="s">
        <v>159</v>
      </c>
      <c r="B24" s="32" t="s">
        <v>188</v>
      </c>
      <c r="C24" s="32" t="s">
        <v>161</v>
      </c>
      <c r="D24" s="59" t="n">
        <v>79</v>
      </c>
      <c r="E24" s="59" t="n">
        <v>62</v>
      </c>
      <c r="F24" s="68" t="n">
        <f aca="false">IF(E24="","",D24-E24)</f>
        <v>17</v>
      </c>
      <c r="G24" s="59" t="n">
        <v>95</v>
      </c>
      <c r="H24" s="59" t="n">
        <v>91</v>
      </c>
      <c r="I24" s="68" t="n">
        <f aca="false">IF(H24="","",G24-H24)</f>
        <v>4</v>
      </c>
      <c r="J24" s="40" t="n">
        <f aca="false">IF(OR(D24="",D24+G24=0),"",D24/(D24+G24))</f>
        <v>0.454022988505747</v>
      </c>
      <c r="K24" s="40" t="n">
        <f aca="false">IF(E24="","",E24/(E24+H24))</f>
        <v>0.405228758169935</v>
      </c>
      <c r="L24" s="69" t="n">
        <f aca="false">IF(OR(K24="",J24=""),"",(J24-K24)*100)</f>
        <v>4.87942303358125</v>
      </c>
      <c r="M24" s="36" t="n">
        <v>3.3526268319753</v>
      </c>
      <c r="N24" s="36" t="n">
        <v>1.35427844951641</v>
      </c>
      <c r="O24" s="36" t="n">
        <f aca="false">SQRT(M24^2+N24^2)</f>
        <v>3.61582311421692</v>
      </c>
      <c r="P24" s="40" t="n">
        <f aca="false">IF(J24="","",MAX(0,J24-1.96*O24/100))</f>
        <v>0.383152855467096</v>
      </c>
      <c r="Q24" s="40" t="n">
        <f aca="false">IF(J24="","",MIN(1,J24+1.96*O24/100))</f>
        <v>0.524893121544399</v>
      </c>
      <c r="R24" s="32" t="str">
        <f aca="false">IF(L24="","",IF(ABS(L24)&lt;=O24,"Yes","No"))</f>
        <v>No</v>
      </c>
      <c r="S24" s="32" t="str">
        <f aca="false">IF(L24="","",IF(ABS(L24)&lt;=1.96*O24,"Yes","No"))</f>
        <v>Yes</v>
      </c>
      <c r="T24" s="59" t="n">
        <f aca="false">IF(D24="","",ROUND(SQRT(((D24+G24)*O24/100)^2+(J24*(D24+G24)*0.09092)^2),0))</f>
        <v>10</v>
      </c>
      <c r="U24" s="32" t="s">
        <v>432</v>
      </c>
    </row>
    <row r="25" customFormat="false" ht="15" hidden="false" customHeight="false" outlineLevel="0" collapsed="false">
      <c r="A25" s="32" t="s">
        <v>189</v>
      </c>
      <c r="B25" s="32" t="s">
        <v>190</v>
      </c>
      <c r="C25" s="32" t="s">
        <v>161</v>
      </c>
      <c r="D25" s="59" t="n">
        <v>682</v>
      </c>
      <c r="E25" s="59" t="n">
        <v>644</v>
      </c>
      <c r="F25" s="68" t="n">
        <f aca="false">IF(E25="","",D25-E25)</f>
        <v>38</v>
      </c>
      <c r="G25" s="59" t="n">
        <v>651</v>
      </c>
      <c r="H25" s="59" t="n">
        <v>735</v>
      </c>
      <c r="I25" s="68" t="n">
        <f aca="false">IF(H25="","",G25-H25)</f>
        <v>-84</v>
      </c>
      <c r="J25" s="40" t="n">
        <f aca="false">IF(OR(D25="",D25+G25=0),"",D25/(D25+G25))</f>
        <v>0.511627906976744</v>
      </c>
      <c r="K25" s="40" t="n">
        <f aca="false">IF(E25="","",E25/(E25+H25))</f>
        <v>0.467005076142132</v>
      </c>
      <c r="L25" s="69" t="n">
        <f aca="false">IF(OR(K25="",J25=""),"",(J25-K25)*100)</f>
        <v>4.46228308346122</v>
      </c>
      <c r="M25" s="36" t="n">
        <v>3.3526268319753</v>
      </c>
      <c r="N25" s="36" t="n">
        <v>1.35427844951641</v>
      </c>
      <c r="O25" s="36" t="n">
        <f aca="false">SQRT(M25^2+N25^2)</f>
        <v>3.61582311421692</v>
      </c>
      <c r="P25" s="40" t="n">
        <f aca="false">IF(J25="","",MAX(0,J25-1.96*O25/100))</f>
        <v>0.440757773938093</v>
      </c>
      <c r="Q25" s="40" t="n">
        <f aca="false">IF(J25="","",MIN(1,J25+1.96*O25/100))</f>
        <v>0.582498040015396</v>
      </c>
      <c r="R25" s="32" t="str">
        <f aca="false">IF(L25="","",IF(ABS(L25)&lt;=O25,"Yes","No"))</f>
        <v>No</v>
      </c>
      <c r="S25" s="32" t="str">
        <f aca="false">IF(L25="","",IF(ABS(L25)&lt;=1.96*O25,"Yes","No"))</f>
        <v>Yes</v>
      </c>
      <c r="T25" s="59" t="n">
        <f aca="false">IF(D25="","",ROUND(SQRT(((D25+G25)*O25/100)^2+(J25*(D25+G25)*0.09092)^2),0))</f>
        <v>79</v>
      </c>
      <c r="U25" s="32"/>
    </row>
    <row r="26" customFormat="false" ht="15" hidden="false" customHeight="false" outlineLevel="0" collapsed="false">
      <c r="A26" s="32" t="s">
        <v>189</v>
      </c>
      <c r="B26" s="32" t="s">
        <v>191</v>
      </c>
      <c r="C26" s="32" t="s">
        <v>161</v>
      </c>
      <c r="D26" s="59" t="n">
        <v>27842</v>
      </c>
      <c r="E26" s="59" t="n">
        <v>27952</v>
      </c>
      <c r="F26" s="68" t="n">
        <f aca="false">IF(E26="","",D26-E26)</f>
        <v>-110</v>
      </c>
      <c r="G26" s="59" t="n">
        <v>12524</v>
      </c>
      <c r="H26" s="59" t="n">
        <v>12938</v>
      </c>
      <c r="I26" s="68" t="n">
        <f aca="false">IF(H26="","",G26-H26)</f>
        <v>-414</v>
      </c>
      <c r="J26" s="40" t="n">
        <f aca="false">IF(OR(D26="",D26+G26=0),"",D26/(D26+G26))</f>
        <v>0.689738889164148</v>
      </c>
      <c r="K26" s="40" t="n">
        <f aca="false">IF(E26="","",E26/(E26+H26))</f>
        <v>0.6835901198337</v>
      </c>
      <c r="L26" s="69" t="n">
        <f aca="false">IF(OR(K26="",J26=""),"",(J26-K26)*100)</f>
        <v>0.614876933044783</v>
      </c>
      <c r="M26" s="36" t="n">
        <v>1.87647777182119</v>
      </c>
      <c r="N26" s="36" t="n">
        <v>1.35427844951641</v>
      </c>
      <c r="O26" s="36" t="n">
        <f aca="false">SQRT(M26^2+N26^2)</f>
        <v>2.31413892127581</v>
      </c>
      <c r="P26" s="40" t="n">
        <f aca="false">IF(J26="","",MAX(0,J26-1.96*O26/100))</f>
        <v>0.644381766307142</v>
      </c>
      <c r="Q26" s="40" t="n">
        <f aca="false">IF(J26="","",MIN(1,J26+1.96*O26/100))</f>
        <v>0.735096012021154</v>
      </c>
      <c r="R26" s="32" t="str">
        <f aca="false">IF(L26="","",IF(ABS(L26)&lt;=O26,"Yes","No"))</f>
        <v>Yes</v>
      </c>
      <c r="S26" s="32" t="str">
        <f aca="false">IF(L26="","",IF(ABS(L26)&lt;=1.96*O26,"Yes","No"))</f>
        <v>Yes</v>
      </c>
      <c r="T26" s="59" t="n">
        <f aca="false">IF(D26="","",ROUND(SQRT(((D26+G26)*O26/100)^2+(J26*(D26+G26)*0.0639)^2),0))</f>
        <v>2009</v>
      </c>
      <c r="U26" s="32"/>
    </row>
    <row r="27" customFormat="false" ht="15" hidden="false" customHeight="false" outlineLevel="0" collapsed="false">
      <c r="A27" s="32" t="s">
        <v>189</v>
      </c>
      <c r="B27" s="32" t="s">
        <v>192</v>
      </c>
      <c r="C27" s="32" t="s">
        <v>161</v>
      </c>
      <c r="D27" s="59" t="n">
        <v>6391</v>
      </c>
      <c r="E27" s="59" t="n">
        <v>6475</v>
      </c>
      <c r="F27" s="68" t="n">
        <f aca="false">IF(E27="","",D27-E27)</f>
        <v>-84</v>
      </c>
      <c r="G27" s="59" t="n">
        <v>3681</v>
      </c>
      <c r="H27" s="59" t="n">
        <v>3784</v>
      </c>
      <c r="I27" s="68" t="n">
        <f aca="false">IF(H27="","",G27-H27)</f>
        <v>-103</v>
      </c>
      <c r="J27" s="40" t="n">
        <f aca="false">IF(OR(D27="",D27+G27=0),"",D27/(D27+G27))</f>
        <v>0.634531374106434</v>
      </c>
      <c r="K27" s="40" t="n">
        <f aca="false">IF(E27="","",E27/(E27+H27))</f>
        <v>0.631153133833707</v>
      </c>
      <c r="L27" s="69" t="n">
        <f aca="false">IF(OR(K27="",J27=""),"",(J27-K27)*100)</f>
        <v>0.337824027272671</v>
      </c>
      <c r="M27" s="36" t="n">
        <v>1.87647777182119</v>
      </c>
      <c r="N27" s="36" t="n">
        <v>1.35427844951641</v>
      </c>
      <c r="O27" s="36" t="n">
        <f aca="false">SQRT(M27^2+N27^2)</f>
        <v>2.31413892127581</v>
      </c>
      <c r="P27" s="40" t="n">
        <f aca="false">IF(J27="","",MAX(0,J27-1.96*O27/100))</f>
        <v>0.589174251249428</v>
      </c>
      <c r="Q27" s="40" t="n">
        <f aca="false">IF(J27="","",MIN(1,J27+1.96*O27/100))</f>
        <v>0.67988849696344</v>
      </c>
      <c r="R27" s="32" t="str">
        <f aca="false">IF(L27="","",IF(ABS(L27)&lt;=O27,"Yes","No"))</f>
        <v>Yes</v>
      </c>
      <c r="S27" s="32" t="str">
        <f aca="false">IF(L27="","",IF(ABS(L27)&lt;=1.96*O27,"Yes","No"))</f>
        <v>Yes</v>
      </c>
      <c r="T27" s="59" t="n">
        <f aca="false">IF(D27="","",ROUND(SQRT(((D27+G27)*O27/100)^2+(J27*(D27+G27)*0.0639)^2),0))</f>
        <v>470</v>
      </c>
      <c r="U27" s="32"/>
    </row>
    <row r="28" customFormat="false" ht="15" hidden="false" customHeight="false" outlineLevel="0" collapsed="false">
      <c r="A28" s="32" t="s">
        <v>189</v>
      </c>
      <c r="B28" s="32" t="s">
        <v>193</v>
      </c>
      <c r="C28" s="32" t="s">
        <v>161</v>
      </c>
      <c r="D28" s="59" t="n">
        <v>1678</v>
      </c>
      <c r="E28" s="59" t="n">
        <v>1582</v>
      </c>
      <c r="F28" s="68" t="n">
        <f aca="false">IF(E28="","",D28-E28)</f>
        <v>96</v>
      </c>
      <c r="G28" s="59" t="n">
        <v>1365</v>
      </c>
      <c r="H28" s="59" t="n">
        <v>1496</v>
      </c>
      <c r="I28" s="68" t="n">
        <f aca="false">IF(H28="","",G28-H28)</f>
        <v>-131</v>
      </c>
      <c r="J28" s="40" t="n">
        <f aca="false">IF(OR(D28="",D28+G28=0),"",D28/(D28+G28))</f>
        <v>0.551429510351627</v>
      </c>
      <c r="K28" s="40" t="n">
        <f aca="false">IF(E28="","",E28/(E28+H28))</f>
        <v>0.513970110461339</v>
      </c>
      <c r="L28" s="69" t="n">
        <f aca="false">IF(OR(K28="",J28=""),"",(J28-K28)*100)</f>
        <v>3.74593998902881</v>
      </c>
      <c r="M28" s="36" t="n">
        <v>1.87165329242132</v>
      </c>
      <c r="N28" s="36" t="n">
        <v>1.35427844951641</v>
      </c>
      <c r="O28" s="36" t="n">
        <f aca="false">SQRT(M28^2+N28^2)</f>
        <v>2.31022859601731</v>
      </c>
      <c r="P28" s="40" t="n">
        <f aca="false">IF(J28="","",MAX(0,J28-1.96*O28/100))</f>
        <v>0.506149029869687</v>
      </c>
      <c r="Q28" s="40" t="n">
        <f aca="false">IF(J28="","",MIN(1,J28+1.96*O28/100))</f>
        <v>0.596709990833566</v>
      </c>
      <c r="R28" s="32" t="str">
        <f aca="false">IF(L28="","",IF(ABS(L28)&lt;=O28,"Yes","No"))</f>
        <v>No</v>
      </c>
      <c r="S28" s="32" t="str">
        <f aca="false">IF(L28="","",IF(ABS(L28)&lt;=1.96*O28,"Yes","No"))</f>
        <v>Yes</v>
      </c>
      <c r="T28" s="59" t="n">
        <f aca="false">IF(D28="","",ROUND(SQRT(((D28+G28)*O28/100)^2+(J28*(D28+G28)*0.06991)^2),0))</f>
        <v>137</v>
      </c>
      <c r="U28" s="32"/>
    </row>
    <row r="29" customFormat="false" ht="15" hidden="false" customHeight="false" outlineLevel="0" collapsed="false">
      <c r="A29" s="32" t="s">
        <v>189</v>
      </c>
      <c r="B29" s="32" t="s">
        <v>194</v>
      </c>
      <c r="C29" s="32" t="s">
        <v>161</v>
      </c>
      <c r="D29" s="59" t="n">
        <v>738</v>
      </c>
      <c r="E29" s="59" t="n">
        <v>704</v>
      </c>
      <c r="F29" s="68" t="n">
        <f aca="false">IF(E29="","",D29-E29)</f>
        <v>34</v>
      </c>
      <c r="G29" s="59" t="n">
        <v>727</v>
      </c>
      <c r="H29" s="59" t="n">
        <v>791</v>
      </c>
      <c r="I29" s="68" t="n">
        <f aca="false">IF(H29="","",G29-H29)</f>
        <v>-64</v>
      </c>
      <c r="J29" s="40" t="n">
        <f aca="false">IF(OR(D29="",D29+G29=0),"",D29/(D29+G29))</f>
        <v>0.503754266211604</v>
      </c>
      <c r="K29" s="40" t="n">
        <f aca="false">IF(E29="","",E29/(E29+H29))</f>
        <v>0.470903010033445</v>
      </c>
      <c r="L29" s="69" t="n">
        <f aca="false">IF(OR(K29="",J29=""),"",(J29-K29)*100)</f>
        <v>3.28512561781593</v>
      </c>
      <c r="M29" s="36" t="n">
        <v>3.3526268319753</v>
      </c>
      <c r="N29" s="36" t="n">
        <v>1.35427844951641</v>
      </c>
      <c r="O29" s="36" t="n">
        <f aca="false">SQRT(M29^2+N29^2)</f>
        <v>3.61582311421692</v>
      </c>
      <c r="P29" s="40" t="n">
        <f aca="false">IF(J29="","",MAX(0,J29-1.96*O29/100))</f>
        <v>0.432884133172953</v>
      </c>
      <c r="Q29" s="40" t="n">
        <f aca="false">IF(J29="","",MIN(1,J29+1.96*O29/100))</f>
        <v>0.574624399250256</v>
      </c>
      <c r="R29" s="32" t="str">
        <f aca="false">IF(L29="","",IF(ABS(L29)&lt;=O29,"Yes","No"))</f>
        <v>Yes</v>
      </c>
      <c r="S29" s="32" t="str">
        <f aca="false">IF(L29="","",IF(ABS(L29)&lt;=1.96*O29,"Yes","No"))</f>
        <v>Yes</v>
      </c>
      <c r="T29" s="59" t="n">
        <f aca="false">IF(D29="","",ROUND(SQRT(((D29+G29)*O29/100)^2+(J29*(D29+G29)*0.09092)^2),0))</f>
        <v>85</v>
      </c>
      <c r="U29" s="32"/>
    </row>
    <row r="30" customFormat="false" ht="15" hidden="false" customHeight="false" outlineLevel="0" collapsed="false">
      <c r="A30" s="32" t="s">
        <v>189</v>
      </c>
      <c r="B30" s="32" t="s">
        <v>195</v>
      </c>
      <c r="C30" s="32" t="s">
        <v>161</v>
      </c>
      <c r="D30" s="59" t="n">
        <v>915</v>
      </c>
      <c r="E30" s="59" t="n">
        <v>878</v>
      </c>
      <c r="F30" s="68" t="n">
        <f aca="false">IF(E30="","",D30-E30)</f>
        <v>37</v>
      </c>
      <c r="G30" s="59" t="n">
        <v>795</v>
      </c>
      <c r="H30" s="59" t="n">
        <v>870</v>
      </c>
      <c r="I30" s="68" t="n">
        <f aca="false">IF(H30="","",G30-H30)</f>
        <v>-75</v>
      </c>
      <c r="J30" s="40" t="n">
        <f aca="false">IF(OR(D30="",D30+G30=0),"",D30/(D30+G30))</f>
        <v>0.535087719298246</v>
      </c>
      <c r="K30" s="40" t="n">
        <f aca="false">IF(E30="","",E30/(E30+H30))</f>
        <v>0.502288329519451</v>
      </c>
      <c r="L30" s="69" t="n">
        <f aca="false">IF(OR(K30="",J30=""),"",(J30-K30)*100)</f>
        <v>3.27993897787948</v>
      </c>
      <c r="M30" s="36" t="n">
        <v>1.87165329242132</v>
      </c>
      <c r="N30" s="36" t="n">
        <v>1.35427844951641</v>
      </c>
      <c r="O30" s="36" t="n">
        <f aca="false">SQRT(M30^2+N30^2)</f>
        <v>2.31022859601731</v>
      </c>
      <c r="P30" s="40" t="n">
        <f aca="false">IF(J30="","",MAX(0,J30-1.96*O30/100))</f>
        <v>0.489807238816306</v>
      </c>
      <c r="Q30" s="40" t="n">
        <f aca="false">IF(J30="","",MIN(1,J30+1.96*O30/100))</f>
        <v>0.580368199780185</v>
      </c>
      <c r="R30" s="32" t="str">
        <f aca="false">IF(L30="","",IF(ABS(L30)&lt;=O30,"Yes","No"))</f>
        <v>No</v>
      </c>
      <c r="S30" s="32" t="str">
        <f aca="false">IF(L30="","",IF(ABS(L30)&lt;=1.96*O30,"Yes","No"))</f>
        <v>Yes</v>
      </c>
      <c r="T30" s="59" t="n">
        <f aca="false">IF(D30="","",ROUND(SQRT(((D30+G30)*O30/100)^2+(J30*(D30+G30)*0.06991)^2),0))</f>
        <v>75</v>
      </c>
      <c r="U30" s="32"/>
    </row>
    <row r="31" customFormat="false" ht="15" hidden="false" customHeight="false" outlineLevel="0" collapsed="false">
      <c r="A31" s="32" t="s">
        <v>189</v>
      </c>
      <c r="B31" s="32" t="s">
        <v>196</v>
      </c>
      <c r="C31" s="32" t="s">
        <v>161</v>
      </c>
      <c r="D31" s="59" t="n">
        <v>3485</v>
      </c>
      <c r="E31" s="59" t="n">
        <v>3393</v>
      </c>
      <c r="F31" s="68" t="n">
        <f aca="false">IF(E31="","",D31-E31)</f>
        <v>92</v>
      </c>
      <c r="G31" s="59" t="n">
        <v>3024</v>
      </c>
      <c r="H31" s="59" t="n">
        <v>3078</v>
      </c>
      <c r="I31" s="68" t="n">
        <f aca="false">IF(H31="","",G31-H31)</f>
        <v>-54</v>
      </c>
      <c r="J31" s="40" t="n">
        <f aca="false">IF(OR(D31="",D31+G31=0),"",D31/(D31+G31))</f>
        <v>0.535412505761254</v>
      </c>
      <c r="K31" s="40" t="n">
        <f aca="false">IF(E31="","",E31/(E31+H31))</f>
        <v>0.524339360222531</v>
      </c>
      <c r="L31" s="69" t="n">
        <f aca="false">IF(OR(K31="",J31=""),"",(J31-K31)*100)</f>
        <v>1.10731455387224</v>
      </c>
      <c r="M31" s="36" t="n">
        <v>1.87647777182119</v>
      </c>
      <c r="N31" s="36" t="n">
        <v>1.35427844951641</v>
      </c>
      <c r="O31" s="36" t="n">
        <f aca="false">SQRT(M31^2+N31^2)</f>
        <v>2.31413892127581</v>
      </c>
      <c r="P31" s="40" t="n">
        <f aca="false">IF(J31="","",MAX(0,J31-1.96*O31/100))</f>
        <v>0.490055382904248</v>
      </c>
      <c r="Q31" s="40" t="n">
        <f aca="false">IF(J31="","",MIN(1,J31+1.96*O31/100))</f>
        <v>0.58076962861826</v>
      </c>
      <c r="R31" s="32" t="str">
        <f aca="false">IF(L31="","",IF(ABS(L31)&lt;=O31,"Yes","No"))</f>
        <v>Yes</v>
      </c>
      <c r="S31" s="32" t="str">
        <f aca="false">IF(L31="","",IF(ABS(L31)&lt;=1.96*O31,"Yes","No"))</f>
        <v>Yes</v>
      </c>
      <c r="T31" s="59" t="n">
        <f aca="false">IF(D31="","",ROUND(SQRT(((D31+G31)*O31/100)^2+(J31*(D31+G31)*0.0639)^2),0))</f>
        <v>269</v>
      </c>
      <c r="U31" s="32"/>
    </row>
    <row r="32" customFormat="false" ht="15" hidden="false" customHeight="false" outlineLevel="0" collapsed="false">
      <c r="A32" s="32" t="s">
        <v>189</v>
      </c>
      <c r="B32" s="32" t="s">
        <v>197</v>
      </c>
      <c r="C32" s="32" t="s">
        <v>161</v>
      </c>
      <c r="D32" s="59" t="n">
        <v>1437</v>
      </c>
      <c r="E32" s="59" t="n">
        <v>1481</v>
      </c>
      <c r="F32" s="68" t="n">
        <f aca="false">IF(E32="","",D32-E32)</f>
        <v>-44</v>
      </c>
      <c r="G32" s="59" t="n">
        <v>672</v>
      </c>
      <c r="H32" s="59" t="n">
        <v>737</v>
      </c>
      <c r="I32" s="68" t="n">
        <f aca="false">IF(H32="","",G32-H32)</f>
        <v>-65</v>
      </c>
      <c r="J32" s="40" t="n">
        <f aca="false">IF(OR(D32="",D32+G32=0),"",D32/(D32+G32))</f>
        <v>0.681365576102418</v>
      </c>
      <c r="K32" s="40" t="n">
        <f aca="false">IF(E32="","",E32/(E32+H32))</f>
        <v>0.667718665464382</v>
      </c>
      <c r="L32" s="69" t="n">
        <f aca="false">IF(OR(K32="",J32=""),"",(J32-K32)*100)</f>
        <v>1.36469106380359</v>
      </c>
      <c r="M32" s="36" t="n">
        <v>1.87165329242132</v>
      </c>
      <c r="N32" s="36" t="n">
        <v>1.35427844951641</v>
      </c>
      <c r="O32" s="36" t="n">
        <f aca="false">SQRT(M32^2+N32^2)</f>
        <v>2.31022859601731</v>
      </c>
      <c r="P32" s="40" t="n">
        <f aca="false">IF(J32="","",MAX(0,J32-1.96*O32/100))</f>
        <v>0.636085095620479</v>
      </c>
      <c r="Q32" s="40" t="n">
        <f aca="false">IF(J32="","",MIN(1,J32+1.96*O32/100))</f>
        <v>0.726646056584358</v>
      </c>
      <c r="R32" s="32" t="str">
        <f aca="false">IF(L32="","",IF(ABS(L32)&lt;=O32,"Yes","No"))</f>
        <v>Yes</v>
      </c>
      <c r="S32" s="32" t="str">
        <f aca="false">IF(L32="","",IF(ABS(L32)&lt;=1.96*O32,"Yes","No"))</f>
        <v>Yes</v>
      </c>
      <c r="T32" s="59" t="n">
        <f aca="false">IF(D32="","",ROUND(SQRT(((D32+G32)*O32/100)^2+(J32*(D32+G32)*0.06991)^2),0))</f>
        <v>112</v>
      </c>
      <c r="U32" s="32"/>
    </row>
    <row r="33" customFormat="false" ht="15" hidden="false" customHeight="false" outlineLevel="0" collapsed="false">
      <c r="A33" s="32" t="s">
        <v>189</v>
      </c>
      <c r="B33" s="32" t="s">
        <v>198</v>
      </c>
      <c r="C33" s="32" t="s">
        <v>161</v>
      </c>
      <c r="D33" s="59" t="n">
        <v>388</v>
      </c>
      <c r="E33" s="59" t="n">
        <v>405</v>
      </c>
      <c r="F33" s="68" t="n">
        <f aca="false">IF(E33="","",D33-E33)</f>
        <v>-17</v>
      </c>
      <c r="G33" s="59" t="n">
        <v>292</v>
      </c>
      <c r="H33" s="59" t="n">
        <v>304</v>
      </c>
      <c r="I33" s="68" t="n">
        <f aca="false">IF(H33="","",G33-H33)</f>
        <v>-12</v>
      </c>
      <c r="J33" s="40" t="n">
        <f aca="false">IF(OR(D33="",D33+G33=0),"",D33/(D33+G33))</f>
        <v>0.570588235294118</v>
      </c>
      <c r="K33" s="40" t="n">
        <f aca="false">IF(E33="","",E33/(E33+H33))</f>
        <v>0.571227080394922</v>
      </c>
      <c r="L33" s="69" t="n">
        <f aca="false">IF(OR(K33="",J33=""),"",(J33-K33)*100)</f>
        <v>-0.0638845100804808</v>
      </c>
      <c r="M33" s="36" t="n">
        <v>3.3526268319753</v>
      </c>
      <c r="N33" s="36" t="n">
        <v>1.35427844951641</v>
      </c>
      <c r="O33" s="36" t="n">
        <f aca="false">SQRT(M33^2+N33^2)</f>
        <v>3.61582311421692</v>
      </c>
      <c r="P33" s="40" t="n">
        <f aca="false">IF(J33="","",MAX(0,J33-1.96*O33/100))</f>
        <v>0.499718102255466</v>
      </c>
      <c r="Q33" s="40" t="n">
        <f aca="false">IF(J33="","",MIN(1,J33+1.96*O33/100))</f>
        <v>0.641458368332769</v>
      </c>
      <c r="R33" s="32" t="str">
        <f aca="false">IF(L33="","",IF(ABS(L33)&lt;=O33,"Yes","No"))</f>
        <v>Yes</v>
      </c>
      <c r="S33" s="32" t="str">
        <f aca="false">IF(L33="","",IF(ABS(L33)&lt;=1.96*O33,"Yes","No"))</f>
        <v>Yes</v>
      </c>
      <c r="T33" s="59" t="n">
        <f aca="false">IF(D33="","",ROUND(SQRT(((D33+G33)*O33/100)^2+(J33*(D33+G33)*0.09092)^2),0))</f>
        <v>43</v>
      </c>
      <c r="U33" s="32"/>
    </row>
    <row r="34" customFormat="false" ht="15" hidden="false" customHeight="false" outlineLevel="0" collapsed="false">
      <c r="A34" s="32" t="s">
        <v>189</v>
      </c>
      <c r="B34" s="32" t="s">
        <v>199</v>
      </c>
      <c r="C34" s="32" t="s">
        <v>161</v>
      </c>
      <c r="D34" s="59" t="n">
        <v>658</v>
      </c>
      <c r="E34" s="59" t="n">
        <v>602</v>
      </c>
      <c r="F34" s="68" t="n">
        <f aca="false">IF(E34="","",D34-E34)</f>
        <v>56</v>
      </c>
      <c r="G34" s="59" t="n">
        <v>1320</v>
      </c>
      <c r="H34" s="59" t="n">
        <v>1339</v>
      </c>
      <c r="I34" s="68" t="n">
        <f aca="false">IF(H34="","",G34-H34)</f>
        <v>-19</v>
      </c>
      <c r="J34" s="40" t="n">
        <f aca="false">IF(OR(D34="",D34+G34=0),"",D34/(D34+G34))</f>
        <v>0.332659251769464</v>
      </c>
      <c r="K34" s="40" t="n">
        <f aca="false">IF(E34="","",E34/(E34+H34))</f>
        <v>0.310149407521896</v>
      </c>
      <c r="L34" s="69" t="n">
        <f aca="false">IF(OR(K34="",J34=""),"",(J34-K34)*100)</f>
        <v>2.25098442475682</v>
      </c>
      <c r="M34" s="36" t="n">
        <v>1.87165329242132</v>
      </c>
      <c r="N34" s="36" t="n">
        <v>1.35427844951641</v>
      </c>
      <c r="O34" s="36" t="n">
        <f aca="false">SQRT(M34^2+N34^2)</f>
        <v>2.31022859601731</v>
      </c>
      <c r="P34" s="40" t="n">
        <f aca="false">IF(J34="","",MAX(0,J34-1.96*O34/100))</f>
        <v>0.287378771287525</v>
      </c>
      <c r="Q34" s="40" t="n">
        <f aca="false">IF(J34="","",MIN(1,J34+1.96*O34/100))</f>
        <v>0.377939732251403</v>
      </c>
      <c r="R34" s="32" t="str">
        <f aca="false">IF(L34="","",IF(ABS(L34)&lt;=O34,"Yes","No"))</f>
        <v>Yes</v>
      </c>
      <c r="S34" s="32" t="str">
        <f aca="false">IF(L34="","",IF(ABS(L34)&lt;=1.96*O34,"Yes","No"))</f>
        <v>Yes</v>
      </c>
      <c r="T34" s="59" t="n">
        <f aca="false">IF(D34="","",ROUND(SQRT(((D34+G34)*O34/100)^2+(J34*(D34+G34)*0.06991)^2),0))</f>
        <v>65</v>
      </c>
      <c r="U34" s="32"/>
    </row>
    <row r="35" customFormat="false" ht="15" hidden="false" customHeight="false" outlineLevel="0" collapsed="false">
      <c r="A35" s="32" t="s">
        <v>189</v>
      </c>
      <c r="B35" s="32" t="s">
        <v>200</v>
      </c>
      <c r="C35" s="32" t="s">
        <v>161</v>
      </c>
      <c r="D35" s="59" t="n">
        <v>9586</v>
      </c>
      <c r="E35" s="59" t="n">
        <v>9782</v>
      </c>
      <c r="F35" s="68" t="n">
        <f aca="false">IF(E35="","",D35-E35)</f>
        <v>-196</v>
      </c>
      <c r="G35" s="59" t="n">
        <v>10001</v>
      </c>
      <c r="H35" s="59" t="n">
        <v>10014</v>
      </c>
      <c r="I35" s="68" t="n">
        <f aca="false">IF(H35="","",G35-H35)</f>
        <v>-13</v>
      </c>
      <c r="J35" s="40" t="n">
        <f aca="false">IF(OR(D35="",D35+G35=0),"",D35/(D35+G35))</f>
        <v>0.489406238831878</v>
      </c>
      <c r="K35" s="40" t="n">
        <f aca="false">IF(E35="","",E35/(E35+H35))</f>
        <v>0.494140230349566</v>
      </c>
      <c r="L35" s="69" t="n">
        <f aca="false">IF(OR(K35="",J35=""),"",(J35-K35)*100)</f>
        <v>-0.473399151768728</v>
      </c>
      <c r="M35" s="36" t="n">
        <v>1.87647777182119</v>
      </c>
      <c r="N35" s="36" t="n">
        <v>1.35427844951641</v>
      </c>
      <c r="O35" s="36" t="n">
        <f aca="false">SQRT(M35^2+N35^2)</f>
        <v>2.31413892127581</v>
      </c>
      <c r="P35" s="40" t="n">
        <f aca="false">IF(J35="","",MAX(0,J35-1.96*O35/100))</f>
        <v>0.444049115974872</v>
      </c>
      <c r="Q35" s="40" t="n">
        <f aca="false">IF(J35="","",MIN(1,J35+1.96*O35/100))</f>
        <v>0.534763361688884</v>
      </c>
      <c r="R35" s="32" t="str">
        <f aca="false">IF(L35="","",IF(ABS(L35)&lt;=O35,"Yes","No"))</f>
        <v>Yes</v>
      </c>
      <c r="S35" s="32" t="str">
        <f aca="false">IF(L35="","",IF(ABS(L35)&lt;=1.96*O35,"Yes","No"))</f>
        <v>Yes</v>
      </c>
      <c r="T35" s="59" t="n">
        <f aca="false">IF(D35="","",ROUND(SQRT(((D35+G35)*O35/100)^2+(J35*(D35+G35)*0.0639)^2),0))</f>
        <v>762</v>
      </c>
      <c r="U35" s="32"/>
    </row>
    <row r="36" customFormat="false" ht="15" hidden="false" customHeight="false" outlineLevel="0" collapsed="false">
      <c r="A36" s="32" t="s">
        <v>189</v>
      </c>
      <c r="B36" s="32" t="s">
        <v>201</v>
      </c>
      <c r="C36" s="32" t="s">
        <v>161</v>
      </c>
      <c r="D36" s="59" t="n">
        <v>908</v>
      </c>
      <c r="E36" s="59" t="n">
        <v>920</v>
      </c>
      <c r="F36" s="68" t="n">
        <f aca="false">IF(E36="","",D36-E36)</f>
        <v>-12</v>
      </c>
      <c r="G36" s="59" t="n">
        <v>1579</v>
      </c>
      <c r="H36" s="59" t="n">
        <v>1596</v>
      </c>
      <c r="I36" s="68" t="n">
        <f aca="false">IF(H36="","",G36-H36)</f>
        <v>-17</v>
      </c>
      <c r="J36" s="40" t="n">
        <f aca="false">IF(OR(D36="",D36+G36=0),"",D36/(D36+G36))</f>
        <v>0.365098512263772</v>
      </c>
      <c r="K36" s="40" t="n">
        <f aca="false">IF(E36="","",E36/(E36+H36))</f>
        <v>0.365659777424483</v>
      </c>
      <c r="L36" s="69" t="n">
        <f aca="false">IF(OR(K36="",J36=""),"",(J36-K36)*100)</f>
        <v>-0.0561265160711699</v>
      </c>
      <c r="M36" s="36" t="n">
        <v>1.87165329242132</v>
      </c>
      <c r="N36" s="36" t="n">
        <v>1.35427844951641</v>
      </c>
      <c r="O36" s="36" t="n">
        <f aca="false">SQRT(M36^2+N36^2)</f>
        <v>2.31022859601731</v>
      </c>
      <c r="P36" s="40" t="n">
        <f aca="false">IF(J36="","",MAX(0,J36-1.96*O36/100))</f>
        <v>0.319818031781832</v>
      </c>
      <c r="Q36" s="40" t="n">
        <f aca="false">IF(J36="","",MIN(1,J36+1.96*O36/100))</f>
        <v>0.410378992745711</v>
      </c>
      <c r="R36" s="32" t="str">
        <f aca="false">IF(L36="","",IF(ABS(L36)&lt;=O36,"Yes","No"))</f>
        <v>Yes</v>
      </c>
      <c r="S36" s="32" t="str">
        <f aca="false">IF(L36="","",IF(ABS(L36)&lt;=1.96*O36,"Yes","No"))</f>
        <v>Yes</v>
      </c>
      <c r="T36" s="59" t="n">
        <f aca="false">IF(D36="","",ROUND(SQRT(((D36+G36)*O36/100)^2+(J36*(D36+G36)*0.06991)^2),0))</f>
        <v>86</v>
      </c>
      <c r="U36" s="32"/>
    </row>
    <row r="37" customFormat="false" ht="15" hidden="false" customHeight="false" outlineLevel="0" collapsed="false">
      <c r="A37" s="32" t="s">
        <v>189</v>
      </c>
      <c r="B37" s="32" t="s">
        <v>202</v>
      </c>
      <c r="C37" s="32" t="s">
        <v>161</v>
      </c>
      <c r="D37" s="59" t="n">
        <v>509</v>
      </c>
      <c r="E37" s="59" t="n">
        <v>533</v>
      </c>
      <c r="F37" s="68" t="n">
        <f aca="false">IF(E37="","",D37-E37)</f>
        <v>-24</v>
      </c>
      <c r="G37" s="59" t="n">
        <v>950</v>
      </c>
      <c r="H37" s="59" t="n">
        <v>955</v>
      </c>
      <c r="I37" s="68" t="n">
        <f aca="false">IF(H37="","",G37-H37)</f>
        <v>-5</v>
      </c>
      <c r="J37" s="40" t="n">
        <f aca="false">IF(OR(D37="",D37+G37=0),"",D37/(D37+G37))</f>
        <v>0.348869088416724</v>
      </c>
      <c r="K37" s="40" t="n">
        <f aca="false">IF(E37="","",E37/(E37+H37))</f>
        <v>0.358198924731183</v>
      </c>
      <c r="L37" s="69" t="n">
        <f aca="false">IF(OR(K37="",J37=""),"",(J37-K37)*100)</f>
        <v>-0.932983631445905</v>
      </c>
      <c r="M37" s="36" t="n">
        <v>3.3526268319753</v>
      </c>
      <c r="N37" s="36" t="n">
        <v>1.35427844951641</v>
      </c>
      <c r="O37" s="36" t="n">
        <f aca="false">SQRT(M37^2+N37^2)</f>
        <v>3.61582311421692</v>
      </c>
      <c r="P37" s="40" t="n">
        <f aca="false">IF(J37="","",MAX(0,J37-1.96*O37/100))</f>
        <v>0.277998955378072</v>
      </c>
      <c r="Q37" s="40" t="n">
        <f aca="false">IF(J37="","",MIN(1,J37+1.96*O37/100))</f>
        <v>0.419739221455375</v>
      </c>
      <c r="R37" s="32" t="str">
        <f aca="false">IF(L37="","",IF(ABS(L37)&lt;=O37,"Yes","No"))</f>
        <v>Yes</v>
      </c>
      <c r="S37" s="32" t="str">
        <f aca="false">IF(L37="","",IF(ABS(L37)&lt;=1.96*O37,"Yes","No"))</f>
        <v>Yes</v>
      </c>
      <c r="T37" s="59" t="n">
        <f aca="false">IF(D37="","",ROUND(SQRT(((D37+G37)*O37/100)^2+(J37*(D37+G37)*0.09092)^2),0))</f>
        <v>70</v>
      </c>
      <c r="U37" s="32"/>
    </row>
    <row r="38" customFormat="false" ht="15" hidden="false" customHeight="false" outlineLevel="0" collapsed="false">
      <c r="A38" s="32" t="s">
        <v>189</v>
      </c>
      <c r="B38" s="32" t="s">
        <v>203</v>
      </c>
      <c r="C38" s="32" t="s">
        <v>161</v>
      </c>
      <c r="D38" s="59" t="n">
        <v>817</v>
      </c>
      <c r="E38" s="59" t="n">
        <v>846</v>
      </c>
      <c r="F38" s="68" t="n">
        <f aca="false">IF(E38="","",D38-E38)</f>
        <v>-29</v>
      </c>
      <c r="G38" s="59" t="n">
        <v>1819</v>
      </c>
      <c r="H38" s="59" t="n">
        <v>1783</v>
      </c>
      <c r="I38" s="68" t="n">
        <f aca="false">IF(H38="","",G38-H38)</f>
        <v>36</v>
      </c>
      <c r="J38" s="40" t="n">
        <f aca="false">IF(OR(D38="",D38+G38=0),"",D38/(D38+G38))</f>
        <v>0.309939301972686</v>
      </c>
      <c r="K38" s="40" t="n">
        <f aca="false">IF(E38="","",E38/(E38+H38))</f>
        <v>0.321795359452263</v>
      </c>
      <c r="L38" s="69" t="n">
        <f aca="false">IF(OR(K38="",J38=""),"",(J38-K38)*100)</f>
        <v>-1.18560574795774</v>
      </c>
      <c r="M38" s="36" t="n">
        <v>1.87165329242132</v>
      </c>
      <c r="N38" s="36" t="n">
        <v>1.35427844951641</v>
      </c>
      <c r="O38" s="36" t="n">
        <f aca="false">SQRT(M38^2+N38^2)</f>
        <v>2.31022859601731</v>
      </c>
      <c r="P38" s="40" t="n">
        <f aca="false">IF(J38="","",MAX(0,J38-1.96*O38/100))</f>
        <v>0.264658821490747</v>
      </c>
      <c r="Q38" s="40" t="n">
        <f aca="false">IF(J38="","",MIN(1,J38+1.96*O38/100))</f>
        <v>0.355219782454625</v>
      </c>
      <c r="R38" s="32" t="str">
        <f aca="false">IF(L38="","",IF(ABS(L38)&lt;=O38,"Yes","No"))</f>
        <v>Yes</v>
      </c>
      <c r="S38" s="32" t="str">
        <f aca="false">IF(L38="","",IF(ABS(L38)&lt;=1.96*O38,"Yes","No"))</f>
        <v>Yes</v>
      </c>
      <c r="T38" s="59" t="n">
        <f aca="false">IF(D38="","",ROUND(SQRT(((D38+G38)*O38/100)^2+(J38*(D38+G38)*0.06991)^2),0))</f>
        <v>83</v>
      </c>
      <c r="U38" s="32"/>
    </row>
    <row r="39" customFormat="false" ht="15" hidden="false" customHeight="false" outlineLevel="0" collapsed="false">
      <c r="A39" s="32" t="s">
        <v>189</v>
      </c>
      <c r="B39" s="32" t="s">
        <v>204</v>
      </c>
      <c r="C39" s="32" t="s">
        <v>161</v>
      </c>
      <c r="D39" s="59" t="n">
        <v>941</v>
      </c>
      <c r="E39" s="59" t="n">
        <v>997</v>
      </c>
      <c r="F39" s="68" t="n">
        <f aca="false">IF(E39="","",D39-E39)</f>
        <v>-56</v>
      </c>
      <c r="G39" s="59" t="n">
        <v>876</v>
      </c>
      <c r="H39" s="59" t="n">
        <v>860</v>
      </c>
      <c r="I39" s="68" t="n">
        <f aca="false">IF(H39="","",G39-H39)</f>
        <v>16</v>
      </c>
      <c r="J39" s="40" t="n">
        <f aca="false">IF(OR(D39="",D39+G39=0),"",D39/(D39+G39))</f>
        <v>0.5178866263071</v>
      </c>
      <c r="K39" s="40" t="n">
        <f aca="false">IF(E39="","",E39/(E39+H39))</f>
        <v>0.536887452880991</v>
      </c>
      <c r="L39" s="69" t="n">
        <f aca="false">IF(OR(K39="",J39=""),"",(J39-K39)*100)</f>
        <v>-1.90008265738912</v>
      </c>
      <c r="M39" s="36" t="n">
        <v>1.87165329242132</v>
      </c>
      <c r="N39" s="36" t="n">
        <v>1.35427844951641</v>
      </c>
      <c r="O39" s="36" t="n">
        <f aca="false">SQRT(M39^2+N39^2)</f>
        <v>2.31022859601731</v>
      </c>
      <c r="P39" s="40" t="n">
        <f aca="false">IF(J39="","",MAX(0,J39-1.96*O39/100))</f>
        <v>0.47260614582516</v>
      </c>
      <c r="Q39" s="40" t="n">
        <f aca="false">IF(J39="","",MIN(1,J39+1.96*O39/100))</f>
        <v>0.563167106789039</v>
      </c>
      <c r="R39" s="32" t="str">
        <f aca="false">IF(L39="","",IF(ABS(L39)&lt;=O39,"Yes","No"))</f>
        <v>Yes</v>
      </c>
      <c r="S39" s="32" t="str">
        <f aca="false">IF(L39="","",IF(ABS(L39)&lt;=1.96*O39,"Yes","No"))</f>
        <v>Yes</v>
      </c>
      <c r="T39" s="59" t="n">
        <f aca="false">IF(D39="","",ROUND(SQRT(((D39+G39)*O39/100)^2+(J39*(D39+G39)*0.06991)^2),0))</f>
        <v>78</v>
      </c>
      <c r="U39" s="32"/>
    </row>
    <row r="40" customFormat="false" ht="15" hidden="false" customHeight="false" outlineLevel="0" collapsed="false">
      <c r="A40" s="32" t="s">
        <v>189</v>
      </c>
      <c r="B40" s="32" t="s">
        <v>205</v>
      </c>
      <c r="C40" s="32" t="s">
        <v>161</v>
      </c>
      <c r="D40" s="59" t="n">
        <v>3979</v>
      </c>
      <c r="E40" s="59" t="n">
        <v>3900</v>
      </c>
      <c r="F40" s="68" t="n">
        <f aca="false">IF(E40="","",D40-E40)</f>
        <v>79</v>
      </c>
      <c r="G40" s="59" t="n">
        <v>5683</v>
      </c>
      <c r="H40" s="59" t="n">
        <v>5859</v>
      </c>
      <c r="I40" s="68" t="n">
        <f aca="false">IF(H40="","",G40-H40)</f>
        <v>-176</v>
      </c>
      <c r="J40" s="40" t="n">
        <f aca="false">IF(OR(D40="",D40+G40=0),"",D40/(D40+G40))</f>
        <v>0.411819499068516</v>
      </c>
      <c r="K40" s="40" t="n">
        <f aca="false">IF(E40="","",E40/(E40+H40))</f>
        <v>0.399631109744851</v>
      </c>
      <c r="L40" s="69" t="n">
        <f aca="false">IF(OR(K40="",J40=""),"",(J40-K40)*100)</f>
        <v>1.2188389323665</v>
      </c>
      <c r="M40" s="36" t="n">
        <v>1.87647777182119</v>
      </c>
      <c r="N40" s="36" t="n">
        <v>1.35427844951641</v>
      </c>
      <c r="O40" s="36" t="n">
        <f aca="false">SQRT(M40^2+N40^2)</f>
        <v>2.31413892127581</v>
      </c>
      <c r="P40" s="40" t="n">
        <f aca="false">IF(J40="","",MAX(0,J40-1.96*O40/100))</f>
        <v>0.36646237621151</v>
      </c>
      <c r="Q40" s="40" t="n">
        <f aca="false">IF(J40="","",MIN(1,J40+1.96*O40/100))</f>
        <v>0.457176621925522</v>
      </c>
      <c r="R40" s="32" t="str">
        <f aca="false">IF(L40="","",IF(ABS(L40)&lt;=O40,"Yes","No"))</f>
        <v>Yes</v>
      </c>
      <c r="S40" s="32" t="str">
        <f aca="false">IF(L40="","",IF(ABS(L40)&lt;=1.96*O40,"Yes","No"))</f>
        <v>Yes</v>
      </c>
      <c r="T40" s="59" t="n">
        <f aca="false">IF(D40="","",ROUND(SQRT(((D40+G40)*O40/100)^2+(J40*(D40+G40)*0.0639)^2),0))</f>
        <v>339</v>
      </c>
      <c r="U40" s="32"/>
    </row>
    <row r="41" customFormat="false" ht="15" hidden="false" customHeight="false" outlineLevel="0" collapsed="false">
      <c r="A41" s="32" t="s">
        <v>189</v>
      </c>
      <c r="B41" s="32" t="s">
        <v>206</v>
      </c>
      <c r="C41" s="32" t="s">
        <v>161</v>
      </c>
      <c r="D41" s="59" t="n">
        <v>3970</v>
      </c>
      <c r="E41" s="59" t="n">
        <v>4029</v>
      </c>
      <c r="F41" s="68" t="n">
        <f aca="false">IF(E41="","",D41-E41)</f>
        <v>-59</v>
      </c>
      <c r="G41" s="59" t="n">
        <v>4150</v>
      </c>
      <c r="H41" s="59" t="n">
        <v>4143</v>
      </c>
      <c r="I41" s="68" t="n">
        <f aca="false">IF(H41="","",G41-H41)</f>
        <v>7</v>
      </c>
      <c r="J41" s="40" t="n">
        <f aca="false">IF(OR(D41="",D41+G41=0),"",D41/(D41+G41))</f>
        <v>0.488916256157635</v>
      </c>
      <c r="K41" s="40" t="n">
        <f aca="false">IF(E41="","",E41/(E41+H41))</f>
        <v>0.49302496328928</v>
      </c>
      <c r="L41" s="69" t="n">
        <f aca="false">IF(OR(K41="",J41=""),"",(J41-K41)*100)</f>
        <v>-0.410870713164502</v>
      </c>
      <c r="M41" s="36" t="n">
        <v>1.87647777182119</v>
      </c>
      <c r="N41" s="36" t="n">
        <v>1.35427844951641</v>
      </c>
      <c r="O41" s="36" t="n">
        <f aca="false">SQRT(M41^2+N41^2)</f>
        <v>2.31413892127581</v>
      </c>
      <c r="P41" s="40" t="n">
        <f aca="false">IF(J41="","",MAX(0,J41-1.96*O41/100))</f>
        <v>0.44355913330063</v>
      </c>
      <c r="Q41" s="40" t="n">
        <f aca="false">IF(J41="","",MIN(1,J41+1.96*O41/100))</f>
        <v>0.534273379014641</v>
      </c>
      <c r="R41" s="32" t="str">
        <f aca="false">IF(L41="","",IF(ABS(L41)&lt;=O41,"Yes","No"))</f>
        <v>Yes</v>
      </c>
      <c r="S41" s="32" t="str">
        <f aca="false">IF(L41="","",IF(ABS(L41)&lt;=1.96*O41,"Yes","No"))</f>
        <v>Yes</v>
      </c>
      <c r="T41" s="59" t="n">
        <f aca="false">IF(D41="","",ROUND(SQRT(((D41+G41)*O41/100)^2+(J41*(D41+G41)*0.0639)^2),0))</f>
        <v>316</v>
      </c>
      <c r="U41" s="32"/>
    </row>
    <row r="42" customFormat="false" ht="15" hidden="false" customHeight="false" outlineLevel="0" collapsed="false">
      <c r="A42" s="32" t="s">
        <v>189</v>
      </c>
      <c r="B42" s="32" t="s">
        <v>207</v>
      </c>
      <c r="C42" s="32" t="s">
        <v>161</v>
      </c>
      <c r="D42" s="59" t="n">
        <v>827</v>
      </c>
      <c r="E42" s="59" t="n">
        <v>748</v>
      </c>
      <c r="F42" s="68" t="n">
        <f aca="false">IF(E42="","",D42-E42)</f>
        <v>79</v>
      </c>
      <c r="G42" s="59" t="n">
        <v>1030</v>
      </c>
      <c r="H42" s="59" t="n">
        <v>1149</v>
      </c>
      <c r="I42" s="68" t="n">
        <f aca="false">IF(H42="","",G42-H42)</f>
        <v>-119</v>
      </c>
      <c r="J42" s="40" t="n">
        <f aca="false">IF(OR(D42="",D42+G42=0),"",D42/(D42+G42))</f>
        <v>0.445341949380722</v>
      </c>
      <c r="K42" s="40" t="n">
        <f aca="false">IF(E42="","",E42/(E42+H42))</f>
        <v>0.394306800210859</v>
      </c>
      <c r="L42" s="69" t="n">
        <f aca="false">IF(OR(K42="",J42=""),"",(J42-K42)*100)</f>
        <v>5.10351491698624</v>
      </c>
      <c r="M42" s="36" t="n">
        <v>1.87165329242132</v>
      </c>
      <c r="N42" s="36" t="n">
        <v>1.35427844951641</v>
      </c>
      <c r="O42" s="36" t="n">
        <f aca="false">SQRT(M42^2+N42^2)</f>
        <v>2.31022859601731</v>
      </c>
      <c r="P42" s="40" t="n">
        <f aca="false">IF(J42="","",MAX(0,J42-1.96*O42/100))</f>
        <v>0.400061468898782</v>
      </c>
      <c r="Q42" s="40" t="n">
        <f aca="false">IF(J42="","",MIN(1,J42+1.96*O42/100))</f>
        <v>0.490622429862661</v>
      </c>
      <c r="R42" s="32" t="str">
        <f aca="false">IF(L42="","",IF(ABS(L42)&lt;=O42,"Yes","No"))</f>
        <v>No</v>
      </c>
      <c r="S42" s="32" t="str">
        <f aca="false">IF(L42="","",IF(ABS(L42)&lt;=1.96*O42,"Yes","No"))</f>
        <v>No</v>
      </c>
      <c r="T42" s="59" t="n">
        <f aca="false">IF(D42="","",ROUND(SQRT(((D42+G42)*O42/100)^2+(J42*(D42+G42)*0.06991)^2),0))</f>
        <v>72</v>
      </c>
      <c r="U42" s="32"/>
    </row>
    <row r="43" customFormat="false" ht="15" hidden="false" customHeight="false" outlineLevel="0" collapsed="false">
      <c r="A43" s="32" t="s">
        <v>189</v>
      </c>
      <c r="B43" s="32" t="s">
        <v>208</v>
      </c>
      <c r="C43" s="32" t="s">
        <v>161</v>
      </c>
      <c r="D43" s="59" t="n">
        <v>6726</v>
      </c>
      <c r="E43" s="59" t="n">
        <v>6668</v>
      </c>
      <c r="F43" s="68" t="n">
        <f aca="false">IF(E43="","",D43-E43)</f>
        <v>58</v>
      </c>
      <c r="G43" s="59" t="n">
        <v>5732</v>
      </c>
      <c r="H43" s="59" t="n">
        <v>5856</v>
      </c>
      <c r="I43" s="68" t="n">
        <f aca="false">IF(H43="","",G43-H43)</f>
        <v>-124</v>
      </c>
      <c r="J43" s="40" t="n">
        <f aca="false">IF(OR(D43="",D43+G43=0),"",D43/(D43+G43))</f>
        <v>0.539894043987799</v>
      </c>
      <c r="K43" s="40" t="n">
        <f aca="false">IF(E43="","",E43/(E43+H43))</f>
        <v>0.532417757904823</v>
      </c>
      <c r="L43" s="69" t="n">
        <f aca="false">IF(OR(K43="",J43=""),"",(J43-K43)*100)</f>
        <v>0.747628608297635</v>
      </c>
      <c r="M43" s="36" t="n">
        <v>1.87647777182119</v>
      </c>
      <c r="N43" s="36" t="n">
        <v>1.35427844951641</v>
      </c>
      <c r="O43" s="36" t="n">
        <f aca="false">SQRT(M43^2+N43^2)</f>
        <v>2.31413892127581</v>
      </c>
      <c r="P43" s="40" t="n">
        <f aca="false">IF(J43="","",MAX(0,J43-1.96*O43/100))</f>
        <v>0.494536921130793</v>
      </c>
      <c r="Q43" s="40" t="n">
        <f aca="false">IF(J43="","",MIN(1,J43+1.96*O43/100))</f>
        <v>0.585251166844805</v>
      </c>
      <c r="R43" s="32" t="str">
        <f aca="false">IF(L43="","",IF(ABS(L43)&lt;=O43,"Yes","No"))</f>
        <v>Yes</v>
      </c>
      <c r="S43" s="32" t="str">
        <f aca="false">IF(L43="","",IF(ABS(L43)&lt;=1.96*O43,"Yes","No"))</f>
        <v>Yes</v>
      </c>
      <c r="T43" s="59" t="n">
        <f aca="false">IF(D43="","",ROUND(SQRT(((D43+G43)*O43/100)^2+(J43*(D43+G43)*0.0639)^2),0))</f>
        <v>518</v>
      </c>
      <c r="U43" s="32"/>
    </row>
    <row r="44" customFormat="false" ht="15" hidden="false" customHeight="false" outlineLevel="0" collapsed="false">
      <c r="A44" s="32" t="s">
        <v>189</v>
      </c>
      <c r="B44" s="32" t="s">
        <v>209</v>
      </c>
      <c r="C44" s="32" t="s">
        <v>161</v>
      </c>
      <c r="D44" s="59" t="n">
        <v>7206</v>
      </c>
      <c r="E44" s="59" t="n">
        <v>7495</v>
      </c>
      <c r="F44" s="68" t="n">
        <f aca="false">IF(E44="","",D44-E44)</f>
        <v>-289</v>
      </c>
      <c r="G44" s="59" t="n">
        <v>6997</v>
      </c>
      <c r="H44" s="59" t="n">
        <v>7011</v>
      </c>
      <c r="I44" s="68" t="n">
        <f aca="false">IF(H44="","",G44-H44)</f>
        <v>-14</v>
      </c>
      <c r="J44" s="40" t="n">
        <f aca="false">IF(OR(D44="",D44+G44=0),"",D44/(D44+G44))</f>
        <v>0.507357600506935</v>
      </c>
      <c r="K44" s="40" t="n">
        <f aca="false">IF(E44="","",E44/(E44+H44))</f>
        <v>0.516682751964704</v>
      </c>
      <c r="L44" s="69" t="n">
        <f aca="false">IF(OR(K44="",J44=""),"",(J44-K44)*100)</f>
        <v>-0.932515145776913</v>
      </c>
      <c r="M44" s="36" t="n">
        <v>1.87647777182119</v>
      </c>
      <c r="N44" s="36" t="n">
        <v>1.35427844951641</v>
      </c>
      <c r="O44" s="36" t="n">
        <f aca="false">SQRT(M44^2+N44^2)</f>
        <v>2.31413892127581</v>
      </c>
      <c r="P44" s="40" t="n">
        <f aca="false">IF(J44="","",MAX(0,J44-1.96*O44/100))</f>
        <v>0.462000477649929</v>
      </c>
      <c r="Q44" s="40" t="n">
        <f aca="false">IF(J44="","",MIN(1,J44+1.96*O44/100))</f>
        <v>0.552714723363941</v>
      </c>
      <c r="R44" s="32" t="str">
        <f aca="false">IF(L44="","",IF(ABS(L44)&lt;=O44,"Yes","No"))</f>
        <v>Yes</v>
      </c>
      <c r="S44" s="32" t="str">
        <f aca="false">IF(L44="","",IF(ABS(L44)&lt;=1.96*O44,"Yes","No"))</f>
        <v>Yes</v>
      </c>
      <c r="T44" s="59" t="n">
        <f aca="false">IF(D44="","",ROUND(SQRT(((D44+G44)*O44/100)^2+(J44*(D44+G44)*0.0639)^2),0))</f>
        <v>566</v>
      </c>
      <c r="U44" s="32"/>
    </row>
    <row r="45" customFormat="false" ht="15" hidden="false" customHeight="false" outlineLevel="0" collapsed="false">
      <c r="A45" s="32" t="s">
        <v>189</v>
      </c>
      <c r="B45" s="32" t="s">
        <v>210</v>
      </c>
      <c r="C45" s="32" t="s">
        <v>161</v>
      </c>
      <c r="D45" s="59" t="n">
        <v>2231</v>
      </c>
      <c r="E45" s="59" t="n">
        <v>2222</v>
      </c>
      <c r="F45" s="68" t="n">
        <f aca="false">IF(E45="","",D45-E45)</f>
        <v>9</v>
      </c>
      <c r="G45" s="59" t="n">
        <v>3004</v>
      </c>
      <c r="H45" s="59" t="n">
        <v>2955</v>
      </c>
      <c r="I45" s="68" t="n">
        <f aca="false">IF(H45="","",G45-H45)</f>
        <v>49</v>
      </c>
      <c r="J45" s="40" t="n">
        <f aca="false">IF(OR(D45="",D45+G45=0),"",D45/(D45+G45))</f>
        <v>0.426170009551098</v>
      </c>
      <c r="K45" s="40" t="n">
        <f aca="false">IF(E45="","",E45/(E45+H45))</f>
        <v>0.42920610392119</v>
      </c>
      <c r="L45" s="69" t="n">
        <f aca="false">IF(OR(K45="",J45=""),"",(J45-K45)*100)</f>
        <v>-0.30360943700915</v>
      </c>
      <c r="M45" s="36" t="n">
        <v>1.87647777182119</v>
      </c>
      <c r="N45" s="36" t="n">
        <v>1.35427844951641</v>
      </c>
      <c r="O45" s="36" t="n">
        <f aca="false">SQRT(M45^2+N45^2)</f>
        <v>2.31413892127581</v>
      </c>
      <c r="P45" s="40" t="n">
        <f aca="false">IF(J45="","",MAX(0,J45-1.96*O45/100))</f>
        <v>0.380812886694092</v>
      </c>
      <c r="Q45" s="40" t="n">
        <f aca="false">IF(J45="","",MIN(1,J45+1.96*O45/100))</f>
        <v>0.471527132408104</v>
      </c>
      <c r="R45" s="32" t="str">
        <f aca="false">IF(L45="","",IF(ABS(L45)&lt;=O45,"Yes","No"))</f>
        <v>Yes</v>
      </c>
      <c r="S45" s="32" t="str">
        <f aca="false">IF(L45="","",IF(ABS(L45)&lt;=1.96*O45,"Yes","No"))</f>
        <v>Yes</v>
      </c>
      <c r="T45" s="59" t="n">
        <f aca="false">IF(D45="","",ROUND(SQRT(((D45+G45)*O45/100)^2+(J45*(D45+G45)*0.0639)^2),0))</f>
        <v>187</v>
      </c>
      <c r="U45" s="32"/>
    </row>
    <row r="46" customFormat="false" ht="15" hidden="false" customHeight="false" outlineLevel="0" collapsed="false">
      <c r="A46" s="32" t="s">
        <v>189</v>
      </c>
      <c r="B46" s="32" t="s">
        <v>211</v>
      </c>
      <c r="C46" s="32" t="s">
        <v>161</v>
      </c>
      <c r="D46" s="59" t="n">
        <v>4778</v>
      </c>
      <c r="E46" s="59" t="n">
        <v>4817</v>
      </c>
      <c r="F46" s="68" t="n">
        <f aca="false">IF(E46="","",D46-E46)</f>
        <v>-39</v>
      </c>
      <c r="G46" s="59" t="n">
        <v>5555</v>
      </c>
      <c r="H46" s="59" t="n">
        <v>5501</v>
      </c>
      <c r="I46" s="68" t="n">
        <f aca="false">IF(H46="","",G46-H46)</f>
        <v>54</v>
      </c>
      <c r="J46" s="40" t="n">
        <f aca="false">IF(OR(D46="",D46+G46=0),"",D46/(D46+G46))</f>
        <v>0.46240201296816</v>
      </c>
      <c r="K46" s="40" t="n">
        <f aca="false">IF(E46="","",E46/(E46+H46))</f>
        <v>0.466854041480907</v>
      </c>
      <c r="L46" s="69" t="n">
        <f aca="false">IF(OR(K46="",J46=""),"",(J46-K46)*100)</f>
        <v>-0.44520285127469</v>
      </c>
      <c r="M46" s="36" t="n">
        <v>1.87647777182119</v>
      </c>
      <c r="N46" s="36" t="n">
        <v>1.35427844951641</v>
      </c>
      <c r="O46" s="36" t="n">
        <f aca="false">SQRT(M46^2+N46^2)</f>
        <v>2.31413892127581</v>
      </c>
      <c r="P46" s="40" t="n">
        <f aca="false">IF(J46="","",MAX(0,J46-1.96*O46/100))</f>
        <v>0.417044890111154</v>
      </c>
      <c r="Q46" s="40" t="n">
        <f aca="false">IF(J46="","",MIN(1,J46+1.96*O46/100))</f>
        <v>0.507759135825166</v>
      </c>
      <c r="R46" s="32" t="str">
        <f aca="false">IF(L46="","",IF(ABS(L46)&lt;=O46,"Yes","No"))</f>
        <v>Yes</v>
      </c>
      <c r="S46" s="32" t="str">
        <f aca="false">IF(L46="","",IF(ABS(L46)&lt;=1.96*O46,"Yes","No"))</f>
        <v>Yes</v>
      </c>
      <c r="T46" s="59" t="n">
        <f aca="false">IF(D46="","",ROUND(SQRT(((D46+G46)*O46/100)^2+(J46*(D46+G46)*0.0639)^2),0))</f>
        <v>388</v>
      </c>
      <c r="U46" s="32"/>
    </row>
    <row r="47" customFormat="false" ht="15" hidden="false" customHeight="false" outlineLevel="0" collapsed="false">
      <c r="A47" s="32" t="s">
        <v>189</v>
      </c>
      <c r="B47" s="32" t="s">
        <v>212</v>
      </c>
      <c r="C47" s="32" t="s">
        <v>161</v>
      </c>
      <c r="D47" s="59" t="n">
        <v>1318</v>
      </c>
      <c r="E47" s="59" t="n">
        <v>1231</v>
      </c>
      <c r="F47" s="68" t="n">
        <f aca="false">IF(E47="","",D47-E47)</f>
        <v>87</v>
      </c>
      <c r="G47" s="59" t="n">
        <v>2493</v>
      </c>
      <c r="H47" s="59" t="n">
        <v>2578</v>
      </c>
      <c r="I47" s="68" t="n">
        <f aca="false">IF(H47="","",G47-H47)</f>
        <v>-85</v>
      </c>
      <c r="J47" s="40" t="n">
        <f aca="false">IF(OR(D47="",D47+G47=0),"",D47/(D47+G47))</f>
        <v>0.345840986617686</v>
      </c>
      <c r="K47" s="40" t="n">
        <f aca="false">IF(E47="","",E47/(E47+H47))</f>
        <v>0.323181937516409</v>
      </c>
      <c r="L47" s="69" t="n">
        <f aca="false">IF(OR(K47="",J47=""),"",(J47-K47)*100)</f>
        <v>2.26590491012771</v>
      </c>
      <c r="M47" s="36" t="n">
        <v>1.87647777182119</v>
      </c>
      <c r="N47" s="36" t="n">
        <v>1.35427844951641</v>
      </c>
      <c r="O47" s="36" t="n">
        <f aca="false">SQRT(M47^2+N47^2)</f>
        <v>2.31413892127581</v>
      </c>
      <c r="P47" s="40" t="n">
        <f aca="false">IF(J47="","",MAX(0,J47-1.96*O47/100))</f>
        <v>0.30048386376068</v>
      </c>
      <c r="Q47" s="40" t="n">
        <f aca="false">IF(J47="","",MIN(1,J47+1.96*O47/100))</f>
        <v>0.391198109474692</v>
      </c>
      <c r="R47" s="32" t="str">
        <f aca="false">IF(L47="","",IF(ABS(L47)&lt;=O47,"Yes","No"))</f>
        <v>Yes</v>
      </c>
      <c r="S47" s="32" t="str">
        <f aca="false">IF(L47="","",IF(ABS(L47)&lt;=1.96*O47,"Yes","No"))</f>
        <v>Yes</v>
      </c>
      <c r="T47" s="59" t="n">
        <f aca="false">IF(D47="","",ROUND(SQRT(((D47+G47)*O47/100)^2+(J47*(D47+G47)*0.0639)^2),0))</f>
        <v>122</v>
      </c>
      <c r="U47" s="32"/>
    </row>
    <row r="48" customFormat="false" ht="15" hidden="false" customHeight="false" outlineLevel="0" collapsed="false">
      <c r="A48" s="32" t="s">
        <v>189</v>
      </c>
      <c r="B48" s="32" t="s">
        <v>213</v>
      </c>
      <c r="C48" s="32" t="s">
        <v>161</v>
      </c>
      <c r="D48" s="59" t="n">
        <v>1115</v>
      </c>
      <c r="E48" s="59" t="n">
        <v>1073</v>
      </c>
      <c r="F48" s="68" t="n">
        <f aca="false">IF(E48="","",D48-E48)</f>
        <v>42</v>
      </c>
      <c r="G48" s="59" t="n">
        <v>2110</v>
      </c>
      <c r="H48" s="59" t="n">
        <v>2156</v>
      </c>
      <c r="I48" s="68" t="n">
        <f aca="false">IF(H48="","",G48-H48)</f>
        <v>-46</v>
      </c>
      <c r="J48" s="40" t="n">
        <f aca="false">IF(OR(D48="",D48+G48=0),"",D48/(D48+G48))</f>
        <v>0.345736434108527</v>
      </c>
      <c r="K48" s="40" t="n">
        <f aca="false">IF(E48="","",E48/(E48+H48))</f>
        <v>0.332301021988232</v>
      </c>
      <c r="L48" s="69" t="n">
        <f aca="false">IF(OR(K48="",J48=""),"",(J48-K48)*100)</f>
        <v>1.34354121202955</v>
      </c>
      <c r="M48" s="36" t="n">
        <v>1.87165329242132</v>
      </c>
      <c r="N48" s="36" t="n">
        <v>1.35427844951641</v>
      </c>
      <c r="O48" s="36" t="n">
        <f aca="false">SQRT(M48^2+N48^2)</f>
        <v>2.31022859601731</v>
      </c>
      <c r="P48" s="40" t="n">
        <f aca="false">IF(J48="","",MAX(0,J48-1.96*O48/100))</f>
        <v>0.300455953626588</v>
      </c>
      <c r="Q48" s="40" t="n">
        <f aca="false">IF(J48="","",MIN(1,J48+1.96*O48/100))</f>
        <v>0.391016914590466</v>
      </c>
      <c r="R48" s="32" t="str">
        <f aca="false">IF(L48="","",IF(ABS(L48)&lt;=O48,"Yes","No"))</f>
        <v>Yes</v>
      </c>
      <c r="S48" s="32" t="str">
        <f aca="false">IF(L48="","",IF(ABS(L48)&lt;=1.96*O48,"Yes","No"))</f>
        <v>Yes</v>
      </c>
      <c r="T48" s="59" t="n">
        <f aca="false">IF(D48="","",ROUND(SQRT(((D48+G48)*O48/100)^2+(J48*(D48+G48)*0.06991)^2),0))</f>
        <v>108</v>
      </c>
      <c r="U48" s="32"/>
    </row>
    <row r="49" customFormat="false" ht="15" hidden="false" customHeight="false" outlineLevel="0" collapsed="false">
      <c r="A49" s="32" t="s">
        <v>189</v>
      </c>
      <c r="B49" s="32" t="s">
        <v>214</v>
      </c>
      <c r="C49" s="32" t="s">
        <v>161</v>
      </c>
      <c r="D49" s="59" t="n">
        <v>7587</v>
      </c>
      <c r="E49" s="59" t="n">
        <v>7458</v>
      </c>
      <c r="F49" s="68" t="n">
        <f aca="false">IF(E49="","",D49-E49)</f>
        <v>129</v>
      </c>
      <c r="G49" s="59" t="n">
        <v>6542</v>
      </c>
      <c r="H49" s="59" t="n">
        <v>6731</v>
      </c>
      <c r="I49" s="68" t="n">
        <f aca="false">IF(H49="","",G49-H49)</f>
        <v>-189</v>
      </c>
      <c r="J49" s="40" t="n">
        <f aca="false">IF(OR(D49="",D49+G49=0),"",D49/(D49+G49))</f>
        <v>0.536980678038078</v>
      </c>
      <c r="K49" s="40" t="n">
        <f aca="false">IF(E49="","",E49/(E49+H49))</f>
        <v>0.525618436817253</v>
      </c>
      <c r="L49" s="69" t="n">
        <f aca="false">IF(OR(K49="",J49=""),"",(J49-K49)*100)</f>
        <v>1.13622412208249</v>
      </c>
      <c r="M49" s="36" t="n">
        <v>1.87647777182119</v>
      </c>
      <c r="N49" s="36" t="n">
        <v>1.35427844951641</v>
      </c>
      <c r="O49" s="36" t="n">
        <f aca="false">SQRT(M49^2+N49^2)</f>
        <v>2.31413892127581</v>
      </c>
      <c r="P49" s="40" t="n">
        <f aca="false">IF(J49="","",MAX(0,J49-1.96*O49/100))</f>
        <v>0.491623555181072</v>
      </c>
      <c r="Q49" s="40" t="n">
        <f aca="false">IF(J49="","",MIN(1,J49+1.96*O49/100))</f>
        <v>0.582337800895084</v>
      </c>
      <c r="R49" s="32" t="str">
        <f aca="false">IF(L49="","",IF(ABS(L49)&lt;=O49,"Yes","No"))</f>
        <v>Yes</v>
      </c>
      <c r="S49" s="32" t="str">
        <f aca="false">IF(L49="","",IF(ABS(L49)&lt;=1.96*O49,"Yes","No"))</f>
        <v>Yes</v>
      </c>
      <c r="T49" s="59" t="n">
        <f aca="false">IF(D49="","",ROUND(SQRT(((D49+G49)*O49/100)^2+(J49*(D49+G49)*0.0639)^2),0))</f>
        <v>585</v>
      </c>
      <c r="U49" s="32"/>
    </row>
    <row r="50" customFormat="false" ht="15" hidden="false" customHeight="false" outlineLevel="0" collapsed="false">
      <c r="A50" s="32" t="s">
        <v>215</v>
      </c>
      <c r="B50" s="32" t="s">
        <v>216</v>
      </c>
      <c r="C50" s="32" t="s">
        <v>161</v>
      </c>
      <c r="D50" s="59" t="n">
        <v>490</v>
      </c>
      <c r="E50" s="59" t="n">
        <v>482</v>
      </c>
      <c r="F50" s="68" t="n">
        <f aca="false">IF(E50="","",D50-E50)</f>
        <v>8</v>
      </c>
      <c r="G50" s="59" t="n">
        <v>1028</v>
      </c>
      <c r="H50" s="59" t="n">
        <v>987</v>
      </c>
      <c r="I50" s="68" t="n">
        <f aca="false">IF(H50="","",G50-H50)</f>
        <v>41</v>
      </c>
      <c r="J50" s="40" t="n">
        <f aca="false">IF(OR(D50="",D50+G50=0),"",D50/(D50+G50))</f>
        <v>0.322793148880105</v>
      </c>
      <c r="K50" s="40" t="n">
        <f aca="false">IF(E50="","",E50/(E50+H50))</f>
        <v>0.328114363512594</v>
      </c>
      <c r="L50" s="69" t="n">
        <f aca="false">IF(OR(K50="",J50=""),"",(J50-K50)*100)</f>
        <v>-0.532121463248819</v>
      </c>
      <c r="M50" s="36" t="n">
        <v>3.3526268319753</v>
      </c>
      <c r="N50" s="36" t="n">
        <v>1.35427844951641</v>
      </c>
      <c r="O50" s="36" t="n">
        <f aca="false">SQRT(M50^2+N50^2)</f>
        <v>3.61582311421692</v>
      </c>
      <c r="P50" s="40" t="n">
        <f aca="false">IF(J50="","",MAX(0,J50-1.96*O50/100))</f>
        <v>0.251923015841454</v>
      </c>
      <c r="Q50" s="40" t="n">
        <f aca="false">IF(J50="","",MIN(1,J50+1.96*O50/100))</f>
        <v>0.393663281918757</v>
      </c>
      <c r="R50" s="32" t="str">
        <f aca="false">IF(L50="","",IF(ABS(L50)&lt;=O50,"Yes","No"))</f>
        <v>Yes</v>
      </c>
      <c r="S50" s="32" t="str">
        <f aca="false">IF(L50="","",IF(ABS(L50)&lt;=1.96*O50,"Yes","No"))</f>
        <v>Yes</v>
      </c>
      <c r="T50" s="59" t="n">
        <f aca="false">IF(D50="","",ROUND(SQRT(((D50+G50)*O50/100)^2+(J50*(D50+G50)*0.09092)^2),0))</f>
        <v>71</v>
      </c>
      <c r="U50" s="32"/>
    </row>
    <row r="51" customFormat="false" ht="15" hidden="false" customHeight="false" outlineLevel="0" collapsed="false">
      <c r="A51" s="32" t="s">
        <v>215</v>
      </c>
      <c r="B51" s="32" t="s">
        <v>218</v>
      </c>
      <c r="C51" s="32" t="s">
        <v>161</v>
      </c>
      <c r="D51" s="59" t="n">
        <v>1434</v>
      </c>
      <c r="E51" s="59" t="n">
        <v>1425</v>
      </c>
      <c r="F51" s="68" t="n">
        <f aca="false">IF(E51="","",D51-E51)</f>
        <v>9</v>
      </c>
      <c r="G51" s="59" t="n">
        <v>2613</v>
      </c>
      <c r="H51" s="59" t="n">
        <v>2491</v>
      </c>
      <c r="I51" s="68" t="n">
        <f aca="false">IF(H51="","",G51-H51)</f>
        <v>122</v>
      </c>
      <c r="J51" s="40" t="n">
        <f aca="false">IF(OR(D51="",D51+G51=0),"",D51/(D51+G51))</f>
        <v>0.354336545589325</v>
      </c>
      <c r="K51" s="40" t="n">
        <f aca="false">IF(E51="","",E51/(E51+H51))</f>
        <v>0.363891726251277</v>
      </c>
      <c r="L51" s="69" t="n">
        <f aca="false">IF(OR(K51="",J51=""),"",(J51-K51)*100)</f>
        <v>-0.955518066195138</v>
      </c>
      <c r="M51" s="36" t="n">
        <v>1.87647777182119</v>
      </c>
      <c r="N51" s="36" t="n">
        <v>1.35427844951641</v>
      </c>
      <c r="O51" s="36" t="n">
        <f aca="false">SQRT(M51^2+N51^2)</f>
        <v>2.31413892127581</v>
      </c>
      <c r="P51" s="40" t="n">
        <f aca="false">IF(J51="","",MAX(0,J51-1.96*O51/100))</f>
        <v>0.30897942273232</v>
      </c>
      <c r="Q51" s="40" t="n">
        <f aca="false">IF(J51="","",MIN(1,J51+1.96*O51/100))</f>
        <v>0.399693668446331</v>
      </c>
      <c r="R51" s="32" t="str">
        <f aca="false">IF(L51="","",IF(ABS(L51)&lt;=O51,"Yes","No"))</f>
        <v>Yes</v>
      </c>
      <c r="S51" s="32" t="str">
        <f aca="false">IF(L51="","",IF(ABS(L51)&lt;=1.96*O51,"Yes","No"))</f>
        <v>Yes</v>
      </c>
      <c r="T51" s="59" t="n">
        <f aca="false">IF(D51="","",ROUND(SQRT(((D51+G51)*O51/100)^2+(J51*(D51+G51)*0.0639)^2),0))</f>
        <v>131</v>
      </c>
      <c r="U51" s="32" t="s">
        <v>433</v>
      </c>
    </row>
    <row r="52" customFormat="false" ht="15" hidden="false" customHeight="false" outlineLevel="0" collapsed="false">
      <c r="A52" s="32" t="s">
        <v>215</v>
      </c>
      <c r="B52" s="32" t="s">
        <v>219</v>
      </c>
      <c r="C52" s="32" t="s">
        <v>161</v>
      </c>
      <c r="D52" s="59" t="n">
        <v>558</v>
      </c>
      <c r="E52" s="59" t="n">
        <v>502</v>
      </c>
      <c r="F52" s="68" t="n">
        <f aca="false">IF(E52="","",D52-E52)</f>
        <v>56</v>
      </c>
      <c r="G52" s="59" t="n">
        <v>945</v>
      </c>
      <c r="H52" s="59" t="n">
        <v>795</v>
      </c>
      <c r="I52" s="68" t="n">
        <f aca="false">IF(H52="","",G52-H52)</f>
        <v>150</v>
      </c>
      <c r="J52" s="40" t="n">
        <f aca="false">IF(OR(D52="",D52+G52=0),"",D52/(D52+G52))</f>
        <v>0.37125748502994</v>
      </c>
      <c r="K52" s="40" t="n">
        <f aca="false">IF(E52="","",E52/(E52+H52))</f>
        <v>0.387047031611411</v>
      </c>
      <c r="L52" s="69" t="n">
        <f aca="false">IF(OR(K52="",J52=""),"",(J52-K52)*100)</f>
        <v>-1.57895465814709</v>
      </c>
      <c r="M52" s="36" t="n">
        <v>3.3526268319753</v>
      </c>
      <c r="N52" s="36" t="n">
        <v>1.35427844951641</v>
      </c>
      <c r="O52" s="36" t="n">
        <f aca="false">SQRT(M52^2+N52^2)</f>
        <v>3.61582311421692</v>
      </c>
      <c r="P52" s="40" t="n">
        <f aca="false">IF(J52="","",MAX(0,J52-1.96*O52/100))</f>
        <v>0.300387351991289</v>
      </c>
      <c r="Q52" s="40" t="n">
        <f aca="false">IF(J52="","",MIN(1,J52+1.96*O52/100))</f>
        <v>0.442127618068592</v>
      </c>
      <c r="R52" s="32" t="str">
        <f aca="false">IF(L52="","",IF(ABS(L52)&lt;=O52,"Yes","No"))</f>
        <v>Yes</v>
      </c>
      <c r="S52" s="32" t="str">
        <f aca="false">IF(L52="","",IF(ABS(L52)&lt;=1.96*O52,"Yes","No"))</f>
        <v>Yes</v>
      </c>
      <c r="T52" s="59" t="n">
        <f aca="false">IF(D52="","",ROUND(SQRT(((D52+G52)*O52/100)^2+(J52*(D52+G52)*0.09092)^2),0))</f>
        <v>74</v>
      </c>
      <c r="U52" s="32" t="s">
        <v>434</v>
      </c>
    </row>
    <row r="53" customFormat="false" ht="15" hidden="false" customHeight="false" outlineLevel="0" collapsed="false">
      <c r="A53" s="32" t="s">
        <v>220</v>
      </c>
      <c r="B53" s="32" t="s">
        <v>221</v>
      </c>
      <c r="C53" s="32" t="s">
        <v>161</v>
      </c>
      <c r="D53" s="59" t="n">
        <v>1437</v>
      </c>
      <c r="E53" s="59" t="n">
        <v>1432</v>
      </c>
      <c r="F53" s="68" t="n">
        <f aca="false">IF(E53="","",D53-E53)</f>
        <v>5</v>
      </c>
      <c r="G53" s="59" t="n">
        <v>1939</v>
      </c>
      <c r="H53" s="59" t="n">
        <v>1882</v>
      </c>
      <c r="I53" s="68" t="n">
        <f aca="false">IF(H53="","",G53-H53)</f>
        <v>57</v>
      </c>
      <c r="J53" s="40" t="n">
        <f aca="false">IF(OR(D53="",D53+G53=0),"",D53/(D53+G53))</f>
        <v>0.425651658767773</v>
      </c>
      <c r="K53" s="40" t="n">
        <f aca="false">IF(E53="","",E53/(E53+H53))</f>
        <v>0.432106216053108</v>
      </c>
      <c r="L53" s="69" t="n">
        <f aca="false">IF(OR(K53="",J53=""),"",(J53-K53)*100)</f>
        <v>-0.645455728533551</v>
      </c>
      <c r="M53" s="36" t="n">
        <v>1.87165329242132</v>
      </c>
      <c r="N53" s="36" t="n">
        <v>1.35427844951641</v>
      </c>
      <c r="O53" s="36" t="n">
        <f aca="false">SQRT(M53^2+N53^2)</f>
        <v>2.31022859601731</v>
      </c>
      <c r="P53" s="40" t="n">
        <f aca="false">IF(J53="","",MAX(0,J53-1.96*O53/100))</f>
        <v>0.380371178285833</v>
      </c>
      <c r="Q53" s="40" t="n">
        <f aca="false">IF(J53="","",MIN(1,J53+1.96*O53/100))</f>
        <v>0.470932139249712</v>
      </c>
      <c r="R53" s="32" t="str">
        <f aca="false">IF(L53="","",IF(ABS(L53)&lt;=O53,"Yes","No"))</f>
        <v>Yes</v>
      </c>
      <c r="S53" s="32" t="str">
        <f aca="false">IF(L53="","",IF(ABS(L53)&lt;=1.96*O53,"Yes","No"))</f>
        <v>Yes</v>
      </c>
      <c r="T53" s="59" t="n">
        <f aca="false">IF(D53="","",ROUND(SQRT(((D53+G53)*O53/100)^2+(J53*(D53+G53)*0.06991)^2),0))</f>
        <v>127</v>
      </c>
      <c r="U53" s="32"/>
    </row>
    <row r="54" customFormat="false" ht="15" hidden="false" customHeight="false" outlineLevel="0" collapsed="false">
      <c r="A54" s="32" t="s">
        <v>220</v>
      </c>
      <c r="B54" s="32" t="s">
        <v>222</v>
      </c>
      <c r="C54" s="32" t="s">
        <v>161</v>
      </c>
      <c r="D54" s="59" t="n">
        <v>1016</v>
      </c>
      <c r="E54" s="59" t="n">
        <v>965</v>
      </c>
      <c r="F54" s="68" t="n">
        <f aca="false">IF(E54="","",D54-E54)</f>
        <v>51</v>
      </c>
      <c r="G54" s="59" t="n">
        <v>1279</v>
      </c>
      <c r="H54" s="59" t="n">
        <v>1342</v>
      </c>
      <c r="I54" s="68" t="n">
        <f aca="false">IF(H54="","",G54-H54)</f>
        <v>-63</v>
      </c>
      <c r="J54" s="40" t="n">
        <f aca="false">IF(OR(D54="",D54+G54=0),"",D54/(D54+G54))</f>
        <v>0.442701525054466</v>
      </c>
      <c r="K54" s="40" t="n">
        <f aca="false">IF(E54="","",E54/(E54+H54))</f>
        <v>0.418292154312961</v>
      </c>
      <c r="L54" s="69" t="n">
        <f aca="false">IF(OR(K54="",J54=""),"",(J54-K54)*100)</f>
        <v>2.44093707415057</v>
      </c>
      <c r="M54" s="36" t="n">
        <v>1.87165329242132</v>
      </c>
      <c r="N54" s="36" t="n">
        <v>1.35427844951641</v>
      </c>
      <c r="O54" s="36" t="n">
        <f aca="false">SQRT(M54^2+N54^2)</f>
        <v>2.31022859601731</v>
      </c>
      <c r="P54" s="40" t="n">
        <f aca="false">IF(J54="","",MAX(0,J54-1.96*O54/100))</f>
        <v>0.397421044572527</v>
      </c>
      <c r="Q54" s="40" t="n">
        <f aca="false">IF(J54="","",MIN(1,J54+1.96*O54/100))</f>
        <v>0.487982005536406</v>
      </c>
      <c r="R54" s="32" t="str">
        <f aca="false">IF(L54="","",IF(ABS(L54)&lt;=O54,"Yes","No"))</f>
        <v>No</v>
      </c>
      <c r="S54" s="32" t="str">
        <f aca="false">IF(L54="","",IF(ABS(L54)&lt;=1.96*O54,"Yes","No"))</f>
        <v>Yes</v>
      </c>
      <c r="T54" s="59" t="n">
        <f aca="false">IF(D54="","",ROUND(SQRT(((D54+G54)*O54/100)^2+(J54*(D54+G54)*0.06991)^2),0))</f>
        <v>89</v>
      </c>
      <c r="U54" s="32"/>
    </row>
    <row r="55" customFormat="false" ht="15" hidden="false" customHeight="false" outlineLevel="0" collapsed="false">
      <c r="A55" s="32" t="s">
        <v>220</v>
      </c>
      <c r="B55" s="32" t="s">
        <v>223</v>
      </c>
      <c r="C55" s="32" t="s">
        <v>161</v>
      </c>
      <c r="D55" s="59" t="n">
        <v>580</v>
      </c>
      <c r="E55" s="59" t="n">
        <v>579</v>
      </c>
      <c r="F55" s="68" t="n">
        <f aca="false">IF(E55="","",D55-E55)</f>
        <v>1</v>
      </c>
      <c r="G55" s="59" t="n">
        <v>675</v>
      </c>
      <c r="H55" s="59" t="n">
        <v>695</v>
      </c>
      <c r="I55" s="68" t="n">
        <f aca="false">IF(H55="","",G55-H55)</f>
        <v>-20</v>
      </c>
      <c r="J55" s="40" t="n">
        <f aca="false">IF(OR(D55="",D55+G55=0),"",D55/(D55+G55))</f>
        <v>0.462151394422311</v>
      </c>
      <c r="K55" s="40" t="n">
        <f aca="false">IF(E55="","",E55/(E55+H55))</f>
        <v>0.45447409733124</v>
      </c>
      <c r="L55" s="69" t="n">
        <f aca="false">IF(OR(K55="",J55=""),"",(J55-K55)*100)</f>
        <v>0.767729709107057</v>
      </c>
      <c r="M55" s="36" t="n">
        <v>3.3526268319753</v>
      </c>
      <c r="N55" s="36" t="n">
        <v>1.35427844951641</v>
      </c>
      <c r="O55" s="36" t="n">
        <f aca="false">SQRT(M55^2+N55^2)</f>
        <v>3.61582311421692</v>
      </c>
      <c r="P55" s="40" t="n">
        <f aca="false">IF(J55="","",MAX(0,J55-1.96*O55/100))</f>
        <v>0.391281261383659</v>
      </c>
      <c r="Q55" s="40" t="n">
        <f aca="false">IF(J55="","",MIN(1,J55+1.96*O55/100))</f>
        <v>0.533021527460962</v>
      </c>
      <c r="R55" s="32" t="str">
        <f aca="false">IF(L55="","",IF(ABS(L55)&lt;=O55,"Yes","No"))</f>
        <v>Yes</v>
      </c>
      <c r="S55" s="32" t="str">
        <f aca="false">IF(L55="","",IF(ABS(L55)&lt;=1.96*O55,"Yes","No"))</f>
        <v>Yes</v>
      </c>
      <c r="T55" s="59" t="n">
        <f aca="false">IF(D55="","",ROUND(SQRT(((D55+G55)*O55/100)^2+(J55*(D55+G55)*0.09092)^2),0))</f>
        <v>70</v>
      </c>
      <c r="U55" s="32"/>
    </row>
    <row r="56" customFormat="false" ht="15" hidden="false" customHeight="false" outlineLevel="0" collapsed="false">
      <c r="A56" s="32" t="s">
        <v>220</v>
      </c>
      <c r="B56" s="32" t="s">
        <v>192</v>
      </c>
      <c r="C56" s="32" t="s">
        <v>161</v>
      </c>
      <c r="D56" s="59" t="n">
        <v>17057</v>
      </c>
      <c r="E56" s="59" t="n">
        <v>16692</v>
      </c>
      <c r="F56" s="68" t="n">
        <f aca="false">IF(E56="","",D56-E56)</f>
        <v>365</v>
      </c>
      <c r="G56" s="59" t="n">
        <v>8271</v>
      </c>
      <c r="H56" s="59" t="n">
        <v>8176</v>
      </c>
      <c r="I56" s="68" t="n">
        <f aca="false">IF(H56="","",G56-H56)</f>
        <v>95</v>
      </c>
      <c r="J56" s="40" t="n">
        <f aca="false">IF(OR(D56="",D56+G56=0),"",D56/(D56+G56))</f>
        <v>0.673444409349337</v>
      </c>
      <c r="K56" s="40" t="n">
        <f aca="false">IF(E56="","",E56/(E56+H56))</f>
        <v>0.671224063052919</v>
      </c>
      <c r="L56" s="69" t="n">
        <f aca="false">IF(OR(K56="",J56=""),"",(J56-K56)*100)</f>
        <v>0.222034629641732</v>
      </c>
      <c r="M56" s="36" t="n">
        <v>1.87647777182119</v>
      </c>
      <c r="N56" s="36" t="n">
        <v>1.35427844951641</v>
      </c>
      <c r="O56" s="36" t="n">
        <f aca="false">SQRT(M56^2+N56^2)</f>
        <v>2.31413892127581</v>
      </c>
      <c r="P56" s="40" t="n">
        <f aca="false">IF(J56="","",MAX(0,J56-1.96*O56/100))</f>
        <v>0.628087286492331</v>
      </c>
      <c r="Q56" s="40" t="n">
        <f aca="false">IF(J56="","",MIN(1,J56+1.96*O56/100))</f>
        <v>0.718801532206343</v>
      </c>
      <c r="R56" s="32" t="str">
        <f aca="false">IF(L56="","",IF(ABS(L56)&lt;=O56,"Yes","No"))</f>
        <v>Yes</v>
      </c>
      <c r="S56" s="32" t="str">
        <f aca="false">IF(L56="","",IF(ABS(L56)&lt;=1.96*O56,"Yes","No"))</f>
        <v>Yes</v>
      </c>
      <c r="T56" s="59" t="n">
        <f aca="false">IF(D56="","",ROUND(SQRT(((D56+G56)*O56/100)^2+(J56*(D56+G56)*0.0639)^2),0))</f>
        <v>1238</v>
      </c>
      <c r="U56" s="32"/>
    </row>
    <row r="57" customFormat="false" ht="15" hidden="false" customHeight="false" outlineLevel="0" collapsed="false">
      <c r="A57" s="32" t="s">
        <v>220</v>
      </c>
      <c r="B57" s="32" t="s">
        <v>224</v>
      </c>
      <c r="C57" s="32" t="s">
        <v>161</v>
      </c>
      <c r="D57" s="59" t="n">
        <v>8274</v>
      </c>
      <c r="E57" s="59" t="n">
        <v>8164</v>
      </c>
      <c r="F57" s="68" t="n">
        <f aca="false">IF(E57="","",D57-E57)</f>
        <v>110</v>
      </c>
      <c r="G57" s="59" t="n">
        <v>7266</v>
      </c>
      <c r="H57" s="59" t="n">
        <v>7277</v>
      </c>
      <c r="I57" s="68" t="n">
        <f aca="false">IF(H57="","",G57-H57)</f>
        <v>-11</v>
      </c>
      <c r="J57" s="40" t="n">
        <f aca="false">IF(OR(D57="",D57+G57=0),"",D57/(D57+G57))</f>
        <v>0.532432432432432</v>
      </c>
      <c r="K57" s="40" t="n">
        <f aca="false">IF(E57="","",E57/(E57+H57))</f>
        <v>0.528722233015996</v>
      </c>
      <c r="L57" s="69" t="n">
        <f aca="false">IF(OR(K57="",J57=""),"",(J57-K57)*100)</f>
        <v>0.371019941643602</v>
      </c>
      <c r="M57" s="36" t="n">
        <v>1.87647777182119</v>
      </c>
      <c r="N57" s="36" t="n">
        <v>1.35427844951641</v>
      </c>
      <c r="O57" s="36" t="n">
        <f aca="false">SQRT(M57^2+N57^2)</f>
        <v>2.31413892127581</v>
      </c>
      <c r="P57" s="40" t="n">
        <f aca="false">IF(J57="","",MAX(0,J57-1.96*O57/100))</f>
        <v>0.487075309575427</v>
      </c>
      <c r="Q57" s="40" t="n">
        <f aca="false">IF(J57="","",MIN(1,J57+1.96*O57/100))</f>
        <v>0.577789555289438</v>
      </c>
      <c r="R57" s="32" t="str">
        <f aca="false">IF(L57="","",IF(ABS(L57)&lt;=O57,"Yes","No"))</f>
        <v>Yes</v>
      </c>
      <c r="S57" s="32" t="str">
        <f aca="false">IF(L57="","",IF(ABS(L57)&lt;=1.96*O57,"Yes","No"))</f>
        <v>Yes</v>
      </c>
      <c r="T57" s="59" t="n">
        <f aca="false">IF(D57="","",ROUND(SQRT(((D57+G57)*O57/100)^2+(J57*(D57+G57)*0.0639)^2),0))</f>
        <v>639</v>
      </c>
      <c r="U57" s="32"/>
    </row>
    <row r="58" customFormat="false" ht="15" hidden="false" customHeight="false" outlineLevel="0" collapsed="false">
      <c r="A58" s="32" t="s">
        <v>220</v>
      </c>
      <c r="B58" s="32" t="s">
        <v>225</v>
      </c>
      <c r="C58" s="32" t="s">
        <v>161</v>
      </c>
      <c r="D58" s="59" t="n">
        <v>2004</v>
      </c>
      <c r="E58" s="59" t="n">
        <v>1988</v>
      </c>
      <c r="F58" s="68" t="n">
        <f aca="false">IF(E58="","",D58-E58)</f>
        <v>16</v>
      </c>
      <c r="G58" s="59" t="n">
        <v>3381</v>
      </c>
      <c r="H58" s="59" t="n">
        <v>3385</v>
      </c>
      <c r="I58" s="68" t="n">
        <f aca="false">IF(H58="","",G58-H58)</f>
        <v>-4</v>
      </c>
      <c r="J58" s="40" t="n">
        <f aca="false">IF(OR(D58="",D58+G58=0),"",D58/(D58+G58))</f>
        <v>0.372144846796657</v>
      </c>
      <c r="K58" s="40" t="n">
        <f aca="false">IF(E58="","",E58/(E58+H58))</f>
        <v>0.36999813884236</v>
      </c>
      <c r="L58" s="69" t="n">
        <f aca="false">IF(OR(K58="",J58=""),"",(J58-K58)*100)</f>
        <v>0.214670795429744</v>
      </c>
      <c r="M58" s="36" t="n">
        <v>1.87647777182119</v>
      </c>
      <c r="N58" s="36" t="n">
        <v>1.35427844951641</v>
      </c>
      <c r="O58" s="36" t="n">
        <f aca="false">SQRT(M58^2+N58^2)</f>
        <v>2.31413892127581</v>
      </c>
      <c r="P58" s="40" t="n">
        <f aca="false">IF(J58="","",MAX(0,J58-1.96*O58/100))</f>
        <v>0.326787723939652</v>
      </c>
      <c r="Q58" s="40" t="n">
        <f aca="false">IF(J58="","",MIN(1,J58+1.96*O58/100))</f>
        <v>0.417501969653663</v>
      </c>
      <c r="R58" s="32" t="str">
        <f aca="false">IF(L58="","",IF(ABS(L58)&lt;=O58,"Yes","No"))</f>
        <v>Yes</v>
      </c>
      <c r="S58" s="32" t="str">
        <f aca="false">IF(L58="","",IF(ABS(L58)&lt;=1.96*O58,"Yes","No"))</f>
        <v>Yes</v>
      </c>
      <c r="T58" s="59" t="n">
        <f aca="false">IF(D58="","",ROUND(SQRT(((D58+G58)*O58/100)^2+(J58*(D58+G58)*0.0639)^2),0))</f>
        <v>179</v>
      </c>
      <c r="U58" s="32"/>
    </row>
    <row r="59" customFormat="false" ht="15" hidden="false" customHeight="false" outlineLevel="0" collapsed="false">
      <c r="A59" s="32" t="s">
        <v>220</v>
      </c>
      <c r="B59" s="32" t="s">
        <v>226</v>
      </c>
      <c r="C59" s="32" t="s">
        <v>161</v>
      </c>
      <c r="D59" s="59" t="n">
        <v>45</v>
      </c>
      <c r="E59" s="59" t="n">
        <v>39</v>
      </c>
      <c r="F59" s="68" t="n">
        <f aca="false">IF(E59="","",D59-E59)</f>
        <v>6</v>
      </c>
      <c r="G59" s="59" t="n">
        <v>75</v>
      </c>
      <c r="H59" s="59" t="n">
        <v>79</v>
      </c>
      <c r="I59" s="68" t="n">
        <f aca="false">IF(H59="","",G59-H59)</f>
        <v>-4</v>
      </c>
      <c r="J59" s="40" t="n">
        <f aca="false">IF(OR(D59="",D59+G59=0),"",D59/(D59+G59))</f>
        <v>0.375</v>
      </c>
      <c r="K59" s="40" t="n">
        <f aca="false">IF(E59="","",E59/(E59+H59))</f>
        <v>0.330508474576271</v>
      </c>
      <c r="L59" s="69" t="n">
        <f aca="false">IF(OR(K59="",J59=""),"",(J59-K59)*100)</f>
        <v>4.44915254237288</v>
      </c>
      <c r="M59" s="36" t="n">
        <v>3.3526268319753</v>
      </c>
      <c r="N59" s="36" t="n">
        <v>1.35427844951641</v>
      </c>
      <c r="O59" s="36" t="n">
        <f aca="false">SQRT(M59^2+N59^2)</f>
        <v>3.61582311421692</v>
      </c>
      <c r="P59" s="40" t="n">
        <f aca="false">IF(J59="","",MAX(0,J59-1.96*O59/100))</f>
        <v>0.304129866961348</v>
      </c>
      <c r="Q59" s="40" t="n">
        <f aca="false">IF(J59="","",MIN(1,J59+1.96*O59/100))</f>
        <v>0.445870133038652</v>
      </c>
      <c r="R59" s="32" t="str">
        <f aca="false">IF(L59="","",IF(ABS(L59)&lt;=O59,"Yes","No"))</f>
        <v>No</v>
      </c>
      <c r="S59" s="32" t="str">
        <f aca="false">IF(L59="","",IF(ABS(L59)&lt;=1.96*O59,"Yes","No"))</f>
        <v>Yes</v>
      </c>
      <c r="T59" s="59" t="n">
        <f aca="false">IF(D59="","",ROUND(SQRT(((D59+G59)*O59/100)^2+(J59*(D59+G59)*0.09092)^2),0))</f>
        <v>6</v>
      </c>
      <c r="U59" s="32"/>
    </row>
    <row r="60" customFormat="false" ht="15" hidden="false" customHeight="false" outlineLevel="0" collapsed="false">
      <c r="A60" s="32" t="s">
        <v>220</v>
      </c>
      <c r="B60" s="32" t="s">
        <v>227</v>
      </c>
      <c r="C60" s="32" t="s">
        <v>161</v>
      </c>
      <c r="D60" s="59" t="n">
        <v>1282</v>
      </c>
      <c r="E60" s="59" t="n">
        <v>1215</v>
      </c>
      <c r="F60" s="68" t="n">
        <f aca="false">IF(E60="","",D60-E60)</f>
        <v>67</v>
      </c>
      <c r="G60" s="59" t="n">
        <v>1783</v>
      </c>
      <c r="H60" s="59" t="n">
        <v>1784</v>
      </c>
      <c r="I60" s="68" t="n">
        <f aca="false">IF(H60="","",G60-H60)</f>
        <v>-1</v>
      </c>
      <c r="J60" s="40" t="n">
        <f aca="false">IF(OR(D60="",D60+G60=0),"",D60/(D60+G60))</f>
        <v>0.418270799347471</v>
      </c>
      <c r="K60" s="40" t="n">
        <f aca="false">IF(E60="","",E60/(E60+H60))</f>
        <v>0.405135045015005</v>
      </c>
      <c r="L60" s="69" t="n">
        <f aca="false">IF(OR(K60="",J60=""),"",(J60-K60)*100)</f>
        <v>1.31357543324664</v>
      </c>
      <c r="M60" s="36" t="n">
        <v>1.87165329242132</v>
      </c>
      <c r="N60" s="36" t="n">
        <v>1.35427844951641</v>
      </c>
      <c r="O60" s="36" t="n">
        <f aca="false">SQRT(M60^2+N60^2)</f>
        <v>2.31022859601731</v>
      </c>
      <c r="P60" s="40" t="n">
        <f aca="false">IF(J60="","",MAX(0,J60-1.96*O60/100))</f>
        <v>0.372990318865532</v>
      </c>
      <c r="Q60" s="40" t="n">
        <f aca="false">IF(J60="","",MIN(1,J60+1.96*O60/100))</f>
        <v>0.463551279829411</v>
      </c>
      <c r="R60" s="32" t="str">
        <f aca="false">IF(L60="","",IF(ABS(L60)&lt;=O60,"Yes","No"))</f>
        <v>Yes</v>
      </c>
      <c r="S60" s="32" t="str">
        <f aca="false">IF(L60="","",IF(ABS(L60)&lt;=1.96*O60,"Yes","No"))</f>
        <v>Yes</v>
      </c>
      <c r="T60" s="59" t="n">
        <f aca="false">IF(D60="","",ROUND(SQRT(((D60+G60)*O60/100)^2+(J60*(D60+G60)*0.06991)^2),0))</f>
        <v>114</v>
      </c>
      <c r="U60" s="32"/>
    </row>
    <row r="61" customFormat="false" ht="15" hidden="false" customHeight="false" outlineLevel="0" collapsed="false">
      <c r="A61" s="32" t="s">
        <v>220</v>
      </c>
      <c r="B61" s="32" t="s">
        <v>228</v>
      </c>
      <c r="C61" s="32" t="s">
        <v>161</v>
      </c>
      <c r="D61" s="59" t="n">
        <v>204</v>
      </c>
      <c r="E61" s="59" t="n">
        <v>166</v>
      </c>
      <c r="F61" s="68" t="n">
        <f aca="false">IF(E61="","",D61-E61)</f>
        <v>38</v>
      </c>
      <c r="G61" s="59" t="n">
        <v>308</v>
      </c>
      <c r="H61" s="59" t="n">
        <v>332</v>
      </c>
      <c r="I61" s="68" t="n">
        <f aca="false">IF(H61="","",G61-H61)</f>
        <v>-24</v>
      </c>
      <c r="J61" s="40" t="n">
        <f aca="false">IF(OR(D61="",D61+G61=0),"",D61/(D61+G61))</f>
        <v>0.3984375</v>
      </c>
      <c r="K61" s="40" t="n">
        <f aca="false">IF(E61="","",E61/(E61+H61))</f>
        <v>0.333333333333333</v>
      </c>
      <c r="L61" s="69" t="n">
        <f aca="false">IF(OR(K61="",J61=""),"",(J61-K61)*100)</f>
        <v>6.51041666666667</v>
      </c>
      <c r="M61" s="36" t="n">
        <v>3.3526268319753</v>
      </c>
      <c r="N61" s="36" t="n">
        <v>1.35427844951641</v>
      </c>
      <c r="O61" s="36" t="n">
        <f aca="false">SQRT(M61^2+N61^2)</f>
        <v>3.61582311421692</v>
      </c>
      <c r="P61" s="40" t="n">
        <f aca="false">IF(J61="","",MAX(0,J61-1.96*O61/100))</f>
        <v>0.327567366961348</v>
      </c>
      <c r="Q61" s="40" t="n">
        <f aca="false">IF(J61="","",MIN(1,J61+1.96*O61/100))</f>
        <v>0.469307633038652</v>
      </c>
      <c r="R61" s="32" t="str">
        <f aca="false">IF(L61="","",IF(ABS(L61)&lt;=O61,"Yes","No"))</f>
        <v>No</v>
      </c>
      <c r="S61" s="32" t="str">
        <f aca="false">IF(L61="","",IF(ABS(L61)&lt;=1.96*O61,"Yes","No"))</f>
        <v>Yes</v>
      </c>
      <c r="T61" s="59" t="n">
        <f aca="false">IF(D61="","",ROUND(SQRT(((D61+G61)*O61/100)^2+(J61*(D61+G61)*0.09092)^2),0))</f>
        <v>26</v>
      </c>
      <c r="U61" s="32"/>
    </row>
    <row r="62" customFormat="false" ht="15" hidden="false" customHeight="false" outlineLevel="0" collapsed="false">
      <c r="A62" s="32" t="s">
        <v>220</v>
      </c>
      <c r="B62" s="32" t="s">
        <v>229</v>
      </c>
      <c r="C62" s="32" t="s">
        <v>161</v>
      </c>
      <c r="D62" s="59" t="n">
        <v>7422</v>
      </c>
      <c r="E62" s="59" t="n">
        <v>7095</v>
      </c>
      <c r="F62" s="68" t="n">
        <f aca="false">IF(E62="","",D62-E62)</f>
        <v>327</v>
      </c>
      <c r="G62" s="59" t="n">
        <v>2985</v>
      </c>
      <c r="H62" s="59" t="n">
        <v>2953</v>
      </c>
      <c r="I62" s="68" t="n">
        <f aca="false">IF(H62="","",G62-H62)</f>
        <v>32</v>
      </c>
      <c r="J62" s="40" t="n">
        <f aca="false">IF(OR(D62="",D62+G62=0),"",D62/(D62+G62))</f>
        <v>0.713173825309888</v>
      </c>
      <c r="K62" s="40" t="n">
        <f aca="false">IF(E62="","",E62/(E62+H62))</f>
        <v>0.706110668789809</v>
      </c>
      <c r="L62" s="69" t="n">
        <f aca="false">IF(OR(K62="",J62=""),"",(J62-K62)*100)</f>
        <v>0.706315652007872</v>
      </c>
      <c r="M62" s="36" t="n">
        <v>1.87647777182119</v>
      </c>
      <c r="N62" s="36" t="n">
        <v>1.35427844951641</v>
      </c>
      <c r="O62" s="36" t="n">
        <f aca="false">SQRT(M62^2+N62^2)</f>
        <v>2.31413892127581</v>
      </c>
      <c r="P62" s="40" t="n">
        <f aca="false">IF(J62="","",MAX(0,J62-1.96*O62/100))</f>
        <v>0.667816702452882</v>
      </c>
      <c r="Q62" s="40" t="n">
        <f aca="false">IF(J62="","",MIN(1,J62+1.96*O62/100))</f>
        <v>0.758530948166894</v>
      </c>
      <c r="R62" s="32" t="str">
        <f aca="false">IF(L62="","",IF(ABS(L62)&lt;=O62,"Yes","No"))</f>
        <v>Yes</v>
      </c>
      <c r="S62" s="32" t="str">
        <f aca="false">IF(L62="","",IF(ABS(L62)&lt;=1.96*O62,"Yes","No"))</f>
        <v>Yes</v>
      </c>
      <c r="T62" s="59" t="n">
        <f aca="false">IF(D62="","",ROUND(SQRT(((D62+G62)*O62/100)^2+(J62*(D62+G62)*0.0639)^2),0))</f>
        <v>532</v>
      </c>
      <c r="U62" s="32"/>
    </row>
    <row r="63" customFormat="false" ht="15" hidden="false" customHeight="false" outlineLevel="0" collapsed="false">
      <c r="A63" s="32" t="s">
        <v>220</v>
      </c>
      <c r="B63" s="32" t="s">
        <v>230</v>
      </c>
      <c r="C63" s="32" t="s">
        <v>161</v>
      </c>
      <c r="D63" s="59" t="n">
        <v>5232</v>
      </c>
      <c r="E63" s="59" t="n">
        <v>5038</v>
      </c>
      <c r="F63" s="68" t="n">
        <f aca="false">IF(E63="","",D63-E63)</f>
        <v>194</v>
      </c>
      <c r="G63" s="59" t="n">
        <v>4723</v>
      </c>
      <c r="H63" s="59" t="n">
        <v>4815</v>
      </c>
      <c r="I63" s="68" t="n">
        <f aca="false">IF(H63="","",G63-H63)</f>
        <v>-92</v>
      </c>
      <c r="J63" s="40" t="n">
        <f aca="false">IF(OR(D63="",D63+G63=0),"",D63/(D63+G63))</f>
        <v>0.525565042692115</v>
      </c>
      <c r="K63" s="40" t="n">
        <f aca="false">IF(E63="","",E63/(E63+H63))</f>
        <v>0.511316350350147</v>
      </c>
      <c r="L63" s="69" t="n">
        <f aca="false">IF(OR(K63="",J63=""),"",(J63-K63)*100)</f>
        <v>1.42486923419675</v>
      </c>
      <c r="M63" s="36" t="n">
        <v>1.87647777182119</v>
      </c>
      <c r="N63" s="36" t="n">
        <v>1.35427844951641</v>
      </c>
      <c r="O63" s="36" t="n">
        <f aca="false">SQRT(M63^2+N63^2)</f>
        <v>2.31413892127581</v>
      </c>
      <c r="P63" s="40" t="n">
        <f aca="false">IF(J63="","",MAX(0,J63-1.96*O63/100))</f>
        <v>0.480207919835109</v>
      </c>
      <c r="Q63" s="40" t="n">
        <f aca="false">IF(J63="","",MIN(1,J63+1.96*O63/100))</f>
        <v>0.570922165549121</v>
      </c>
      <c r="R63" s="32" t="str">
        <f aca="false">IF(L63="","",IF(ABS(L63)&lt;=O63,"Yes","No"))</f>
        <v>Yes</v>
      </c>
      <c r="S63" s="32" t="str">
        <f aca="false">IF(L63="","",IF(ABS(L63)&lt;=1.96*O63,"Yes","No"))</f>
        <v>Yes</v>
      </c>
      <c r="T63" s="59" t="n">
        <f aca="false">IF(D63="","",ROUND(SQRT(((D63+G63)*O63/100)^2+(J63*(D63+G63)*0.0639)^2),0))</f>
        <v>406</v>
      </c>
      <c r="U63" s="32"/>
    </row>
    <row r="64" customFormat="false" ht="15" hidden="false" customHeight="false" outlineLevel="0" collapsed="false">
      <c r="A64" s="32" t="s">
        <v>220</v>
      </c>
      <c r="B64" s="32" t="s">
        <v>231</v>
      </c>
      <c r="C64" s="32" t="s">
        <v>161</v>
      </c>
      <c r="D64" s="59" t="n">
        <v>723</v>
      </c>
      <c r="E64" s="59" t="n">
        <v>768</v>
      </c>
      <c r="F64" s="68" t="n">
        <f aca="false">IF(E64="","",D64-E64)</f>
        <v>-45</v>
      </c>
      <c r="G64" s="59" t="n">
        <v>440</v>
      </c>
      <c r="H64" s="59" t="n">
        <v>460</v>
      </c>
      <c r="I64" s="68" t="n">
        <f aca="false">IF(H64="","",G64-H64)</f>
        <v>-20</v>
      </c>
      <c r="J64" s="40" t="n">
        <f aca="false">IF(OR(D64="",D64+G64=0),"",D64/(D64+G64))</f>
        <v>0.621668099742046</v>
      </c>
      <c r="K64" s="40" t="n">
        <f aca="false">IF(E64="","",E64/(E64+H64))</f>
        <v>0.625407166123778</v>
      </c>
      <c r="L64" s="69" t="n">
        <f aca="false">IF(OR(K64="",J64=""),"",(J64-K64)*100)</f>
        <v>-0.373906638173205</v>
      </c>
      <c r="M64" s="36" t="n">
        <v>3.3526268319753</v>
      </c>
      <c r="N64" s="36" t="n">
        <v>1.35427844951641</v>
      </c>
      <c r="O64" s="36" t="n">
        <f aca="false">SQRT(M64^2+N64^2)</f>
        <v>3.61582311421692</v>
      </c>
      <c r="P64" s="40" t="n">
        <f aca="false">IF(J64="","",MAX(0,J64-1.96*O64/100))</f>
        <v>0.550797966703395</v>
      </c>
      <c r="Q64" s="40" t="n">
        <f aca="false">IF(J64="","",MIN(1,J64+1.96*O64/100))</f>
        <v>0.692538232780698</v>
      </c>
      <c r="R64" s="32" t="str">
        <f aca="false">IF(L64="","",IF(ABS(L64)&lt;=O64,"Yes","No"))</f>
        <v>Yes</v>
      </c>
      <c r="S64" s="32" t="str">
        <f aca="false">IF(L64="","",IF(ABS(L64)&lt;=1.96*O64,"Yes","No"))</f>
        <v>Yes</v>
      </c>
      <c r="T64" s="59" t="n">
        <f aca="false">IF(D64="","",ROUND(SQRT(((D64+G64)*O64/100)^2+(J64*(D64+G64)*0.09092)^2),0))</f>
        <v>78</v>
      </c>
      <c r="U64" s="32"/>
    </row>
    <row r="65" customFormat="false" ht="15" hidden="false" customHeight="false" outlineLevel="0" collapsed="false">
      <c r="A65" s="32" t="s">
        <v>220</v>
      </c>
      <c r="B65" s="32" t="s">
        <v>232</v>
      </c>
      <c r="C65" s="32" t="s">
        <v>161</v>
      </c>
      <c r="D65" s="59" t="n">
        <v>113</v>
      </c>
      <c r="E65" s="59" t="n">
        <v>101</v>
      </c>
      <c r="F65" s="68" t="n">
        <f aca="false">IF(E65="","",D65-E65)</f>
        <v>12</v>
      </c>
      <c r="G65" s="59" t="n">
        <v>89</v>
      </c>
      <c r="H65" s="59" t="n">
        <v>100</v>
      </c>
      <c r="I65" s="68" t="n">
        <f aca="false">IF(H65="","",G65-H65)</f>
        <v>-11</v>
      </c>
      <c r="J65" s="40" t="n">
        <f aca="false">IF(OR(D65="",D65+G65=0),"",D65/(D65+G65))</f>
        <v>0.55940594059406</v>
      </c>
      <c r="K65" s="40" t="n">
        <f aca="false">IF(E65="","",E65/(E65+H65))</f>
        <v>0.502487562189055</v>
      </c>
      <c r="L65" s="69" t="n">
        <f aca="false">IF(OR(K65="",J65=""),"",(J65-K65)*100)</f>
        <v>5.69183784050047</v>
      </c>
      <c r="M65" s="36" t="n">
        <v>3.3526268319753</v>
      </c>
      <c r="N65" s="36" t="n">
        <v>1.35427844951641</v>
      </c>
      <c r="O65" s="36" t="n">
        <f aca="false">SQRT(M65^2+N65^2)</f>
        <v>3.61582311421692</v>
      </c>
      <c r="P65" s="40" t="n">
        <f aca="false">IF(J65="","",MAX(0,J65-1.96*O65/100))</f>
        <v>0.488535807555408</v>
      </c>
      <c r="Q65" s="40" t="n">
        <f aca="false">IF(J65="","",MIN(1,J65+1.96*O65/100))</f>
        <v>0.630276073632711</v>
      </c>
      <c r="R65" s="32" t="str">
        <f aca="false">IF(L65="","",IF(ABS(L65)&lt;=O65,"Yes","No"))</f>
        <v>No</v>
      </c>
      <c r="S65" s="32" t="str">
        <f aca="false">IF(L65="","",IF(ABS(L65)&lt;=1.96*O65,"Yes","No"))</f>
        <v>Yes</v>
      </c>
      <c r="T65" s="59" t="n">
        <f aca="false">IF(D65="","",ROUND(SQRT(((D65+G65)*O65/100)^2+(J65*(D65+G65)*0.09092)^2),0))</f>
        <v>13</v>
      </c>
      <c r="U65" s="32"/>
    </row>
    <row r="66" customFormat="false" ht="15" hidden="false" customHeight="false" outlineLevel="0" collapsed="false">
      <c r="A66" s="32" t="s">
        <v>220</v>
      </c>
      <c r="B66" s="32" t="s">
        <v>198</v>
      </c>
      <c r="C66" s="32" t="s">
        <v>161</v>
      </c>
      <c r="D66" s="59" t="n">
        <v>4229</v>
      </c>
      <c r="E66" s="59" t="n">
        <v>4234</v>
      </c>
      <c r="F66" s="68" t="n">
        <f aca="false">IF(E66="","",D66-E66)</f>
        <v>-5</v>
      </c>
      <c r="G66" s="59" t="n">
        <v>3716</v>
      </c>
      <c r="H66" s="59" t="n">
        <v>3699</v>
      </c>
      <c r="I66" s="68" t="n">
        <f aca="false">IF(H66="","",G66-H66)</f>
        <v>17</v>
      </c>
      <c r="J66" s="40" t="n">
        <f aca="false">IF(OR(D66="",D66+G66=0),"",D66/(D66+G66))</f>
        <v>0.532284455632473</v>
      </c>
      <c r="K66" s="40" t="n">
        <f aca="false">IF(E66="","",E66/(E66+H66))</f>
        <v>0.533719904197655</v>
      </c>
      <c r="L66" s="69" t="n">
        <f aca="false">IF(OR(K66="",J66=""),"",(J66-K66)*100)</f>
        <v>-0.143544856518207</v>
      </c>
      <c r="M66" s="36" t="n">
        <v>1.87647777182119</v>
      </c>
      <c r="N66" s="36" t="n">
        <v>1.35427844951641</v>
      </c>
      <c r="O66" s="36" t="n">
        <f aca="false">SQRT(M66^2+N66^2)</f>
        <v>2.31413892127581</v>
      </c>
      <c r="P66" s="40" t="n">
        <f aca="false">IF(J66="","",MAX(0,J66-1.96*O66/100))</f>
        <v>0.486927332775467</v>
      </c>
      <c r="Q66" s="40" t="n">
        <f aca="false">IF(J66="","",MIN(1,J66+1.96*O66/100))</f>
        <v>0.577641578489479</v>
      </c>
      <c r="R66" s="32" t="str">
        <f aca="false">IF(L66="","",IF(ABS(L66)&lt;=O66,"Yes","No"))</f>
        <v>Yes</v>
      </c>
      <c r="S66" s="32" t="str">
        <f aca="false">IF(L66="","",IF(ABS(L66)&lt;=1.96*O66,"Yes","No"))</f>
        <v>Yes</v>
      </c>
      <c r="T66" s="59" t="n">
        <f aca="false">IF(D66="","",ROUND(SQRT(((D66+G66)*O66/100)^2+(J66*(D66+G66)*0.0639)^2),0))</f>
        <v>327</v>
      </c>
      <c r="U66" s="32"/>
    </row>
    <row r="67" customFormat="false" ht="15" hidden="false" customHeight="false" outlineLevel="0" collapsed="false">
      <c r="A67" s="32" t="s">
        <v>220</v>
      </c>
      <c r="B67" s="32" t="s">
        <v>233</v>
      </c>
      <c r="C67" s="32" t="s">
        <v>161</v>
      </c>
      <c r="D67" s="59" t="n">
        <v>1763</v>
      </c>
      <c r="E67" s="59" t="n">
        <v>1646</v>
      </c>
      <c r="F67" s="68" t="n">
        <f aca="false">IF(E67="","",D67-E67)</f>
        <v>117</v>
      </c>
      <c r="G67" s="59" t="n">
        <v>1542</v>
      </c>
      <c r="H67" s="59" t="n">
        <v>1608</v>
      </c>
      <c r="I67" s="68" t="n">
        <f aca="false">IF(H67="","",G67-H67)</f>
        <v>-66</v>
      </c>
      <c r="J67" s="40" t="n">
        <f aca="false">IF(OR(D67="",D67+G67=0),"",D67/(D67+G67))</f>
        <v>0.533434190620272</v>
      </c>
      <c r="K67" s="40" t="n">
        <f aca="false">IF(E67="","",E67/(E67+H67))</f>
        <v>0.505838967424708</v>
      </c>
      <c r="L67" s="69" t="n">
        <f aca="false">IF(OR(K67="",J67=""),"",(J67-K67)*100)</f>
        <v>2.75952231955643</v>
      </c>
      <c r="M67" s="36" t="n">
        <v>1.87165329242132</v>
      </c>
      <c r="N67" s="36" t="n">
        <v>1.35427844951641</v>
      </c>
      <c r="O67" s="36" t="n">
        <f aca="false">SQRT(M67^2+N67^2)</f>
        <v>2.31022859601731</v>
      </c>
      <c r="P67" s="40" t="n">
        <f aca="false">IF(J67="","",MAX(0,J67-1.96*O67/100))</f>
        <v>0.488153710138333</v>
      </c>
      <c r="Q67" s="40" t="n">
        <f aca="false">IF(J67="","",MIN(1,J67+1.96*O67/100))</f>
        <v>0.578714671102212</v>
      </c>
      <c r="R67" s="32" t="str">
        <f aca="false">IF(L67="","",IF(ABS(L67)&lt;=O67,"Yes","No"))</f>
        <v>No</v>
      </c>
      <c r="S67" s="32" t="str">
        <f aca="false">IF(L67="","",IF(ABS(L67)&lt;=1.96*O67,"Yes","No"))</f>
        <v>Yes</v>
      </c>
      <c r="T67" s="59" t="n">
        <f aca="false">IF(D67="","",ROUND(SQRT(((D67+G67)*O67/100)^2+(J67*(D67+G67)*0.06991)^2),0))</f>
        <v>145</v>
      </c>
      <c r="U67" s="32"/>
    </row>
    <row r="68" customFormat="false" ht="15" hidden="false" customHeight="false" outlineLevel="0" collapsed="false">
      <c r="A68" s="32" t="s">
        <v>220</v>
      </c>
      <c r="B68" s="32" t="s">
        <v>234</v>
      </c>
      <c r="C68" s="32" t="s">
        <v>161</v>
      </c>
      <c r="D68" s="59" t="n">
        <v>2276</v>
      </c>
      <c r="E68" s="59" t="n">
        <v>2137</v>
      </c>
      <c r="F68" s="68" t="n">
        <f aca="false">IF(E68="","",D68-E68)</f>
        <v>139</v>
      </c>
      <c r="G68" s="59" t="n">
        <v>4151</v>
      </c>
      <c r="H68" s="59" t="n">
        <v>4258</v>
      </c>
      <c r="I68" s="68" t="n">
        <f aca="false">IF(H68="","",G68-H68)</f>
        <v>-107</v>
      </c>
      <c r="J68" s="40" t="n">
        <f aca="false">IF(OR(D68="",D68+G68=0),"",D68/(D68+G68))</f>
        <v>0.354131009802396</v>
      </c>
      <c r="K68" s="40" t="n">
        <f aca="false">IF(E68="","",E68/(E68+H68))</f>
        <v>0.334167318217357</v>
      </c>
      <c r="L68" s="69" t="n">
        <f aca="false">IF(OR(K68="",J68=""),"",(J68-K68)*100)</f>
        <v>1.99636915850389</v>
      </c>
      <c r="M68" s="36" t="n">
        <v>1.87647777182119</v>
      </c>
      <c r="N68" s="36" t="n">
        <v>1.35427844951641</v>
      </c>
      <c r="O68" s="36" t="n">
        <f aca="false">SQRT(M68^2+N68^2)</f>
        <v>2.31413892127581</v>
      </c>
      <c r="P68" s="40" t="n">
        <f aca="false">IF(J68="","",MAX(0,J68-1.96*O68/100))</f>
        <v>0.30877388694539</v>
      </c>
      <c r="Q68" s="40" t="n">
        <f aca="false">IF(J68="","",MIN(1,J68+1.96*O68/100))</f>
        <v>0.399488132659402</v>
      </c>
      <c r="R68" s="32" t="str">
        <f aca="false">IF(L68="","",IF(ABS(L68)&lt;=O68,"Yes","No"))</f>
        <v>Yes</v>
      </c>
      <c r="S68" s="32" t="str">
        <f aca="false">IF(L68="","",IF(ABS(L68)&lt;=1.96*O68,"Yes","No"))</f>
        <v>Yes</v>
      </c>
      <c r="T68" s="59" t="n">
        <f aca="false">IF(D68="","",ROUND(SQRT(((D68+G68)*O68/100)^2+(J68*(D68+G68)*0.0639)^2),0))</f>
        <v>208</v>
      </c>
      <c r="U68" s="32"/>
    </row>
    <row r="69" customFormat="false" ht="15" hidden="false" customHeight="false" outlineLevel="0" collapsed="false">
      <c r="A69" s="32" t="s">
        <v>220</v>
      </c>
      <c r="B69" s="32" t="s">
        <v>235</v>
      </c>
      <c r="C69" s="32" t="s">
        <v>161</v>
      </c>
      <c r="D69" s="59" t="n">
        <v>647</v>
      </c>
      <c r="E69" s="59" t="n">
        <v>580</v>
      </c>
      <c r="F69" s="68" t="n">
        <f aca="false">IF(E69="","",D69-E69)</f>
        <v>67</v>
      </c>
      <c r="G69" s="59" t="n">
        <v>1138</v>
      </c>
      <c r="H69" s="59" t="n">
        <v>1159</v>
      </c>
      <c r="I69" s="68" t="n">
        <f aca="false">IF(H69="","",G69-H69)</f>
        <v>-21</v>
      </c>
      <c r="J69" s="40" t="n">
        <f aca="false">IF(OR(D69="",D69+G69=0),"",D69/(D69+G69))</f>
        <v>0.362464985994398</v>
      </c>
      <c r="K69" s="40" t="n">
        <f aca="false">IF(E69="","",E69/(E69+H69))</f>
        <v>0.333525014376078</v>
      </c>
      <c r="L69" s="69" t="n">
        <f aca="false">IF(OR(K69="",J69=""),"",(J69-K69)*100)</f>
        <v>2.89399716183195</v>
      </c>
      <c r="M69" s="36" t="n">
        <v>1.87165329242132</v>
      </c>
      <c r="N69" s="36" t="n">
        <v>1.35427844951641</v>
      </c>
      <c r="O69" s="36" t="n">
        <f aca="false">SQRT(M69^2+N69^2)</f>
        <v>2.31022859601731</v>
      </c>
      <c r="P69" s="40" t="n">
        <f aca="false">IF(J69="","",MAX(0,J69-1.96*O69/100))</f>
        <v>0.317184505512458</v>
      </c>
      <c r="Q69" s="40" t="n">
        <f aca="false">IF(J69="","",MIN(1,J69+1.96*O69/100))</f>
        <v>0.407745466476337</v>
      </c>
      <c r="R69" s="32" t="str">
        <f aca="false">IF(L69="","",IF(ABS(L69)&lt;=O69,"Yes","No"))</f>
        <v>No</v>
      </c>
      <c r="S69" s="32" t="str">
        <f aca="false">IF(L69="","",IF(ABS(L69)&lt;=1.96*O69,"Yes","No"))</f>
        <v>Yes</v>
      </c>
      <c r="T69" s="59" t="n">
        <f aca="false">IF(D69="","",ROUND(SQRT(((D69+G69)*O69/100)^2+(J69*(D69+G69)*0.06991)^2),0))</f>
        <v>61</v>
      </c>
      <c r="U69" s="32"/>
    </row>
    <row r="70" customFormat="false" ht="15" hidden="false" customHeight="false" outlineLevel="0" collapsed="false">
      <c r="A70" s="32" t="s">
        <v>220</v>
      </c>
      <c r="B70" s="32" t="s">
        <v>236</v>
      </c>
      <c r="C70" s="32" t="s">
        <v>161</v>
      </c>
      <c r="D70" s="59" t="n">
        <v>1917</v>
      </c>
      <c r="E70" s="59" t="n">
        <v>1879</v>
      </c>
      <c r="F70" s="68" t="n">
        <f aca="false">IF(E70="","",D70-E70)</f>
        <v>38</v>
      </c>
      <c r="G70" s="59" t="n">
        <v>2518</v>
      </c>
      <c r="H70" s="59" t="n">
        <v>2565</v>
      </c>
      <c r="I70" s="68" t="n">
        <f aca="false">IF(H70="","",G70-H70)</f>
        <v>-47</v>
      </c>
      <c r="J70" s="40" t="n">
        <f aca="false">IF(OR(D70="",D70+G70=0),"",D70/(D70+G70))</f>
        <v>0.432243517474634</v>
      </c>
      <c r="K70" s="40" t="n">
        <f aca="false">IF(E70="","",E70/(E70+H70))</f>
        <v>0.422817281728173</v>
      </c>
      <c r="L70" s="69" t="n">
        <f aca="false">IF(OR(K70="",J70=""),"",(J70-K70)*100)</f>
        <v>0.942623574646073</v>
      </c>
      <c r="M70" s="36" t="n">
        <v>1.87647777182119</v>
      </c>
      <c r="N70" s="36" t="n">
        <v>1.35427844951641</v>
      </c>
      <c r="O70" s="36" t="n">
        <f aca="false">SQRT(M70^2+N70^2)</f>
        <v>2.31413892127581</v>
      </c>
      <c r="P70" s="40" t="n">
        <f aca="false">IF(J70="","",MAX(0,J70-1.96*O70/100))</f>
        <v>0.386886394617628</v>
      </c>
      <c r="Q70" s="40" t="n">
        <f aca="false">IF(J70="","",MIN(1,J70+1.96*O70/100))</f>
        <v>0.477600640331639</v>
      </c>
      <c r="R70" s="32" t="str">
        <f aca="false">IF(L70="","",IF(ABS(L70)&lt;=O70,"Yes","No"))</f>
        <v>Yes</v>
      </c>
      <c r="S70" s="32" t="str">
        <f aca="false">IF(L70="","",IF(ABS(L70)&lt;=1.96*O70,"Yes","No"))</f>
        <v>Yes</v>
      </c>
      <c r="T70" s="59" t="n">
        <f aca="false">IF(D70="","",ROUND(SQRT(((D70+G70)*O70/100)^2+(J70*(D70+G70)*0.0639)^2),0))</f>
        <v>160</v>
      </c>
      <c r="U70" s="32"/>
    </row>
    <row r="71" customFormat="false" ht="15" hidden="false" customHeight="false" outlineLevel="0" collapsed="false">
      <c r="A71" s="32" t="s">
        <v>220</v>
      </c>
      <c r="B71" s="32" t="s">
        <v>237</v>
      </c>
      <c r="C71" s="32" t="s">
        <v>161</v>
      </c>
      <c r="D71" s="59" t="n">
        <v>3381</v>
      </c>
      <c r="E71" s="59" t="n">
        <v>3370</v>
      </c>
      <c r="F71" s="68" t="n">
        <f aca="false">IF(E71="","",D71-E71)</f>
        <v>11</v>
      </c>
      <c r="G71" s="59" t="n">
        <v>3859</v>
      </c>
      <c r="H71" s="59" t="n">
        <v>3831</v>
      </c>
      <c r="I71" s="68" t="n">
        <f aca="false">IF(H71="","",G71-H71)</f>
        <v>28</v>
      </c>
      <c r="J71" s="40" t="n">
        <f aca="false">IF(OR(D71="",D71+G71=0),"",D71/(D71+G71))</f>
        <v>0.466988950276243</v>
      </c>
      <c r="K71" s="40" t="n">
        <f aca="false">IF(E71="","",E71/(E71+H71))</f>
        <v>0.467990556867102</v>
      </c>
      <c r="L71" s="69" t="n">
        <f aca="false">IF(OR(K71="",J71=""),"",(J71-K71)*100)</f>
        <v>-0.100160659085868</v>
      </c>
      <c r="M71" s="36" t="n">
        <v>1.87647777182119</v>
      </c>
      <c r="N71" s="36" t="n">
        <v>1.35427844951641</v>
      </c>
      <c r="O71" s="36" t="n">
        <f aca="false">SQRT(M71^2+N71^2)</f>
        <v>2.31413892127581</v>
      </c>
      <c r="P71" s="40" t="n">
        <f aca="false">IF(J71="","",MAX(0,J71-1.96*O71/100))</f>
        <v>0.421631827419237</v>
      </c>
      <c r="Q71" s="40" t="n">
        <f aca="false">IF(J71="","",MIN(1,J71+1.96*O71/100))</f>
        <v>0.512346073133249</v>
      </c>
      <c r="R71" s="32" t="str">
        <f aca="false">IF(L71="","",IF(ABS(L71)&lt;=O71,"Yes","No"))</f>
        <v>Yes</v>
      </c>
      <c r="S71" s="32" t="str">
        <f aca="false">IF(L71="","",IF(ABS(L71)&lt;=1.96*O71,"Yes","No"))</f>
        <v>Yes</v>
      </c>
      <c r="T71" s="59" t="n">
        <f aca="false">IF(D71="","",ROUND(SQRT(((D71+G71)*O71/100)^2+(J71*(D71+G71)*0.0639)^2),0))</f>
        <v>273</v>
      </c>
      <c r="U71" s="32"/>
    </row>
    <row r="72" customFormat="false" ht="15" hidden="false" customHeight="false" outlineLevel="0" collapsed="false">
      <c r="A72" s="32" t="s">
        <v>220</v>
      </c>
      <c r="B72" s="32" t="s">
        <v>238</v>
      </c>
      <c r="C72" s="32" t="s">
        <v>161</v>
      </c>
      <c r="D72" s="59" t="n">
        <v>2066</v>
      </c>
      <c r="E72" s="59" t="n">
        <v>1920</v>
      </c>
      <c r="F72" s="68" t="n">
        <f aca="false">IF(E72="","",D72-E72)</f>
        <v>146</v>
      </c>
      <c r="G72" s="59" t="n">
        <v>3831</v>
      </c>
      <c r="H72" s="59" t="n">
        <v>3865</v>
      </c>
      <c r="I72" s="68" t="n">
        <f aca="false">IF(H72="","",G72-H72)</f>
        <v>-34</v>
      </c>
      <c r="J72" s="40" t="n">
        <f aca="false">IF(OR(D72="",D72+G72=0),"",D72/(D72+G72))</f>
        <v>0.350347634390368</v>
      </c>
      <c r="K72" s="40" t="n">
        <f aca="false">IF(E72="","",E72/(E72+H72))</f>
        <v>0.331892826274849</v>
      </c>
      <c r="L72" s="69" t="n">
        <f aca="false">IF(OR(K72="",J72=""),"",(J72-K72)*100)</f>
        <v>1.84548081155193</v>
      </c>
      <c r="M72" s="36" t="n">
        <v>1.87647777182119</v>
      </c>
      <c r="N72" s="36" t="n">
        <v>1.35427844951641</v>
      </c>
      <c r="O72" s="36" t="n">
        <f aca="false">SQRT(M72^2+N72^2)</f>
        <v>2.31413892127581</v>
      </c>
      <c r="P72" s="40" t="n">
        <f aca="false">IF(J72="","",MAX(0,J72-1.96*O72/100))</f>
        <v>0.304990511533362</v>
      </c>
      <c r="Q72" s="40" t="n">
        <f aca="false">IF(J72="","",MIN(1,J72+1.96*O72/100))</f>
        <v>0.395704757247374</v>
      </c>
      <c r="R72" s="32" t="str">
        <f aca="false">IF(L72="","",IF(ABS(L72)&lt;=O72,"Yes","No"))</f>
        <v>Yes</v>
      </c>
      <c r="S72" s="32" t="str">
        <f aca="false">IF(L72="","",IF(ABS(L72)&lt;=1.96*O72,"Yes","No"))</f>
        <v>Yes</v>
      </c>
      <c r="T72" s="59" t="n">
        <f aca="false">IF(D72="","",ROUND(SQRT(((D72+G72)*O72/100)^2+(J72*(D72+G72)*0.0639)^2),0))</f>
        <v>190</v>
      </c>
      <c r="U72" s="32"/>
    </row>
    <row r="73" customFormat="false" ht="15" hidden="false" customHeight="false" outlineLevel="0" collapsed="false">
      <c r="A73" s="32" t="s">
        <v>220</v>
      </c>
      <c r="B73" s="32" t="s">
        <v>239</v>
      </c>
      <c r="C73" s="32" t="s">
        <v>161</v>
      </c>
      <c r="D73" s="59" t="n">
        <v>1640</v>
      </c>
      <c r="E73" s="59" t="n">
        <v>1490</v>
      </c>
      <c r="F73" s="68" t="n">
        <f aca="false">IF(E73="","",D73-E73)</f>
        <v>150</v>
      </c>
      <c r="G73" s="59" t="n">
        <v>1569</v>
      </c>
      <c r="H73" s="59" t="n">
        <v>1627</v>
      </c>
      <c r="I73" s="68" t="n">
        <f aca="false">IF(H73="","",G73-H73)</f>
        <v>-58</v>
      </c>
      <c r="J73" s="40" t="n">
        <f aca="false">IF(OR(D73="",D73+G73=0),"",D73/(D73+G73))</f>
        <v>0.511062636335307</v>
      </c>
      <c r="K73" s="40" t="n">
        <f aca="false">IF(E73="","",E73/(E73+H73))</f>
        <v>0.478023740776388</v>
      </c>
      <c r="L73" s="69" t="n">
        <f aca="false">IF(OR(K73="",J73=""),"",(J73-K73)*100)</f>
        <v>3.30388955589194</v>
      </c>
      <c r="M73" s="36" t="n">
        <v>1.87165329242132</v>
      </c>
      <c r="N73" s="36" t="n">
        <v>1.35427844951641</v>
      </c>
      <c r="O73" s="36" t="n">
        <f aca="false">SQRT(M73^2+N73^2)</f>
        <v>2.31022859601731</v>
      </c>
      <c r="P73" s="40" t="n">
        <f aca="false">IF(J73="","",MAX(0,J73-1.96*O73/100))</f>
        <v>0.465782155853368</v>
      </c>
      <c r="Q73" s="40" t="n">
        <f aca="false">IF(J73="","",MIN(1,J73+1.96*O73/100))</f>
        <v>0.556343116817246</v>
      </c>
      <c r="R73" s="32" t="str">
        <f aca="false">IF(L73="","",IF(ABS(L73)&lt;=O73,"Yes","No"))</f>
        <v>No</v>
      </c>
      <c r="S73" s="32" t="str">
        <f aca="false">IF(L73="","",IF(ABS(L73)&lt;=1.96*O73,"Yes","No"))</f>
        <v>Yes</v>
      </c>
      <c r="T73" s="59" t="n">
        <f aca="false">IF(D73="","",ROUND(SQRT(((D73+G73)*O73/100)^2+(J73*(D73+G73)*0.06991)^2),0))</f>
        <v>137</v>
      </c>
      <c r="U73" s="32"/>
    </row>
    <row r="74" customFormat="false" ht="15" hidden="false" customHeight="false" outlineLevel="0" collapsed="false">
      <c r="A74" s="32" t="s">
        <v>220</v>
      </c>
      <c r="B74" s="32" t="s">
        <v>240</v>
      </c>
      <c r="C74" s="32" t="s">
        <v>161</v>
      </c>
      <c r="D74" s="59" t="n">
        <v>770</v>
      </c>
      <c r="E74" s="59" t="n">
        <v>731</v>
      </c>
      <c r="F74" s="68" t="n">
        <f aca="false">IF(E74="","",D74-E74)</f>
        <v>39</v>
      </c>
      <c r="G74" s="59" t="n">
        <v>769</v>
      </c>
      <c r="H74" s="59" t="n">
        <v>843</v>
      </c>
      <c r="I74" s="68" t="n">
        <f aca="false">IF(H74="","",G74-H74)</f>
        <v>-74</v>
      </c>
      <c r="J74" s="40" t="n">
        <f aca="false">IF(OR(D74="",D74+G74=0),"",D74/(D74+G74))</f>
        <v>0.500324886289799</v>
      </c>
      <c r="K74" s="40" t="n">
        <f aca="false">IF(E74="","",E74/(E74+H74))</f>
        <v>0.464421855146125</v>
      </c>
      <c r="L74" s="69" t="n">
        <f aca="false">IF(OR(K74="",J74=""),"",(J74-K74)*100)</f>
        <v>3.59030311436741</v>
      </c>
      <c r="M74" s="36" t="n">
        <v>1.87165329242132</v>
      </c>
      <c r="N74" s="36" t="n">
        <v>1.35427844951641</v>
      </c>
      <c r="O74" s="36" t="n">
        <f aca="false">SQRT(M74^2+N74^2)</f>
        <v>2.31022859601731</v>
      </c>
      <c r="P74" s="40" t="n">
        <f aca="false">IF(J74="","",MAX(0,J74-1.96*O74/100))</f>
        <v>0.455044405807859</v>
      </c>
      <c r="Q74" s="40" t="n">
        <f aca="false">IF(J74="","",MIN(1,J74+1.96*O74/100))</f>
        <v>0.545605366771738</v>
      </c>
      <c r="R74" s="32" t="str">
        <f aca="false">IF(L74="","",IF(ABS(L74)&lt;=O74,"Yes","No"))</f>
        <v>No</v>
      </c>
      <c r="S74" s="32" t="str">
        <f aca="false">IF(L74="","",IF(ABS(L74)&lt;=1.96*O74,"Yes","No"))</f>
        <v>Yes</v>
      </c>
      <c r="T74" s="59" t="n">
        <f aca="false">IF(D74="","",ROUND(SQRT(((D74+G74)*O74/100)^2+(J74*(D74+G74)*0.06991)^2),0))</f>
        <v>65</v>
      </c>
      <c r="U74" s="32"/>
    </row>
    <row r="75" customFormat="false" ht="15" hidden="false" customHeight="false" outlineLevel="0" collapsed="false">
      <c r="A75" s="32" t="s">
        <v>220</v>
      </c>
      <c r="B75" s="32" t="s">
        <v>241</v>
      </c>
      <c r="C75" s="32" t="s">
        <v>161</v>
      </c>
      <c r="D75" s="59" t="n">
        <v>2559</v>
      </c>
      <c r="E75" s="59" t="n">
        <v>2355</v>
      </c>
      <c r="F75" s="68" t="n">
        <f aca="false">IF(E75="","",D75-E75)</f>
        <v>204</v>
      </c>
      <c r="G75" s="59" t="n">
        <v>2630</v>
      </c>
      <c r="H75" s="59" t="n">
        <v>2934</v>
      </c>
      <c r="I75" s="68" t="n">
        <f aca="false">IF(H75="","",G75-H75)</f>
        <v>-304</v>
      </c>
      <c r="J75" s="40" t="n">
        <f aca="false">IF(OR(D75="",D75+G75=0),"",D75/(D75+G75))</f>
        <v>0.493158604740798</v>
      </c>
      <c r="K75" s="40" t="n">
        <f aca="false">IF(E75="","",E75/(E75+H75))</f>
        <v>0.445263754963131</v>
      </c>
      <c r="L75" s="69" t="n">
        <f aca="false">IF(OR(K75="",J75=""),"",(J75-K75)*100)</f>
        <v>4.78948497776668</v>
      </c>
      <c r="M75" s="36" t="n">
        <v>1.87647777182119</v>
      </c>
      <c r="N75" s="36" t="n">
        <v>1.35427844951641</v>
      </c>
      <c r="O75" s="36" t="n">
        <f aca="false">SQRT(M75^2+N75^2)</f>
        <v>2.31413892127581</v>
      </c>
      <c r="P75" s="40" t="n">
        <f aca="false">IF(J75="","",MAX(0,J75-1.96*O75/100))</f>
        <v>0.447801481883792</v>
      </c>
      <c r="Q75" s="40" t="n">
        <f aca="false">IF(J75="","",MIN(1,J75+1.96*O75/100))</f>
        <v>0.538515727597804</v>
      </c>
      <c r="R75" s="32" t="str">
        <f aca="false">IF(L75="","",IF(ABS(L75)&lt;=O75,"Yes","No"))</f>
        <v>No</v>
      </c>
      <c r="S75" s="32" t="str">
        <f aca="false">IF(L75="","",IF(ABS(L75)&lt;=1.96*O75,"Yes","No"))</f>
        <v>No</v>
      </c>
      <c r="T75" s="59" t="n">
        <f aca="false">IF(D75="","",ROUND(SQRT(((D75+G75)*O75/100)^2+(J75*(D75+G75)*0.0639)^2),0))</f>
        <v>203</v>
      </c>
      <c r="U75" s="32"/>
    </row>
    <row r="76" customFormat="false" ht="15" hidden="false" customHeight="false" outlineLevel="0" collapsed="false">
      <c r="A76" s="32" t="s">
        <v>220</v>
      </c>
      <c r="B76" s="32" t="s">
        <v>242</v>
      </c>
      <c r="C76" s="32" t="s">
        <v>161</v>
      </c>
      <c r="D76" s="59" t="n">
        <v>7024</v>
      </c>
      <c r="E76" s="59" t="n">
        <v>6698</v>
      </c>
      <c r="F76" s="68" t="n">
        <f aca="false">IF(E76="","",D76-E76)</f>
        <v>326</v>
      </c>
      <c r="G76" s="59" t="n">
        <v>6223</v>
      </c>
      <c r="H76" s="59" t="n">
        <v>6630</v>
      </c>
      <c r="I76" s="68" t="n">
        <f aca="false">IF(H76="","",G76-H76)</f>
        <v>-407</v>
      </c>
      <c r="J76" s="40" t="n">
        <f aca="false">IF(OR(D76="",D76+G76=0),"",D76/(D76+G76))</f>
        <v>0.530233260360836</v>
      </c>
      <c r="K76" s="40" t="n">
        <f aca="false">IF(E76="","",E76/(E76+H76))</f>
        <v>0.502551020408163</v>
      </c>
      <c r="L76" s="69" t="n">
        <f aca="false">IF(OR(K76="",J76=""),"",(J76-K76)*100)</f>
        <v>2.76822399526732</v>
      </c>
      <c r="M76" s="36" t="n">
        <v>1.87647777182119</v>
      </c>
      <c r="N76" s="36" t="n">
        <v>1.35427844951641</v>
      </c>
      <c r="O76" s="36" t="n">
        <f aca="false">SQRT(M76^2+N76^2)</f>
        <v>2.31413892127581</v>
      </c>
      <c r="P76" s="40" t="n">
        <f aca="false">IF(J76="","",MAX(0,J76-1.96*O76/100))</f>
        <v>0.484876137503831</v>
      </c>
      <c r="Q76" s="40" t="n">
        <f aca="false">IF(J76="","",MIN(1,J76+1.96*O76/100))</f>
        <v>0.575590383217842</v>
      </c>
      <c r="R76" s="32" t="str">
        <f aca="false">IF(L76="","",IF(ABS(L76)&lt;=O76,"Yes","No"))</f>
        <v>No</v>
      </c>
      <c r="S76" s="32" t="str">
        <f aca="false">IF(L76="","",IF(ABS(L76)&lt;=1.96*O76,"Yes","No"))</f>
        <v>Yes</v>
      </c>
      <c r="T76" s="59" t="n">
        <f aca="false">IF(D76="","",ROUND(SQRT(((D76+G76)*O76/100)^2+(J76*(D76+G76)*0.0639)^2),0))</f>
        <v>544</v>
      </c>
      <c r="U76" s="32"/>
    </row>
    <row r="77" customFormat="false" ht="15" hidden="false" customHeight="false" outlineLevel="0" collapsed="false">
      <c r="A77" s="32" t="s">
        <v>220</v>
      </c>
      <c r="B77" s="32" t="s">
        <v>243</v>
      </c>
      <c r="C77" s="32" t="s">
        <v>161</v>
      </c>
      <c r="D77" s="59" t="n">
        <v>712</v>
      </c>
      <c r="E77" s="59" t="n">
        <v>678</v>
      </c>
      <c r="F77" s="68" t="n">
        <f aca="false">IF(E77="","",D77-E77)</f>
        <v>34</v>
      </c>
      <c r="G77" s="59" t="n">
        <v>1091</v>
      </c>
      <c r="H77" s="59" t="n">
        <v>1089</v>
      </c>
      <c r="I77" s="68" t="n">
        <f aca="false">IF(H77="","",G77-H77)</f>
        <v>2</v>
      </c>
      <c r="J77" s="40" t="n">
        <f aca="false">IF(OR(D77="",D77+G77=0),"",D77/(D77+G77))</f>
        <v>0.3948973932335</v>
      </c>
      <c r="K77" s="40" t="n">
        <f aca="false">IF(E77="","",E77/(E77+H77))</f>
        <v>0.383701188455009</v>
      </c>
      <c r="L77" s="69" t="n">
        <f aca="false">IF(OR(K77="",J77=""),"",(J77-K77)*100)</f>
        <v>1.11962047784912</v>
      </c>
      <c r="M77" s="36" t="n">
        <v>1.87165329242132</v>
      </c>
      <c r="N77" s="36" t="n">
        <v>1.35427844951641</v>
      </c>
      <c r="O77" s="36" t="n">
        <f aca="false">SQRT(M77^2+N77^2)</f>
        <v>2.31022859601731</v>
      </c>
      <c r="P77" s="40" t="n">
        <f aca="false">IF(J77="","",MAX(0,J77-1.96*O77/100))</f>
        <v>0.34961691275156</v>
      </c>
      <c r="Q77" s="40" t="n">
        <f aca="false">IF(J77="","",MIN(1,J77+1.96*O77/100))</f>
        <v>0.440177873715439</v>
      </c>
      <c r="R77" s="32" t="str">
        <f aca="false">IF(L77="","",IF(ABS(L77)&lt;=O77,"Yes","No"))</f>
        <v>Yes</v>
      </c>
      <c r="S77" s="32" t="str">
        <f aca="false">IF(L77="","",IF(ABS(L77)&lt;=1.96*O77,"Yes","No"))</f>
        <v>Yes</v>
      </c>
      <c r="T77" s="59" t="n">
        <f aca="false">IF(D77="","",ROUND(SQRT(((D77+G77)*O77/100)^2+(J77*(D77+G77)*0.06991)^2),0))</f>
        <v>65</v>
      </c>
      <c r="U77" s="32"/>
    </row>
    <row r="78" customFormat="false" ht="15" hidden="false" customHeight="false" outlineLevel="0" collapsed="false">
      <c r="A78" s="32" t="s">
        <v>220</v>
      </c>
      <c r="B78" s="32" t="s">
        <v>244</v>
      </c>
      <c r="C78" s="32" t="s">
        <v>161</v>
      </c>
      <c r="D78" s="59" t="n">
        <v>1400</v>
      </c>
      <c r="E78" s="59" t="n">
        <v>1368</v>
      </c>
      <c r="F78" s="68" t="n">
        <f aca="false">IF(E78="","",D78-E78)</f>
        <v>32</v>
      </c>
      <c r="G78" s="59" t="n">
        <v>2460</v>
      </c>
      <c r="H78" s="59" t="n">
        <v>2520</v>
      </c>
      <c r="I78" s="68" t="n">
        <f aca="false">IF(H78="","",G78-H78)</f>
        <v>-60</v>
      </c>
      <c r="J78" s="40" t="n">
        <f aca="false">IF(OR(D78="",D78+G78=0),"",D78/(D78+G78))</f>
        <v>0.362694300518135</v>
      </c>
      <c r="K78" s="40" t="n">
        <f aca="false">IF(E78="","",E78/(E78+H78))</f>
        <v>0.351851851851852</v>
      </c>
      <c r="L78" s="69" t="n">
        <f aca="false">IF(OR(K78="",J78=""),"",(J78-K78)*100)</f>
        <v>1.08424486662829</v>
      </c>
      <c r="M78" s="36" t="n">
        <v>1.87647777182119</v>
      </c>
      <c r="N78" s="36" t="n">
        <v>1.35427844951641</v>
      </c>
      <c r="O78" s="36" t="n">
        <f aca="false">SQRT(M78^2+N78^2)</f>
        <v>2.31413892127581</v>
      </c>
      <c r="P78" s="40" t="n">
        <f aca="false">IF(J78="","",MAX(0,J78-1.96*O78/100))</f>
        <v>0.317337177661129</v>
      </c>
      <c r="Q78" s="40" t="n">
        <f aca="false">IF(J78="","",MIN(1,J78+1.96*O78/100))</f>
        <v>0.408051423375141</v>
      </c>
      <c r="R78" s="32" t="str">
        <f aca="false">IF(L78="","",IF(ABS(L78)&lt;=O78,"Yes","No"))</f>
        <v>Yes</v>
      </c>
      <c r="S78" s="32" t="str">
        <f aca="false">IF(L78="","",IF(ABS(L78)&lt;=1.96*O78,"Yes","No"))</f>
        <v>Yes</v>
      </c>
      <c r="T78" s="59" t="n">
        <f aca="false">IF(D78="","",ROUND(SQRT(((D78+G78)*O78/100)^2+(J78*(D78+G78)*0.0639)^2),0))</f>
        <v>126</v>
      </c>
      <c r="U78" s="32"/>
    </row>
    <row r="79" customFormat="false" ht="15" hidden="false" customHeight="false" outlineLevel="0" collapsed="false">
      <c r="A79" s="32" t="s">
        <v>220</v>
      </c>
      <c r="B79" s="32" t="s">
        <v>245</v>
      </c>
      <c r="C79" s="32" t="s">
        <v>161</v>
      </c>
      <c r="D79" s="59" t="n">
        <v>89</v>
      </c>
      <c r="E79" s="59" t="n">
        <v>82</v>
      </c>
      <c r="F79" s="68" t="n">
        <f aca="false">IF(E79="","",D79-E79)</f>
        <v>7</v>
      </c>
      <c r="G79" s="59" t="n">
        <v>174</v>
      </c>
      <c r="H79" s="59" t="n">
        <v>171</v>
      </c>
      <c r="I79" s="68" t="n">
        <f aca="false">IF(H79="","",G79-H79)</f>
        <v>3</v>
      </c>
      <c r="J79" s="40" t="n">
        <f aca="false">IF(OR(D79="",D79+G79=0),"",D79/(D79+G79))</f>
        <v>0.338403041825095</v>
      </c>
      <c r="K79" s="40" t="n">
        <f aca="false">IF(E79="","",E79/(E79+H79))</f>
        <v>0.324110671936759</v>
      </c>
      <c r="L79" s="69" t="n">
        <f aca="false">IF(OR(K79="",J79=""),"",(J79-K79)*100)</f>
        <v>1.42923698883362</v>
      </c>
      <c r="M79" s="36" t="n">
        <v>3.3526268319753</v>
      </c>
      <c r="N79" s="36" t="n">
        <v>1.35427844951641</v>
      </c>
      <c r="O79" s="36" t="n">
        <f aca="false">SQRT(M79^2+N79^2)</f>
        <v>3.61582311421692</v>
      </c>
      <c r="P79" s="40" t="n">
        <f aca="false">IF(J79="","",MAX(0,J79-1.96*O79/100))</f>
        <v>0.267532908786444</v>
      </c>
      <c r="Q79" s="40" t="n">
        <f aca="false">IF(J79="","",MIN(1,J79+1.96*O79/100))</f>
        <v>0.409273174863747</v>
      </c>
      <c r="R79" s="32" t="str">
        <f aca="false">IF(L79="","",IF(ABS(L79)&lt;=O79,"Yes","No"))</f>
        <v>Yes</v>
      </c>
      <c r="S79" s="32" t="str">
        <f aca="false">IF(L79="","",IF(ABS(L79)&lt;=1.96*O79,"Yes","No"))</f>
        <v>Yes</v>
      </c>
      <c r="T79" s="59" t="n">
        <f aca="false">IF(D79="","",ROUND(SQRT(((D79+G79)*O79/100)^2+(J79*(D79+G79)*0.09092)^2),0))</f>
        <v>12</v>
      </c>
      <c r="U79" s="32"/>
    </row>
    <row r="80" customFormat="false" ht="15" hidden="false" customHeight="false" outlineLevel="0" collapsed="false">
      <c r="A80" s="32" t="s">
        <v>220</v>
      </c>
      <c r="B80" s="32" t="s">
        <v>246</v>
      </c>
      <c r="C80" s="32" t="s">
        <v>161</v>
      </c>
      <c r="D80" s="59" t="n">
        <v>367</v>
      </c>
      <c r="E80" s="59" t="n">
        <v>331</v>
      </c>
      <c r="F80" s="68" t="n">
        <f aca="false">IF(E80="","",D80-E80)</f>
        <v>36</v>
      </c>
      <c r="G80" s="59" t="n">
        <v>520</v>
      </c>
      <c r="H80" s="59" t="n">
        <v>571</v>
      </c>
      <c r="I80" s="68" t="n">
        <f aca="false">IF(H80="","",G80-H80)</f>
        <v>-51</v>
      </c>
      <c r="J80" s="40" t="n">
        <f aca="false">IF(OR(D80="",D80+G80=0),"",D80/(D80+G80))</f>
        <v>0.413754227733935</v>
      </c>
      <c r="K80" s="40" t="n">
        <f aca="false">IF(E80="","",E80/(E80+H80))</f>
        <v>0.366962305986696</v>
      </c>
      <c r="L80" s="69" t="n">
        <f aca="false">IF(OR(K80="",J80=""),"",(J80-K80)*100)</f>
        <v>4.67919217472384</v>
      </c>
      <c r="M80" s="36" t="n">
        <v>3.3526268319753</v>
      </c>
      <c r="N80" s="36" t="n">
        <v>1.35427844951641</v>
      </c>
      <c r="O80" s="36" t="n">
        <f aca="false">SQRT(M80^2+N80^2)</f>
        <v>3.61582311421692</v>
      </c>
      <c r="P80" s="40" t="n">
        <f aca="false">IF(J80="","",MAX(0,J80-1.96*O80/100))</f>
        <v>0.342884094695283</v>
      </c>
      <c r="Q80" s="40" t="n">
        <f aca="false">IF(J80="","",MIN(1,J80+1.96*O80/100))</f>
        <v>0.484624360772586</v>
      </c>
      <c r="R80" s="32" t="str">
        <f aca="false">IF(L80="","",IF(ABS(L80)&lt;=O80,"Yes","No"))</f>
        <v>No</v>
      </c>
      <c r="S80" s="32" t="str">
        <f aca="false">IF(L80="","",IF(ABS(L80)&lt;=1.96*O80,"Yes","No"))</f>
        <v>Yes</v>
      </c>
      <c r="T80" s="59" t="n">
        <f aca="false">IF(D80="","",ROUND(SQRT(((D80+G80)*O80/100)^2+(J80*(D80+G80)*0.09092)^2),0))</f>
        <v>46</v>
      </c>
      <c r="U80" s="32"/>
    </row>
    <row r="81" customFormat="false" ht="15" hidden="false" customHeight="false" outlineLevel="0" collapsed="false">
      <c r="A81" s="32" t="s">
        <v>220</v>
      </c>
      <c r="B81" s="32" t="s">
        <v>247</v>
      </c>
      <c r="C81" s="32" t="s">
        <v>161</v>
      </c>
      <c r="D81" s="59" t="n">
        <v>230</v>
      </c>
      <c r="E81" s="59" t="n">
        <v>212</v>
      </c>
      <c r="F81" s="68" t="n">
        <f aca="false">IF(E81="","",D81-E81)</f>
        <v>18</v>
      </c>
      <c r="G81" s="59" t="n">
        <v>295</v>
      </c>
      <c r="H81" s="59" t="n">
        <v>308</v>
      </c>
      <c r="I81" s="68" t="n">
        <f aca="false">IF(H81="","",G81-H81)</f>
        <v>-13</v>
      </c>
      <c r="J81" s="40" t="n">
        <f aca="false">IF(OR(D81="",D81+G81=0),"",D81/(D81+G81))</f>
        <v>0.438095238095238</v>
      </c>
      <c r="K81" s="40" t="n">
        <f aca="false">IF(E81="","",E81/(E81+H81))</f>
        <v>0.407692307692308</v>
      </c>
      <c r="L81" s="69" t="n">
        <f aca="false">IF(OR(K81="",J81=""),"",(J81-K81)*100)</f>
        <v>3.04029304029304</v>
      </c>
      <c r="M81" s="36" t="n">
        <v>3.3526268319753</v>
      </c>
      <c r="N81" s="36" t="n">
        <v>1.35427844951641</v>
      </c>
      <c r="O81" s="36" t="n">
        <f aca="false">SQRT(M81^2+N81^2)</f>
        <v>3.61582311421692</v>
      </c>
      <c r="P81" s="40" t="n">
        <f aca="false">IF(J81="","",MAX(0,J81-1.96*O81/100))</f>
        <v>0.367225105056587</v>
      </c>
      <c r="Q81" s="40" t="n">
        <f aca="false">IF(J81="","",MIN(1,J81+1.96*O81/100))</f>
        <v>0.50896537113389</v>
      </c>
      <c r="R81" s="32" t="str">
        <f aca="false">IF(L81="","",IF(ABS(L81)&lt;=O81,"Yes","No"))</f>
        <v>Yes</v>
      </c>
      <c r="S81" s="32" t="str">
        <f aca="false">IF(L81="","",IF(ABS(L81)&lt;=1.96*O81,"Yes","No"))</f>
        <v>Yes</v>
      </c>
      <c r="T81" s="59" t="n">
        <f aca="false">IF(D81="","",ROUND(SQRT(((D81+G81)*O81/100)^2+(J81*(D81+G81)*0.09092)^2),0))</f>
        <v>28</v>
      </c>
      <c r="U81" s="32"/>
    </row>
    <row r="82" customFormat="false" ht="15" hidden="false" customHeight="false" outlineLevel="0" collapsed="false">
      <c r="A82" s="32" t="s">
        <v>220</v>
      </c>
      <c r="B82" s="32" t="s">
        <v>248</v>
      </c>
      <c r="C82" s="32" t="s">
        <v>161</v>
      </c>
      <c r="D82" s="59" t="n">
        <v>295</v>
      </c>
      <c r="E82" s="59" t="n">
        <v>272</v>
      </c>
      <c r="F82" s="68" t="n">
        <f aca="false">IF(E82="","",D82-E82)</f>
        <v>23</v>
      </c>
      <c r="G82" s="59" t="n">
        <v>392</v>
      </c>
      <c r="H82" s="59" t="n">
        <v>400</v>
      </c>
      <c r="I82" s="68" t="n">
        <f aca="false">IF(H82="","",G82-H82)</f>
        <v>-8</v>
      </c>
      <c r="J82" s="40" t="n">
        <f aca="false">IF(OR(D82="",D82+G82=0),"",D82/(D82+G82))</f>
        <v>0.429403202328967</v>
      </c>
      <c r="K82" s="40" t="n">
        <f aca="false">IF(E82="","",E82/(E82+H82))</f>
        <v>0.404761904761905</v>
      </c>
      <c r="L82" s="69" t="n">
        <f aca="false">IF(OR(K82="",J82=""),"",(J82-K82)*100)</f>
        <v>2.46412975670617</v>
      </c>
      <c r="M82" s="36" t="n">
        <v>3.3526268319753</v>
      </c>
      <c r="N82" s="36" t="n">
        <v>1.35427844951641</v>
      </c>
      <c r="O82" s="36" t="n">
        <f aca="false">SQRT(M82^2+N82^2)</f>
        <v>3.61582311421692</v>
      </c>
      <c r="P82" s="40" t="n">
        <f aca="false">IF(J82="","",MAX(0,J82-1.96*O82/100))</f>
        <v>0.358533069290315</v>
      </c>
      <c r="Q82" s="40" t="n">
        <f aca="false">IF(J82="","",MIN(1,J82+1.96*O82/100))</f>
        <v>0.500273335367618</v>
      </c>
      <c r="R82" s="32" t="str">
        <f aca="false">IF(L82="","",IF(ABS(L82)&lt;=O82,"Yes","No"))</f>
        <v>Yes</v>
      </c>
      <c r="S82" s="32" t="str">
        <f aca="false">IF(L82="","",IF(ABS(L82)&lt;=1.96*O82,"Yes","No"))</f>
        <v>Yes</v>
      </c>
      <c r="T82" s="59" t="n">
        <f aca="false">IF(D82="","",ROUND(SQRT(((D82+G82)*O82/100)^2+(J82*(D82+G82)*0.09092)^2),0))</f>
        <v>37</v>
      </c>
      <c r="U82" s="32"/>
    </row>
    <row r="83" customFormat="false" ht="15" hidden="false" customHeight="false" outlineLevel="0" collapsed="false">
      <c r="A83" s="32" t="s">
        <v>220</v>
      </c>
      <c r="B83" s="32" t="s">
        <v>249</v>
      </c>
      <c r="C83" s="32" t="s">
        <v>161</v>
      </c>
      <c r="D83" s="59" t="n">
        <v>1298</v>
      </c>
      <c r="E83" s="59" t="n">
        <v>1207</v>
      </c>
      <c r="F83" s="68" t="n">
        <f aca="false">IF(E83="","",D83-E83)</f>
        <v>91</v>
      </c>
      <c r="G83" s="59" t="n">
        <v>2608</v>
      </c>
      <c r="H83" s="59" t="n">
        <v>2601</v>
      </c>
      <c r="I83" s="68" t="n">
        <f aca="false">IF(H83="","",G83-H83)</f>
        <v>7</v>
      </c>
      <c r="J83" s="40" t="n">
        <f aca="false">IF(OR(D83="",D83+G83=0),"",D83/(D83+G83))</f>
        <v>0.332309267793139</v>
      </c>
      <c r="K83" s="40" t="n">
        <f aca="false">IF(E83="","",E83/(E83+H83))</f>
        <v>0.316964285714286</v>
      </c>
      <c r="L83" s="69" t="n">
        <f aca="false">IF(OR(K83="",J83=""),"",(J83-K83)*100)</f>
        <v>1.5344982078853</v>
      </c>
      <c r="M83" s="36" t="n">
        <v>1.87647777182119</v>
      </c>
      <c r="N83" s="36" t="n">
        <v>1.35427844951641</v>
      </c>
      <c r="O83" s="36" t="n">
        <f aca="false">SQRT(M83^2+N83^2)</f>
        <v>2.31413892127581</v>
      </c>
      <c r="P83" s="40" t="n">
        <f aca="false">IF(J83="","",MAX(0,J83-1.96*O83/100))</f>
        <v>0.286952144936133</v>
      </c>
      <c r="Q83" s="40" t="n">
        <f aca="false">IF(J83="","",MIN(1,J83+1.96*O83/100))</f>
        <v>0.377666390650145</v>
      </c>
      <c r="R83" s="32" t="str">
        <f aca="false">IF(L83="","",IF(ABS(L83)&lt;=O83,"Yes","No"))</f>
        <v>Yes</v>
      </c>
      <c r="S83" s="32" t="str">
        <f aca="false">IF(L83="","",IF(ABS(L83)&lt;=1.96*O83,"Yes","No"))</f>
        <v>Yes</v>
      </c>
      <c r="T83" s="59" t="n">
        <f aca="false">IF(D83="","",ROUND(SQRT(((D83+G83)*O83/100)^2+(J83*(D83+G83)*0.0639)^2),0))</f>
        <v>123</v>
      </c>
      <c r="U83" s="32"/>
    </row>
    <row r="84" customFormat="false" ht="15" hidden="false" customHeight="false" outlineLevel="0" collapsed="false">
      <c r="A84" s="32" t="s">
        <v>220</v>
      </c>
      <c r="B84" s="32" t="s">
        <v>250</v>
      </c>
      <c r="C84" s="32" t="s">
        <v>161</v>
      </c>
      <c r="D84" s="59" t="n">
        <v>1907</v>
      </c>
      <c r="E84" s="59" t="n">
        <v>1838</v>
      </c>
      <c r="F84" s="68" t="n">
        <f aca="false">IF(E84="","",D84-E84)</f>
        <v>69</v>
      </c>
      <c r="G84" s="59" t="n">
        <v>2083</v>
      </c>
      <c r="H84" s="59" t="n">
        <v>2112</v>
      </c>
      <c r="I84" s="68" t="n">
        <f aca="false">IF(H84="","",G84-H84)</f>
        <v>-29</v>
      </c>
      <c r="J84" s="40" t="n">
        <f aca="false">IF(OR(D84="",D84+G84=0),"",D84/(D84+G84))</f>
        <v>0.477944862155388</v>
      </c>
      <c r="K84" s="40" t="n">
        <f aca="false">IF(E84="","",E84/(E84+H84))</f>
        <v>0.465316455696203</v>
      </c>
      <c r="L84" s="69" t="n">
        <f aca="false">IF(OR(K84="",J84=""),"",(J84-K84)*100)</f>
        <v>1.26284064591859</v>
      </c>
      <c r="M84" s="36" t="n">
        <v>1.87647777182119</v>
      </c>
      <c r="N84" s="36" t="n">
        <v>1.35427844951641</v>
      </c>
      <c r="O84" s="36" t="n">
        <f aca="false">SQRT(M84^2+N84^2)</f>
        <v>2.31413892127581</v>
      </c>
      <c r="P84" s="40" t="n">
        <f aca="false">IF(J84="","",MAX(0,J84-1.96*O84/100))</f>
        <v>0.432587739298383</v>
      </c>
      <c r="Q84" s="40" t="n">
        <f aca="false">IF(J84="","",MIN(1,J84+1.96*O84/100))</f>
        <v>0.523301985012394</v>
      </c>
      <c r="R84" s="32" t="str">
        <f aca="false">IF(L84="","",IF(ABS(L84)&lt;=O84,"Yes","No"))</f>
        <v>Yes</v>
      </c>
      <c r="S84" s="32" t="str">
        <f aca="false">IF(L84="","",IF(ABS(L84)&lt;=1.96*O84,"Yes","No"))</f>
        <v>Yes</v>
      </c>
      <c r="T84" s="59" t="n">
        <f aca="false">IF(D84="","",ROUND(SQRT(((D84+G84)*O84/100)^2+(J84*(D84+G84)*0.0639)^2),0))</f>
        <v>153</v>
      </c>
      <c r="U84" s="32"/>
    </row>
    <row r="85" customFormat="false" ht="15" hidden="false" customHeight="false" outlineLevel="0" collapsed="false">
      <c r="A85" s="32" t="s">
        <v>220</v>
      </c>
      <c r="B85" s="32" t="s">
        <v>251</v>
      </c>
      <c r="C85" s="32" t="s">
        <v>161</v>
      </c>
      <c r="D85" s="59" t="n">
        <v>410</v>
      </c>
      <c r="E85" s="59" t="n">
        <v>379</v>
      </c>
      <c r="F85" s="68" t="n">
        <f aca="false">IF(E85="","",D85-E85)</f>
        <v>31</v>
      </c>
      <c r="G85" s="59" t="n">
        <v>586</v>
      </c>
      <c r="H85" s="59" t="n">
        <v>605</v>
      </c>
      <c r="I85" s="68" t="n">
        <f aca="false">IF(H85="","",G85-H85)</f>
        <v>-19</v>
      </c>
      <c r="J85" s="40" t="n">
        <f aca="false">IF(OR(D85="",D85+G85=0),"",D85/(D85+G85))</f>
        <v>0.411646586345382</v>
      </c>
      <c r="K85" s="40" t="n">
        <f aca="false">IF(E85="","",E85/(E85+H85))</f>
        <v>0.385162601626016</v>
      </c>
      <c r="L85" s="69" t="n">
        <f aca="false">IF(OR(K85="",J85=""),"",(J85-K85)*100)</f>
        <v>2.64839847193653</v>
      </c>
      <c r="M85" s="36" t="n">
        <v>3.3526268319753</v>
      </c>
      <c r="N85" s="36" t="n">
        <v>1.35427844951641</v>
      </c>
      <c r="O85" s="36" t="n">
        <f aca="false">SQRT(M85^2+N85^2)</f>
        <v>3.61582311421692</v>
      </c>
      <c r="P85" s="40" t="n">
        <f aca="false">IF(J85="","",MAX(0,J85-1.96*O85/100))</f>
        <v>0.34077645330673</v>
      </c>
      <c r="Q85" s="40" t="n">
        <f aca="false">IF(J85="","",MIN(1,J85+1.96*O85/100))</f>
        <v>0.482516719384033</v>
      </c>
      <c r="R85" s="32" t="str">
        <f aca="false">IF(L85="","",IF(ABS(L85)&lt;=O85,"Yes","No"))</f>
        <v>Yes</v>
      </c>
      <c r="S85" s="32" t="str">
        <f aca="false">IF(L85="","",IF(ABS(L85)&lt;=1.96*O85,"Yes","No"))</f>
        <v>Yes</v>
      </c>
      <c r="T85" s="59" t="n">
        <f aca="false">IF(D85="","",ROUND(SQRT(((D85+G85)*O85/100)^2+(J85*(D85+G85)*0.09092)^2),0))</f>
        <v>52</v>
      </c>
      <c r="U85" s="32"/>
    </row>
    <row r="86" customFormat="false" ht="15" hidden="false" customHeight="false" outlineLevel="0" collapsed="false">
      <c r="A86" s="32" t="s">
        <v>220</v>
      </c>
      <c r="B86" s="32" t="s">
        <v>212</v>
      </c>
      <c r="C86" s="32" t="s">
        <v>161</v>
      </c>
      <c r="D86" s="59" t="n">
        <v>1096</v>
      </c>
      <c r="E86" s="59" t="n">
        <v>1032</v>
      </c>
      <c r="F86" s="68" t="n">
        <f aca="false">IF(E86="","",D86-E86)</f>
        <v>64</v>
      </c>
      <c r="G86" s="59" t="n">
        <v>1958</v>
      </c>
      <c r="H86" s="59" t="n">
        <v>1971</v>
      </c>
      <c r="I86" s="68" t="n">
        <f aca="false">IF(H86="","",G86-H86)</f>
        <v>-13</v>
      </c>
      <c r="J86" s="40" t="n">
        <f aca="false">IF(OR(D86="",D86+G86=0),"",D86/(D86+G86))</f>
        <v>0.358873608382449</v>
      </c>
      <c r="K86" s="40" t="n">
        <f aca="false">IF(E86="","",E86/(E86+H86))</f>
        <v>0.343656343656344</v>
      </c>
      <c r="L86" s="69" t="n">
        <f aca="false">IF(OR(K86="",J86=""),"",(J86-K86)*100)</f>
        <v>1.52172647261056</v>
      </c>
      <c r="M86" s="36" t="n">
        <v>1.87165329242132</v>
      </c>
      <c r="N86" s="36" t="n">
        <v>1.35427844951641</v>
      </c>
      <c r="O86" s="36" t="n">
        <f aca="false">SQRT(M86^2+N86^2)</f>
        <v>2.31022859601731</v>
      </c>
      <c r="P86" s="40" t="n">
        <f aca="false">IF(J86="","",MAX(0,J86-1.96*O86/100))</f>
        <v>0.31359312790051</v>
      </c>
      <c r="Q86" s="40" t="n">
        <f aca="false">IF(J86="","",MIN(1,J86+1.96*O86/100))</f>
        <v>0.404154088864389</v>
      </c>
      <c r="R86" s="32" t="str">
        <f aca="false">IF(L86="","",IF(ABS(L86)&lt;=O86,"Yes","No"))</f>
        <v>Yes</v>
      </c>
      <c r="S86" s="32" t="str">
        <f aca="false">IF(L86="","",IF(ABS(L86)&lt;=1.96*O86,"Yes","No"))</f>
        <v>Yes</v>
      </c>
      <c r="T86" s="59" t="n">
        <f aca="false">IF(D86="","",ROUND(SQRT(((D86+G86)*O86/100)^2+(J86*(D86+G86)*0.06991)^2),0))</f>
        <v>104</v>
      </c>
      <c r="U86" s="32"/>
    </row>
    <row r="87" customFormat="false" ht="15" hidden="false" customHeight="false" outlineLevel="0" collapsed="false">
      <c r="A87" s="32" t="s">
        <v>220</v>
      </c>
      <c r="B87" s="32" t="s">
        <v>252</v>
      </c>
      <c r="C87" s="32" t="s">
        <v>161</v>
      </c>
      <c r="D87" s="59" t="n">
        <v>291</v>
      </c>
      <c r="E87" s="59" t="n">
        <v>249</v>
      </c>
      <c r="F87" s="68" t="n">
        <f aca="false">IF(E87="","",D87-E87)</f>
        <v>42</v>
      </c>
      <c r="G87" s="59" t="n">
        <v>269</v>
      </c>
      <c r="H87" s="59" t="n">
        <v>326</v>
      </c>
      <c r="I87" s="68" t="n">
        <f aca="false">IF(H87="","",G87-H87)</f>
        <v>-57</v>
      </c>
      <c r="J87" s="40" t="n">
        <f aca="false">IF(OR(D87="",D87+G87=0),"",D87/(D87+G87))</f>
        <v>0.519642857142857</v>
      </c>
      <c r="K87" s="40" t="n">
        <f aca="false">IF(E87="","",E87/(E87+H87))</f>
        <v>0.43304347826087</v>
      </c>
      <c r="L87" s="69" t="n">
        <f aca="false">IF(OR(K87="",J87=""),"",(J87-K87)*100)</f>
        <v>8.65993788819876</v>
      </c>
      <c r="M87" s="36" t="n">
        <v>3.3526268319753</v>
      </c>
      <c r="N87" s="36" t="n">
        <v>1.35427844951641</v>
      </c>
      <c r="O87" s="36" t="n">
        <f aca="false">SQRT(M87^2+N87^2)</f>
        <v>3.61582311421692</v>
      </c>
      <c r="P87" s="40" t="n">
        <f aca="false">IF(J87="","",MAX(0,J87-1.96*O87/100))</f>
        <v>0.448772724104206</v>
      </c>
      <c r="Q87" s="40" t="n">
        <f aca="false">IF(J87="","",MIN(1,J87+1.96*O87/100))</f>
        <v>0.590512990181509</v>
      </c>
      <c r="R87" s="32" t="str">
        <f aca="false">IF(L87="","",IF(ABS(L87)&lt;=O87,"Yes","No"))</f>
        <v>No</v>
      </c>
      <c r="S87" s="32" t="str">
        <f aca="false">IF(L87="","",IF(ABS(L87)&lt;=1.96*O87,"Yes","No"))</f>
        <v>No</v>
      </c>
      <c r="T87" s="59" t="n">
        <f aca="false">IF(D87="","",ROUND(SQRT(((D87+G87)*O87/100)^2+(J87*(D87+G87)*0.09092)^2),0))</f>
        <v>33</v>
      </c>
      <c r="U87" s="32"/>
    </row>
    <row r="88" customFormat="false" ht="15" hidden="false" customHeight="false" outlineLevel="0" collapsed="false">
      <c r="A88" s="32" t="s">
        <v>220</v>
      </c>
      <c r="B88" s="32" t="s">
        <v>253</v>
      </c>
      <c r="C88" s="32" t="s">
        <v>161</v>
      </c>
      <c r="D88" s="59" t="n">
        <v>1813</v>
      </c>
      <c r="E88" s="59" t="n">
        <v>1767</v>
      </c>
      <c r="F88" s="68" t="n">
        <f aca="false">IF(E88="","",D88-E88)</f>
        <v>46</v>
      </c>
      <c r="G88" s="59" t="n">
        <v>2391</v>
      </c>
      <c r="H88" s="59" t="n">
        <v>2379</v>
      </c>
      <c r="I88" s="68" t="n">
        <f aca="false">IF(H88="","",G88-H88)</f>
        <v>12</v>
      </c>
      <c r="J88" s="40" t="n">
        <f aca="false">IF(OR(D88="",D88+G88=0),"",D88/(D88+G88))</f>
        <v>0.431255946717412</v>
      </c>
      <c r="K88" s="40" t="n">
        <f aca="false">IF(E88="","",E88/(E88+H88))</f>
        <v>0.426193921852388</v>
      </c>
      <c r="L88" s="69" t="n">
        <f aca="false">IF(OR(K88="",J88=""),"",(J88-K88)*100)</f>
        <v>0.506202486502411</v>
      </c>
      <c r="M88" s="36" t="n">
        <v>1.87647777182119</v>
      </c>
      <c r="N88" s="36" t="n">
        <v>1.35427844951641</v>
      </c>
      <c r="O88" s="36" t="n">
        <f aca="false">SQRT(M88^2+N88^2)</f>
        <v>2.31413892127581</v>
      </c>
      <c r="P88" s="40" t="n">
        <f aca="false">IF(J88="","",MAX(0,J88-1.96*O88/100))</f>
        <v>0.385898823860406</v>
      </c>
      <c r="Q88" s="40" t="n">
        <f aca="false">IF(J88="","",MIN(1,J88+1.96*O88/100))</f>
        <v>0.476613069574418</v>
      </c>
      <c r="R88" s="32" t="str">
        <f aca="false">IF(L88="","",IF(ABS(L88)&lt;=O88,"Yes","No"))</f>
        <v>Yes</v>
      </c>
      <c r="S88" s="32" t="str">
        <f aca="false">IF(L88="","",IF(ABS(L88)&lt;=1.96*O88,"Yes","No"))</f>
        <v>Yes</v>
      </c>
      <c r="T88" s="59" t="n">
        <f aca="false">IF(D88="","",ROUND(SQRT(((D88+G88)*O88/100)^2+(J88*(D88+G88)*0.0639)^2),0))</f>
        <v>151</v>
      </c>
      <c r="U88" s="32"/>
    </row>
    <row r="89" customFormat="false" ht="15" hidden="false" customHeight="false" outlineLevel="0" collapsed="false">
      <c r="A89" s="32" t="s">
        <v>220</v>
      </c>
      <c r="B89" s="32" t="s">
        <v>254</v>
      </c>
      <c r="C89" s="32" t="s">
        <v>161</v>
      </c>
      <c r="D89" s="59" t="n">
        <v>1986</v>
      </c>
      <c r="E89" s="59" t="n">
        <v>1908</v>
      </c>
      <c r="F89" s="68" t="n">
        <f aca="false">IF(E89="","",D89-E89)</f>
        <v>78</v>
      </c>
      <c r="G89" s="59" t="n">
        <v>1469</v>
      </c>
      <c r="H89" s="59" t="n">
        <v>1518</v>
      </c>
      <c r="I89" s="68" t="n">
        <f aca="false">IF(H89="","",G89-H89)</f>
        <v>-49</v>
      </c>
      <c r="J89" s="40" t="n">
        <f aca="false">IF(OR(D89="",D89+G89=0),"",D89/(D89+G89))</f>
        <v>0.574819102749638</v>
      </c>
      <c r="K89" s="40" t="n">
        <f aca="false">IF(E89="","",E89/(E89+H89))</f>
        <v>0.5569176882662</v>
      </c>
      <c r="L89" s="69" t="n">
        <f aca="false">IF(OR(K89="",J89=""),"",(J89-K89)*100)</f>
        <v>1.79014144834385</v>
      </c>
      <c r="M89" s="36" t="n">
        <v>1.87165329242132</v>
      </c>
      <c r="N89" s="36" t="n">
        <v>1.35427844951641</v>
      </c>
      <c r="O89" s="36" t="n">
        <f aca="false">SQRT(M89^2+N89^2)</f>
        <v>2.31022859601731</v>
      </c>
      <c r="P89" s="40" t="n">
        <f aca="false">IF(J89="","",MAX(0,J89-1.96*O89/100))</f>
        <v>0.529538622267699</v>
      </c>
      <c r="Q89" s="40" t="n">
        <f aca="false">IF(J89="","",MIN(1,J89+1.96*O89/100))</f>
        <v>0.620099583231578</v>
      </c>
      <c r="R89" s="32" t="str">
        <f aca="false">IF(L89="","",IF(ABS(L89)&lt;=O89,"Yes","No"))</f>
        <v>Yes</v>
      </c>
      <c r="S89" s="32" t="str">
        <f aca="false">IF(L89="","",IF(ABS(L89)&lt;=1.96*O89,"Yes","No"))</f>
        <v>Yes</v>
      </c>
      <c r="T89" s="59" t="n">
        <f aca="false">IF(D89="","",ROUND(SQRT(((D89+G89)*O89/100)^2+(J89*(D89+G89)*0.06991)^2),0))</f>
        <v>160</v>
      </c>
      <c r="U89" s="32"/>
    </row>
    <row r="90" customFormat="false" ht="15" hidden="false" customHeight="false" outlineLevel="0" collapsed="false">
      <c r="A90" s="32" t="s">
        <v>220</v>
      </c>
      <c r="B90" s="32" t="s">
        <v>255</v>
      </c>
      <c r="C90" s="32" t="s">
        <v>161</v>
      </c>
      <c r="D90" s="59" t="n">
        <v>561</v>
      </c>
      <c r="E90" s="59" t="n">
        <v>508</v>
      </c>
      <c r="F90" s="68" t="n">
        <f aca="false">IF(E90="","",D90-E90)</f>
        <v>53</v>
      </c>
      <c r="G90" s="59" t="n">
        <v>707</v>
      </c>
      <c r="H90" s="59" t="n">
        <v>791</v>
      </c>
      <c r="I90" s="68" t="n">
        <f aca="false">IF(H90="","",G90-H90)</f>
        <v>-84</v>
      </c>
      <c r="J90" s="40" t="n">
        <f aca="false">IF(OR(D90="",D90+G90=0),"",D90/(D90+G90))</f>
        <v>0.442429022082019</v>
      </c>
      <c r="K90" s="40" t="n">
        <f aca="false">IF(E90="","",E90/(E90+H90))</f>
        <v>0.391070053887606</v>
      </c>
      <c r="L90" s="69" t="n">
        <f aca="false">IF(OR(K90="",J90=""),"",(J90-K90)*100)</f>
        <v>5.13589681944131</v>
      </c>
      <c r="M90" s="36" t="n">
        <v>3.3526268319753</v>
      </c>
      <c r="N90" s="36" t="n">
        <v>1.35427844951641</v>
      </c>
      <c r="O90" s="36" t="n">
        <f aca="false">SQRT(M90^2+N90^2)</f>
        <v>3.61582311421692</v>
      </c>
      <c r="P90" s="40" t="n">
        <f aca="false">IF(J90="","",MAX(0,J90-1.96*O90/100))</f>
        <v>0.371558889043367</v>
      </c>
      <c r="Q90" s="40" t="n">
        <f aca="false">IF(J90="","",MIN(1,J90+1.96*O90/100))</f>
        <v>0.513299155120671</v>
      </c>
      <c r="R90" s="32" t="str">
        <f aca="false">IF(L90="","",IF(ABS(L90)&lt;=O90,"Yes","No"))</f>
        <v>No</v>
      </c>
      <c r="S90" s="32" t="str">
        <f aca="false">IF(L90="","",IF(ABS(L90)&lt;=1.96*O90,"Yes","No"))</f>
        <v>Yes</v>
      </c>
      <c r="T90" s="59" t="n">
        <f aca="false">IF(D90="","",ROUND(SQRT(((D90+G90)*O90/100)^2+(J90*(D90+G90)*0.09092)^2),0))</f>
        <v>69</v>
      </c>
      <c r="U90" s="32"/>
    </row>
    <row r="92" customFormat="false" ht="15" hidden="false" customHeight="false" outlineLevel="0" collapsed="false">
      <c r="A92" s="20" t="s">
        <v>383</v>
      </c>
      <c r="B92" s="70"/>
      <c r="C92" s="70"/>
      <c r="D92" s="71" t="n">
        <f aca="false">SUMIF(E2:E90,"&lt;&gt;",D2:D90)</f>
        <v>198142</v>
      </c>
      <c r="E92" s="71" t="n">
        <f aca="false">SUM(E2:E90)</f>
        <v>193125</v>
      </c>
      <c r="F92" s="72" t="n">
        <f aca="false">D92-E92</f>
        <v>5017</v>
      </c>
      <c r="G92" s="71" t="n">
        <f aca="false">SUMIF(H2:H90,"&lt;&gt;",G2:G90)</f>
        <v>192613</v>
      </c>
      <c r="H92" s="71" t="n">
        <f aca="false">SUM(H2:H90)</f>
        <v>195380</v>
      </c>
      <c r="I92" s="72" t="n">
        <f aca="false">G92-H92</f>
        <v>-2767</v>
      </c>
      <c r="J92" s="73" t="n">
        <f aca="false">D92/(D92+G92)</f>
        <v>0.507074765518036</v>
      </c>
      <c r="K92" s="73" t="n">
        <f aca="false">E92/(E92+H92)</f>
        <v>0.497097849448527</v>
      </c>
      <c r="L92" s="74" t="n">
        <f aca="false">(J92-K92)*100</f>
        <v>0.997691606950862</v>
      </c>
      <c r="M92" s="75" t="n">
        <v>0</v>
      </c>
      <c r="N92" s="75" t="n">
        <v>1.35427844951641</v>
      </c>
      <c r="O92" s="75" t="n">
        <f aca="false">SQRT(M92^2+N92^2)</f>
        <v>1.35427844951641</v>
      </c>
      <c r="P92" s="73" t="n">
        <f aca="false">J92-1.96*O92/100</f>
        <v>0.480530907907514</v>
      </c>
      <c r="Q92" s="73" t="n">
        <f aca="false">J92+1.96*O92/100</f>
        <v>0.533618623128557</v>
      </c>
      <c r="R92" s="70" t="str">
        <f aca="false">IF(ABS(L92)&lt;=O92,"Yes","No")</f>
        <v>Yes</v>
      </c>
      <c r="S92" s="70" t="str">
        <f aca="false">IF(ABS(L92)&lt;=1.96*O92,"Yes","No")</f>
        <v>Yes</v>
      </c>
      <c r="T92" s="71" t="n">
        <f aca="false">ROUND(SQRT(((D92+G92)*O92/100)^2+(J92*(D92+G92)*0.05027)^2),0)</f>
        <v>11279</v>
      </c>
    </row>
    <row r="93" customFormat="false" ht="15" hidden="false" customHeight="false" outlineLevel="0" collapsed="false">
      <c r="A93" s="20" t="s">
        <v>384</v>
      </c>
      <c r="B93" s="70"/>
      <c r="C93" s="70"/>
      <c r="D93" s="71" t="n">
        <f aca="false">SUM(D2:D90)</f>
        <v>198142</v>
      </c>
      <c r="E93" s="71"/>
      <c r="F93" s="72"/>
      <c r="G93" s="71" t="n">
        <f aca="false">SUM(G2:G90)</f>
        <v>192613</v>
      </c>
      <c r="H93" s="71"/>
      <c r="I93" s="72"/>
      <c r="J93" s="73" t="n">
        <f aca="false">D93/(D93+G93)</f>
        <v>0.507074765518036</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79.0449438202247</v>
      </c>
    </row>
    <row r="96" customFormat="false" ht="15" hidden="false" customHeight="false" outlineLevel="0" collapsed="false">
      <c r="A96" s="2" t="s">
        <v>386</v>
      </c>
      <c r="F96" s="76" t="n">
        <f aca="false">(SUMIF(I2:I90,"&gt;0")-SUMIF(I2:I90,"&lt;0"))/COUNT(I2:I90)</f>
        <v>56.8202247191011</v>
      </c>
    </row>
    <row r="97" customFormat="false" ht="15" hidden="false" customHeight="false" outlineLevel="0" collapsed="false">
      <c r="A97" s="2" t="s">
        <v>387</v>
      </c>
      <c r="F97" s="77" t="n">
        <f aca="false">(SUMIF(L2:L90,"&gt;0")-SUMIF(L2:L90,"&lt;0"))/COUNT(L2:L90)</f>
        <v>2.58096599922732</v>
      </c>
    </row>
    <row r="98" customFormat="false" ht="15" hidden="false" customHeight="false" outlineLevel="0" collapsed="false">
      <c r="A98" s="5" t="s">
        <v>388</v>
      </c>
      <c r="F98" s="78" t="n">
        <f aca="false">SQRT(SUMSQ(L2:L90)/COUNT(L2:L90))</f>
        <v>3.37802448335458</v>
      </c>
    </row>
    <row r="99" customFormat="false" ht="15" hidden="false" customHeight="false" outlineLevel="0" collapsed="false">
      <c r="A99" s="5" t="s">
        <v>389</v>
      </c>
      <c r="F99" s="79" t="n">
        <f aca="false">L92</f>
        <v>0.997691606950862</v>
      </c>
    </row>
    <row r="100" customFormat="false" ht="15" hidden="false" customHeight="false" outlineLevel="0" collapsed="false">
      <c r="A100" s="5" t="s">
        <v>390</v>
      </c>
      <c r="F100" s="78" t="n">
        <f aca="false">SQRT((SUMSQ(L2:L90)-2*L92*SUM(L2:L90)+COUNT(L2:L90)*L92^2)/COUNT(L2:L90))</f>
        <v>2.78409491536417</v>
      </c>
    </row>
    <row r="101" customFormat="false" ht="15" hidden="false" customHeight="false" outlineLevel="0" collapsed="false">
      <c r="A101" s="2" t="s">
        <v>391</v>
      </c>
      <c r="F101" s="80" t="n">
        <f aca="false">D92/E92-1</f>
        <v>0.0259779935275082</v>
      </c>
    </row>
    <row r="102" customFormat="false" ht="15" hidden="false" customHeight="false" outlineLevel="0" collapsed="false">
      <c r="A102" s="5" t="s">
        <v>392</v>
      </c>
      <c r="F102" s="81" t="n">
        <f aca="false">G92/H92-1</f>
        <v>-0.0141621455624936</v>
      </c>
    </row>
    <row r="103" customFormat="false" ht="15" hidden="false" customHeight="false" outlineLevel="0" collapsed="false">
      <c r="A103" s="2" t="s">
        <v>393</v>
      </c>
      <c r="F103" s="80" t="n">
        <f aca="false">(D92+G92)/(E92+H92)-1</f>
        <v>0.00579143125571102</v>
      </c>
    </row>
    <row r="104" customFormat="false" ht="15" hidden="false" customHeight="false" outlineLevel="0" collapsed="false">
      <c r="A104" s="2" t="s">
        <v>394</v>
      </c>
      <c r="F104" s="77" t="n">
        <f aca="false">AVERAGE(O2:O90)</f>
        <v>2.75163472302566</v>
      </c>
    </row>
    <row r="105" customFormat="false" ht="15" hidden="false" customHeight="false" outlineLevel="0" collapsed="false">
      <c r="A105" s="5" t="s">
        <v>395</v>
      </c>
      <c r="F105" s="82" t="n">
        <f aca="false">COUNTIF(R2:R90,"Yes")/(COUNTIF(R2:R90,"Yes")+COUNTIF(R2:R90,"No"))</f>
        <v>0.640449438202247</v>
      </c>
    </row>
    <row r="106" customFormat="false" ht="15" hidden="false" customHeight="false" outlineLevel="0" collapsed="false">
      <c r="A106" s="5" t="s">
        <v>396</v>
      </c>
      <c r="F106" s="82" t="n">
        <f aca="false">COUNTIF(S2:S90,"Yes")/(COUNTIF(S2:S90,"Yes")+COUNTIF(S2:S90,"No"))</f>
        <v>0.876404494382023</v>
      </c>
    </row>
    <row r="107" customFormat="false" ht="15" hidden="false" customHeight="false" outlineLevel="0" collapsed="false">
      <c r="A107" s="2" t="s">
        <v>397</v>
      </c>
      <c r="F107" s="83" t="n">
        <f aca="false">COUNTIFS(L2:L90,"&gt;=-3",L2:L90,"&lt;=3")/COUNT(L2:L90)</f>
        <v>0.629213483146067</v>
      </c>
    </row>
    <row r="108" customFormat="false" ht="15" hidden="false" customHeight="false" outlineLevel="0" collapsed="false">
      <c r="A108" s="2" t="s">
        <v>435</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1118.47016125919</v>
      </c>
    </row>
    <row r="112" customFormat="false" ht="15" hidden="false" customHeight="false" outlineLevel="0" collapsed="false">
      <c r="A112" s="2" t="s">
        <v>402</v>
      </c>
      <c r="F112" s="85" t="n">
        <f aca="false">F92-((D92+G92)-(E92+H92))*K92</f>
        <v>3898.52983874081</v>
      </c>
    </row>
    <row r="113" customFormat="false" ht="15" hidden="false" customHeight="false" outlineLevel="0" collapsed="false">
      <c r="A113" s="2" t="s">
        <v>403</v>
      </c>
      <c r="F113" s="85" t="n">
        <f aca="false">((D92+G92)-(E92+H92))*(1-K92)</f>
        <v>1131.52983874081</v>
      </c>
    </row>
    <row r="114" customFormat="false" ht="15" hidden="false" customHeight="false" outlineLevel="0" collapsed="false">
      <c r="A114" s="2" t="s">
        <v>404</v>
      </c>
      <c r="F114" s="85" t="n">
        <f aca="false">I92-((D92+G92)-(E92+H92))*(1-K92)</f>
        <v>-3898.52983874081</v>
      </c>
    </row>
    <row r="115" customFormat="false" ht="15" hidden="false" customHeight="false" outlineLevel="0" collapsed="false">
      <c r="A115" s="2" t="s">
        <v>405</v>
      </c>
      <c r="F115" s="80" t="n">
        <f aca="false">(F92-((D92+G92)-(E92+H92))*K92)/E92</f>
        <v>0.0201865622717971</v>
      </c>
    </row>
    <row r="116" customFormat="false" ht="15" hidden="false" customHeight="false" outlineLevel="0" collapsed="false">
      <c r="A116" s="2" t="s">
        <v>406</v>
      </c>
      <c r="F116" s="80" t="n">
        <f aca="false">(I92-((D92+G92)-(E92+H92))*(1-K92))/H92</f>
        <v>-0.0199535768182046</v>
      </c>
    </row>
    <row r="118" customFormat="false" ht="15" hidden="false" customHeight="false" outlineLevel="0" collapsed="false">
      <c r="U118" s="5" t="s">
        <v>136</v>
      </c>
    </row>
    <row r="119" customFormat="false" ht="41.75" hidden="false" customHeight="false" outlineLevel="0" collapsed="false">
      <c r="U119" s="67" t="s">
        <v>436</v>
      </c>
    </row>
    <row r="120" customFormat="false" ht="41.75" hidden="false" customHeight="false" outlineLevel="0" collapsed="false">
      <c r="U120" s="67" t="s">
        <v>437</v>
      </c>
    </row>
    <row r="121" customFormat="false" ht="41.75" hidden="false" customHeight="false" outlineLevel="0" collapsed="false">
      <c r="U121" s="67" t="s">
        <v>444</v>
      </c>
    </row>
    <row r="122" customFormat="false" ht="28.35" hidden="false" customHeight="false" outlineLevel="0" collapsed="false">
      <c r="U122" s="67" t="s">
        <v>439</v>
      </c>
    </row>
    <row r="123" customFormat="false" ht="41.75" hidden="false" customHeight="false" outlineLevel="0" collapsed="false">
      <c r="U123" s="67" t="s">
        <v>440</v>
      </c>
    </row>
    <row r="124" customFormat="false" ht="28.35" hidden="false" customHeight="false" outlineLevel="0" collapsed="false">
      <c r="U124" s="67" t="s">
        <v>441</v>
      </c>
    </row>
    <row r="125" customFormat="false" ht="28.35" hidden="false" customHeight="false" outlineLevel="0" collapsed="false">
      <c r="U125" s="67" t="s">
        <v>413</v>
      </c>
    </row>
    <row r="126" customFormat="false" ht="41.75" hidden="false" customHeight="false" outlineLevel="0" collapsed="false">
      <c r="U126" s="67" t="s">
        <v>442</v>
      </c>
    </row>
    <row r="127" customFormat="false" ht="15" hidden="false" customHeight="false" outlineLevel="0" collapsed="false">
      <c r="U127" s="67" t="s">
        <v>443</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418</v>
      </c>
      <c r="H1" s="8" t="s">
        <v>370</v>
      </c>
      <c r="I1" s="8" t="s">
        <v>371</v>
      </c>
      <c r="J1" s="8" t="s">
        <v>372</v>
      </c>
      <c r="K1" s="8" t="s">
        <v>373</v>
      </c>
      <c r="L1" s="8" t="s">
        <v>374</v>
      </c>
      <c r="M1" s="8" t="s">
        <v>430</v>
      </c>
      <c r="N1" s="8" t="s">
        <v>431</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206</v>
      </c>
      <c r="E2" s="59" t="n">
        <v>171</v>
      </c>
      <c r="F2" s="68" t="n">
        <f aca="false">IF(E2="","",D2-E2)</f>
        <v>35</v>
      </c>
      <c r="G2" s="59" t="n">
        <v>330</v>
      </c>
      <c r="H2" s="59" t="n">
        <v>332</v>
      </c>
      <c r="I2" s="68" t="n">
        <f aca="false">IF(H2="","",G2-H2)</f>
        <v>-2</v>
      </c>
      <c r="J2" s="40" t="n">
        <f aca="false">IF(OR(D2="",D2+G2=0),"",D2/(D2+G2))</f>
        <v>0.384328358208955</v>
      </c>
      <c r="K2" s="40" t="n">
        <f aca="false">IF(E2="","",E2/(E2+H2))</f>
        <v>0.339960238568589</v>
      </c>
      <c r="L2" s="69" t="n">
        <f aca="false">IF(OR(K2="",J2=""),"",(J2-K2)*100)</f>
        <v>4.43681196403667</v>
      </c>
      <c r="M2" s="36" t="n">
        <v>3.63100374319665</v>
      </c>
      <c r="N2" s="36" t="n">
        <v>1.35463990554941</v>
      </c>
      <c r="O2" s="36" t="n">
        <f aca="false">SQRT(M2^2+N2^2)</f>
        <v>3.87546609542839</v>
      </c>
      <c r="P2" s="40" t="n">
        <f aca="false">IF(J2="","",MAX(0,J2-1.96*O2/100))</f>
        <v>0.308369222738559</v>
      </c>
      <c r="Q2" s="40" t="n">
        <f aca="false">IF(J2="","",MIN(1,J2+1.96*O2/100))</f>
        <v>0.460287493679352</v>
      </c>
      <c r="R2" s="32" t="str">
        <f aca="false">IF(L2="","",IF(ABS(L2)&lt;=O2,"Yes","No"))</f>
        <v>No</v>
      </c>
      <c r="S2" s="32" t="str">
        <f aca="false">IF(L2="","",IF(ABS(L2)&lt;=1.96*O2,"Yes","No"))</f>
        <v>Yes</v>
      </c>
      <c r="T2" s="59" t="n">
        <f aca="false">IF(D2="","",ROUND(SQRT(((D2+G2)*O2/100)^2+(J2*(D2+G2)*0.09092)^2),0))</f>
        <v>28</v>
      </c>
      <c r="U2" s="32" t="s">
        <v>432</v>
      </c>
    </row>
    <row r="3" customFormat="false" ht="15" hidden="false" customHeight="false" outlineLevel="0" collapsed="false">
      <c r="A3" s="32" t="s">
        <v>159</v>
      </c>
      <c r="B3" s="32" t="s">
        <v>165</v>
      </c>
      <c r="C3" s="32" t="s">
        <v>161</v>
      </c>
      <c r="D3" s="59" t="n">
        <v>125</v>
      </c>
      <c r="E3" s="59" t="n">
        <v>100</v>
      </c>
      <c r="F3" s="68" t="n">
        <f aca="false">IF(E3="","",D3-E3)</f>
        <v>25</v>
      </c>
      <c r="G3" s="59" t="n">
        <v>292</v>
      </c>
      <c r="H3" s="59" t="n">
        <v>303</v>
      </c>
      <c r="I3" s="68" t="n">
        <f aca="false">IF(H3="","",G3-H3)</f>
        <v>-11</v>
      </c>
      <c r="J3" s="40" t="n">
        <f aca="false">IF(OR(D3="",D3+G3=0),"",D3/(D3+G3))</f>
        <v>0.299760191846523</v>
      </c>
      <c r="K3" s="40" t="n">
        <f aca="false">IF(E3="","",E3/(E3+H3))</f>
        <v>0.248138957816377</v>
      </c>
      <c r="L3" s="69" t="n">
        <f aca="false">IF(OR(K3="",J3=""),"",(J3-K3)*100)</f>
        <v>5.16212340301456</v>
      </c>
      <c r="M3" s="36" t="n">
        <v>3.63100374319665</v>
      </c>
      <c r="N3" s="36" t="n">
        <v>1.35463990554941</v>
      </c>
      <c r="O3" s="36" t="n">
        <f aca="false">SQRT(M3^2+N3^2)</f>
        <v>3.87546609542839</v>
      </c>
      <c r="P3" s="40" t="n">
        <f aca="false">IF(J3="","",MAX(0,J3-1.96*O3/100))</f>
        <v>0.223801056376126</v>
      </c>
      <c r="Q3" s="40" t="n">
        <f aca="false">IF(J3="","",MIN(1,J3+1.96*O3/100))</f>
        <v>0.375719327316919</v>
      </c>
      <c r="R3" s="32" t="str">
        <f aca="false">IF(L3="","",IF(ABS(L3)&lt;=O3,"Yes","No"))</f>
        <v>No</v>
      </c>
      <c r="S3" s="32" t="str">
        <f aca="false">IF(L3="","",IF(ABS(L3)&lt;=1.96*O3,"Yes","No"))</f>
        <v>Yes</v>
      </c>
      <c r="T3" s="59" t="n">
        <f aca="false">IF(D3="","",ROUND(SQRT(((D3+G3)*O3/100)^2+(J3*(D3+G3)*0.09092)^2),0))</f>
        <v>20</v>
      </c>
      <c r="U3" s="32" t="s">
        <v>432</v>
      </c>
    </row>
    <row r="4" customFormat="false" ht="15" hidden="false" customHeight="false" outlineLevel="0" collapsed="false">
      <c r="A4" s="32" t="s">
        <v>159</v>
      </c>
      <c r="B4" s="32" t="s">
        <v>166</v>
      </c>
      <c r="C4" s="32" t="s">
        <v>161</v>
      </c>
      <c r="D4" s="59" t="n">
        <v>167</v>
      </c>
      <c r="E4" s="59" t="n">
        <v>111</v>
      </c>
      <c r="F4" s="68" t="n">
        <f aca="false">IF(E4="","",D4-E4)</f>
        <v>56</v>
      </c>
      <c r="G4" s="59" t="n">
        <v>315</v>
      </c>
      <c r="H4" s="59" t="n">
        <v>317</v>
      </c>
      <c r="I4" s="68" t="n">
        <f aca="false">IF(H4="","",G4-H4)</f>
        <v>-2</v>
      </c>
      <c r="J4" s="40" t="n">
        <f aca="false">IF(OR(D4="",D4+G4=0),"",D4/(D4+G4))</f>
        <v>0.346473029045643</v>
      </c>
      <c r="K4" s="40" t="n">
        <f aca="false">IF(E4="","",E4/(E4+H4))</f>
        <v>0.259345794392523</v>
      </c>
      <c r="L4" s="69" t="n">
        <f aca="false">IF(OR(K4="",J4=""),"",(J4-K4)*100)</f>
        <v>8.71272346531198</v>
      </c>
      <c r="M4" s="36" t="n">
        <v>3.63100374319665</v>
      </c>
      <c r="N4" s="36" t="n">
        <v>1.35463990554941</v>
      </c>
      <c r="O4" s="36" t="n">
        <f aca="false">SQRT(M4^2+N4^2)</f>
        <v>3.87546609542839</v>
      </c>
      <c r="P4" s="40" t="n">
        <f aca="false">IF(J4="","",MAX(0,J4-1.96*O4/100))</f>
        <v>0.270513893575247</v>
      </c>
      <c r="Q4" s="40" t="n">
        <f aca="false">IF(J4="","",MIN(1,J4+1.96*O4/100))</f>
        <v>0.42243216451604</v>
      </c>
      <c r="R4" s="32" t="str">
        <f aca="false">IF(L4="","",IF(ABS(L4)&lt;=O4,"Yes","No"))</f>
        <v>No</v>
      </c>
      <c r="S4" s="32" t="str">
        <f aca="false">IF(L4="","",IF(ABS(L4)&lt;=1.96*O4,"Yes","No"))</f>
        <v>No</v>
      </c>
      <c r="T4" s="59" t="n">
        <f aca="false">IF(D4="","",ROUND(SQRT(((D4+G4)*O4/100)^2+(J4*(D4+G4)*0.09092)^2),0))</f>
        <v>24</v>
      </c>
      <c r="U4" s="32" t="s">
        <v>432</v>
      </c>
    </row>
    <row r="5" customFormat="false" ht="15" hidden="false" customHeight="false" outlineLevel="0" collapsed="false">
      <c r="A5" s="32" t="s">
        <v>159</v>
      </c>
      <c r="B5" s="32" t="s">
        <v>167</v>
      </c>
      <c r="C5" s="32" t="s">
        <v>161</v>
      </c>
      <c r="D5" s="59" t="n">
        <v>488</v>
      </c>
      <c r="E5" s="59" t="n">
        <v>390</v>
      </c>
      <c r="F5" s="68" t="n">
        <f aca="false">IF(E5="","",D5-E5)</f>
        <v>98</v>
      </c>
      <c r="G5" s="59" t="n">
        <v>1197</v>
      </c>
      <c r="H5" s="59" t="n">
        <v>1180</v>
      </c>
      <c r="I5" s="68" t="n">
        <f aca="false">IF(H5="","",G5-H5)</f>
        <v>17</v>
      </c>
      <c r="J5" s="40" t="n">
        <f aca="false">IF(OR(D5="",D5+G5=0),"",D5/(D5+G5))</f>
        <v>0.289614243323442</v>
      </c>
      <c r="K5" s="40" t="n">
        <f aca="false">IF(E5="","",E5/(E5+H5))</f>
        <v>0.248407643312102</v>
      </c>
      <c r="L5" s="69" t="n">
        <f aca="false">IF(OR(K5="",J5=""),"",(J5-K5)*100)</f>
        <v>4.12066000113402</v>
      </c>
      <c r="M5" s="36" t="n">
        <v>2.40885732401297</v>
      </c>
      <c r="N5" s="36" t="n">
        <v>1.35463990554941</v>
      </c>
      <c r="O5" s="36" t="n">
        <f aca="false">SQRT(M5^2+N5^2)</f>
        <v>2.76362857149035</v>
      </c>
      <c r="P5" s="40" t="n">
        <f aca="false">IF(J5="","",MAX(0,J5-1.96*O5/100))</f>
        <v>0.235447123322231</v>
      </c>
      <c r="Q5" s="40" t="n">
        <f aca="false">IF(J5="","",MIN(1,J5+1.96*O5/100))</f>
        <v>0.343781363324653</v>
      </c>
      <c r="R5" s="32" t="str">
        <f aca="false">IF(L5="","",IF(ABS(L5)&lt;=O5,"Yes","No"))</f>
        <v>No</v>
      </c>
      <c r="S5" s="32" t="str">
        <f aca="false">IF(L5="","",IF(ABS(L5)&lt;=1.96*O5,"Yes","No"))</f>
        <v>Yes</v>
      </c>
      <c r="T5" s="59" t="n">
        <f aca="false">IF(D5="","",ROUND(SQRT(((D5+G5)*O5/100)^2+(J5*(D5+G5)*0.06991)^2),0))</f>
        <v>58</v>
      </c>
      <c r="U5" s="32" t="s">
        <v>432</v>
      </c>
    </row>
    <row r="6" customFormat="false" ht="15" hidden="false" customHeight="false" outlineLevel="0" collapsed="false">
      <c r="A6" s="32" t="s">
        <v>159</v>
      </c>
      <c r="B6" s="32" t="s">
        <v>169</v>
      </c>
      <c r="C6" s="32" t="s">
        <v>161</v>
      </c>
      <c r="D6" s="59" t="n">
        <v>49</v>
      </c>
      <c r="E6" s="59" t="n">
        <v>47</v>
      </c>
      <c r="F6" s="68" t="n">
        <f aca="false">IF(E6="","",D6-E6)</f>
        <v>2</v>
      </c>
      <c r="G6" s="59" t="n">
        <v>77</v>
      </c>
      <c r="H6" s="59" t="n">
        <v>74</v>
      </c>
      <c r="I6" s="68" t="n">
        <f aca="false">IF(H6="","",G6-H6)</f>
        <v>3</v>
      </c>
      <c r="J6" s="40" t="n">
        <f aca="false">IF(OR(D6="",D6+G6=0),"",D6/(D6+G6))</f>
        <v>0.388888888888889</v>
      </c>
      <c r="K6" s="40" t="n">
        <f aca="false">IF(E6="","",E6/(E6+H6))</f>
        <v>0.388429752066116</v>
      </c>
      <c r="L6" s="69" t="n">
        <f aca="false">IF(OR(K6="",J6=""),"",(J6-K6)*100)</f>
        <v>0.045913682277321</v>
      </c>
      <c r="M6" s="36" t="n">
        <v>3.63100374319665</v>
      </c>
      <c r="N6" s="36" t="n">
        <v>1.35463990554941</v>
      </c>
      <c r="O6" s="36" t="n">
        <f aca="false">SQRT(M6^2+N6^2)</f>
        <v>3.87546609542839</v>
      </c>
      <c r="P6" s="40" t="n">
        <f aca="false">IF(J6="","",MAX(0,J6-1.96*O6/100))</f>
        <v>0.312929753418492</v>
      </c>
      <c r="Q6" s="40" t="n">
        <f aca="false">IF(J6="","",MIN(1,J6+1.96*O6/100))</f>
        <v>0.464848024359285</v>
      </c>
      <c r="R6" s="32" t="str">
        <f aca="false">IF(L6="","",IF(ABS(L6)&lt;=O6,"Yes","No"))</f>
        <v>Yes</v>
      </c>
      <c r="S6" s="32" t="str">
        <f aca="false">IF(L6="","",IF(ABS(L6)&lt;=1.96*O6,"Yes","No"))</f>
        <v>Yes</v>
      </c>
      <c r="T6" s="59" t="n">
        <f aca="false">IF(D6="","",ROUND(SQRT(((D6+G6)*O6/100)^2+(J6*(D6+G6)*0.09092)^2),0))</f>
        <v>7</v>
      </c>
      <c r="U6" s="32" t="s">
        <v>432</v>
      </c>
    </row>
    <row r="7" customFormat="false" ht="15" hidden="false" customHeight="false" outlineLevel="0" collapsed="false">
      <c r="A7" s="32" t="s">
        <v>159</v>
      </c>
      <c r="B7" s="32" t="s">
        <v>170</v>
      </c>
      <c r="C7" s="32" t="s">
        <v>161</v>
      </c>
      <c r="D7" s="59" t="n">
        <v>730</v>
      </c>
      <c r="E7" s="59" t="n">
        <v>631</v>
      </c>
      <c r="F7" s="68" t="n">
        <f aca="false">IF(E7="","",D7-E7)</f>
        <v>99</v>
      </c>
      <c r="G7" s="59" t="n">
        <v>1852</v>
      </c>
      <c r="H7" s="59" t="n">
        <v>1828</v>
      </c>
      <c r="I7" s="68" t="n">
        <f aca="false">IF(H7="","",G7-H7)</f>
        <v>24</v>
      </c>
      <c r="J7" s="40" t="n">
        <f aca="false">IF(OR(D7="",D7+G7=0),"",D7/(D7+G7))</f>
        <v>0.28272656855151</v>
      </c>
      <c r="K7" s="40" t="n">
        <f aca="false">IF(E7="","",E7/(E7+H7))</f>
        <v>0.256608377389183</v>
      </c>
      <c r="L7" s="69" t="n">
        <f aca="false">IF(OR(K7="",J7=""),"",(J7-K7)*100)</f>
        <v>2.61181911623279</v>
      </c>
      <c r="M7" s="36" t="n">
        <v>2.40885732401297</v>
      </c>
      <c r="N7" s="36" t="n">
        <v>1.35463990554941</v>
      </c>
      <c r="O7" s="36" t="n">
        <f aca="false">SQRT(M7^2+N7^2)</f>
        <v>2.76362857149035</v>
      </c>
      <c r="P7" s="40" t="n">
        <f aca="false">IF(J7="","",MAX(0,J7-1.96*O7/100))</f>
        <v>0.2285594485503</v>
      </c>
      <c r="Q7" s="40" t="n">
        <f aca="false">IF(J7="","",MIN(1,J7+1.96*O7/100))</f>
        <v>0.336893688552721</v>
      </c>
      <c r="R7" s="32" t="str">
        <f aca="false">IF(L7="","",IF(ABS(L7)&lt;=O7,"Yes","No"))</f>
        <v>Yes</v>
      </c>
      <c r="S7" s="32" t="str">
        <f aca="false">IF(L7="","",IF(ABS(L7)&lt;=1.96*O7,"Yes","No"))</f>
        <v>Yes</v>
      </c>
      <c r="T7" s="59" t="n">
        <f aca="false">IF(D7="","",ROUND(SQRT(((D7+G7)*O7/100)^2+(J7*(D7+G7)*0.06991)^2),0))</f>
        <v>88</v>
      </c>
      <c r="U7" s="32" t="s">
        <v>432</v>
      </c>
    </row>
    <row r="8" customFormat="false" ht="15" hidden="false" customHeight="false" outlineLevel="0" collapsed="false">
      <c r="A8" s="32" t="s">
        <v>159</v>
      </c>
      <c r="B8" s="32" t="s">
        <v>171</v>
      </c>
      <c r="C8" s="32" t="s">
        <v>161</v>
      </c>
      <c r="D8" s="59" t="n">
        <v>1225</v>
      </c>
      <c r="E8" s="59" t="n">
        <v>1060</v>
      </c>
      <c r="F8" s="68" t="n">
        <f aca="false">IF(E8="","",D8-E8)</f>
        <v>165</v>
      </c>
      <c r="G8" s="59" t="n">
        <v>1522</v>
      </c>
      <c r="H8" s="59" t="n">
        <v>1517</v>
      </c>
      <c r="I8" s="68" t="n">
        <f aca="false">IF(H8="","",G8-H8)</f>
        <v>5</v>
      </c>
      <c r="J8" s="40" t="n">
        <f aca="false">IF(OR(D8="",D8+G8=0),"",D8/(D8+G8))</f>
        <v>0.445941026574445</v>
      </c>
      <c r="K8" s="40" t="n">
        <f aca="false">IF(E8="","",E8/(E8+H8))</f>
        <v>0.411331005044626</v>
      </c>
      <c r="L8" s="69" t="n">
        <f aca="false">IF(OR(K8="",J8=""),"",(J8-K8)*100)</f>
        <v>3.46100215298193</v>
      </c>
      <c r="M8" s="36" t="n">
        <v>2.40885732401297</v>
      </c>
      <c r="N8" s="36" t="n">
        <v>1.35463990554941</v>
      </c>
      <c r="O8" s="36" t="n">
        <f aca="false">SQRT(M8^2+N8^2)</f>
        <v>2.76362857149035</v>
      </c>
      <c r="P8" s="40" t="n">
        <f aca="false">IF(J8="","",MAX(0,J8-1.96*O8/100))</f>
        <v>0.391773906573234</v>
      </c>
      <c r="Q8" s="40" t="n">
        <f aca="false">IF(J8="","",MIN(1,J8+1.96*O8/100))</f>
        <v>0.500108146575656</v>
      </c>
      <c r="R8" s="32" t="str">
        <f aca="false">IF(L8="","",IF(ABS(L8)&lt;=O8,"Yes","No"))</f>
        <v>No</v>
      </c>
      <c r="S8" s="32" t="str">
        <f aca="false">IF(L8="","",IF(ABS(L8)&lt;=1.96*O8,"Yes","No"))</f>
        <v>Yes</v>
      </c>
      <c r="T8" s="59" t="n">
        <f aca="false">IF(D8="","",ROUND(SQRT(((D8+G8)*O8/100)^2+(J8*(D8+G8)*0.06991)^2),0))</f>
        <v>114</v>
      </c>
      <c r="U8" s="32" t="s">
        <v>432</v>
      </c>
    </row>
    <row r="9" customFormat="false" ht="15" hidden="false" customHeight="false" outlineLevel="0" collapsed="false">
      <c r="A9" s="32" t="s">
        <v>159</v>
      </c>
      <c r="B9" s="32" t="s">
        <v>172</v>
      </c>
      <c r="C9" s="32" t="s">
        <v>161</v>
      </c>
      <c r="D9" s="59" t="n">
        <v>350</v>
      </c>
      <c r="E9" s="59" t="n">
        <v>335</v>
      </c>
      <c r="F9" s="68" t="n">
        <f aca="false">IF(E9="","",D9-E9)</f>
        <v>15</v>
      </c>
      <c r="G9" s="59" t="n">
        <v>764</v>
      </c>
      <c r="H9" s="59" t="n">
        <v>766</v>
      </c>
      <c r="I9" s="68" t="n">
        <f aca="false">IF(H9="","",G9-H9)</f>
        <v>-2</v>
      </c>
      <c r="J9" s="40" t="n">
        <f aca="false">IF(OR(D9="",D9+G9=0),"",D9/(D9+G9))</f>
        <v>0.314183123877917</v>
      </c>
      <c r="K9" s="40" t="n">
        <f aca="false">IF(E9="","",E9/(E9+H9))</f>
        <v>0.304268846503179</v>
      </c>
      <c r="L9" s="69" t="n">
        <f aca="false">IF(OR(K9="",J9=""),"",(J9-K9)*100)</f>
        <v>0.991427737473849</v>
      </c>
      <c r="M9" s="36" t="n">
        <v>3.63100374319665</v>
      </c>
      <c r="N9" s="36" t="n">
        <v>1.35463990554941</v>
      </c>
      <c r="O9" s="36" t="n">
        <f aca="false">SQRT(M9^2+N9^2)</f>
        <v>3.87546609542839</v>
      </c>
      <c r="P9" s="40" t="n">
        <f aca="false">IF(J9="","",MAX(0,J9-1.96*O9/100))</f>
        <v>0.238223988407521</v>
      </c>
      <c r="Q9" s="40" t="n">
        <f aca="false">IF(J9="","",MIN(1,J9+1.96*O9/100))</f>
        <v>0.390142259348314</v>
      </c>
      <c r="R9" s="32" t="str">
        <f aca="false">IF(L9="","",IF(ABS(L9)&lt;=O9,"Yes","No"))</f>
        <v>Yes</v>
      </c>
      <c r="S9" s="32" t="str">
        <f aca="false">IF(L9="","",IF(ABS(L9)&lt;=1.96*O9,"Yes","No"))</f>
        <v>Yes</v>
      </c>
      <c r="T9" s="59" t="n">
        <f aca="false">IF(D9="","",ROUND(SQRT(((D9+G9)*O9/100)^2+(J9*(D9+G9)*0.09092)^2),0))</f>
        <v>54</v>
      </c>
      <c r="U9" s="32" t="s">
        <v>432</v>
      </c>
    </row>
    <row r="10" customFormat="false" ht="15" hidden="false" customHeight="false" outlineLevel="0" collapsed="false">
      <c r="A10" s="32" t="s">
        <v>159</v>
      </c>
      <c r="B10" s="32" t="s">
        <v>173</v>
      </c>
      <c r="C10" s="32" t="s">
        <v>161</v>
      </c>
      <c r="D10" s="59" t="n">
        <v>672</v>
      </c>
      <c r="E10" s="59" t="n">
        <v>614</v>
      </c>
      <c r="F10" s="68" t="n">
        <f aca="false">IF(E10="","",D10-E10)</f>
        <v>58</v>
      </c>
      <c r="G10" s="59" t="n">
        <v>836</v>
      </c>
      <c r="H10" s="59" t="n">
        <v>846</v>
      </c>
      <c r="I10" s="68" t="n">
        <f aca="false">IF(H10="","",G10-H10)</f>
        <v>-10</v>
      </c>
      <c r="J10" s="40" t="n">
        <f aca="false">IF(OR(D10="",D10+G10=0),"",D10/(D10+G10))</f>
        <v>0.445623342175066</v>
      </c>
      <c r="K10" s="40" t="n">
        <f aca="false">IF(E10="","",E10/(E10+H10))</f>
        <v>0.420547945205479</v>
      </c>
      <c r="L10" s="69" t="n">
        <f aca="false">IF(OR(K10="",J10=""),"",(J10-K10)*100)</f>
        <v>2.50753969695869</v>
      </c>
      <c r="M10" s="36" t="n">
        <v>3.63100374319665</v>
      </c>
      <c r="N10" s="36" t="n">
        <v>1.35463990554941</v>
      </c>
      <c r="O10" s="36" t="n">
        <f aca="false">SQRT(M10^2+N10^2)</f>
        <v>3.87546609542839</v>
      </c>
      <c r="P10" s="40" t="n">
        <f aca="false">IF(J10="","",MAX(0,J10-1.96*O10/100))</f>
        <v>0.36966420670467</v>
      </c>
      <c r="Q10" s="40" t="n">
        <f aca="false">IF(J10="","",MIN(1,J10+1.96*O10/100))</f>
        <v>0.521582477645463</v>
      </c>
      <c r="R10" s="32" t="str">
        <f aca="false">IF(L10="","",IF(ABS(L10)&lt;=O10,"Yes","No"))</f>
        <v>Yes</v>
      </c>
      <c r="S10" s="32" t="str">
        <f aca="false">IF(L10="","",IF(ABS(L10)&lt;=1.96*O10,"Yes","No"))</f>
        <v>Yes</v>
      </c>
      <c r="T10" s="59" t="n">
        <f aca="false">IF(D10="","",ROUND(SQRT(((D10+G10)*O10/100)^2+(J10*(D10+G10)*0.09092)^2),0))</f>
        <v>85</v>
      </c>
      <c r="U10" s="32" t="s">
        <v>432</v>
      </c>
    </row>
    <row r="11" customFormat="false" ht="15" hidden="false" customHeight="false" outlineLevel="0" collapsed="false">
      <c r="A11" s="32" t="s">
        <v>159</v>
      </c>
      <c r="B11" s="32" t="s">
        <v>174</v>
      </c>
      <c r="C11" s="32" t="s">
        <v>161</v>
      </c>
      <c r="D11" s="59" t="n">
        <v>39</v>
      </c>
      <c r="E11" s="59" t="n">
        <v>42</v>
      </c>
      <c r="F11" s="68" t="n">
        <f aca="false">IF(E11="","",D11-E11)</f>
        <v>-3</v>
      </c>
      <c r="G11" s="59" t="n">
        <v>108</v>
      </c>
      <c r="H11" s="59" t="n">
        <v>99</v>
      </c>
      <c r="I11" s="68" t="n">
        <f aca="false">IF(H11="","",G11-H11)</f>
        <v>9</v>
      </c>
      <c r="J11" s="40" t="n">
        <f aca="false">IF(OR(D11="",D11+G11=0),"",D11/(D11+G11))</f>
        <v>0.26530612244898</v>
      </c>
      <c r="K11" s="40" t="n">
        <f aca="false">IF(E11="","",E11/(E11+H11))</f>
        <v>0.297872340425532</v>
      </c>
      <c r="L11" s="69" t="n">
        <f aca="false">IF(OR(K11="",J11=""),"",(J11-K11)*100)</f>
        <v>-3.25662179765523</v>
      </c>
      <c r="M11" s="36" t="n">
        <v>3.63100374319665</v>
      </c>
      <c r="N11" s="36" t="n">
        <v>1.35463990554941</v>
      </c>
      <c r="O11" s="36" t="n">
        <f aca="false">SQRT(M11^2+N11^2)</f>
        <v>3.87546609542839</v>
      </c>
      <c r="P11" s="40" t="n">
        <f aca="false">IF(J11="","",MAX(0,J11-1.96*O11/100))</f>
        <v>0.189346986978583</v>
      </c>
      <c r="Q11" s="40" t="n">
        <f aca="false">IF(J11="","",MIN(1,J11+1.96*O11/100))</f>
        <v>0.341265257919376</v>
      </c>
      <c r="R11" s="32" t="str">
        <f aca="false">IF(L11="","",IF(ABS(L11)&lt;=O11,"Yes","No"))</f>
        <v>Yes</v>
      </c>
      <c r="S11" s="32" t="str">
        <f aca="false">IF(L11="","",IF(ABS(L11)&lt;=1.96*O11,"Yes","No"))</f>
        <v>Yes</v>
      </c>
      <c r="T11" s="59" t="n">
        <f aca="false">IF(D11="","",ROUND(SQRT(((D11+G11)*O11/100)^2+(J11*(D11+G11)*0.09092)^2),0))</f>
        <v>7</v>
      </c>
      <c r="U11" s="32" t="s">
        <v>432</v>
      </c>
    </row>
    <row r="12" customFormat="false" ht="15" hidden="false" customHeight="false" outlineLevel="0" collapsed="false">
      <c r="A12" s="32" t="s">
        <v>159</v>
      </c>
      <c r="B12" s="32" t="s">
        <v>175</v>
      </c>
      <c r="C12" s="32" t="s">
        <v>161</v>
      </c>
      <c r="D12" s="59" t="n">
        <v>61</v>
      </c>
      <c r="E12" s="59" t="n">
        <v>51</v>
      </c>
      <c r="F12" s="68" t="n">
        <f aca="false">IF(E12="","",D12-E12)</f>
        <v>10</v>
      </c>
      <c r="G12" s="59" t="n">
        <v>223</v>
      </c>
      <c r="H12" s="59" t="n">
        <v>223</v>
      </c>
      <c r="I12" s="68" t="n">
        <f aca="false">IF(H12="","",G12-H12)</f>
        <v>0</v>
      </c>
      <c r="J12" s="40" t="n">
        <f aca="false">IF(OR(D12="",D12+G12=0),"",D12/(D12+G12))</f>
        <v>0.214788732394366</v>
      </c>
      <c r="K12" s="40" t="n">
        <f aca="false">IF(E12="","",E12/(E12+H12))</f>
        <v>0.186131386861314</v>
      </c>
      <c r="L12" s="69" t="n">
        <f aca="false">IF(OR(K12="",J12=""),"",(J12-K12)*100)</f>
        <v>2.86573455330523</v>
      </c>
      <c r="M12" s="36" t="n">
        <v>3.63100374319665</v>
      </c>
      <c r="N12" s="36" t="n">
        <v>1.35463990554941</v>
      </c>
      <c r="O12" s="36" t="n">
        <f aca="false">SQRT(M12^2+N12^2)</f>
        <v>3.87546609542839</v>
      </c>
      <c r="P12" s="40" t="n">
        <f aca="false">IF(J12="","",MAX(0,J12-1.96*O12/100))</f>
        <v>0.13882959692397</v>
      </c>
      <c r="Q12" s="40" t="n">
        <f aca="false">IF(J12="","",MIN(1,J12+1.96*O12/100))</f>
        <v>0.290747867864763</v>
      </c>
      <c r="R12" s="32" t="str">
        <f aca="false">IF(L12="","",IF(ABS(L12)&lt;=O12,"Yes","No"))</f>
        <v>Yes</v>
      </c>
      <c r="S12" s="32" t="str">
        <f aca="false">IF(L12="","",IF(ABS(L12)&lt;=1.96*O12,"Yes","No"))</f>
        <v>Yes</v>
      </c>
      <c r="T12" s="59" t="n">
        <f aca="false">IF(D12="","",ROUND(SQRT(((D12+G12)*O12/100)^2+(J12*(D12+G12)*0.09092)^2),0))</f>
        <v>12</v>
      </c>
      <c r="U12" s="32" t="s">
        <v>432</v>
      </c>
    </row>
    <row r="13" customFormat="false" ht="15" hidden="false" customHeight="false" outlineLevel="0" collapsed="false">
      <c r="A13" s="32" t="s">
        <v>159</v>
      </c>
      <c r="B13" s="32" t="s">
        <v>176</v>
      </c>
      <c r="C13" s="32" t="s">
        <v>161</v>
      </c>
      <c r="D13" s="59" t="n">
        <v>1003</v>
      </c>
      <c r="E13" s="59" t="n">
        <v>841</v>
      </c>
      <c r="F13" s="68" t="n">
        <f aca="false">IF(E13="","",D13-E13)</f>
        <v>162</v>
      </c>
      <c r="G13" s="59" t="n">
        <v>1413</v>
      </c>
      <c r="H13" s="59" t="n">
        <v>1410</v>
      </c>
      <c r="I13" s="68" t="n">
        <f aca="false">IF(H13="","",G13-H13)</f>
        <v>3</v>
      </c>
      <c r="J13" s="40" t="n">
        <f aca="false">IF(OR(D13="",D13+G13=0),"",D13/(D13+G13))</f>
        <v>0.415149006622517</v>
      </c>
      <c r="K13" s="40" t="n">
        <f aca="false">IF(E13="","",E13/(E13+H13))</f>
        <v>0.373611728120835</v>
      </c>
      <c r="L13" s="69" t="n">
        <f aca="false">IF(OR(K13="",J13=""),"",(J13-K13)*100)</f>
        <v>4.15372785016814</v>
      </c>
      <c r="M13" s="36" t="n">
        <v>2.40885732401297</v>
      </c>
      <c r="N13" s="36" t="n">
        <v>1.35463990554941</v>
      </c>
      <c r="O13" s="36" t="n">
        <f aca="false">SQRT(M13^2+N13^2)</f>
        <v>2.76362857149035</v>
      </c>
      <c r="P13" s="40" t="n">
        <f aca="false">IF(J13="","",MAX(0,J13-1.96*O13/100))</f>
        <v>0.360981886621306</v>
      </c>
      <c r="Q13" s="40" t="n">
        <f aca="false">IF(J13="","",MIN(1,J13+1.96*O13/100))</f>
        <v>0.469316126623728</v>
      </c>
      <c r="R13" s="32" t="str">
        <f aca="false">IF(L13="","",IF(ABS(L13)&lt;=O13,"Yes","No"))</f>
        <v>No</v>
      </c>
      <c r="S13" s="32" t="str">
        <f aca="false">IF(L13="","",IF(ABS(L13)&lt;=1.96*O13,"Yes","No"))</f>
        <v>Yes</v>
      </c>
      <c r="T13" s="59" t="n">
        <f aca="false">IF(D13="","",ROUND(SQRT(((D13+G13)*O13/100)^2+(J13*(D13+G13)*0.06991)^2),0))</f>
        <v>97</v>
      </c>
      <c r="U13" s="32" t="s">
        <v>432</v>
      </c>
    </row>
    <row r="14" customFormat="false" ht="15" hidden="false" customHeight="false" outlineLevel="0" collapsed="false">
      <c r="A14" s="32" t="s">
        <v>159</v>
      </c>
      <c r="B14" s="32" t="s">
        <v>177</v>
      </c>
      <c r="C14" s="32" t="s">
        <v>161</v>
      </c>
      <c r="D14" s="59" t="n">
        <v>564</v>
      </c>
      <c r="E14" s="59" t="n">
        <v>489</v>
      </c>
      <c r="F14" s="68" t="n">
        <f aca="false">IF(E14="","",D14-E14)</f>
        <v>75</v>
      </c>
      <c r="G14" s="59" t="n">
        <v>1214</v>
      </c>
      <c r="H14" s="59" t="n">
        <v>1164</v>
      </c>
      <c r="I14" s="68" t="n">
        <f aca="false">IF(H14="","",G14-H14)</f>
        <v>50</v>
      </c>
      <c r="J14" s="40" t="n">
        <f aca="false">IF(OR(D14="",D14+G14=0),"",D14/(D14+G14))</f>
        <v>0.317210348706412</v>
      </c>
      <c r="K14" s="40" t="n">
        <f aca="false">IF(E14="","",E14/(E14+H14))</f>
        <v>0.295825771324864</v>
      </c>
      <c r="L14" s="69" t="n">
        <f aca="false">IF(OR(K14="",J14=""),"",(J14-K14)*100)</f>
        <v>2.13845773815478</v>
      </c>
      <c r="M14" s="36" t="n">
        <v>2.40885732401297</v>
      </c>
      <c r="N14" s="36" t="n">
        <v>1.35463990554941</v>
      </c>
      <c r="O14" s="36" t="n">
        <f aca="false">SQRT(M14^2+N14^2)</f>
        <v>2.76362857149035</v>
      </c>
      <c r="P14" s="40" t="n">
        <f aca="false">IF(J14="","",MAX(0,J14-1.96*O14/100))</f>
        <v>0.263043228705201</v>
      </c>
      <c r="Q14" s="40" t="n">
        <f aca="false">IF(J14="","",MIN(1,J14+1.96*O14/100))</f>
        <v>0.371377468707623</v>
      </c>
      <c r="R14" s="32" t="str">
        <f aca="false">IF(L14="","",IF(ABS(L14)&lt;=O14,"Yes","No"))</f>
        <v>Yes</v>
      </c>
      <c r="S14" s="32" t="str">
        <f aca="false">IF(L14="","",IF(ABS(L14)&lt;=1.96*O14,"Yes","No"))</f>
        <v>Yes</v>
      </c>
      <c r="T14" s="59" t="n">
        <f aca="false">IF(D14="","",ROUND(SQRT(((D14+G14)*O14/100)^2+(J14*(D14+G14)*0.06991)^2),0))</f>
        <v>63</v>
      </c>
      <c r="U14" s="32" t="s">
        <v>432</v>
      </c>
    </row>
    <row r="15" customFormat="false" ht="15" hidden="false" customHeight="false" outlineLevel="0" collapsed="false">
      <c r="A15" s="32" t="s">
        <v>159</v>
      </c>
      <c r="B15" s="32" t="s">
        <v>178</v>
      </c>
      <c r="C15" s="32" t="s">
        <v>161</v>
      </c>
      <c r="D15" s="59" t="n">
        <v>675</v>
      </c>
      <c r="E15" s="59" t="n">
        <v>563</v>
      </c>
      <c r="F15" s="68" t="n">
        <f aca="false">IF(E15="","",D15-E15)</f>
        <v>112</v>
      </c>
      <c r="G15" s="59" t="n">
        <v>1641</v>
      </c>
      <c r="H15" s="59" t="n">
        <v>1559</v>
      </c>
      <c r="I15" s="68" t="n">
        <f aca="false">IF(H15="","",G15-H15)</f>
        <v>82</v>
      </c>
      <c r="J15" s="40" t="n">
        <f aca="false">IF(OR(D15="",D15+G15=0),"",D15/(D15+G15))</f>
        <v>0.291450777202073</v>
      </c>
      <c r="K15" s="40" t="n">
        <f aca="false">IF(E15="","",E15/(E15+H15))</f>
        <v>0.265315739868049</v>
      </c>
      <c r="L15" s="69" t="n">
        <f aca="false">IF(OR(K15="",J15=""),"",(J15-K15)*100)</f>
        <v>2.61350373340235</v>
      </c>
      <c r="M15" s="36" t="n">
        <v>2.40885732401297</v>
      </c>
      <c r="N15" s="36" t="n">
        <v>1.35463990554941</v>
      </c>
      <c r="O15" s="36" t="n">
        <f aca="false">SQRT(M15^2+N15^2)</f>
        <v>2.76362857149035</v>
      </c>
      <c r="P15" s="40" t="n">
        <f aca="false">IF(J15="","",MAX(0,J15-1.96*O15/100))</f>
        <v>0.237283657200862</v>
      </c>
      <c r="Q15" s="40" t="n">
        <f aca="false">IF(J15="","",MIN(1,J15+1.96*O15/100))</f>
        <v>0.345617897203283</v>
      </c>
      <c r="R15" s="32" t="str">
        <f aca="false">IF(L15="","",IF(ABS(L15)&lt;=O15,"Yes","No"))</f>
        <v>Yes</v>
      </c>
      <c r="S15" s="32" t="str">
        <f aca="false">IF(L15="","",IF(ABS(L15)&lt;=1.96*O15,"Yes","No"))</f>
        <v>Yes</v>
      </c>
      <c r="T15" s="59" t="n">
        <f aca="false">IF(D15="","",ROUND(SQRT(((D15+G15)*O15/100)^2+(J15*(D15+G15)*0.06991)^2),0))</f>
        <v>80</v>
      </c>
      <c r="U15" s="32" t="s">
        <v>432</v>
      </c>
    </row>
    <row r="16" customFormat="false" ht="15" hidden="false" customHeight="false" outlineLevel="0" collapsed="false">
      <c r="A16" s="32" t="s">
        <v>159</v>
      </c>
      <c r="B16" s="32" t="s">
        <v>179</v>
      </c>
      <c r="C16" s="32" t="s">
        <v>161</v>
      </c>
      <c r="D16" s="59" t="n">
        <v>685</v>
      </c>
      <c r="E16" s="59" t="n">
        <v>574</v>
      </c>
      <c r="F16" s="68" t="n">
        <f aca="false">IF(E16="","",D16-E16)</f>
        <v>111</v>
      </c>
      <c r="G16" s="59" t="n">
        <v>958</v>
      </c>
      <c r="H16" s="59" t="n">
        <v>963</v>
      </c>
      <c r="I16" s="68" t="n">
        <f aca="false">IF(H16="","",G16-H16)</f>
        <v>-5</v>
      </c>
      <c r="J16" s="40" t="n">
        <f aca="false">IF(OR(D16="",D16+G16=0),"",D16/(D16+G16))</f>
        <v>0.4169202678028</v>
      </c>
      <c r="K16" s="40" t="n">
        <f aca="false">IF(E16="","",E16/(E16+H16))</f>
        <v>0.373454782042941</v>
      </c>
      <c r="L16" s="69" t="n">
        <f aca="false">IF(OR(K16="",J16=""),"",(J16-K16)*100)</f>
        <v>4.3465485759859</v>
      </c>
      <c r="M16" s="36" t="n">
        <v>2.40885732401297</v>
      </c>
      <c r="N16" s="36" t="n">
        <v>1.35463990554941</v>
      </c>
      <c r="O16" s="36" t="n">
        <f aca="false">SQRT(M16^2+N16^2)</f>
        <v>2.76362857149035</v>
      </c>
      <c r="P16" s="40" t="n">
        <f aca="false">IF(J16="","",MAX(0,J16-1.96*O16/100))</f>
        <v>0.362753147801589</v>
      </c>
      <c r="Q16" s="40" t="n">
        <f aca="false">IF(J16="","",MIN(1,J16+1.96*O16/100))</f>
        <v>0.471087387804011</v>
      </c>
      <c r="R16" s="32" t="str">
        <f aca="false">IF(L16="","",IF(ABS(L16)&lt;=O16,"Yes","No"))</f>
        <v>No</v>
      </c>
      <c r="S16" s="32" t="str">
        <f aca="false">IF(L16="","",IF(ABS(L16)&lt;=1.96*O16,"Yes","No"))</f>
        <v>Yes</v>
      </c>
      <c r="T16" s="59" t="n">
        <f aca="false">IF(D16="","",ROUND(SQRT(((D16+G16)*O16/100)^2+(J16*(D16+G16)*0.06991)^2),0))</f>
        <v>66</v>
      </c>
      <c r="U16" s="32" t="s">
        <v>432</v>
      </c>
    </row>
    <row r="17" customFormat="false" ht="15" hidden="false" customHeight="false" outlineLevel="0" collapsed="false">
      <c r="A17" s="32" t="s">
        <v>159</v>
      </c>
      <c r="B17" s="32" t="s">
        <v>180</v>
      </c>
      <c r="C17" s="32" t="s">
        <v>161</v>
      </c>
      <c r="D17" s="59" t="n">
        <v>146</v>
      </c>
      <c r="E17" s="59" t="n">
        <v>109</v>
      </c>
      <c r="F17" s="68" t="n">
        <f aca="false">IF(E17="","",D17-E17)</f>
        <v>37</v>
      </c>
      <c r="G17" s="59" t="n">
        <v>542</v>
      </c>
      <c r="H17" s="59" t="n">
        <v>531</v>
      </c>
      <c r="I17" s="68" t="n">
        <f aca="false">IF(H17="","",G17-H17)</f>
        <v>11</v>
      </c>
      <c r="J17" s="40" t="n">
        <f aca="false">IF(OR(D17="",D17+G17=0),"",D17/(D17+G17))</f>
        <v>0.212209302325581</v>
      </c>
      <c r="K17" s="40" t="n">
        <f aca="false">IF(E17="","",E17/(E17+H17))</f>
        <v>0.1703125</v>
      </c>
      <c r="L17" s="69" t="n">
        <f aca="false">IF(OR(K17="",J17=""),"",(J17-K17)*100)</f>
        <v>4.18968023255814</v>
      </c>
      <c r="M17" s="36" t="n">
        <v>3.63100374319665</v>
      </c>
      <c r="N17" s="36" t="n">
        <v>1.35463990554941</v>
      </c>
      <c r="O17" s="36" t="n">
        <f aca="false">SQRT(M17^2+N17^2)</f>
        <v>3.87546609542839</v>
      </c>
      <c r="P17" s="40" t="n">
        <f aca="false">IF(J17="","",MAX(0,J17-1.96*O17/100))</f>
        <v>0.136250166855185</v>
      </c>
      <c r="Q17" s="40" t="n">
        <f aca="false">IF(J17="","",MIN(1,J17+1.96*O17/100))</f>
        <v>0.288168437795978</v>
      </c>
      <c r="R17" s="32" t="str">
        <f aca="false">IF(L17="","",IF(ABS(L17)&lt;=O17,"Yes","No"))</f>
        <v>No</v>
      </c>
      <c r="S17" s="32" t="str">
        <f aca="false">IF(L17="","",IF(ABS(L17)&lt;=1.96*O17,"Yes","No"))</f>
        <v>Yes</v>
      </c>
      <c r="T17" s="59" t="n">
        <f aca="false">IF(D17="","",ROUND(SQRT(((D17+G17)*O17/100)^2+(J17*(D17+G17)*0.09092)^2),0))</f>
        <v>30</v>
      </c>
      <c r="U17" s="32" t="s">
        <v>432</v>
      </c>
    </row>
    <row r="18" customFormat="false" ht="15" hidden="false" customHeight="false" outlineLevel="0" collapsed="false">
      <c r="A18" s="32" t="s">
        <v>159</v>
      </c>
      <c r="B18" s="32" t="s">
        <v>181</v>
      </c>
      <c r="C18" s="32" t="s">
        <v>161</v>
      </c>
      <c r="D18" s="59" t="n">
        <v>1037</v>
      </c>
      <c r="E18" s="59" t="n">
        <v>863</v>
      </c>
      <c r="F18" s="68" t="n">
        <f aca="false">IF(E18="","",D18-E18)</f>
        <v>174</v>
      </c>
      <c r="G18" s="59" t="n">
        <v>1661</v>
      </c>
      <c r="H18" s="59" t="n">
        <v>1676</v>
      </c>
      <c r="I18" s="68" t="n">
        <f aca="false">IF(H18="","",G18-H18)</f>
        <v>-15</v>
      </c>
      <c r="J18" s="40" t="n">
        <f aca="false">IF(OR(D18="",D18+G18=0),"",D18/(D18+G18))</f>
        <v>0.384358784284655</v>
      </c>
      <c r="K18" s="40" t="n">
        <f aca="false">IF(E18="","",E18/(E18+H18))</f>
        <v>0.339897597479323</v>
      </c>
      <c r="L18" s="69" t="n">
        <f aca="false">IF(OR(K18="",J18=""),"",(J18-K18)*100)</f>
        <v>4.44611868053327</v>
      </c>
      <c r="M18" s="36" t="n">
        <v>2.40885732401297</v>
      </c>
      <c r="N18" s="36" t="n">
        <v>1.35463990554941</v>
      </c>
      <c r="O18" s="36" t="n">
        <f aca="false">SQRT(M18^2+N18^2)</f>
        <v>2.76362857149035</v>
      </c>
      <c r="P18" s="40" t="n">
        <f aca="false">IF(J18="","",MAX(0,J18-1.96*O18/100))</f>
        <v>0.330191664283444</v>
      </c>
      <c r="Q18" s="40" t="n">
        <f aca="false">IF(J18="","",MIN(1,J18+1.96*O18/100))</f>
        <v>0.438525904285866</v>
      </c>
      <c r="R18" s="32" t="str">
        <f aca="false">IF(L18="","",IF(ABS(L18)&lt;=O18,"Yes","No"))</f>
        <v>No</v>
      </c>
      <c r="S18" s="32" t="str">
        <f aca="false">IF(L18="","",IF(ABS(L18)&lt;=1.96*O18,"Yes","No"))</f>
        <v>Yes</v>
      </c>
      <c r="T18" s="59" t="n">
        <f aca="false">IF(D18="","",ROUND(SQRT(((D18+G18)*O18/100)^2+(J18*(D18+G18)*0.06991)^2),0))</f>
        <v>104</v>
      </c>
      <c r="U18" s="32" t="s">
        <v>432</v>
      </c>
    </row>
    <row r="19" customFormat="false" ht="15" hidden="false" customHeight="false" outlineLevel="0" collapsed="false">
      <c r="A19" s="32" t="s">
        <v>159</v>
      </c>
      <c r="B19" s="32" t="s">
        <v>182</v>
      </c>
      <c r="C19" s="32" t="s">
        <v>161</v>
      </c>
      <c r="D19" s="59" t="n">
        <v>73</v>
      </c>
      <c r="E19" s="59" t="n">
        <v>52</v>
      </c>
      <c r="F19" s="68" t="n">
        <f aca="false">IF(E19="","",D19-E19)</f>
        <v>21</v>
      </c>
      <c r="G19" s="59" t="n">
        <v>168</v>
      </c>
      <c r="H19" s="59" t="n">
        <v>167</v>
      </c>
      <c r="I19" s="68" t="n">
        <f aca="false">IF(H19="","",G19-H19)</f>
        <v>1</v>
      </c>
      <c r="J19" s="40" t="n">
        <f aca="false">IF(OR(D19="",D19+G19=0),"",D19/(D19+G19))</f>
        <v>0.302904564315353</v>
      </c>
      <c r="K19" s="40" t="n">
        <f aca="false">IF(E19="","",E19/(E19+H19))</f>
        <v>0.237442922374429</v>
      </c>
      <c r="L19" s="69" t="n">
        <f aca="false">IF(OR(K19="",J19=""),"",(J19-K19)*100)</f>
        <v>6.54616419409235</v>
      </c>
      <c r="M19" s="36" t="n">
        <v>3.63100374319665</v>
      </c>
      <c r="N19" s="36" t="n">
        <v>1.35463990554941</v>
      </c>
      <c r="O19" s="36" t="n">
        <f aca="false">SQRT(M19^2+N19^2)</f>
        <v>3.87546609542839</v>
      </c>
      <c r="P19" s="40" t="n">
        <f aca="false">IF(J19="","",MAX(0,J19-1.96*O19/100))</f>
        <v>0.226945428844956</v>
      </c>
      <c r="Q19" s="40" t="n">
        <f aca="false">IF(J19="","",MIN(1,J19+1.96*O19/100))</f>
        <v>0.378863699785749</v>
      </c>
      <c r="R19" s="32" t="str">
        <f aca="false">IF(L19="","",IF(ABS(L19)&lt;=O19,"Yes","No"))</f>
        <v>No</v>
      </c>
      <c r="S19" s="32" t="str">
        <f aca="false">IF(L19="","",IF(ABS(L19)&lt;=1.96*O19,"Yes","No"))</f>
        <v>Yes</v>
      </c>
      <c r="T19" s="59" t="n">
        <f aca="false">IF(D19="","",ROUND(SQRT(((D19+G19)*O19/100)^2+(J19*(D19+G19)*0.09092)^2),0))</f>
        <v>11</v>
      </c>
      <c r="U19" s="32" t="s">
        <v>432</v>
      </c>
    </row>
    <row r="20" customFormat="false" ht="15" hidden="false" customHeight="false" outlineLevel="0" collapsed="false">
      <c r="A20" s="32" t="s">
        <v>159</v>
      </c>
      <c r="B20" s="32" t="s">
        <v>183</v>
      </c>
      <c r="C20" s="32" t="s">
        <v>161</v>
      </c>
      <c r="D20" s="59" t="n">
        <v>2195</v>
      </c>
      <c r="E20" s="59" t="n">
        <v>1997</v>
      </c>
      <c r="F20" s="68" t="n">
        <f aca="false">IF(E20="","",D20-E20)</f>
        <v>198</v>
      </c>
      <c r="G20" s="59" t="n">
        <v>3816</v>
      </c>
      <c r="H20" s="59" t="n">
        <v>3474</v>
      </c>
      <c r="I20" s="68" t="n">
        <f aca="false">IF(H20="","",G20-H20)</f>
        <v>342</v>
      </c>
      <c r="J20" s="40" t="n">
        <f aca="false">IF(OR(D20="",D20+G20=0),"",D20/(D20+G20))</f>
        <v>0.365163866245217</v>
      </c>
      <c r="K20" s="40" t="n">
        <f aca="false">IF(E20="","",E20/(E20+H20))</f>
        <v>0.365015536464997</v>
      </c>
      <c r="L20" s="69" t="n">
        <f aca="false">IF(OR(K20="",J20=""),"",(J20-K20)*100)</f>
        <v>0.0148329780219891</v>
      </c>
      <c r="M20" s="36" t="n">
        <v>1.94836887084815</v>
      </c>
      <c r="N20" s="36" t="n">
        <v>1.35463990554941</v>
      </c>
      <c r="O20" s="36" t="n">
        <f aca="false">SQRT(M20^2+N20^2)</f>
        <v>2.37301296469215</v>
      </c>
      <c r="P20" s="40" t="n">
        <f aca="false">IF(J20="","",MAX(0,J20-1.96*O20/100))</f>
        <v>0.318652812137251</v>
      </c>
      <c r="Q20" s="40" t="n">
        <f aca="false">IF(J20="","",MIN(1,J20+1.96*O20/100))</f>
        <v>0.411674920353183</v>
      </c>
      <c r="R20" s="32" t="str">
        <f aca="false">IF(L20="","",IF(ABS(L20)&lt;=O20,"Yes","No"))</f>
        <v>Yes</v>
      </c>
      <c r="S20" s="32" t="str">
        <f aca="false">IF(L20="","",IF(ABS(L20)&lt;=1.96*O20,"Yes","No"))</f>
        <v>Yes</v>
      </c>
      <c r="T20" s="59" t="n">
        <f aca="false">IF(D20="","",ROUND(SQRT(((D20+G20)*O20/100)^2+(J20*(D20+G20)*0.0639)^2),0))</f>
        <v>200</v>
      </c>
      <c r="U20" s="32" t="s">
        <v>432</v>
      </c>
    </row>
    <row r="21" customFormat="false" ht="15" hidden="false" customHeight="false" outlineLevel="0" collapsed="false">
      <c r="A21" s="32" t="s">
        <v>159</v>
      </c>
      <c r="B21" s="32" t="s">
        <v>185</v>
      </c>
      <c r="C21" s="32" t="s">
        <v>161</v>
      </c>
      <c r="D21" s="59" t="n">
        <v>717</v>
      </c>
      <c r="E21" s="59" t="n">
        <v>620</v>
      </c>
      <c r="F21" s="68" t="n">
        <f aca="false">IF(E21="","",D21-E21)</f>
        <v>97</v>
      </c>
      <c r="G21" s="59" t="n">
        <v>855</v>
      </c>
      <c r="H21" s="59" t="n">
        <v>917</v>
      </c>
      <c r="I21" s="68" t="n">
        <f aca="false">IF(H21="","",G21-H21)</f>
        <v>-62</v>
      </c>
      <c r="J21" s="40" t="n">
        <f aca="false">IF(OR(D21="",D21+G21=0),"",D21/(D21+G21))</f>
        <v>0.456106870229008</v>
      </c>
      <c r="K21" s="40" t="n">
        <f aca="false">IF(E21="","",E21/(E21+H21))</f>
        <v>0.403383214053351</v>
      </c>
      <c r="L21" s="69" t="n">
        <f aca="false">IF(OR(K21="",J21=""),"",(J21-K21)*100)</f>
        <v>5.27236561756569</v>
      </c>
      <c r="M21" s="36" t="n">
        <v>2.40885732401297</v>
      </c>
      <c r="N21" s="36" t="n">
        <v>1.35463990554941</v>
      </c>
      <c r="O21" s="36" t="n">
        <f aca="false">SQRT(M21^2+N21^2)</f>
        <v>2.76362857149035</v>
      </c>
      <c r="P21" s="40" t="n">
        <f aca="false">IF(J21="","",MAX(0,J21-1.96*O21/100))</f>
        <v>0.401939750227797</v>
      </c>
      <c r="Q21" s="40" t="n">
        <f aca="false">IF(J21="","",MIN(1,J21+1.96*O21/100))</f>
        <v>0.510273990230219</v>
      </c>
      <c r="R21" s="32" t="str">
        <f aca="false">IF(L21="","",IF(ABS(L21)&lt;=O21,"Yes","No"))</f>
        <v>No</v>
      </c>
      <c r="S21" s="32" t="str">
        <f aca="false">IF(L21="","",IF(ABS(L21)&lt;=1.96*O21,"Yes","No"))</f>
        <v>Yes</v>
      </c>
      <c r="T21" s="59" t="n">
        <f aca="false">IF(D21="","",ROUND(SQRT(((D21+G21)*O21/100)^2+(J21*(D21+G21)*0.06991)^2),0))</f>
        <v>66</v>
      </c>
      <c r="U21" s="32" t="s">
        <v>432</v>
      </c>
    </row>
    <row r="22" customFormat="false" ht="15" hidden="false" customHeight="false" outlineLevel="0" collapsed="false">
      <c r="A22" s="32" t="s">
        <v>159</v>
      </c>
      <c r="B22" s="32" t="s">
        <v>186</v>
      </c>
      <c r="C22" s="32" t="s">
        <v>161</v>
      </c>
      <c r="D22" s="59" t="n">
        <v>826</v>
      </c>
      <c r="E22" s="59" t="n">
        <v>723</v>
      </c>
      <c r="F22" s="68" t="n">
        <f aca="false">IF(E22="","",D22-E22)</f>
        <v>103</v>
      </c>
      <c r="G22" s="59" t="n">
        <v>1900</v>
      </c>
      <c r="H22" s="59" t="n">
        <v>1892</v>
      </c>
      <c r="I22" s="68" t="n">
        <f aca="false">IF(H22="","",G22-H22)</f>
        <v>8</v>
      </c>
      <c r="J22" s="40" t="n">
        <f aca="false">IF(OR(D22="",D22+G22=0),"",D22/(D22+G22))</f>
        <v>0.303008070432869</v>
      </c>
      <c r="K22" s="40" t="n">
        <f aca="false">IF(E22="","",E22/(E22+H22))</f>
        <v>0.276481835564054</v>
      </c>
      <c r="L22" s="69" t="n">
        <f aca="false">IF(OR(K22="",J22=""),"",(J22-K22)*100)</f>
        <v>2.65262348688151</v>
      </c>
      <c r="M22" s="36" t="n">
        <v>2.40885732401297</v>
      </c>
      <c r="N22" s="36" t="n">
        <v>1.35463990554941</v>
      </c>
      <c r="O22" s="36" t="n">
        <f aca="false">SQRT(M22^2+N22^2)</f>
        <v>2.76362857149035</v>
      </c>
      <c r="P22" s="40" t="n">
        <f aca="false">IF(J22="","",MAX(0,J22-1.96*O22/100))</f>
        <v>0.248840950431658</v>
      </c>
      <c r="Q22" s="40" t="n">
        <f aca="false">IF(J22="","",MIN(1,J22+1.96*O22/100))</f>
        <v>0.35717519043408</v>
      </c>
      <c r="R22" s="32" t="str">
        <f aca="false">IF(L22="","",IF(ABS(L22)&lt;=O22,"Yes","No"))</f>
        <v>Yes</v>
      </c>
      <c r="S22" s="32" t="str">
        <f aca="false">IF(L22="","",IF(ABS(L22)&lt;=1.96*O22,"Yes","No"))</f>
        <v>Yes</v>
      </c>
      <c r="T22" s="59" t="n">
        <f aca="false">IF(D22="","",ROUND(SQRT(((D22+G22)*O22/100)^2+(J22*(D22+G22)*0.06991)^2),0))</f>
        <v>95</v>
      </c>
      <c r="U22" s="32" t="s">
        <v>432</v>
      </c>
    </row>
    <row r="23" customFormat="false" ht="15" hidden="false" customHeight="false" outlineLevel="0" collapsed="false">
      <c r="A23" s="32" t="s">
        <v>159</v>
      </c>
      <c r="B23" s="32" t="s">
        <v>187</v>
      </c>
      <c r="C23" s="32" t="s">
        <v>161</v>
      </c>
      <c r="D23" s="59" t="n">
        <v>359</v>
      </c>
      <c r="E23" s="59" t="n">
        <v>323</v>
      </c>
      <c r="F23" s="68" t="n">
        <f aca="false">IF(E23="","",D23-E23)</f>
        <v>36</v>
      </c>
      <c r="G23" s="59" t="n">
        <v>874</v>
      </c>
      <c r="H23" s="59" t="n">
        <v>898</v>
      </c>
      <c r="I23" s="68" t="n">
        <f aca="false">IF(H23="","",G23-H23)</f>
        <v>-24</v>
      </c>
      <c r="J23" s="40" t="n">
        <f aca="false">IF(OR(D23="",D23+G23=0),"",D23/(D23+G23))</f>
        <v>0.291159772911598</v>
      </c>
      <c r="K23" s="40" t="n">
        <f aca="false">IF(E23="","",E23/(E23+H23))</f>
        <v>0.264537264537265</v>
      </c>
      <c r="L23" s="69" t="n">
        <f aca="false">IF(OR(K23="",J23=""),"",(J23-K23)*100)</f>
        <v>2.66225083743332</v>
      </c>
      <c r="M23" s="36" t="n">
        <v>3.63100374319665</v>
      </c>
      <c r="N23" s="36" t="n">
        <v>1.35463990554941</v>
      </c>
      <c r="O23" s="36" t="n">
        <f aca="false">SQRT(M23^2+N23^2)</f>
        <v>3.87546609542839</v>
      </c>
      <c r="P23" s="40" t="n">
        <f aca="false">IF(J23="","",MAX(0,J23-1.96*O23/100))</f>
        <v>0.215200637441201</v>
      </c>
      <c r="Q23" s="40" t="n">
        <f aca="false">IF(J23="","",MIN(1,J23+1.96*O23/100))</f>
        <v>0.367118908381994</v>
      </c>
      <c r="R23" s="32" t="str">
        <f aca="false">IF(L23="","",IF(ABS(L23)&lt;=O23,"Yes","No"))</f>
        <v>Yes</v>
      </c>
      <c r="S23" s="32" t="str">
        <f aca="false">IF(L23="","",IF(ABS(L23)&lt;=1.96*O23,"Yes","No"))</f>
        <v>Yes</v>
      </c>
      <c r="T23" s="59" t="n">
        <f aca="false">IF(D23="","",ROUND(SQRT(((D23+G23)*O23/100)^2+(J23*(D23+G23)*0.09092)^2),0))</f>
        <v>58</v>
      </c>
      <c r="U23" s="32" t="s">
        <v>432</v>
      </c>
    </row>
    <row r="24" customFormat="false" ht="15" hidden="false" customHeight="false" outlineLevel="0" collapsed="false">
      <c r="A24" s="32" t="s">
        <v>159</v>
      </c>
      <c r="B24" s="32" t="s">
        <v>188</v>
      </c>
      <c r="C24" s="32" t="s">
        <v>161</v>
      </c>
      <c r="D24" s="59" t="n">
        <v>80</v>
      </c>
      <c r="E24" s="59" t="n">
        <v>62</v>
      </c>
      <c r="F24" s="68" t="n">
        <f aca="false">IF(E24="","",D24-E24)</f>
        <v>18</v>
      </c>
      <c r="G24" s="59" t="n">
        <v>94</v>
      </c>
      <c r="H24" s="59" t="n">
        <v>91</v>
      </c>
      <c r="I24" s="68" t="n">
        <f aca="false">IF(H24="","",G24-H24)</f>
        <v>3</v>
      </c>
      <c r="J24" s="40" t="n">
        <f aca="false">IF(OR(D24="",D24+G24=0),"",D24/(D24+G24))</f>
        <v>0.459770114942529</v>
      </c>
      <c r="K24" s="40" t="n">
        <f aca="false">IF(E24="","",E24/(E24+H24))</f>
        <v>0.405228758169935</v>
      </c>
      <c r="L24" s="69" t="n">
        <f aca="false">IF(OR(K24="",J24=""),"",(J24-K24)*100)</f>
        <v>5.45413567725941</v>
      </c>
      <c r="M24" s="36" t="n">
        <v>3.63100374319665</v>
      </c>
      <c r="N24" s="36" t="n">
        <v>1.35463990554941</v>
      </c>
      <c r="O24" s="36" t="n">
        <f aca="false">SQRT(M24^2+N24^2)</f>
        <v>3.87546609542839</v>
      </c>
      <c r="P24" s="40" t="n">
        <f aca="false">IF(J24="","",MAX(0,J24-1.96*O24/100))</f>
        <v>0.383810979472132</v>
      </c>
      <c r="Q24" s="40" t="n">
        <f aca="false">IF(J24="","",MIN(1,J24+1.96*O24/100))</f>
        <v>0.535729250412925</v>
      </c>
      <c r="R24" s="32" t="str">
        <f aca="false">IF(L24="","",IF(ABS(L24)&lt;=O24,"Yes","No"))</f>
        <v>No</v>
      </c>
      <c r="S24" s="32" t="str">
        <f aca="false">IF(L24="","",IF(ABS(L24)&lt;=1.96*O24,"Yes","No"))</f>
        <v>Yes</v>
      </c>
      <c r="T24" s="59" t="n">
        <f aca="false">IF(D24="","",ROUND(SQRT(((D24+G24)*O24/100)^2+(J24*(D24+G24)*0.09092)^2),0))</f>
        <v>10</v>
      </c>
      <c r="U24" s="32" t="s">
        <v>432</v>
      </c>
    </row>
    <row r="25" customFormat="false" ht="15" hidden="false" customHeight="false" outlineLevel="0" collapsed="false">
      <c r="A25" s="32" t="s">
        <v>189</v>
      </c>
      <c r="B25" s="32" t="s">
        <v>190</v>
      </c>
      <c r="C25" s="32" t="s">
        <v>161</v>
      </c>
      <c r="D25" s="59" t="n">
        <v>674</v>
      </c>
      <c r="E25" s="59" t="n">
        <v>644</v>
      </c>
      <c r="F25" s="68" t="n">
        <f aca="false">IF(E25="","",D25-E25)</f>
        <v>30</v>
      </c>
      <c r="G25" s="59" t="n">
        <v>659</v>
      </c>
      <c r="H25" s="59" t="n">
        <v>735</v>
      </c>
      <c r="I25" s="68" t="n">
        <f aca="false">IF(H25="","",G25-H25)</f>
        <v>-76</v>
      </c>
      <c r="J25" s="40" t="n">
        <f aca="false">IF(OR(D25="",D25+G25=0),"",D25/(D25+G25))</f>
        <v>0.50562640660165</v>
      </c>
      <c r="K25" s="40" t="n">
        <f aca="false">IF(E25="","",E25/(E25+H25))</f>
        <v>0.467005076142132</v>
      </c>
      <c r="L25" s="69" t="n">
        <f aca="false">IF(OR(K25="",J25=""),"",(J25-K25)*100)</f>
        <v>3.86213304595184</v>
      </c>
      <c r="M25" s="36" t="n">
        <v>3.63100374319665</v>
      </c>
      <c r="N25" s="36" t="n">
        <v>1.35463990554941</v>
      </c>
      <c r="O25" s="36" t="n">
        <f aca="false">SQRT(M25^2+N25^2)</f>
        <v>3.87546609542839</v>
      </c>
      <c r="P25" s="40" t="n">
        <f aca="false">IF(J25="","",MAX(0,J25-1.96*O25/100))</f>
        <v>0.429667271131254</v>
      </c>
      <c r="Q25" s="40" t="n">
        <f aca="false">IF(J25="","",MIN(1,J25+1.96*O25/100))</f>
        <v>0.581585542072047</v>
      </c>
      <c r="R25" s="32" t="str">
        <f aca="false">IF(L25="","",IF(ABS(L25)&lt;=O25,"Yes","No"))</f>
        <v>Yes</v>
      </c>
      <c r="S25" s="32" t="str">
        <f aca="false">IF(L25="","",IF(ABS(L25)&lt;=1.96*O25,"Yes","No"))</f>
        <v>Yes</v>
      </c>
      <c r="T25" s="59" t="n">
        <f aca="false">IF(D25="","",ROUND(SQRT(((D25+G25)*O25/100)^2+(J25*(D25+G25)*0.09092)^2),0))</f>
        <v>80</v>
      </c>
      <c r="U25" s="32"/>
    </row>
    <row r="26" customFormat="false" ht="15" hidden="false" customHeight="false" outlineLevel="0" collapsed="false">
      <c r="A26" s="32" t="s">
        <v>189</v>
      </c>
      <c r="B26" s="32" t="s">
        <v>191</v>
      </c>
      <c r="C26" s="32" t="s">
        <v>161</v>
      </c>
      <c r="D26" s="59" t="n">
        <v>28354</v>
      </c>
      <c r="E26" s="59" t="n">
        <v>27952</v>
      </c>
      <c r="F26" s="68" t="n">
        <f aca="false">IF(E26="","",D26-E26)</f>
        <v>402</v>
      </c>
      <c r="G26" s="59" t="n">
        <v>12012</v>
      </c>
      <c r="H26" s="59" t="n">
        <v>12938</v>
      </c>
      <c r="I26" s="68" t="n">
        <f aca="false">IF(H26="","",G26-H26)</f>
        <v>-926</v>
      </c>
      <c r="J26" s="40" t="n">
        <f aca="false">IF(OR(D26="",D26+G26=0),"",D26/(D26+G26))</f>
        <v>0.702422831095476</v>
      </c>
      <c r="K26" s="40" t="n">
        <f aca="false">IF(E26="","",E26/(E26+H26))</f>
        <v>0.6835901198337</v>
      </c>
      <c r="L26" s="69" t="n">
        <f aca="false">IF(OR(K26="",J26=""),"",(J26-K26)*100)</f>
        <v>1.88327112617762</v>
      </c>
      <c r="M26" s="36" t="n">
        <v>1.94836887084815</v>
      </c>
      <c r="N26" s="36" t="n">
        <v>1.35463990554941</v>
      </c>
      <c r="O26" s="36" t="n">
        <f aca="false">SQRT(M26^2+N26^2)</f>
        <v>2.37301296469215</v>
      </c>
      <c r="P26" s="40" t="n">
        <f aca="false">IF(J26="","",MAX(0,J26-1.96*O26/100))</f>
        <v>0.65591177698751</v>
      </c>
      <c r="Q26" s="40" t="n">
        <f aca="false">IF(J26="","",MIN(1,J26+1.96*O26/100))</f>
        <v>0.748933885203443</v>
      </c>
      <c r="R26" s="32" t="str">
        <f aca="false">IF(L26="","",IF(ABS(L26)&lt;=O26,"Yes","No"))</f>
        <v>Yes</v>
      </c>
      <c r="S26" s="32" t="str">
        <f aca="false">IF(L26="","",IF(ABS(L26)&lt;=1.96*O26,"Yes","No"))</f>
        <v>Yes</v>
      </c>
      <c r="T26" s="59" t="n">
        <f aca="false">IF(D26="","",ROUND(SQRT(((D26+G26)*O26/100)^2+(J26*(D26+G26)*0.0639)^2),0))</f>
        <v>2049</v>
      </c>
      <c r="U26" s="32"/>
    </row>
    <row r="27" customFormat="false" ht="15" hidden="false" customHeight="false" outlineLevel="0" collapsed="false">
      <c r="A27" s="32" t="s">
        <v>189</v>
      </c>
      <c r="B27" s="32" t="s">
        <v>192</v>
      </c>
      <c r="C27" s="32" t="s">
        <v>161</v>
      </c>
      <c r="D27" s="59" t="n">
        <v>6512</v>
      </c>
      <c r="E27" s="59" t="n">
        <v>6475</v>
      </c>
      <c r="F27" s="68" t="n">
        <f aca="false">IF(E27="","",D27-E27)</f>
        <v>37</v>
      </c>
      <c r="G27" s="59" t="n">
        <v>3560</v>
      </c>
      <c r="H27" s="59" t="n">
        <v>3784</v>
      </c>
      <c r="I27" s="68" t="n">
        <f aca="false">IF(H27="","",G27-H27)</f>
        <v>-224</v>
      </c>
      <c r="J27" s="40" t="n">
        <f aca="false">IF(OR(D27="",D27+G27=0),"",D27/(D27+G27))</f>
        <v>0.646544876886418</v>
      </c>
      <c r="K27" s="40" t="n">
        <f aca="false">IF(E27="","",E27/(E27+H27))</f>
        <v>0.631153133833707</v>
      </c>
      <c r="L27" s="69" t="n">
        <f aca="false">IF(OR(K27="",J27=""),"",(J27-K27)*100)</f>
        <v>1.53917430527109</v>
      </c>
      <c r="M27" s="36" t="n">
        <v>1.94836887084815</v>
      </c>
      <c r="N27" s="36" t="n">
        <v>1.35463990554941</v>
      </c>
      <c r="O27" s="36" t="n">
        <f aca="false">SQRT(M27^2+N27^2)</f>
        <v>2.37301296469215</v>
      </c>
      <c r="P27" s="40" t="n">
        <f aca="false">IF(J27="","",MAX(0,J27-1.96*O27/100))</f>
        <v>0.600033822778452</v>
      </c>
      <c r="Q27" s="40" t="n">
        <f aca="false">IF(J27="","",MIN(1,J27+1.96*O27/100))</f>
        <v>0.693055930994384</v>
      </c>
      <c r="R27" s="32" t="str">
        <f aca="false">IF(L27="","",IF(ABS(L27)&lt;=O27,"Yes","No"))</f>
        <v>Yes</v>
      </c>
      <c r="S27" s="32" t="str">
        <f aca="false">IF(L27="","",IF(ABS(L27)&lt;=1.96*O27,"Yes","No"))</f>
        <v>Yes</v>
      </c>
      <c r="T27" s="59" t="n">
        <f aca="false">IF(D27="","",ROUND(SQRT(((D27+G27)*O27/100)^2+(J27*(D27+G27)*0.0639)^2),0))</f>
        <v>480</v>
      </c>
      <c r="U27" s="32"/>
    </row>
    <row r="28" customFormat="false" ht="15" hidden="false" customHeight="false" outlineLevel="0" collapsed="false">
      <c r="A28" s="32" t="s">
        <v>189</v>
      </c>
      <c r="B28" s="32" t="s">
        <v>193</v>
      </c>
      <c r="C28" s="32" t="s">
        <v>161</v>
      </c>
      <c r="D28" s="59" t="n">
        <v>1691</v>
      </c>
      <c r="E28" s="59" t="n">
        <v>1582</v>
      </c>
      <c r="F28" s="68" t="n">
        <f aca="false">IF(E28="","",D28-E28)</f>
        <v>109</v>
      </c>
      <c r="G28" s="59" t="n">
        <v>1352</v>
      </c>
      <c r="H28" s="59" t="n">
        <v>1496</v>
      </c>
      <c r="I28" s="68" t="n">
        <f aca="false">IF(H28="","",G28-H28)</f>
        <v>-144</v>
      </c>
      <c r="J28" s="40" t="n">
        <f aca="false">IF(OR(D28="",D28+G28=0),"",D28/(D28+G28))</f>
        <v>0.55570161025304</v>
      </c>
      <c r="K28" s="40" t="n">
        <f aca="false">IF(E28="","",E28/(E28+H28))</f>
        <v>0.513970110461339</v>
      </c>
      <c r="L28" s="69" t="n">
        <f aca="false">IF(OR(K28="",J28=""),"",(J28-K28)*100)</f>
        <v>4.17314997917012</v>
      </c>
      <c r="M28" s="36" t="n">
        <v>2.40885732401297</v>
      </c>
      <c r="N28" s="36" t="n">
        <v>1.35463990554941</v>
      </c>
      <c r="O28" s="36" t="n">
        <f aca="false">SQRT(M28^2+N28^2)</f>
        <v>2.76362857149035</v>
      </c>
      <c r="P28" s="40" t="n">
        <f aca="false">IF(J28="","",MAX(0,J28-1.96*O28/100))</f>
        <v>0.501534490251829</v>
      </c>
      <c r="Q28" s="40" t="n">
        <f aca="false">IF(J28="","",MIN(1,J28+1.96*O28/100))</f>
        <v>0.609868730254251</v>
      </c>
      <c r="R28" s="32" t="str">
        <f aca="false">IF(L28="","",IF(ABS(L28)&lt;=O28,"Yes","No"))</f>
        <v>No</v>
      </c>
      <c r="S28" s="32" t="str">
        <f aca="false">IF(L28="","",IF(ABS(L28)&lt;=1.96*O28,"Yes","No"))</f>
        <v>Yes</v>
      </c>
      <c r="T28" s="59" t="n">
        <f aca="false">IF(D28="","",ROUND(SQRT(((D28+G28)*O28/100)^2+(J28*(D28+G28)*0.06991)^2),0))</f>
        <v>145</v>
      </c>
      <c r="U28" s="32"/>
    </row>
    <row r="29" customFormat="false" ht="15" hidden="false" customHeight="false" outlineLevel="0" collapsed="false">
      <c r="A29" s="32" t="s">
        <v>189</v>
      </c>
      <c r="B29" s="32" t="s">
        <v>194</v>
      </c>
      <c r="C29" s="32" t="s">
        <v>161</v>
      </c>
      <c r="D29" s="59" t="n">
        <v>736</v>
      </c>
      <c r="E29" s="59" t="n">
        <v>704</v>
      </c>
      <c r="F29" s="68" t="n">
        <f aca="false">IF(E29="","",D29-E29)</f>
        <v>32</v>
      </c>
      <c r="G29" s="59" t="n">
        <v>729</v>
      </c>
      <c r="H29" s="59" t="n">
        <v>791</v>
      </c>
      <c r="I29" s="68" t="n">
        <f aca="false">IF(H29="","",G29-H29)</f>
        <v>-62</v>
      </c>
      <c r="J29" s="40" t="n">
        <f aca="false">IF(OR(D29="",D29+G29=0),"",D29/(D29+G29))</f>
        <v>0.502389078498294</v>
      </c>
      <c r="K29" s="40" t="n">
        <f aca="false">IF(E29="","",E29/(E29+H29))</f>
        <v>0.470903010033445</v>
      </c>
      <c r="L29" s="69" t="n">
        <f aca="false">IF(OR(K29="",J29=""),"",(J29-K29)*100)</f>
        <v>3.14860684648487</v>
      </c>
      <c r="M29" s="36" t="n">
        <v>3.63100374319665</v>
      </c>
      <c r="N29" s="36" t="n">
        <v>1.35463990554941</v>
      </c>
      <c r="O29" s="36" t="n">
        <f aca="false">SQRT(M29^2+N29^2)</f>
        <v>3.87546609542839</v>
      </c>
      <c r="P29" s="40" t="n">
        <f aca="false">IF(J29="","",MAX(0,J29-1.96*O29/100))</f>
        <v>0.426429943027897</v>
      </c>
      <c r="Q29" s="40" t="n">
        <f aca="false">IF(J29="","",MIN(1,J29+1.96*O29/100))</f>
        <v>0.57834821396869</v>
      </c>
      <c r="R29" s="32" t="str">
        <f aca="false">IF(L29="","",IF(ABS(L29)&lt;=O29,"Yes","No"))</f>
        <v>Yes</v>
      </c>
      <c r="S29" s="32" t="str">
        <f aca="false">IF(L29="","",IF(ABS(L29)&lt;=1.96*O29,"Yes","No"))</f>
        <v>Yes</v>
      </c>
      <c r="T29" s="59" t="n">
        <f aca="false">IF(D29="","",ROUND(SQRT(((D29+G29)*O29/100)^2+(J29*(D29+G29)*0.09092)^2),0))</f>
        <v>88</v>
      </c>
      <c r="U29" s="32"/>
    </row>
    <row r="30" customFormat="false" ht="15" hidden="false" customHeight="false" outlineLevel="0" collapsed="false">
      <c r="A30" s="32" t="s">
        <v>189</v>
      </c>
      <c r="B30" s="32" t="s">
        <v>195</v>
      </c>
      <c r="C30" s="32" t="s">
        <v>161</v>
      </c>
      <c r="D30" s="59" t="n">
        <v>917</v>
      </c>
      <c r="E30" s="59" t="n">
        <v>878</v>
      </c>
      <c r="F30" s="68" t="n">
        <f aca="false">IF(E30="","",D30-E30)</f>
        <v>39</v>
      </c>
      <c r="G30" s="59" t="n">
        <v>793</v>
      </c>
      <c r="H30" s="59" t="n">
        <v>870</v>
      </c>
      <c r="I30" s="68" t="n">
        <f aca="false">IF(H30="","",G30-H30)</f>
        <v>-77</v>
      </c>
      <c r="J30" s="40" t="n">
        <f aca="false">IF(OR(D30="",D30+G30=0),"",D30/(D30+G30))</f>
        <v>0.53625730994152</v>
      </c>
      <c r="K30" s="40" t="n">
        <f aca="false">IF(E30="","",E30/(E30+H30))</f>
        <v>0.502288329519451</v>
      </c>
      <c r="L30" s="69" t="n">
        <f aca="false">IF(OR(K30="",J30=""),"",(J30-K30)*100)</f>
        <v>3.39689804220696</v>
      </c>
      <c r="M30" s="36" t="n">
        <v>2.40885732401297</v>
      </c>
      <c r="N30" s="36" t="n">
        <v>1.35463990554941</v>
      </c>
      <c r="O30" s="36" t="n">
        <f aca="false">SQRT(M30^2+N30^2)</f>
        <v>2.76362857149035</v>
      </c>
      <c r="P30" s="40" t="n">
        <f aca="false">IF(J30="","",MAX(0,J30-1.96*O30/100))</f>
        <v>0.48209018994031</v>
      </c>
      <c r="Q30" s="40" t="n">
        <f aca="false">IF(J30="","",MIN(1,J30+1.96*O30/100))</f>
        <v>0.590424429942731</v>
      </c>
      <c r="R30" s="32" t="str">
        <f aca="false">IF(L30="","",IF(ABS(L30)&lt;=O30,"Yes","No"))</f>
        <v>No</v>
      </c>
      <c r="S30" s="32" t="str">
        <f aca="false">IF(L30="","",IF(ABS(L30)&lt;=1.96*O30,"Yes","No"))</f>
        <v>Yes</v>
      </c>
      <c r="T30" s="59" t="n">
        <f aca="false">IF(D30="","",ROUND(SQRT(((D30+G30)*O30/100)^2+(J30*(D30+G30)*0.06991)^2),0))</f>
        <v>80</v>
      </c>
      <c r="U30" s="32"/>
    </row>
    <row r="31" customFormat="false" ht="15" hidden="false" customHeight="false" outlineLevel="0" collapsed="false">
      <c r="A31" s="32" t="s">
        <v>189</v>
      </c>
      <c r="B31" s="32" t="s">
        <v>196</v>
      </c>
      <c r="C31" s="32" t="s">
        <v>161</v>
      </c>
      <c r="D31" s="59" t="n">
        <v>3481</v>
      </c>
      <c r="E31" s="59" t="n">
        <v>3393</v>
      </c>
      <c r="F31" s="68" t="n">
        <f aca="false">IF(E31="","",D31-E31)</f>
        <v>88</v>
      </c>
      <c r="G31" s="59" t="n">
        <v>3028</v>
      </c>
      <c r="H31" s="59" t="n">
        <v>3078</v>
      </c>
      <c r="I31" s="68" t="n">
        <f aca="false">IF(H31="","",G31-H31)</f>
        <v>-50</v>
      </c>
      <c r="J31" s="40" t="n">
        <f aca="false">IF(OR(D31="",D31+G31=0),"",D31/(D31+G31))</f>
        <v>0.534797972038716</v>
      </c>
      <c r="K31" s="40" t="n">
        <f aca="false">IF(E31="","",E31/(E31+H31))</f>
        <v>0.524339360222531</v>
      </c>
      <c r="L31" s="69" t="n">
        <f aca="false">IF(OR(K31="",J31=""),"",(J31-K31)*100)</f>
        <v>1.04586118161843</v>
      </c>
      <c r="M31" s="36" t="n">
        <v>1.94836887084815</v>
      </c>
      <c r="N31" s="36" t="n">
        <v>1.35463990554941</v>
      </c>
      <c r="O31" s="36" t="n">
        <f aca="false">SQRT(M31^2+N31^2)</f>
        <v>2.37301296469215</v>
      </c>
      <c r="P31" s="40" t="n">
        <f aca="false">IF(J31="","",MAX(0,J31-1.96*O31/100))</f>
        <v>0.48828691793075</v>
      </c>
      <c r="Q31" s="40" t="n">
        <f aca="false">IF(J31="","",MIN(1,J31+1.96*O31/100))</f>
        <v>0.581309026146682</v>
      </c>
      <c r="R31" s="32" t="str">
        <f aca="false">IF(L31="","",IF(ABS(L31)&lt;=O31,"Yes","No"))</f>
        <v>Yes</v>
      </c>
      <c r="S31" s="32" t="str">
        <f aca="false">IF(L31="","",IF(ABS(L31)&lt;=1.96*O31,"Yes","No"))</f>
        <v>Yes</v>
      </c>
      <c r="T31" s="59" t="n">
        <f aca="false">IF(D31="","",ROUND(SQRT(((D31+G31)*O31/100)^2+(J31*(D31+G31)*0.0639)^2),0))</f>
        <v>271</v>
      </c>
      <c r="U31" s="32"/>
    </row>
    <row r="32" customFormat="false" ht="15" hidden="false" customHeight="false" outlineLevel="0" collapsed="false">
      <c r="A32" s="32" t="s">
        <v>189</v>
      </c>
      <c r="B32" s="32" t="s">
        <v>197</v>
      </c>
      <c r="C32" s="32" t="s">
        <v>161</v>
      </c>
      <c r="D32" s="59" t="n">
        <v>1437</v>
      </c>
      <c r="E32" s="59" t="n">
        <v>1481</v>
      </c>
      <c r="F32" s="68" t="n">
        <f aca="false">IF(E32="","",D32-E32)</f>
        <v>-44</v>
      </c>
      <c r="G32" s="59" t="n">
        <v>672</v>
      </c>
      <c r="H32" s="59" t="n">
        <v>737</v>
      </c>
      <c r="I32" s="68" t="n">
        <f aca="false">IF(H32="","",G32-H32)</f>
        <v>-65</v>
      </c>
      <c r="J32" s="40" t="n">
        <f aca="false">IF(OR(D32="",D32+G32=0),"",D32/(D32+G32))</f>
        <v>0.681365576102418</v>
      </c>
      <c r="K32" s="40" t="n">
        <f aca="false">IF(E32="","",E32/(E32+H32))</f>
        <v>0.667718665464382</v>
      </c>
      <c r="L32" s="69" t="n">
        <f aca="false">IF(OR(K32="",J32=""),"",(J32-K32)*100)</f>
        <v>1.36469106380359</v>
      </c>
      <c r="M32" s="36" t="n">
        <v>2.40885732401297</v>
      </c>
      <c r="N32" s="36" t="n">
        <v>1.35463990554941</v>
      </c>
      <c r="O32" s="36" t="n">
        <f aca="false">SQRT(M32^2+N32^2)</f>
        <v>2.76362857149035</v>
      </c>
      <c r="P32" s="40" t="n">
        <f aca="false">IF(J32="","",MAX(0,J32-1.96*O32/100))</f>
        <v>0.627198456101207</v>
      </c>
      <c r="Q32" s="40" t="n">
        <f aca="false">IF(J32="","",MIN(1,J32+1.96*O32/100))</f>
        <v>0.735532696103629</v>
      </c>
      <c r="R32" s="32" t="str">
        <f aca="false">IF(L32="","",IF(ABS(L32)&lt;=O32,"Yes","No"))</f>
        <v>Yes</v>
      </c>
      <c r="S32" s="32" t="str">
        <f aca="false">IF(L32="","",IF(ABS(L32)&lt;=1.96*O32,"Yes","No"))</f>
        <v>Yes</v>
      </c>
      <c r="T32" s="59" t="n">
        <f aca="false">IF(D32="","",ROUND(SQRT(((D32+G32)*O32/100)^2+(J32*(D32+G32)*0.06991)^2),0))</f>
        <v>116</v>
      </c>
      <c r="U32" s="32"/>
    </row>
    <row r="33" customFormat="false" ht="15" hidden="false" customHeight="false" outlineLevel="0" collapsed="false">
      <c r="A33" s="32" t="s">
        <v>189</v>
      </c>
      <c r="B33" s="32" t="s">
        <v>198</v>
      </c>
      <c r="C33" s="32" t="s">
        <v>161</v>
      </c>
      <c r="D33" s="59" t="n">
        <v>390</v>
      </c>
      <c r="E33" s="59" t="n">
        <v>405</v>
      </c>
      <c r="F33" s="68" t="n">
        <f aca="false">IF(E33="","",D33-E33)</f>
        <v>-15</v>
      </c>
      <c r="G33" s="59" t="n">
        <v>290</v>
      </c>
      <c r="H33" s="59" t="n">
        <v>304</v>
      </c>
      <c r="I33" s="68" t="n">
        <f aca="false">IF(H33="","",G33-H33)</f>
        <v>-14</v>
      </c>
      <c r="J33" s="40" t="n">
        <f aca="false">IF(OR(D33="",D33+G33=0),"",D33/(D33+G33))</f>
        <v>0.573529411764706</v>
      </c>
      <c r="K33" s="40" t="n">
        <f aca="false">IF(E33="","",E33/(E33+H33))</f>
        <v>0.571227080394922</v>
      </c>
      <c r="L33" s="69" t="n">
        <f aca="false">IF(OR(K33="",J33=""),"",(J33-K33)*100)</f>
        <v>0.230233136978342</v>
      </c>
      <c r="M33" s="36" t="n">
        <v>3.63100374319665</v>
      </c>
      <c r="N33" s="36" t="n">
        <v>1.35463990554941</v>
      </c>
      <c r="O33" s="36" t="n">
        <f aca="false">SQRT(M33^2+N33^2)</f>
        <v>3.87546609542839</v>
      </c>
      <c r="P33" s="40" t="n">
        <f aca="false">IF(J33="","",MAX(0,J33-1.96*O33/100))</f>
        <v>0.497570276294309</v>
      </c>
      <c r="Q33" s="40" t="n">
        <f aca="false">IF(J33="","",MIN(1,J33+1.96*O33/100))</f>
        <v>0.649488547235102</v>
      </c>
      <c r="R33" s="32" t="str">
        <f aca="false">IF(L33="","",IF(ABS(L33)&lt;=O33,"Yes","No"))</f>
        <v>Yes</v>
      </c>
      <c r="S33" s="32" t="str">
        <f aca="false">IF(L33="","",IF(ABS(L33)&lt;=1.96*O33,"Yes","No"))</f>
        <v>Yes</v>
      </c>
      <c r="T33" s="59" t="n">
        <f aca="false">IF(D33="","",ROUND(SQRT(((D33+G33)*O33/100)^2+(J33*(D33+G33)*0.09092)^2),0))</f>
        <v>44</v>
      </c>
      <c r="U33" s="32"/>
    </row>
    <row r="34" customFormat="false" ht="15" hidden="false" customHeight="false" outlineLevel="0" collapsed="false">
      <c r="A34" s="32" t="s">
        <v>189</v>
      </c>
      <c r="B34" s="32" t="s">
        <v>199</v>
      </c>
      <c r="C34" s="32" t="s">
        <v>161</v>
      </c>
      <c r="D34" s="59" t="n">
        <v>633</v>
      </c>
      <c r="E34" s="59" t="n">
        <v>602</v>
      </c>
      <c r="F34" s="68" t="n">
        <f aca="false">IF(E34="","",D34-E34)</f>
        <v>31</v>
      </c>
      <c r="G34" s="59" t="n">
        <v>1345</v>
      </c>
      <c r="H34" s="59" t="n">
        <v>1339</v>
      </c>
      <c r="I34" s="68" t="n">
        <f aca="false">IF(H34="","",G34-H34)</f>
        <v>6</v>
      </c>
      <c r="J34" s="40" t="n">
        <f aca="false">IF(OR(D34="",D34+G34=0),"",D34/(D34+G34))</f>
        <v>0.320020222446916</v>
      </c>
      <c r="K34" s="40" t="n">
        <f aca="false">IF(E34="","",E34/(E34+H34))</f>
        <v>0.310149407521896</v>
      </c>
      <c r="L34" s="69" t="n">
        <f aca="false">IF(OR(K34="",J34=""),"",(J34-K34)*100)</f>
        <v>0.987081492502018</v>
      </c>
      <c r="M34" s="36" t="n">
        <v>2.40885732401297</v>
      </c>
      <c r="N34" s="36" t="n">
        <v>1.35463990554941</v>
      </c>
      <c r="O34" s="36" t="n">
        <f aca="false">SQRT(M34^2+N34^2)</f>
        <v>2.76362857149035</v>
      </c>
      <c r="P34" s="40" t="n">
        <f aca="false">IF(J34="","",MAX(0,J34-1.96*O34/100))</f>
        <v>0.265853102445705</v>
      </c>
      <c r="Q34" s="40" t="n">
        <f aca="false">IF(J34="","",MIN(1,J34+1.96*O34/100))</f>
        <v>0.374187342448127</v>
      </c>
      <c r="R34" s="32" t="str">
        <f aca="false">IF(L34="","",IF(ABS(L34)&lt;=O34,"Yes","No"))</f>
        <v>Yes</v>
      </c>
      <c r="S34" s="32" t="str">
        <f aca="false">IF(L34="","",IF(ABS(L34)&lt;=1.96*O34,"Yes","No"))</f>
        <v>Yes</v>
      </c>
      <c r="T34" s="59" t="n">
        <f aca="false">IF(D34="","",ROUND(SQRT(((D34+G34)*O34/100)^2+(J34*(D34+G34)*0.06991)^2),0))</f>
        <v>70</v>
      </c>
      <c r="U34" s="32"/>
    </row>
    <row r="35" customFormat="false" ht="15" hidden="false" customHeight="false" outlineLevel="0" collapsed="false">
      <c r="A35" s="32" t="s">
        <v>189</v>
      </c>
      <c r="B35" s="32" t="s">
        <v>200</v>
      </c>
      <c r="C35" s="32" t="s">
        <v>161</v>
      </c>
      <c r="D35" s="59" t="n">
        <v>9660</v>
      </c>
      <c r="E35" s="59" t="n">
        <v>9782</v>
      </c>
      <c r="F35" s="68" t="n">
        <f aca="false">IF(E35="","",D35-E35)</f>
        <v>-122</v>
      </c>
      <c r="G35" s="59" t="n">
        <v>9927</v>
      </c>
      <c r="H35" s="59" t="n">
        <v>10014</v>
      </c>
      <c r="I35" s="68" t="n">
        <f aca="false">IF(H35="","",G35-H35)</f>
        <v>-87</v>
      </c>
      <c r="J35" s="40" t="n">
        <f aca="false">IF(OR(D35="",D35+G35=0),"",D35/(D35+G35))</f>
        <v>0.493184254862919</v>
      </c>
      <c r="K35" s="40" t="n">
        <f aca="false">IF(E35="","",E35/(E35+H35))</f>
        <v>0.494140230349566</v>
      </c>
      <c r="L35" s="69" t="n">
        <f aca="false">IF(OR(K35="",J35=""),"",(J35-K35)*100)</f>
        <v>-0.0955975486646277</v>
      </c>
      <c r="M35" s="36" t="n">
        <v>1.94836887084815</v>
      </c>
      <c r="N35" s="36" t="n">
        <v>1.35463990554941</v>
      </c>
      <c r="O35" s="36" t="n">
        <f aca="false">SQRT(M35^2+N35^2)</f>
        <v>2.37301296469215</v>
      </c>
      <c r="P35" s="40" t="n">
        <f aca="false">IF(J35="","",MAX(0,J35-1.96*O35/100))</f>
        <v>0.446673200754953</v>
      </c>
      <c r="Q35" s="40" t="n">
        <f aca="false">IF(J35="","",MIN(1,J35+1.96*O35/100))</f>
        <v>0.539695308970885</v>
      </c>
      <c r="R35" s="32" t="str">
        <f aca="false">IF(L35="","",IF(ABS(L35)&lt;=O35,"Yes","No"))</f>
        <v>Yes</v>
      </c>
      <c r="S35" s="32" t="str">
        <f aca="false">IF(L35="","",IF(ABS(L35)&lt;=1.96*O35,"Yes","No"))</f>
        <v>Yes</v>
      </c>
      <c r="T35" s="59" t="n">
        <f aca="false">IF(D35="","",ROUND(SQRT(((D35+G35)*O35/100)^2+(J35*(D35+G35)*0.0639)^2),0))</f>
        <v>773</v>
      </c>
      <c r="U35" s="32"/>
    </row>
    <row r="36" customFormat="false" ht="15" hidden="false" customHeight="false" outlineLevel="0" collapsed="false">
      <c r="A36" s="32" t="s">
        <v>189</v>
      </c>
      <c r="B36" s="32" t="s">
        <v>201</v>
      </c>
      <c r="C36" s="32" t="s">
        <v>161</v>
      </c>
      <c r="D36" s="59" t="n">
        <v>892</v>
      </c>
      <c r="E36" s="59" t="n">
        <v>920</v>
      </c>
      <c r="F36" s="68" t="n">
        <f aca="false">IF(E36="","",D36-E36)</f>
        <v>-28</v>
      </c>
      <c r="G36" s="59" t="n">
        <v>1595</v>
      </c>
      <c r="H36" s="59" t="n">
        <v>1596</v>
      </c>
      <c r="I36" s="68" t="n">
        <f aca="false">IF(H36="","",G36-H36)</f>
        <v>-1</v>
      </c>
      <c r="J36" s="40" t="n">
        <f aca="false">IF(OR(D36="",D36+G36=0),"",D36/(D36+G36))</f>
        <v>0.358665058303177</v>
      </c>
      <c r="K36" s="40" t="n">
        <f aca="false">IF(E36="","",E36/(E36+H36))</f>
        <v>0.365659777424483</v>
      </c>
      <c r="L36" s="69" t="n">
        <f aca="false">IF(OR(K36="",J36=""),"",(J36-K36)*100)</f>
        <v>-0.699471912130678</v>
      </c>
      <c r="M36" s="36" t="n">
        <v>2.40885732401297</v>
      </c>
      <c r="N36" s="36" t="n">
        <v>1.35463990554941</v>
      </c>
      <c r="O36" s="36" t="n">
        <f aca="false">SQRT(M36^2+N36^2)</f>
        <v>2.76362857149035</v>
      </c>
      <c r="P36" s="40" t="n">
        <f aca="false">IF(J36="","",MAX(0,J36-1.96*O36/100))</f>
        <v>0.304497938301966</v>
      </c>
      <c r="Q36" s="40" t="n">
        <f aca="false">IF(J36="","",MIN(1,J36+1.96*O36/100))</f>
        <v>0.412832178304387</v>
      </c>
      <c r="R36" s="32" t="str">
        <f aca="false">IF(L36="","",IF(ABS(L36)&lt;=O36,"Yes","No"))</f>
        <v>Yes</v>
      </c>
      <c r="S36" s="32" t="str">
        <f aca="false">IF(L36="","",IF(ABS(L36)&lt;=1.96*O36,"Yes","No"))</f>
        <v>Yes</v>
      </c>
      <c r="T36" s="59" t="n">
        <f aca="false">IF(D36="","",ROUND(SQRT(((D36+G36)*O36/100)^2+(J36*(D36+G36)*0.06991)^2),0))</f>
        <v>93</v>
      </c>
      <c r="U36" s="32"/>
    </row>
    <row r="37" customFormat="false" ht="15" hidden="false" customHeight="false" outlineLevel="0" collapsed="false">
      <c r="A37" s="32" t="s">
        <v>189</v>
      </c>
      <c r="B37" s="32" t="s">
        <v>202</v>
      </c>
      <c r="C37" s="32" t="s">
        <v>161</v>
      </c>
      <c r="D37" s="59" t="n">
        <v>499</v>
      </c>
      <c r="E37" s="59" t="n">
        <v>533</v>
      </c>
      <c r="F37" s="68" t="n">
        <f aca="false">IF(E37="","",D37-E37)</f>
        <v>-34</v>
      </c>
      <c r="G37" s="59" t="n">
        <v>960</v>
      </c>
      <c r="H37" s="59" t="n">
        <v>955</v>
      </c>
      <c r="I37" s="68" t="n">
        <f aca="false">IF(H37="","",G37-H37)</f>
        <v>5</v>
      </c>
      <c r="J37" s="40" t="n">
        <f aca="false">IF(OR(D37="",D37+G37=0),"",D37/(D37+G37))</f>
        <v>0.34201507882111</v>
      </c>
      <c r="K37" s="40" t="n">
        <f aca="false">IF(E37="","",E37/(E37+H37))</f>
        <v>0.358198924731183</v>
      </c>
      <c r="L37" s="69" t="n">
        <f aca="false">IF(OR(K37="",J37=""),"",(J37-K37)*100)</f>
        <v>-1.61838459100724</v>
      </c>
      <c r="M37" s="36" t="n">
        <v>3.63100374319665</v>
      </c>
      <c r="N37" s="36" t="n">
        <v>1.35463990554941</v>
      </c>
      <c r="O37" s="36" t="n">
        <f aca="false">SQRT(M37^2+N37^2)</f>
        <v>3.87546609542839</v>
      </c>
      <c r="P37" s="40" t="n">
        <f aca="false">IF(J37="","",MAX(0,J37-1.96*O37/100))</f>
        <v>0.266055943350714</v>
      </c>
      <c r="Q37" s="40" t="n">
        <f aca="false">IF(J37="","",MIN(1,J37+1.96*O37/100))</f>
        <v>0.417974214291507</v>
      </c>
      <c r="R37" s="32" t="str">
        <f aca="false">IF(L37="","",IF(ABS(L37)&lt;=O37,"Yes","No"))</f>
        <v>Yes</v>
      </c>
      <c r="S37" s="32" t="str">
        <f aca="false">IF(L37="","",IF(ABS(L37)&lt;=1.96*O37,"Yes","No"))</f>
        <v>Yes</v>
      </c>
      <c r="T37" s="59" t="n">
        <f aca="false">IF(D37="","",ROUND(SQRT(((D37+G37)*O37/100)^2+(J37*(D37+G37)*0.09092)^2),0))</f>
        <v>72</v>
      </c>
      <c r="U37" s="32"/>
    </row>
    <row r="38" customFormat="false" ht="15" hidden="false" customHeight="false" outlineLevel="0" collapsed="false">
      <c r="A38" s="32" t="s">
        <v>189</v>
      </c>
      <c r="B38" s="32" t="s">
        <v>203</v>
      </c>
      <c r="C38" s="32" t="s">
        <v>161</v>
      </c>
      <c r="D38" s="59" t="n">
        <v>785</v>
      </c>
      <c r="E38" s="59" t="n">
        <v>846</v>
      </c>
      <c r="F38" s="68" t="n">
        <f aca="false">IF(E38="","",D38-E38)</f>
        <v>-61</v>
      </c>
      <c r="G38" s="59" t="n">
        <v>1851</v>
      </c>
      <c r="H38" s="59" t="n">
        <v>1783</v>
      </c>
      <c r="I38" s="68" t="n">
        <f aca="false">IF(H38="","",G38-H38)</f>
        <v>68</v>
      </c>
      <c r="J38" s="40" t="n">
        <f aca="false">IF(OR(D38="",D38+G38=0),"",D38/(D38+G38))</f>
        <v>0.297799696509863</v>
      </c>
      <c r="K38" s="40" t="n">
        <f aca="false">IF(E38="","",E38/(E38+H38))</f>
        <v>0.321795359452263</v>
      </c>
      <c r="L38" s="69" t="n">
        <f aca="false">IF(OR(K38="",J38=""),"",(J38-K38)*100)</f>
        <v>-2.39956629423998</v>
      </c>
      <c r="M38" s="36" t="n">
        <v>2.40885732401297</v>
      </c>
      <c r="N38" s="36" t="n">
        <v>1.35463990554941</v>
      </c>
      <c r="O38" s="36" t="n">
        <f aca="false">SQRT(M38^2+N38^2)</f>
        <v>2.76362857149035</v>
      </c>
      <c r="P38" s="40" t="n">
        <f aca="false">IF(J38="","",MAX(0,J38-1.96*O38/100))</f>
        <v>0.243632576508653</v>
      </c>
      <c r="Q38" s="40" t="n">
        <f aca="false">IF(J38="","",MIN(1,J38+1.96*O38/100))</f>
        <v>0.351966816511074</v>
      </c>
      <c r="R38" s="32" t="str">
        <f aca="false">IF(L38="","",IF(ABS(L38)&lt;=O38,"Yes","No"))</f>
        <v>Yes</v>
      </c>
      <c r="S38" s="32" t="str">
        <f aca="false">IF(L38="","",IF(ABS(L38)&lt;=1.96*O38,"Yes","No"))</f>
        <v>Yes</v>
      </c>
      <c r="T38" s="59" t="n">
        <f aca="false">IF(D38="","",ROUND(SQRT(((D38+G38)*O38/100)^2+(J38*(D38+G38)*0.06991)^2),0))</f>
        <v>91</v>
      </c>
      <c r="U38" s="32"/>
    </row>
    <row r="39" customFormat="false" ht="15" hidden="false" customHeight="false" outlineLevel="0" collapsed="false">
      <c r="A39" s="32" t="s">
        <v>189</v>
      </c>
      <c r="B39" s="32" t="s">
        <v>204</v>
      </c>
      <c r="C39" s="32" t="s">
        <v>161</v>
      </c>
      <c r="D39" s="59" t="n">
        <v>941</v>
      </c>
      <c r="E39" s="59" t="n">
        <v>997</v>
      </c>
      <c r="F39" s="68" t="n">
        <f aca="false">IF(E39="","",D39-E39)</f>
        <v>-56</v>
      </c>
      <c r="G39" s="59" t="n">
        <v>876</v>
      </c>
      <c r="H39" s="59" t="n">
        <v>860</v>
      </c>
      <c r="I39" s="68" t="n">
        <f aca="false">IF(H39="","",G39-H39)</f>
        <v>16</v>
      </c>
      <c r="J39" s="40" t="n">
        <f aca="false">IF(OR(D39="",D39+G39=0),"",D39/(D39+G39))</f>
        <v>0.5178866263071</v>
      </c>
      <c r="K39" s="40" t="n">
        <f aca="false">IF(E39="","",E39/(E39+H39))</f>
        <v>0.536887452880991</v>
      </c>
      <c r="L39" s="69" t="n">
        <f aca="false">IF(OR(K39="",J39=""),"",(J39-K39)*100)</f>
        <v>-1.90008265738912</v>
      </c>
      <c r="M39" s="36" t="n">
        <v>2.40885732401297</v>
      </c>
      <c r="N39" s="36" t="n">
        <v>1.35463990554941</v>
      </c>
      <c r="O39" s="36" t="n">
        <f aca="false">SQRT(M39^2+N39^2)</f>
        <v>2.76362857149035</v>
      </c>
      <c r="P39" s="40" t="n">
        <f aca="false">IF(J39="","",MAX(0,J39-1.96*O39/100))</f>
        <v>0.463719506305889</v>
      </c>
      <c r="Q39" s="40" t="n">
        <f aca="false">IF(J39="","",MIN(1,J39+1.96*O39/100))</f>
        <v>0.572053746308311</v>
      </c>
      <c r="R39" s="32" t="str">
        <f aca="false">IF(L39="","",IF(ABS(L39)&lt;=O39,"Yes","No"))</f>
        <v>Yes</v>
      </c>
      <c r="S39" s="32" t="str">
        <f aca="false">IF(L39="","",IF(ABS(L39)&lt;=1.96*O39,"Yes","No"))</f>
        <v>Yes</v>
      </c>
      <c r="T39" s="59" t="n">
        <f aca="false">IF(D39="","",ROUND(SQRT(((D39+G39)*O39/100)^2+(J39*(D39+G39)*0.06991)^2),0))</f>
        <v>83</v>
      </c>
      <c r="U39" s="32"/>
    </row>
    <row r="40" customFormat="false" ht="15" hidden="false" customHeight="false" outlineLevel="0" collapsed="false">
      <c r="A40" s="32" t="s">
        <v>189</v>
      </c>
      <c r="B40" s="32" t="s">
        <v>205</v>
      </c>
      <c r="C40" s="32" t="s">
        <v>161</v>
      </c>
      <c r="D40" s="59" t="n">
        <v>3959</v>
      </c>
      <c r="E40" s="59" t="n">
        <v>3900</v>
      </c>
      <c r="F40" s="68" t="n">
        <f aca="false">IF(E40="","",D40-E40)</f>
        <v>59</v>
      </c>
      <c r="G40" s="59" t="n">
        <v>5703</v>
      </c>
      <c r="H40" s="59" t="n">
        <v>5859</v>
      </c>
      <c r="I40" s="68" t="n">
        <f aca="false">IF(H40="","",G40-H40)</f>
        <v>-156</v>
      </c>
      <c r="J40" s="40" t="n">
        <f aca="false">IF(OR(D40="",D40+G40=0),"",D40/(D40+G40))</f>
        <v>0.409749534257918</v>
      </c>
      <c r="K40" s="40" t="n">
        <f aca="false">IF(E40="","",E40/(E40+H40))</f>
        <v>0.399631109744851</v>
      </c>
      <c r="L40" s="69" t="n">
        <f aca="false">IF(OR(K40="",J40=""),"",(J40-K40)*100)</f>
        <v>1.01184245130667</v>
      </c>
      <c r="M40" s="36" t="n">
        <v>1.94836887084815</v>
      </c>
      <c r="N40" s="36" t="n">
        <v>1.35463990554941</v>
      </c>
      <c r="O40" s="36" t="n">
        <f aca="false">SQRT(M40^2+N40^2)</f>
        <v>2.37301296469215</v>
      </c>
      <c r="P40" s="40" t="n">
        <f aca="false">IF(J40="","",MAX(0,J40-1.96*O40/100))</f>
        <v>0.363238480149952</v>
      </c>
      <c r="Q40" s="40" t="n">
        <f aca="false">IF(J40="","",MIN(1,J40+1.96*O40/100))</f>
        <v>0.456260588365884</v>
      </c>
      <c r="R40" s="32" t="str">
        <f aca="false">IF(L40="","",IF(ABS(L40)&lt;=O40,"Yes","No"))</f>
        <v>Yes</v>
      </c>
      <c r="S40" s="32" t="str">
        <f aca="false">IF(L40="","",IF(ABS(L40)&lt;=1.96*O40,"Yes","No"))</f>
        <v>Yes</v>
      </c>
      <c r="T40" s="59" t="n">
        <f aca="false">IF(D40="","",ROUND(SQRT(((D40+G40)*O40/100)^2+(J40*(D40+G40)*0.0639)^2),0))</f>
        <v>341</v>
      </c>
      <c r="U40" s="32"/>
    </row>
    <row r="41" customFormat="false" ht="15" hidden="false" customHeight="false" outlineLevel="0" collapsed="false">
      <c r="A41" s="32" t="s">
        <v>189</v>
      </c>
      <c r="B41" s="32" t="s">
        <v>206</v>
      </c>
      <c r="C41" s="32" t="s">
        <v>161</v>
      </c>
      <c r="D41" s="59" t="n">
        <v>3965</v>
      </c>
      <c r="E41" s="59" t="n">
        <v>4029</v>
      </c>
      <c r="F41" s="68" t="n">
        <f aca="false">IF(E41="","",D41-E41)</f>
        <v>-64</v>
      </c>
      <c r="G41" s="59" t="n">
        <v>4155</v>
      </c>
      <c r="H41" s="59" t="n">
        <v>4143</v>
      </c>
      <c r="I41" s="68" t="n">
        <f aca="false">IF(H41="","",G41-H41)</f>
        <v>12</v>
      </c>
      <c r="J41" s="40" t="n">
        <f aca="false">IF(OR(D41="",D41+G41=0),"",D41/(D41+G41))</f>
        <v>0.488300492610837</v>
      </c>
      <c r="K41" s="40" t="n">
        <f aca="false">IF(E41="","",E41/(E41+H41))</f>
        <v>0.49302496328928</v>
      </c>
      <c r="L41" s="69" t="n">
        <f aca="false">IF(OR(K41="",J41=""),"",(J41-K41)*100)</f>
        <v>-0.472447067844306</v>
      </c>
      <c r="M41" s="36" t="n">
        <v>1.94836887084815</v>
      </c>
      <c r="N41" s="36" t="n">
        <v>1.35463990554941</v>
      </c>
      <c r="O41" s="36" t="n">
        <f aca="false">SQRT(M41^2+N41^2)</f>
        <v>2.37301296469215</v>
      </c>
      <c r="P41" s="40" t="n">
        <f aca="false">IF(J41="","",MAX(0,J41-1.96*O41/100))</f>
        <v>0.441789438502871</v>
      </c>
      <c r="Q41" s="40" t="n">
        <f aca="false">IF(J41="","",MIN(1,J41+1.96*O41/100))</f>
        <v>0.534811546718804</v>
      </c>
      <c r="R41" s="32" t="str">
        <f aca="false">IF(L41="","",IF(ABS(L41)&lt;=O41,"Yes","No"))</f>
        <v>Yes</v>
      </c>
      <c r="S41" s="32" t="str">
        <f aca="false">IF(L41="","",IF(ABS(L41)&lt;=1.96*O41,"Yes","No"))</f>
        <v>Yes</v>
      </c>
      <c r="T41" s="59" t="n">
        <f aca="false">IF(D41="","",ROUND(SQRT(((D41+G41)*O41/100)^2+(J41*(D41+G41)*0.0639)^2),0))</f>
        <v>318</v>
      </c>
      <c r="U41" s="32"/>
    </row>
    <row r="42" customFormat="false" ht="15" hidden="false" customHeight="false" outlineLevel="0" collapsed="false">
      <c r="A42" s="32" t="s">
        <v>189</v>
      </c>
      <c r="B42" s="32" t="s">
        <v>207</v>
      </c>
      <c r="C42" s="32" t="s">
        <v>161</v>
      </c>
      <c r="D42" s="59" t="n">
        <v>787</v>
      </c>
      <c r="E42" s="59" t="n">
        <v>748</v>
      </c>
      <c r="F42" s="68" t="n">
        <f aca="false">IF(E42="","",D42-E42)</f>
        <v>39</v>
      </c>
      <c r="G42" s="59" t="n">
        <v>1070</v>
      </c>
      <c r="H42" s="59" t="n">
        <v>1149</v>
      </c>
      <c r="I42" s="68" t="n">
        <f aca="false">IF(H42="","",G42-H42)</f>
        <v>-79</v>
      </c>
      <c r="J42" s="40" t="n">
        <f aca="false">IF(OR(D42="",D42+G42=0),"",D42/(D42+G42))</f>
        <v>0.42380183091007</v>
      </c>
      <c r="K42" s="40" t="n">
        <f aca="false">IF(E42="","",E42/(E42+H42))</f>
        <v>0.394306800210859</v>
      </c>
      <c r="L42" s="69" t="n">
        <f aca="false">IF(OR(K42="",J42=""),"",(J42-K42)*100)</f>
        <v>2.94950306992108</v>
      </c>
      <c r="M42" s="36" t="n">
        <v>2.40885732401297</v>
      </c>
      <c r="N42" s="36" t="n">
        <v>1.35463990554941</v>
      </c>
      <c r="O42" s="36" t="n">
        <f aca="false">SQRT(M42^2+N42^2)</f>
        <v>2.76362857149035</v>
      </c>
      <c r="P42" s="40" t="n">
        <f aca="false">IF(J42="","",MAX(0,J42-1.96*O42/100))</f>
        <v>0.369634710908859</v>
      </c>
      <c r="Q42" s="40" t="n">
        <f aca="false">IF(J42="","",MIN(1,J42+1.96*O42/100))</f>
        <v>0.477968950911281</v>
      </c>
      <c r="R42" s="32" t="str">
        <f aca="false">IF(L42="","",IF(ABS(L42)&lt;=O42,"Yes","No"))</f>
        <v>No</v>
      </c>
      <c r="S42" s="32" t="str">
        <f aca="false">IF(L42="","",IF(ABS(L42)&lt;=1.96*O42,"Yes","No"))</f>
        <v>Yes</v>
      </c>
      <c r="T42" s="59" t="n">
        <f aca="false">IF(D42="","",ROUND(SQRT(((D42+G42)*O42/100)^2+(J42*(D42+G42)*0.06991)^2),0))</f>
        <v>75</v>
      </c>
      <c r="U42" s="32"/>
    </row>
    <row r="43" customFormat="false" ht="15" hidden="false" customHeight="false" outlineLevel="0" collapsed="false">
      <c r="A43" s="32" t="s">
        <v>189</v>
      </c>
      <c r="B43" s="32" t="s">
        <v>208</v>
      </c>
      <c r="C43" s="32" t="s">
        <v>161</v>
      </c>
      <c r="D43" s="59" t="n">
        <v>6665</v>
      </c>
      <c r="E43" s="59" t="n">
        <v>6668</v>
      </c>
      <c r="F43" s="68" t="n">
        <f aca="false">IF(E43="","",D43-E43)</f>
        <v>-3</v>
      </c>
      <c r="G43" s="59" t="n">
        <v>5793</v>
      </c>
      <c r="H43" s="59" t="n">
        <v>5856</v>
      </c>
      <c r="I43" s="68" t="n">
        <f aca="false">IF(H43="","",G43-H43)</f>
        <v>-63</v>
      </c>
      <c r="J43" s="40" t="n">
        <f aca="false">IF(OR(D43="",D43+G43=0),"",D43/(D43+G43))</f>
        <v>0.534997591908814</v>
      </c>
      <c r="K43" s="40" t="n">
        <f aca="false">IF(E43="","",E43/(E43+H43))</f>
        <v>0.532417757904823</v>
      </c>
      <c r="L43" s="69" t="n">
        <f aca="false">IF(OR(K43="",J43=""),"",(J43-K43)*100)</f>
        <v>0.257983400399087</v>
      </c>
      <c r="M43" s="36" t="n">
        <v>1.94836887084815</v>
      </c>
      <c r="N43" s="36" t="n">
        <v>1.35463990554941</v>
      </c>
      <c r="O43" s="36" t="n">
        <f aca="false">SQRT(M43^2+N43^2)</f>
        <v>2.37301296469215</v>
      </c>
      <c r="P43" s="40" t="n">
        <f aca="false">IF(J43="","",MAX(0,J43-1.96*O43/100))</f>
        <v>0.488486537800848</v>
      </c>
      <c r="Q43" s="40" t="n">
        <f aca="false">IF(J43="","",MIN(1,J43+1.96*O43/100))</f>
        <v>0.58150864601678</v>
      </c>
      <c r="R43" s="32" t="str">
        <f aca="false">IF(L43="","",IF(ABS(L43)&lt;=O43,"Yes","No"))</f>
        <v>Yes</v>
      </c>
      <c r="S43" s="32" t="str">
        <f aca="false">IF(L43="","",IF(ABS(L43)&lt;=1.96*O43,"Yes","No"))</f>
        <v>Yes</v>
      </c>
      <c r="T43" s="59" t="n">
        <f aca="false">IF(D43="","",ROUND(SQRT(((D43+G43)*O43/100)^2+(J43*(D43+G43)*0.0639)^2),0))</f>
        <v>518</v>
      </c>
      <c r="U43" s="32"/>
    </row>
    <row r="44" customFormat="false" ht="15" hidden="false" customHeight="false" outlineLevel="0" collapsed="false">
      <c r="A44" s="32" t="s">
        <v>189</v>
      </c>
      <c r="B44" s="32" t="s">
        <v>209</v>
      </c>
      <c r="C44" s="32" t="s">
        <v>161</v>
      </c>
      <c r="D44" s="59" t="n">
        <v>7231</v>
      </c>
      <c r="E44" s="59" t="n">
        <v>7495</v>
      </c>
      <c r="F44" s="68" t="n">
        <f aca="false">IF(E44="","",D44-E44)</f>
        <v>-264</v>
      </c>
      <c r="G44" s="59" t="n">
        <v>6972</v>
      </c>
      <c r="H44" s="59" t="n">
        <v>7011</v>
      </c>
      <c r="I44" s="68" t="n">
        <f aca="false">IF(H44="","",G44-H44)</f>
        <v>-39</v>
      </c>
      <c r="J44" s="40" t="n">
        <f aca="false">IF(OR(D44="",D44+G44=0),"",D44/(D44+G44))</f>
        <v>0.509117792015771</v>
      </c>
      <c r="K44" s="40" t="n">
        <f aca="false">IF(E44="","",E44/(E44+H44))</f>
        <v>0.516682751964704</v>
      </c>
      <c r="L44" s="69" t="n">
        <f aca="false">IF(OR(K44="",J44=""),"",(J44-K44)*100)</f>
        <v>-0.756495994893291</v>
      </c>
      <c r="M44" s="36" t="n">
        <v>1.94836887084815</v>
      </c>
      <c r="N44" s="36" t="n">
        <v>1.35463990554941</v>
      </c>
      <c r="O44" s="36" t="n">
        <f aca="false">SQRT(M44^2+N44^2)</f>
        <v>2.37301296469215</v>
      </c>
      <c r="P44" s="40" t="n">
        <f aca="false">IF(J44="","",MAX(0,J44-1.96*O44/100))</f>
        <v>0.462606737907805</v>
      </c>
      <c r="Q44" s="40" t="n">
        <f aca="false">IF(J44="","",MIN(1,J44+1.96*O44/100))</f>
        <v>0.555628846123737</v>
      </c>
      <c r="R44" s="32" t="str">
        <f aca="false">IF(L44="","",IF(ABS(L44)&lt;=O44,"Yes","No"))</f>
        <v>Yes</v>
      </c>
      <c r="S44" s="32" t="str">
        <f aca="false">IF(L44="","",IF(ABS(L44)&lt;=1.96*O44,"Yes","No"))</f>
        <v>Yes</v>
      </c>
      <c r="T44" s="59" t="n">
        <f aca="false">IF(D44="","",ROUND(SQRT(((D44+G44)*O44/100)^2+(J44*(D44+G44)*0.0639)^2),0))</f>
        <v>572</v>
      </c>
      <c r="U44" s="32"/>
    </row>
    <row r="45" customFormat="false" ht="15" hidden="false" customHeight="false" outlineLevel="0" collapsed="false">
      <c r="A45" s="32" t="s">
        <v>189</v>
      </c>
      <c r="B45" s="32" t="s">
        <v>210</v>
      </c>
      <c r="C45" s="32" t="s">
        <v>161</v>
      </c>
      <c r="D45" s="59" t="n">
        <v>2244</v>
      </c>
      <c r="E45" s="59" t="n">
        <v>2222</v>
      </c>
      <c r="F45" s="68" t="n">
        <f aca="false">IF(E45="","",D45-E45)</f>
        <v>22</v>
      </c>
      <c r="G45" s="59" t="n">
        <v>2991</v>
      </c>
      <c r="H45" s="59" t="n">
        <v>2955</v>
      </c>
      <c r="I45" s="68" t="n">
        <f aca="false">IF(H45="","",G45-H45)</f>
        <v>36</v>
      </c>
      <c r="J45" s="40" t="n">
        <f aca="false">IF(OR(D45="",D45+G45=0),"",D45/(D45+G45))</f>
        <v>0.42865329512894</v>
      </c>
      <c r="K45" s="40" t="n">
        <f aca="false">IF(E45="","",E45/(E45+H45))</f>
        <v>0.42920610392119</v>
      </c>
      <c r="L45" s="69" t="n">
        <f aca="false">IF(OR(K45="",J45=""),"",(J45-K45)*100)</f>
        <v>-0.0552808792250004</v>
      </c>
      <c r="M45" s="36" t="n">
        <v>1.94836887084815</v>
      </c>
      <c r="N45" s="36" t="n">
        <v>1.35463990554941</v>
      </c>
      <c r="O45" s="36" t="n">
        <f aca="false">SQRT(M45^2+N45^2)</f>
        <v>2.37301296469215</v>
      </c>
      <c r="P45" s="40" t="n">
        <f aca="false">IF(J45="","",MAX(0,J45-1.96*O45/100))</f>
        <v>0.382142241020974</v>
      </c>
      <c r="Q45" s="40" t="n">
        <f aca="false">IF(J45="","",MIN(1,J45+1.96*O45/100))</f>
        <v>0.475164349236906</v>
      </c>
      <c r="R45" s="32" t="str">
        <f aca="false">IF(L45="","",IF(ABS(L45)&lt;=O45,"Yes","No"))</f>
        <v>Yes</v>
      </c>
      <c r="S45" s="32" t="str">
        <f aca="false">IF(L45="","",IF(ABS(L45)&lt;=1.96*O45,"Yes","No"))</f>
        <v>Yes</v>
      </c>
      <c r="T45" s="59" t="n">
        <f aca="false">IF(D45="","",ROUND(SQRT(((D45+G45)*O45/100)^2+(J45*(D45+G45)*0.0639)^2),0))</f>
        <v>190</v>
      </c>
      <c r="U45" s="32"/>
    </row>
    <row r="46" customFormat="false" ht="15" hidden="false" customHeight="false" outlineLevel="0" collapsed="false">
      <c r="A46" s="32" t="s">
        <v>189</v>
      </c>
      <c r="B46" s="32" t="s">
        <v>211</v>
      </c>
      <c r="C46" s="32" t="s">
        <v>161</v>
      </c>
      <c r="D46" s="59" t="n">
        <v>4872</v>
      </c>
      <c r="E46" s="59" t="n">
        <v>4817</v>
      </c>
      <c r="F46" s="68" t="n">
        <f aca="false">IF(E46="","",D46-E46)</f>
        <v>55</v>
      </c>
      <c r="G46" s="59" t="n">
        <v>5461</v>
      </c>
      <c r="H46" s="59" t="n">
        <v>5501</v>
      </c>
      <c r="I46" s="68" t="n">
        <f aca="false">IF(H46="","",G46-H46)</f>
        <v>-40</v>
      </c>
      <c r="J46" s="40" t="n">
        <f aca="false">IF(OR(D46="",D46+G46=0),"",D46/(D46+G46))</f>
        <v>0.471499080615504</v>
      </c>
      <c r="K46" s="40" t="n">
        <f aca="false">IF(E46="","",E46/(E46+H46))</f>
        <v>0.466854041480907</v>
      </c>
      <c r="L46" s="69" t="n">
        <f aca="false">IF(OR(K46="",J46=""),"",(J46-K46)*100)</f>
        <v>0.464503913459657</v>
      </c>
      <c r="M46" s="36" t="n">
        <v>1.94836887084815</v>
      </c>
      <c r="N46" s="36" t="n">
        <v>1.35463990554941</v>
      </c>
      <c r="O46" s="36" t="n">
        <f aca="false">SQRT(M46^2+N46^2)</f>
        <v>2.37301296469215</v>
      </c>
      <c r="P46" s="40" t="n">
        <f aca="false">IF(J46="","",MAX(0,J46-1.96*O46/100))</f>
        <v>0.424988026507538</v>
      </c>
      <c r="Q46" s="40" t="n">
        <f aca="false">IF(J46="","",MIN(1,J46+1.96*O46/100))</f>
        <v>0.51801013472347</v>
      </c>
      <c r="R46" s="32" t="str">
        <f aca="false">IF(L46="","",IF(ABS(L46)&lt;=O46,"Yes","No"))</f>
        <v>Yes</v>
      </c>
      <c r="S46" s="32" t="str">
        <f aca="false">IF(L46="","",IF(ABS(L46)&lt;=1.96*O46,"Yes","No"))</f>
        <v>Yes</v>
      </c>
      <c r="T46" s="59" t="n">
        <f aca="false">IF(D46="","",ROUND(SQRT(((D46+G46)*O46/100)^2+(J46*(D46+G46)*0.0639)^2),0))</f>
        <v>396</v>
      </c>
      <c r="U46" s="32"/>
    </row>
    <row r="47" customFormat="false" ht="15" hidden="false" customHeight="false" outlineLevel="0" collapsed="false">
      <c r="A47" s="32" t="s">
        <v>189</v>
      </c>
      <c r="B47" s="32" t="s">
        <v>212</v>
      </c>
      <c r="C47" s="32" t="s">
        <v>161</v>
      </c>
      <c r="D47" s="59" t="n">
        <v>1287</v>
      </c>
      <c r="E47" s="59" t="n">
        <v>1231</v>
      </c>
      <c r="F47" s="68" t="n">
        <f aca="false">IF(E47="","",D47-E47)</f>
        <v>56</v>
      </c>
      <c r="G47" s="59" t="n">
        <v>2524</v>
      </c>
      <c r="H47" s="59" t="n">
        <v>2578</v>
      </c>
      <c r="I47" s="68" t="n">
        <f aca="false">IF(H47="","",G47-H47)</f>
        <v>-54</v>
      </c>
      <c r="J47" s="40" t="n">
        <f aca="false">IF(OR(D47="",D47+G47=0),"",D47/(D47+G47))</f>
        <v>0.337706638677512</v>
      </c>
      <c r="K47" s="40" t="n">
        <f aca="false">IF(E47="","",E47/(E47+H47))</f>
        <v>0.323181937516409</v>
      </c>
      <c r="L47" s="69" t="n">
        <f aca="false">IF(OR(K47="",J47=""),"",(J47-K47)*100)</f>
        <v>1.45247011611039</v>
      </c>
      <c r="M47" s="36" t="n">
        <v>1.94836887084815</v>
      </c>
      <c r="N47" s="36" t="n">
        <v>1.35463990554941</v>
      </c>
      <c r="O47" s="36" t="n">
        <f aca="false">SQRT(M47^2+N47^2)</f>
        <v>2.37301296469215</v>
      </c>
      <c r="P47" s="40" t="n">
        <f aca="false">IF(J47="","",MAX(0,J47-1.96*O47/100))</f>
        <v>0.291195584569546</v>
      </c>
      <c r="Q47" s="40" t="n">
        <f aca="false">IF(J47="","",MIN(1,J47+1.96*O47/100))</f>
        <v>0.384217692785479</v>
      </c>
      <c r="R47" s="32" t="str">
        <f aca="false">IF(L47="","",IF(ABS(L47)&lt;=O47,"Yes","No"))</f>
        <v>Yes</v>
      </c>
      <c r="S47" s="32" t="str">
        <f aca="false">IF(L47="","",IF(ABS(L47)&lt;=1.96*O47,"Yes","No"))</f>
        <v>Yes</v>
      </c>
      <c r="T47" s="59" t="n">
        <f aca="false">IF(D47="","",ROUND(SQRT(((D47+G47)*O47/100)^2+(J47*(D47+G47)*0.0639)^2),0))</f>
        <v>122</v>
      </c>
      <c r="U47" s="32"/>
    </row>
    <row r="48" customFormat="false" ht="15" hidden="false" customHeight="false" outlineLevel="0" collapsed="false">
      <c r="A48" s="32" t="s">
        <v>189</v>
      </c>
      <c r="B48" s="32" t="s">
        <v>213</v>
      </c>
      <c r="C48" s="32" t="s">
        <v>161</v>
      </c>
      <c r="D48" s="59" t="n">
        <v>1082</v>
      </c>
      <c r="E48" s="59" t="n">
        <v>1073</v>
      </c>
      <c r="F48" s="68" t="n">
        <f aca="false">IF(E48="","",D48-E48)</f>
        <v>9</v>
      </c>
      <c r="G48" s="59" t="n">
        <v>2143</v>
      </c>
      <c r="H48" s="59" t="n">
        <v>2156</v>
      </c>
      <c r="I48" s="68" t="n">
        <f aca="false">IF(H48="","",G48-H48)</f>
        <v>-13</v>
      </c>
      <c r="J48" s="40" t="n">
        <f aca="false">IF(OR(D48="",D48+G48=0),"",D48/(D48+G48))</f>
        <v>0.335503875968992</v>
      </c>
      <c r="K48" s="40" t="n">
        <f aca="false">IF(E48="","",E48/(E48+H48))</f>
        <v>0.332301021988232</v>
      </c>
      <c r="L48" s="69" t="n">
        <f aca="false">IF(OR(K48="",J48=""),"",(J48-K48)*100)</f>
        <v>0.320285398076059</v>
      </c>
      <c r="M48" s="36" t="n">
        <v>2.40885732401297</v>
      </c>
      <c r="N48" s="36" t="n">
        <v>1.35463990554941</v>
      </c>
      <c r="O48" s="36" t="n">
        <f aca="false">SQRT(M48^2+N48^2)</f>
        <v>2.76362857149035</v>
      </c>
      <c r="P48" s="40" t="n">
        <f aca="false">IF(J48="","",MAX(0,J48-1.96*O48/100))</f>
        <v>0.281336755967781</v>
      </c>
      <c r="Q48" s="40" t="n">
        <f aca="false">IF(J48="","",MIN(1,J48+1.96*O48/100))</f>
        <v>0.389670995970203</v>
      </c>
      <c r="R48" s="32" t="str">
        <f aca="false">IF(L48="","",IF(ABS(L48)&lt;=O48,"Yes","No"))</f>
        <v>Yes</v>
      </c>
      <c r="S48" s="32" t="str">
        <f aca="false">IF(L48="","",IF(ABS(L48)&lt;=1.96*O48,"Yes","No"))</f>
        <v>Yes</v>
      </c>
      <c r="T48" s="59" t="n">
        <f aca="false">IF(D48="","",ROUND(SQRT(((D48+G48)*O48/100)^2+(J48*(D48+G48)*0.06991)^2),0))</f>
        <v>117</v>
      </c>
      <c r="U48" s="32"/>
    </row>
    <row r="49" customFormat="false" ht="15" hidden="false" customHeight="false" outlineLevel="0" collapsed="false">
      <c r="A49" s="32" t="s">
        <v>189</v>
      </c>
      <c r="B49" s="32" t="s">
        <v>214</v>
      </c>
      <c r="C49" s="32" t="s">
        <v>161</v>
      </c>
      <c r="D49" s="59" t="n">
        <v>7600</v>
      </c>
      <c r="E49" s="59" t="n">
        <v>7458</v>
      </c>
      <c r="F49" s="68" t="n">
        <f aca="false">IF(E49="","",D49-E49)</f>
        <v>142</v>
      </c>
      <c r="G49" s="59" t="n">
        <v>6529</v>
      </c>
      <c r="H49" s="59" t="n">
        <v>6731</v>
      </c>
      <c r="I49" s="68" t="n">
        <f aca="false">IF(H49="","",G49-H49)</f>
        <v>-202</v>
      </c>
      <c r="J49" s="40" t="n">
        <f aca="false">IF(OR(D49="",D49+G49=0),"",D49/(D49+G49))</f>
        <v>0.537900771462949</v>
      </c>
      <c r="K49" s="40" t="n">
        <f aca="false">IF(E49="","",E49/(E49+H49))</f>
        <v>0.525618436817253</v>
      </c>
      <c r="L49" s="69" t="n">
        <f aca="false">IF(OR(K49="",J49=""),"",(J49-K49)*100)</f>
        <v>1.22823346456957</v>
      </c>
      <c r="M49" s="36" t="n">
        <v>1.94836887084815</v>
      </c>
      <c r="N49" s="36" t="n">
        <v>1.35463990554941</v>
      </c>
      <c r="O49" s="36" t="n">
        <f aca="false">SQRT(M49^2+N49^2)</f>
        <v>2.37301296469215</v>
      </c>
      <c r="P49" s="40" t="n">
        <f aca="false">IF(J49="","",MAX(0,J49-1.96*O49/100))</f>
        <v>0.491389717354983</v>
      </c>
      <c r="Q49" s="40" t="n">
        <f aca="false">IF(J49="","",MIN(1,J49+1.96*O49/100))</f>
        <v>0.584411825570915</v>
      </c>
      <c r="R49" s="32" t="str">
        <f aca="false">IF(L49="","",IF(ABS(L49)&lt;=O49,"Yes","No"))</f>
        <v>Yes</v>
      </c>
      <c r="S49" s="32" t="str">
        <f aca="false">IF(L49="","",IF(ABS(L49)&lt;=1.96*O49,"Yes","No"))</f>
        <v>Yes</v>
      </c>
      <c r="T49" s="59" t="n">
        <f aca="false">IF(D49="","",ROUND(SQRT(((D49+G49)*O49/100)^2+(J49*(D49+G49)*0.0639)^2),0))</f>
        <v>590</v>
      </c>
      <c r="U49" s="32"/>
    </row>
    <row r="50" customFormat="false" ht="15" hidden="false" customHeight="false" outlineLevel="0" collapsed="false">
      <c r="A50" s="32" t="s">
        <v>215</v>
      </c>
      <c r="B50" s="32" t="s">
        <v>216</v>
      </c>
      <c r="C50" s="32" t="s">
        <v>161</v>
      </c>
      <c r="D50" s="59" t="n">
        <v>475</v>
      </c>
      <c r="E50" s="59" t="n">
        <v>482</v>
      </c>
      <c r="F50" s="68" t="n">
        <f aca="false">IF(E50="","",D50-E50)</f>
        <v>-7</v>
      </c>
      <c r="G50" s="59" t="n">
        <v>1043</v>
      </c>
      <c r="H50" s="59" t="n">
        <v>987</v>
      </c>
      <c r="I50" s="68" t="n">
        <f aca="false">IF(H50="","",G50-H50)</f>
        <v>56</v>
      </c>
      <c r="J50" s="40" t="n">
        <f aca="false">IF(OR(D50="",D50+G50=0),"",D50/(D50+G50))</f>
        <v>0.312911725955204</v>
      </c>
      <c r="K50" s="40" t="n">
        <f aca="false">IF(E50="","",E50/(E50+H50))</f>
        <v>0.328114363512594</v>
      </c>
      <c r="L50" s="69" t="n">
        <f aca="false">IF(OR(K50="",J50=""),"",(J50-K50)*100)</f>
        <v>-1.52026375573894</v>
      </c>
      <c r="M50" s="36" t="n">
        <v>3.63100374319665</v>
      </c>
      <c r="N50" s="36" t="n">
        <v>1.35463990554941</v>
      </c>
      <c r="O50" s="36" t="n">
        <f aca="false">SQRT(M50^2+N50^2)</f>
        <v>3.87546609542839</v>
      </c>
      <c r="P50" s="40" t="n">
        <f aca="false">IF(J50="","",MAX(0,J50-1.96*O50/100))</f>
        <v>0.236952590484808</v>
      </c>
      <c r="Q50" s="40" t="n">
        <f aca="false">IF(J50="","",MIN(1,J50+1.96*O50/100))</f>
        <v>0.388870861425601</v>
      </c>
      <c r="R50" s="32" t="str">
        <f aca="false">IF(L50="","",IF(ABS(L50)&lt;=O50,"Yes","No"))</f>
        <v>Yes</v>
      </c>
      <c r="S50" s="32" t="str">
        <f aca="false">IF(L50="","",IF(ABS(L50)&lt;=1.96*O50,"Yes","No"))</f>
        <v>Yes</v>
      </c>
      <c r="T50" s="59" t="n">
        <f aca="false">IF(D50="","",ROUND(SQRT(((D50+G50)*O50/100)^2+(J50*(D50+G50)*0.09092)^2),0))</f>
        <v>73</v>
      </c>
      <c r="U50" s="32"/>
    </row>
    <row r="51" customFormat="false" ht="15" hidden="false" customHeight="false" outlineLevel="0" collapsed="false">
      <c r="A51" s="32" t="s">
        <v>215</v>
      </c>
      <c r="B51" s="32" t="s">
        <v>218</v>
      </c>
      <c r="C51" s="32" t="s">
        <v>161</v>
      </c>
      <c r="D51" s="59" t="n">
        <v>1428</v>
      </c>
      <c r="E51" s="59" t="n">
        <v>1425</v>
      </c>
      <c r="F51" s="68" t="n">
        <f aca="false">IF(E51="","",D51-E51)</f>
        <v>3</v>
      </c>
      <c r="G51" s="59" t="n">
        <v>2619</v>
      </c>
      <c r="H51" s="59" t="n">
        <v>2491</v>
      </c>
      <c r="I51" s="68" t="n">
        <f aca="false">IF(H51="","",G51-H51)</f>
        <v>128</v>
      </c>
      <c r="J51" s="40" t="n">
        <f aca="false">IF(OR(D51="",D51+G51=0),"",D51/(D51+G51))</f>
        <v>0.352853965900667</v>
      </c>
      <c r="K51" s="40" t="n">
        <f aca="false">IF(E51="","",E51/(E51+H51))</f>
        <v>0.363891726251277</v>
      </c>
      <c r="L51" s="69" t="n">
        <f aca="false">IF(OR(K51="",J51=""),"",(J51-K51)*100)</f>
        <v>-1.10377603506097</v>
      </c>
      <c r="M51" s="36" t="n">
        <v>1.94836887084815</v>
      </c>
      <c r="N51" s="36" t="n">
        <v>1.35463990554941</v>
      </c>
      <c r="O51" s="36" t="n">
        <f aca="false">SQRT(M51^2+N51^2)</f>
        <v>2.37301296469215</v>
      </c>
      <c r="P51" s="40" t="n">
        <f aca="false">IF(J51="","",MAX(0,J51-1.96*O51/100))</f>
        <v>0.306342911792701</v>
      </c>
      <c r="Q51" s="40" t="n">
        <f aca="false">IF(J51="","",MIN(1,J51+1.96*O51/100))</f>
        <v>0.399365020008633</v>
      </c>
      <c r="R51" s="32" t="str">
        <f aca="false">IF(L51="","",IF(ABS(L51)&lt;=O51,"Yes","No"))</f>
        <v>Yes</v>
      </c>
      <c r="S51" s="32" t="str">
        <f aca="false">IF(L51="","",IF(ABS(L51)&lt;=1.96*O51,"Yes","No"))</f>
        <v>Yes</v>
      </c>
      <c r="T51" s="59" t="n">
        <f aca="false">IF(D51="","",ROUND(SQRT(((D51+G51)*O51/100)^2+(J51*(D51+G51)*0.0639)^2),0))</f>
        <v>132</v>
      </c>
      <c r="U51" s="32" t="s">
        <v>433</v>
      </c>
    </row>
    <row r="52" customFormat="false" ht="15" hidden="false" customHeight="false" outlineLevel="0" collapsed="false">
      <c r="A52" s="32" t="s">
        <v>215</v>
      </c>
      <c r="B52" s="32" t="s">
        <v>219</v>
      </c>
      <c r="C52" s="32" t="s">
        <v>161</v>
      </c>
      <c r="D52" s="59" t="n">
        <v>549</v>
      </c>
      <c r="E52" s="59" t="n">
        <v>502</v>
      </c>
      <c r="F52" s="68" t="n">
        <f aca="false">IF(E52="","",D52-E52)</f>
        <v>47</v>
      </c>
      <c r="G52" s="59" t="n">
        <v>954</v>
      </c>
      <c r="H52" s="59" t="n">
        <v>795</v>
      </c>
      <c r="I52" s="68" t="n">
        <f aca="false">IF(H52="","",G52-H52)</f>
        <v>159</v>
      </c>
      <c r="J52" s="40" t="n">
        <f aca="false">IF(OR(D52="",D52+G52=0),"",D52/(D52+G52))</f>
        <v>0.365269461077844</v>
      </c>
      <c r="K52" s="40" t="n">
        <f aca="false">IF(E52="","",E52/(E52+H52))</f>
        <v>0.387047031611411</v>
      </c>
      <c r="L52" s="69" t="n">
        <f aca="false">IF(OR(K52="",J52=""),"",(J52-K52)*100)</f>
        <v>-2.17775705335667</v>
      </c>
      <c r="M52" s="36" t="n">
        <v>3.63100374319665</v>
      </c>
      <c r="N52" s="36" t="n">
        <v>1.35463990554941</v>
      </c>
      <c r="O52" s="36" t="n">
        <f aca="false">SQRT(M52^2+N52^2)</f>
        <v>3.87546609542839</v>
      </c>
      <c r="P52" s="40" t="n">
        <f aca="false">IF(J52="","",MAX(0,J52-1.96*O52/100))</f>
        <v>0.289310325607448</v>
      </c>
      <c r="Q52" s="40" t="n">
        <f aca="false">IF(J52="","",MIN(1,J52+1.96*O52/100))</f>
        <v>0.441228596548241</v>
      </c>
      <c r="R52" s="32" t="str">
        <f aca="false">IF(L52="","",IF(ABS(L52)&lt;=O52,"Yes","No"))</f>
        <v>Yes</v>
      </c>
      <c r="S52" s="32" t="str">
        <f aca="false">IF(L52="","",IF(ABS(L52)&lt;=1.96*O52,"Yes","No"))</f>
        <v>Yes</v>
      </c>
      <c r="T52" s="59" t="n">
        <f aca="false">IF(D52="","",ROUND(SQRT(((D52+G52)*O52/100)^2+(J52*(D52+G52)*0.09092)^2),0))</f>
        <v>77</v>
      </c>
      <c r="U52" s="32" t="s">
        <v>434</v>
      </c>
    </row>
    <row r="53" customFormat="false" ht="15" hidden="false" customHeight="false" outlineLevel="0" collapsed="false">
      <c r="A53" s="32" t="s">
        <v>220</v>
      </c>
      <c r="B53" s="32" t="s">
        <v>221</v>
      </c>
      <c r="C53" s="32" t="s">
        <v>161</v>
      </c>
      <c r="D53" s="59" t="n">
        <v>1412</v>
      </c>
      <c r="E53" s="59" t="n">
        <v>1432</v>
      </c>
      <c r="F53" s="68" t="n">
        <f aca="false">IF(E53="","",D53-E53)</f>
        <v>-20</v>
      </c>
      <c r="G53" s="59" t="n">
        <v>1964</v>
      </c>
      <c r="H53" s="59" t="n">
        <v>1882</v>
      </c>
      <c r="I53" s="68" t="n">
        <f aca="false">IF(H53="","",G53-H53)</f>
        <v>82</v>
      </c>
      <c r="J53" s="40" t="n">
        <f aca="false">IF(OR(D53="",D53+G53=0),"",D53/(D53+G53))</f>
        <v>0.41824644549763</v>
      </c>
      <c r="K53" s="40" t="n">
        <f aca="false">IF(E53="","",E53/(E53+H53))</f>
        <v>0.432106216053108</v>
      </c>
      <c r="L53" s="69" t="n">
        <f aca="false">IF(OR(K53="",J53=""),"",(J53-K53)*100)</f>
        <v>-1.38597705554777</v>
      </c>
      <c r="M53" s="36" t="n">
        <v>2.40885732401297</v>
      </c>
      <c r="N53" s="36" t="n">
        <v>1.35463990554941</v>
      </c>
      <c r="O53" s="36" t="n">
        <f aca="false">SQRT(M53^2+N53^2)</f>
        <v>2.76362857149035</v>
      </c>
      <c r="P53" s="40" t="n">
        <f aca="false">IF(J53="","",MAX(0,J53-1.96*O53/100))</f>
        <v>0.364079325496419</v>
      </c>
      <c r="Q53" s="40" t="n">
        <f aca="false">IF(J53="","",MIN(1,J53+1.96*O53/100))</f>
        <v>0.472413565498841</v>
      </c>
      <c r="R53" s="32" t="str">
        <f aca="false">IF(L53="","",IF(ABS(L53)&lt;=O53,"Yes","No"))</f>
        <v>Yes</v>
      </c>
      <c r="S53" s="32" t="str">
        <f aca="false">IF(L53="","",IF(ABS(L53)&lt;=1.96*O53,"Yes","No"))</f>
        <v>Yes</v>
      </c>
      <c r="T53" s="59" t="n">
        <f aca="false">IF(D53="","",ROUND(SQRT(((D53+G53)*O53/100)^2+(J53*(D53+G53)*0.06991)^2),0))</f>
        <v>136</v>
      </c>
      <c r="U53" s="32"/>
    </row>
    <row r="54" customFormat="false" ht="15" hidden="false" customHeight="false" outlineLevel="0" collapsed="false">
      <c r="A54" s="32" t="s">
        <v>220</v>
      </c>
      <c r="B54" s="32" t="s">
        <v>222</v>
      </c>
      <c r="C54" s="32" t="s">
        <v>161</v>
      </c>
      <c r="D54" s="59" t="n">
        <v>992</v>
      </c>
      <c r="E54" s="59" t="n">
        <v>965</v>
      </c>
      <c r="F54" s="68" t="n">
        <f aca="false">IF(E54="","",D54-E54)</f>
        <v>27</v>
      </c>
      <c r="G54" s="59" t="n">
        <v>1303</v>
      </c>
      <c r="H54" s="59" t="n">
        <v>1342</v>
      </c>
      <c r="I54" s="68" t="n">
        <f aca="false">IF(H54="","",G54-H54)</f>
        <v>-39</v>
      </c>
      <c r="J54" s="40" t="n">
        <f aca="false">IF(OR(D54="",D54+G54=0),"",D54/(D54+G54))</f>
        <v>0.432244008714597</v>
      </c>
      <c r="K54" s="40" t="n">
        <f aca="false">IF(E54="","",E54/(E54+H54))</f>
        <v>0.418292154312961</v>
      </c>
      <c r="L54" s="69" t="n">
        <f aca="false">IF(OR(K54="",J54=""),"",(J54-K54)*100)</f>
        <v>1.39518544016364</v>
      </c>
      <c r="M54" s="36" t="n">
        <v>2.40885732401297</v>
      </c>
      <c r="N54" s="36" t="n">
        <v>1.35463990554941</v>
      </c>
      <c r="O54" s="36" t="n">
        <f aca="false">SQRT(M54^2+N54^2)</f>
        <v>2.76362857149035</v>
      </c>
      <c r="P54" s="40" t="n">
        <f aca="false">IF(J54="","",MAX(0,J54-1.96*O54/100))</f>
        <v>0.378076888713386</v>
      </c>
      <c r="Q54" s="40" t="n">
        <f aca="false">IF(J54="","",MIN(1,J54+1.96*O54/100))</f>
        <v>0.486411128715808</v>
      </c>
      <c r="R54" s="32" t="str">
        <f aca="false">IF(L54="","",IF(ABS(L54)&lt;=O54,"Yes","No"))</f>
        <v>Yes</v>
      </c>
      <c r="S54" s="32" t="str">
        <f aca="false">IF(L54="","",IF(ABS(L54)&lt;=1.96*O54,"Yes","No"))</f>
        <v>Yes</v>
      </c>
      <c r="T54" s="59" t="n">
        <f aca="false">IF(D54="","",ROUND(SQRT(((D54+G54)*O54/100)^2+(J54*(D54+G54)*0.06991)^2),0))</f>
        <v>94</v>
      </c>
      <c r="U54" s="32"/>
    </row>
    <row r="55" customFormat="false" ht="15" hidden="false" customHeight="false" outlineLevel="0" collapsed="false">
      <c r="A55" s="32" t="s">
        <v>220</v>
      </c>
      <c r="B55" s="32" t="s">
        <v>223</v>
      </c>
      <c r="C55" s="32" t="s">
        <v>161</v>
      </c>
      <c r="D55" s="59" t="n">
        <v>577</v>
      </c>
      <c r="E55" s="59" t="n">
        <v>579</v>
      </c>
      <c r="F55" s="68" t="n">
        <f aca="false">IF(E55="","",D55-E55)</f>
        <v>-2</v>
      </c>
      <c r="G55" s="59" t="n">
        <v>678</v>
      </c>
      <c r="H55" s="59" t="n">
        <v>695</v>
      </c>
      <c r="I55" s="68" t="n">
        <f aca="false">IF(H55="","",G55-H55)</f>
        <v>-17</v>
      </c>
      <c r="J55" s="40" t="n">
        <f aca="false">IF(OR(D55="",D55+G55=0),"",D55/(D55+G55))</f>
        <v>0.459760956175299</v>
      </c>
      <c r="K55" s="40" t="n">
        <f aca="false">IF(E55="","",E55/(E55+H55))</f>
        <v>0.45447409733124</v>
      </c>
      <c r="L55" s="69" t="n">
        <f aca="false">IF(OR(K55="",J55=""),"",(J55-K55)*100)</f>
        <v>0.528685884405866</v>
      </c>
      <c r="M55" s="36" t="n">
        <v>3.63100374319665</v>
      </c>
      <c r="N55" s="36" t="n">
        <v>1.35463990554941</v>
      </c>
      <c r="O55" s="36" t="n">
        <f aca="false">SQRT(M55^2+N55^2)</f>
        <v>3.87546609542839</v>
      </c>
      <c r="P55" s="40" t="n">
        <f aca="false">IF(J55="","",MAX(0,J55-1.96*O55/100))</f>
        <v>0.383801820704902</v>
      </c>
      <c r="Q55" s="40" t="n">
        <f aca="false">IF(J55="","",MIN(1,J55+1.96*O55/100))</f>
        <v>0.535720091645695</v>
      </c>
      <c r="R55" s="32" t="str">
        <f aca="false">IF(L55="","",IF(ABS(L55)&lt;=O55,"Yes","No"))</f>
        <v>Yes</v>
      </c>
      <c r="S55" s="32" t="str">
        <f aca="false">IF(L55="","",IF(ABS(L55)&lt;=1.96*O55,"Yes","No"))</f>
        <v>Yes</v>
      </c>
      <c r="T55" s="59" t="n">
        <f aca="false">IF(D55="","",ROUND(SQRT(((D55+G55)*O55/100)^2+(J55*(D55+G55)*0.09092)^2),0))</f>
        <v>72</v>
      </c>
      <c r="U55" s="32"/>
    </row>
    <row r="56" customFormat="false" ht="15" hidden="false" customHeight="false" outlineLevel="0" collapsed="false">
      <c r="A56" s="32" t="s">
        <v>220</v>
      </c>
      <c r="B56" s="32" t="s">
        <v>192</v>
      </c>
      <c r="C56" s="32" t="s">
        <v>161</v>
      </c>
      <c r="D56" s="59" t="n">
        <v>17322</v>
      </c>
      <c r="E56" s="59" t="n">
        <v>16692</v>
      </c>
      <c r="F56" s="68" t="n">
        <f aca="false">IF(E56="","",D56-E56)</f>
        <v>630</v>
      </c>
      <c r="G56" s="59" t="n">
        <v>8006</v>
      </c>
      <c r="H56" s="59" t="n">
        <v>8176</v>
      </c>
      <c r="I56" s="68" t="n">
        <f aca="false">IF(H56="","",G56-H56)</f>
        <v>-170</v>
      </c>
      <c r="J56" s="40" t="n">
        <f aca="false">IF(OR(D56="",D56+G56=0),"",D56/(D56+G56))</f>
        <v>0.683907138344915</v>
      </c>
      <c r="K56" s="40" t="n">
        <f aca="false">IF(E56="","",E56/(E56+H56))</f>
        <v>0.671224063052919</v>
      </c>
      <c r="L56" s="69" t="n">
        <f aca="false">IF(OR(K56="",J56=""),"",(J56-K56)*100)</f>
        <v>1.26830752919953</v>
      </c>
      <c r="M56" s="36" t="n">
        <v>1.94836887084815</v>
      </c>
      <c r="N56" s="36" t="n">
        <v>1.35463990554941</v>
      </c>
      <c r="O56" s="36" t="n">
        <f aca="false">SQRT(M56^2+N56^2)</f>
        <v>2.37301296469215</v>
      </c>
      <c r="P56" s="40" t="n">
        <f aca="false">IF(J56="","",MAX(0,J56-1.96*O56/100))</f>
        <v>0.637396084236949</v>
      </c>
      <c r="Q56" s="40" t="n">
        <f aca="false">IF(J56="","",MIN(1,J56+1.96*O56/100))</f>
        <v>0.730418192452881</v>
      </c>
      <c r="R56" s="32" t="str">
        <f aca="false">IF(L56="","",IF(ABS(L56)&lt;=O56,"Yes","No"))</f>
        <v>Yes</v>
      </c>
      <c r="S56" s="32" t="str">
        <f aca="false">IF(L56="","",IF(ABS(L56)&lt;=1.96*O56,"Yes","No"))</f>
        <v>Yes</v>
      </c>
      <c r="T56" s="59" t="n">
        <f aca="false">IF(D56="","",ROUND(SQRT(((D56+G56)*O56/100)^2+(J56*(D56+G56)*0.0639)^2),0))</f>
        <v>1260</v>
      </c>
      <c r="U56" s="32"/>
    </row>
    <row r="57" customFormat="false" ht="15" hidden="false" customHeight="false" outlineLevel="0" collapsed="false">
      <c r="A57" s="32" t="s">
        <v>220</v>
      </c>
      <c r="B57" s="32" t="s">
        <v>224</v>
      </c>
      <c r="C57" s="32" t="s">
        <v>161</v>
      </c>
      <c r="D57" s="59" t="n">
        <v>8264</v>
      </c>
      <c r="E57" s="59" t="n">
        <v>8164</v>
      </c>
      <c r="F57" s="68" t="n">
        <f aca="false">IF(E57="","",D57-E57)</f>
        <v>100</v>
      </c>
      <c r="G57" s="59" t="n">
        <v>7276</v>
      </c>
      <c r="H57" s="59" t="n">
        <v>7277</v>
      </c>
      <c r="I57" s="68" t="n">
        <f aca="false">IF(H57="","",G57-H57)</f>
        <v>-1</v>
      </c>
      <c r="J57" s="40" t="n">
        <f aca="false">IF(OR(D57="",D57+G57=0),"",D57/(D57+G57))</f>
        <v>0.531788931788932</v>
      </c>
      <c r="K57" s="40" t="n">
        <f aca="false">IF(E57="","",E57/(E57+H57))</f>
        <v>0.528722233015996</v>
      </c>
      <c r="L57" s="69" t="n">
        <f aca="false">IF(OR(K57="",J57=""),"",(J57-K57)*100)</f>
        <v>0.306669877293542</v>
      </c>
      <c r="M57" s="36" t="n">
        <v>1.94836887084815</v>
      </c>
      <c r="N57" s="36" t="n">
        <v>1.35463990554941</v>
      </c>
      <c r="O57" s="36" t="n">
        <f aca="false">SQRT(M57^2+N57^2)</f>
        <v>2.37301296469215</v>
      </c>
      <c r="P57" s="40" t="n">
        <f aca="false">IF(J57="","",MAX(0,J57-1.96*O57/100))</f>
        <v>0.485277877680966</v>
      </c>
      <c r="Q57" s="40" t="n">
        <f aca="false">IF(J57="","",MIN(1,J57+1.96*O57/100))</f>
        <v>0.578299985896898</v>
      </c>
      <c r="R57" s="32" t="str">
        <f aca="false">IF(L57="","",IF(ABS(L57)&lt;=O57,"Yes","No"))</f>
        <v>Yes</v>
      </c>
      <c r="S57" s="32" t="str">
        <f aca="false">IF(L57="","",IF(ABS(L57)&lt;=1.96*O57,"Yes","No"))</f>
        <v>Yes</v>
      </c>
      <c r="T57" s="59" t="n">
        <f aca="false">IF(D57="","",ROUND(SQRT(((D57+G57)*O57/100)^2+(J57*(D57+G57)*0.0639)^2),0))</f>
        <v>644</v>
      </c>
      <c r="U57" s="32"/>
    </row>
    <row r="58" customFormat="false" ht="15" hidden="false" customHeight="false" outlineLevel="0" collapsed="false">
      <c r="A58" s="32" t="s">
        <v>220</v>
      </c>
      <c r="B58" s="32" t="s">
        <v>225</v>
      </c>
      <c r="C58" s="32" t="s">
        <v>161</v>
      </c>
      <c r="D58" s="59" t="n">
        <v>1978</v>
      </c>
      <c r="E58" s="59" t="n">
        <v>1988</v>
      </c>
      <c r="F58" s="68" t="n">
        <f aca="false">IF(E58="","",D58-E58)</f>
        <v>-10</v>
      </c>
      <c r="G58" s="59" t="n">
        <v>3407</v>
      </c>
      <c r="H58" s="59" t="n">
        <v>3385</v>
      </c>
      <c r="I58" s="68" t="n">
        <f aca="false">IF(H58="","",G58-H58)</f>
        <v>22</v>
      </c>
      <c r="J58" s="40" t="n">
        <f aca="false">IF(OR(D58="",D58+G58=0),"",D58/(D58+G58))</f>
        <v>0.367316620241411</v>
      </c>
      <c r="K58" s="40" t="n">
        <f aca="false">IF(E58="","",E58/(E58+H58))</f>
        <v>0.36999813884236</v>
      </c>
      <c r="L58" s="69" t="n">
        <f aca="false">IF(OR(K58="",J58=""),"",(J58-K58)*100)</f>
        <v>-0.268151860094862</v>
      </c>
      <c r="M58" s="36" t="n">
        <v>1.94836887084815</v>
      </c>
      <c r="N58" s="36" t="n">
        <v>1.35463990554941</v>
      </c>
      <c r="O58" s="36" t="n">
        <f aca="false">SQRT(M58^2+N58^2)</f>
        <v>2.37301296469215</v>
      </c>
      <c r="P58" s="40" t="n">
        <f aca="false">IF(J58="","",MAX(0,J58-1.96*O58/100))</f>
        <v>0.320805566133445</v>
      </c>
      <c r="Q58" s="40" t="n">
        <f aca="false">IF(J58="","",MIN(1,J58+1.96*O58/100))</f>
        <v>0.413827674349377</v>
      </c>
      <c r="R58" s="32" t="str">
        <f aca="false">IF(L58="","",IF(ABS(L58)&lt;=O58,"Yes","No"))</f>
        <v>Yes</v>
      </c>
      <c r="S58" s="32" t="str">
        <f aca="false">IF(L58="","",IF(ABS(L58)&lt;=1.96*O58,"Yes","No"))</f>
        <v>Yes</v>
      </c>
      <c r="T58" s="59" t="n">
        <f aca="false">IF(D58="","",ROUND(SQRT(((D58+G58)*O58/100)^2+(J58*(D58+G58)*0.0639)^2),0))</f>
        <v>180</v>
      </c>
      <c r="U58" s="32"/>
    </row>
    <row r="59" customFormat="false" ht="15" hidden="false" customHeight="false" outlineLevel="0" collapsed="false">
      <c r="A59" s="32" t="s">
        <v>220</v>
      </c>
      <c r="B59" s="32" t="s">
        <v>226</v>
      </c>
      <c r="C59" s="32" t="s">
        <v>161</v>
      </c>
      <c r="D59" s="59" t="n">
        <v>45</v>
      </c>
      <c r="E59" s="59" t="n">
        <v>39</v>
      </c>
      <c r="F59" s="68" t="n">
        <f aca="false">IF(E59="","",D59-E59)</f>
        <v>6</v>
      </c>
      <c r="G59" s="59" t="n">
        <v>75</v>
      </c>
      <c r="H59" s="59" t="n">
        <v>79</v>
      </c>
      <c r="I59" s="68" t="n">
        <f aca="false">IF(H59="","",G59-H59)</f>
        <v>-4</v>
      </c>
      <c r="J59" s="40" t="n">
        <f aca="false">IF(OR(D59="",D59+G59=0),"",D59/(D59+G59))</f>
        <v>0.375</v>
      </c>
      <c r="K59" s="40" t="n">
        <f aca="false">IF(E59="","",E59/(E59+H59))</f>
        <v>0.330508474576271</v>
      </c>
      <c r="L59" s="69" t="n">
        <f aca="false">IF(OR(K59="",J59=""),"",(J59-K59)*100)</f>
        <v>4.44915254237288</v>
      </c>
      <c r="M59" s="36" t="n">
        <v>3.63100374319665</v>
      </c>
      <c r="N59" s="36" t="n">
        <v>1.35463990554941</v>
      </c>
      <c r="O59" s="36" t="n">
        <f aca="false">SQRT(M59^2+N59^2)</f>
        <v>3.87546609542839</v>
      </c>
      <c r="P59" s="40" t="n">
        <f aca="false">IF(J59="","",MAX(0,J59-1.96*O59/100))</f>
        <v>0.299040864529604</v>
      </c>
      <c r="Q59" s="40" t="n">
        <f aca="false">IF(J59="","",MIN(1,J59+1.96*O59/100))</f>
        <v>0.450959135470396</v>
      </c>
      <c r="R59" s="32" t="str">
        <f aca="false">IF(L59="","",IF(ABS(L59)&lt;=O59,"Yes","No"))</f>
        <v>No</v>
      </c>
      <c r="S59" s="32" t="str">
        <f aca="false">IF(L59="","",IF(ABS(L59)&lt;=1.96*O59,"Yes","No"))</f>
        <v>Yes</v>
      </c>
      <c r="T59" s="59" t="n">
        <f aca="false">IF(D59="","",ROUND(SQRT(((D59+G59)*O59/100)^2+(J59*(D59+G59)*0.09092)^2),0))</f>
        <v>6</v>
      </c>
      <c r="U59" s="32"/>
    </row>
    <row r="60" customFormat="false" ht="15" hidden="false" customHeight="false" outlineLevel="0" collapsed="false">
      <c r="A60" s="32" t="s">
        <v>220</v>
      </c>
      <c r="B60" s="32" t="s">
        <v>227</v>
      </c>
      <c r="C60" s="32" t="s">
        <v>161</v>
      </c>
      <c r="D60" s="59" t="n">
        <v>1259</v>
      </c>
      <c r="E60" s="59" t="n">
        <v>1215</v>
      </c>
      <c r="F60" s="68" t="n">
        <f aca="false">IF(E60="","",D60-E60)</f>
        <v>44</v>
      </c>
      <c r="G60" s="59" t="n">
        <v>1806</v>
      </c>
      <c r="H60" s="59" t="n">
        <v>1784</v>
      </c>
      <c r="I60" s="68" t="n">
        <f aca="false">IF(H60="","",G60-H60)</f>
        <v>22</v>
      </c>
      <c r="J60" s="40" t="n">
        <f aca="false">IF(OR(D60="",D60+G60=0),"",D60/(D60+G60))</f>
        <v>0.410766721044046</v>
      </c>
      <c r="K60" s="40" t="n">
        <f aca="false">IF(E60="","",E60/(E60+H60))</f>
        <v>0.405135045015005</v>
      </c>
      <c r="L60" s="69" t="n">
        <f aca="false">IF(OR(K60="",J60=""),"",(J60-K60)*100)</f>
        <v>0.563167602904063</v>
      </c>
      <c r="M60" s="36" t="n">
        <v>2.40885732401297</v>
      </c>
      <c r="N60" s="36" t="n">
        <v>1.35463990554941</v>
      </c>
      <c r="O60" s="36" t="n">
        <f aca="false">SQRT(M60^2+N60^2)</f>
        <v>2.76362857149035</v>
      </c>
      <c r="P60" s="40" t="n">
        <f aca="false">IF(J60="","",MAX(0,J60-1.96*O60/100))</f>
        <v>0.356599601042835</v>
      </c>
      <c r="Q60" s="40" t="n">
        <f aca="false">IF(J60="","",MIN(1,J60+1.96*O60/100))</f>
        <v>0.464933841045257</v>
      </c>
      <c r="R60" s="32" t="str">
        <f aca="false">IF(L60="","",IF(ABS(L60)&lt;=O60,"Yes","No"))</f>
        <v>Yes</v>
      </c>
      <c r="S60" s="32" t="str">
        <f aca="false">IF(L60="","",IF(ABS(L60)&lt;=1.96*O60,"Yes","No"))</f>
        <v>Yes</v>
      </c>
      <c r="T60" s="59" t="n">
        <f aca="false">IF(D60="","",ROUND(SQRT(((D60+G60)*O60/100)^2+(J60*(D60+G60)*0.06991)^2),0))</f>
        <v>122</v>
      </c>
      <c r="U60" s="32"/>
    </row>
    <row r="61" customFormat="false" ht="15" hidden="false" customHeight="false" outlineLevel="0" collapsed="false">
      <c r="A61" s="32" t="s">
        <v>220</v>
      </c>
      <c r="B61" s="32" t="s">
        <v>228</v>
      </c>
      <c r="C61" s="32" t="s">
        <v>161</v>
      </c>
      <c r="D61" s="59" t="n">
        <v>201</v>
      </c>
      <c r="E61" s="59" t="n">
        <v>166</v>
      </c>
      <c r="F61" s="68" t="n">
        <f aca="false">IF(E61="","",D61-E61)</f>
        <v>35</v>
      </c>
      <c r="G61" s="59" t="n">
        <v>311</v>
      </c>
      <c r="H61" s="59" t="n">
        <v>332</v>
      </c>
      <c r="I61" s="68" t="n">
        <f aca="false">IF(H61="","",G61-H61)</f>
        <v>-21</v>
      </c>
      <c r="J61" s="40" t="n">
        <f aca="false">IF(OR(D61="",D61+G61=0),"",D61/(D61+G61))</f>
        <v>0.392578125</v>
      </c>
      <c r="K61" s="40" t="n">
        <f aca="false">IF(E61="","",E61/(E61+H61))</f>
        <v>0.333333333333333</v>
      </c>
      <c r="L61" s="69" t="n">
        <f aca="false">IF(OR(K61="",J61=""),"",(J61-K61)*100)</f>
        <v>5.92447916666667</v>
      </c>
      <c r="M61" s="36" t="n">
        <v>3.63100374319665</v>
      </c>
      <c r="N61" s="36" t="n">
        <v>1.35463990554941</v>
      </c>
      <c r="O61" s="36" t="n">
        <f aca="false">SQRT(M61^2+N61^2)</f>
        <v>3.87546609542839</v>
      </c>
      <c r="P61" s="40" t="n">
        <f aca="false">IF(J61="","",MAX(0,J61-1.96*O61/100))</f>
        <v>0.316618989529604</v>
      </c>
      <c r="Q61" s="40" t="n">
        <f aca="false">IF(J61="","",MIN(1,J61+1.96*O61/100))</f>
        <v>0.468537260470396</v>
      </c>
      <c r="R61" s="32" t="str">
        <f aca="false">IF(L61="","",IF(ABS(L61)&lt;=O61,"Yes","No"))</f>
        <v>No</v>
      </c>
      <c r="S61" s="32" t="str">
        <f aca="false">IF(L61="","",IF(ABS(L61)&lt;=1.96*O61,"Yes","No"))</f>
        <v>Yes</v>
      </c>
      <c r="T61" s="59" t="n">
        <f aca="false">IF(D61="","",ROUND(SQRT(((D61+G61)*O61/100)^2+(J61*(D61+G61)*0.09092)^2),0))</f>
        <v>27</v>
      </c>
      <c r="U61" s="32"/>
    </row>
    <row r="62" customFormat="false" ht="15" hidden="false" customHeight="false" outlineLevel="0" collapsed="false">
      <c r="A62" s="32" t="s">
        <v>220</v>
      </c>
      <c r="B62" s="32" t="s">
        <v>229</v>
      </c>
      <c r="C62" s="32" t="s">
        <v>161</v>
      </c>
      <c r="D62" s="59" t="n">
        <v>7319</v>
      </c>
      <c r="E62" s="59" t="n">
        <v>7095</v>
      </c>
      <c r="F62" s="68" t="n">
        <f aca="false">IF(E62="","",D62-E62)</f>
        <v>224</v>
      </c>
      <c r="G62" s="59" t="n">
        <v>3088</v>
      </c>
      <c r="H62" s="59" t="n">
        <v>2953</v>
      </c>
      <c r="I62" s="68" t="n">
        <f aca="false">IF(H62="","",G62-H62)</f>
        <v>135</v>
      </c>
      <c r="J62" s="40" t="n">
        <f aca="false">IF(OR(D62="",D62+G62=0),"",D62/(D62+G62))</f>
        <v>0.703276640722591</v>
      </c>
      <c r="K62" s="40" t="n">
        <f aca="false">IF(E62="","",E62/(E62+H62))</f>
        <v>0.706110668789809</v>
      </c>
      <c r="L62" s="69" t="n">
        <f aca="false">IF(OR(K62="",J62=""),"",(J62-K62)*100)</f>
        <v>-0.283402806721833</v>
      </c>
      <c r="M62" s="36" t="n">
        <v>1.94836887084815</v>
      </c>
      <c r="N62" s="36" t="n">
        <v>1.35463990554941</v>
      </c>
      <c r="O62" s="36" t="n">
        <f aca="false">SQRT(M62^2+N62^2)</f>
        <v>2.37301296469215</v>
      </c>
      <c r="P62" s="40" t="n">
        <f aca="false">IF(J62="","",MAX(0,J62-1.96*O62/100))</f>
        <v>0.656765586614625</v>
      </c>
      <c r="Q62" s="40" t="n">
        <f aca="false">IF(J62="","",MIN(1,J62+1.96*O62/100))</f>
        <v>0.749787694830557</v>
      </c>
      <c r="R62" s="32" t="str">
        <f aca="false">IF(L62="","",IF(ABS(L62)&lt;=O62,"Yes","No"))</f>
        <v>Yes</v>
      </c>
      <c r="S62" s="32" t="str">
        <f aca="false">IF(L62="","",IF(ABS(L62)&lt;=1.96*O62,"Yes","No"))</f>
        <v>Yes</v>
      </c>
      <c r="T62" s="59" t="n">
        <f aca="false">IF(D62="","",ROUND(SQRT(((D62+G62)*O62/100)^2+(J62*(D62+G62)*0.0639)^2),0))</f>
        <v>529</v>
      </c>
      <c r="U62" s="32"/>
    </row>
    <row r="63" customFormat="false" ht="15" hidden="false" customHeight="false" outlineLevel="0" collapsed="false">
      <c r="A63" s="32" t="s">
        <v>220</v>
      </c>
      <c r="B63" s="32" t="s">
        <v>230</v>
      </c>
      <c r="C63" s="32" t="s">
        <v>161</v>
      </c>
      <c r="D63" s="59" t="n">
        <v>5243</v>
      </c>
      <c r="E63" s="59" t="n">
        <v>5038</v>
      </c>
      <c r="F63" s="68" t="n">
        <f aca="false">IF(E63="","",D63-E63)</f>
        <v>205</v>
      </c>
      <c r="G63" s="59" t="n">
        <v>4712</v>
      </c>
      <c r="H63" s="59" t="n">
        <v>4815</v>
      </c>
      <c r="I63" s="68" t="n">
        <f aca="false">IF(H63="","",G63-H63)</f>
        <v>-103</v>
      </c>
      <c r="J63" s="40" t="n">
        <f aca="false">IF(OR(D63="",D63+G63=0),"",D63/(D63+G63))</f>
        <v>0.526670015067805</v>
      </c>
      <c r="K63" s="40" t="n">
        <f aca="false">IF(E63="","",E63/(E63+H63))</f>
        <v>0.511316350350147</v>
      </c>
      <c r="L63" s="69" t="n">
        <f aca="false">IF(OR(K63="",J63=""),"",(J63-K63)*100)</f>
        <v>1.5353664717658</v>
      </c>
      <c r="M63" s="36" t="n">
        <v>1.94836887084815</v>
      </c>
      <c r="N63" s="36" t="n">
        <v>1.35463990554941</v>
      </c>
      <c r="O63" s="36" t="n">
        <f aca="false">SQRT(M63^2+N63^2)</f>
        <v>2.37301296469215</v>
      </c>
      <c r="P63" s="40" t="n">
        <f aca="false">IF(J63="","",MAX(0,J63-1.96*O63/100))</f>
        <v>0.480158960959839</v>
      </c>
      <c r="Q63" s="40" t="n">
        <f aca="false">IF(J63="","",MIN(1,J63+1.96*O63/100))</f>
        <v>0.573181069175771</v>
      </c>
      <c r="R63" s="32" t="str">
        <f aca="false">IF(L63="","",IF(ABS(L63)&lt;=O63,"Yes","No"))</f>
        <v>Yes</v>
      </c>
      <c r="S63" s="32" t="str">
        <f aca="false">IF(L63="","",IF(ABS(L63)&lt;=1.96*O63,"Yes","No"))</f>
        <v>Yes</v>
      </c>
      <c r="T63" s="59" t="n">
        <f aca="false">IF(D63="","",ROUND(SQRT(((D63+G63)*O63/100)^2+(J63*(D63+G63)*0.0639)^2),0))</f>
        <v>410</v>
      </c>
      <c r="U63" s="32"/>
    </row>
    <row r="64" customFormat="false" ht="15" hidden="false" customHeight="false" outlineLevel="0" collapsed="false">
      <c r="A64" s="32" t="s">
        <v>220</v>
      </c>
      <c r="B64" s="32" t="s">
        <v>231</v>
      </c>
      <c r="C64" s="32" t="s">
        <v>161</v>
      </c>
      <c r="D64" s="59" t="n">
        <v>744</v>
      </c>
      <c r="E64" s="59" t="n">
        <v>768</v>
      </c>
      <c r="F64" s="68" t="n">
        <f aca="false">IF(E64="","",D64-E64)</f>
        <v>-24</v>
      </c>
      <c r="G64" s="59" t="n">
        <v>419</v>
      </c>
      <c r="H64" s="59" t="n">
        <v>460</v>
      </c>
      <c r="I64" s="68" t="n">
        <f aca="false">IF(H64="","",G64-H64)</f>
        <v>-41</v>
      </c>
      <c r="J64" s="40" t="n">
        <f aca="false">IF(OR(D64="",D64+G64=0),"",D64/(D64+G64))</f>
        <v>0.639724849527085</v>
      </c>
      <c r="K64" s="40" t="n">
        <f aca="false">IF(E64="","",E64/(E64+H64))</f>
        <v>0.625407166123778</v>
      </c>
      <c r="L64" s="69" t="n">
        <f aca="false">IF(OR(K64="",J64=""),"",(J64-K64)*100)</f>
        <v>1.43176834033066</v>
      </c>
      <c r="M64" s="36" t="n">
        <v>3.63100374319665</v>
      </c>
      <c r="N64" s="36" t="n">
        <v>1.35463990554941</v>
      </c>
      <c r="O64" s="36" t="n">
        <f aca="false">SQRT(M64^2+N64^2)</f>
        <v>3.87546609542839</v>
      </c>
      <c r="P64" s="40" t="n">
        <f aca="false">IF(J64="","",MAX(0,J64-1.96*O64/100))</f>
        <v>0.563765714056689</v>
      </c>
      <c r="Q64" s="40" t="n">
        <f aca="false">IF(J64="","",MIN(1,J64+1.96*O64/100))</f>
        <v>0.715683984997482</v>
      </c>
      <c r="R64" s="32" t="str">
        <f aca="false">IF(L64="","",IF(ABS(L64)&lt;=O64,"Yes","No"))</f>
        <v>Yes</v>
      </c>
      <c r="S64" s="32" t="str">
        <f aca="false">IF(L64="","",IF(ABS(L64)&lt;=1.96*O64,"Yes","No"))</f>
        <v>Yes</v>
      </c>
      <c r="T64" s="59" t="n">
        <f aca="false">IF(D64="","",ROUND(SQRT(((D64+G64)*O64/100)^2+(J64*(D64+G64)*0.09092)^2),0))</f>
        <v>81</v>
      </c>
      <c r="U64" s="32"/>
    </row>
    <row r="65" customFormat="false" ht="15" hidden="false" customHeight="false" outlineLevel="0" collapsed="false">
      <c r="A65" s="32" t="s">
        <v>220</v>
      </c>
      <c r="B65" s="32" t="s">
        <v>232</v>
      </c>
      <c r="C65" s="32" t="s">
        <v>161</v>
      </c>
      <c r="D65" s="59" t="n">
        <v>113</v>
      </c>
      <c r="E65" s="59" t="n">
        <v>101</v>
      </c>
      <c r="F65" s="68" t="n">
        <f aca="false">IF(E65="","",D65-E65)</f>
        <v>12</v>
      </c>
      <c r="G65" s="59" t="n">
        <v>89</v>
      </c>
      <c r="H65" s="59" t="n">
        <v>100</v>
      </c>
      <c r="I65" s="68" t="n">
        <f aca="false">IF(H65="","",G65-H65)</f>
        <v>-11</v>
      </c>
      <c r="J65" s="40" t="n">
        <f aca="false">IF(OR(D65="",D65+G65=0),"",D65/(D65+G65))</f>
        <v>0.55940594059406</v>
      </c>
      <c r="K65" s="40" t="n">
        <f aca="false">IF(E65="","",E65/(E65+H65))</f>
        <v>0.502487562189055</v>
      </c>
      <c r="L65" s="69" t="n">
        <f aca="false">IF(OR(K65="",J65=""),"",(J65-K65)*100)</f>
        <v>5.69183784050047</v>
      </c>
      <c r="M65" s="36" t="n">
        <v>3.63100374319665</v>
      </c>
      <c r="N65" s="36" t="n">
        <v>1.35463990554941</v>
      </c>
      <c r="O65" s="36" t="n">
        <f aca="false">SQRT(M65^2+N65^2)</f>
        <v>3.87546609542839</v>
      </c>
      <c r="P65" s="40" t="n">
        <f aca="false">IF(J65="","",MAX(0,J65-1.96*O65/100))</f>
        <v>0.483446805123663</v>
      </c>
      <c r="Q65" s="40" t="n">
        <f aca="false">IF(J65="","",MIN(1,J65+1.96*O65/100))</f>
        <v>0.635365076064456</v>
      </c>
      <c r="R65" s="32" t="str">
        <f aca="false">IF(L65="","",IF(ABS(L65)&lt;=O65,"Yes","No"))</f>
        <v>No</v>
      </c>
      <c r="S65" s="32" t="str">
        <f aca="false">IF(L65="","",IF(ABS(L65)&lt;=1.96*O65,"Yes","No"))</f>
        <v>Yes</v>
      </c>
      <c r="T65" s="59" t="n">
        <f aca="false">IF(D65="","",ROUND(SQRT(((D65+G65)*O65/100)^2+(J65*(D65+G65)*0.09092)^2),0))</f>
        <v>13</v>
      </c>
      <c r="U65" s="32"/>
    </row>
    <row r="66" customFormat="false" ht="15" hidden="false" customHeight="false" outlineLevel="0" collapsed="false">
      <c r="A66" s="32" t="s">
        <v>220</v>
      </c>
      <c r="B66" s="32" t="s">
        <v>198</v>
      </c>
      <c r="C66" s="32" t="s">
        <v>161</v>
      </c>
      <c r="D66" s="59" t="n">
        <v>4221</v>
      </c>
      <c r="E66" s="59" t="n">
        <v>4234</v>
      </c>
      <c r="F66" s="68" t="n">
        <f aca="false">IF(E66="","",D66-E66)</f>
        <v>-13</v>
      </c>
      <c r="G66" s="59" t="n">
        <v>3724</v>
      </c>
      <c r="H66" s="59" t="n">
        <v>3699</v>
      </c>
      <c r="I66" s="68" t="n">
        <f aca="false">IF(H66="","",G66-H66)</f>
        <v>25</v>
      </c>
      <c r="J66" s="40" t="n">
        <f aca="false">IF(OR(D66="",D66+G66=0),"",D66/(D66+G66))</f>
        <v>0.531277533039648</v>
      </c>
      <c r="K66" s="40" t="n">
        <f aca="false">IF(E66="","",E66/(E66+H66))</f>
        <v>0.533719904197655</v>
      </c>
      <c r="L66" s="69" t="n">
        <f aca="false">IF(OR(K66="",J66=""),"",(J66-K66)*100)</f>
        <v>-0.244237115800783</v>
      </c>
      <c r="M66" s="36" t="n">
        <v>1.94836887084815</v>
      </c>
      <c r="N66" s="36" t="n">
        <v>1.35463990554941</v>
      </c>
      <c r="O66" s="36" t="n">
        <f aca="false">SQRT(M66^2+N66^2)</f>
        <v>2.37301296469215</v>
      </c>
      <c r="P66" s="40" t="n">
        <f aca="false">IF(J66="","",MAX(0,J66-1.96*O66/100))</f>
        <v>0.484766478931681</v>
      </c>
      <c r="Q66" s="40" t="n">
        <f aca="false">IF(J66="","",MIN(1,J66+1.96*O66/100))</f>
        <v>0.577788587147614</v>
      </c>
      <c r="R66" s="32" t="str">
        <f aca="false">IF(L66="","",IF(ABS(L66)&lt;=O66,"Yes","No"))</f>
        <v>Yes</v>
      </c>
      <c r="S66" s="32" t="str">
        <f aca="false">IF(L66="","",IF(ABS(L66)&lt;=1.96*O66,"Yes","No"))</f>
        <v>Yes</v>
      </c>
      <c r="T66" s="59" t="n">
        <f aca="false">IF(D66="","",ROUND(SQRT(((D66+G66)*O66/100)^2+(J66*(D66+G66)*0.0639)^2),0))</f>
        <v>329</v>
      </c>
      <c r="U66" s="32"/>
    </row>
    <row r="67" customFormat="false" ht="15" hidden="false" customHeight="false" outlineLevel="0" collapsed="false">
      <c r="A67" s="32" t="s">
        <v>220</v>
      </c>
      <c r="B67" s="32" t="s">
        <v>233</v>
      </c>
      <c r="C67" s="32" t="s">
        <v>161</v>
      </c>
      <c r="D67" s="59" t="n">
        <v>1765</v>
      </c>
      <c r="E67" s="59" t="n">
        <v>1646</v>
      </c>
      <c r="F67" s="68" t="n">
        <f aca="false">IF(E67="","",D67-E67)</f>
        <v>119</v>
      </c>
      <c r="G67" s="59" t="n">
        <v>1540</v>
      </c>
      <c r="H67" s="59" t="n">
        <v>1608</v>
      </c>
      <c r="I67" s="68" t="n">
        <f aca="false">IF(H67="","",G67-H67)</f>
        <v>-68</v>
      </c>
      <c r="J67" s="40" t="n">
        <f aca="false">IF(OR(D67="",D67+G67=0),"",D67/(D67+G67))</f>
        <v>0.534039334341906</v>
      </c>
      <c r="K67" s="40" t="n">
        <f aca="false">IF(E67="","",E67/(E67+H67))</f>
        <v>0.505838967424708</v>
      </c>
      <c r="L67" s="69" t="n">
        <f aca="false">IF(OR(K67="",J67=""),"",(J67-K67)*100)</f>
        <v>2.82003669171982</v>
      </c>
      <c r="M67" s="36" t="n">
        <v>2.40885732401297</v>
      </c>
      <c r="N67" s="36" t="n">
        <v>1.35463990554941</v>
      </c>
      <c r="O67" s="36" t="n">
        <f aca="false">SQRT(M67^2+N67^2)</f>
        <v>2.76362857149035</v>
      </c>
      <c r="P67" s="40" t="n">
        <f aca="false">IF(J67="","",MAX(0,J67-1.96*O67/100))</f>
        <v>0.479872214340695</v>
      </c>
      <c r="Q67" s="40" t="n">
        <f aca="false">IF(J67="","",MIN(1,J67+1.96*O67/100))</f>
        <v>0.588206454343117</v>
      </c>
      <c r="R67" s="32" t="str">
        <f aca="false">IF(L67="","",IF(ABS(L67)&lt;=O67,"Yes","No"))</f>
        <v>No</v>
      </c>
      <c r="S67" s="32" t="str">
        <f aca="false">IF(L67="","",IF(ABS(L67)&lt;=1.96*O67,"Yes","No"))</f>
        <v>Yes</v>
      </c>
      <c r="T67" s="59" t="n">
        <f aca="false">IF(D67="","",ROUND(SQRT(((D67+G67)*O67/100)^2+(J67*(D67+G67)*0.06991)^2),0))</f>
        <v>154</v>
      </c>
      <c r="U67" s="32"/>
    </row>
    <row r="68" customFormat="false" ht="15" hidden="false" customHeight="false" outlineLevel="0" collapsed="false">
      <c r="A68" s="32" t="s">
        <v>220</v>
      </c>
      <c r="B68" s="32" t="s">
        <v>234</v>
      </c>
      <c r="C68" s="32" t="s">
        <v>161</v>
      </c>
      <c r="D68" s="59" t="n">
        <v>2227</v>
      </c>
      <c r="E68" s="59" t="n">
        <v>2137</v>
      </c>
      <c r="F68" s="68" t="n">
        <f aca="false">IF(E68="","",D68-E68)</f>
        <v>90</v>
      </c>
      <c r="G68" s="59" t="n">
        <v>4200</v>
      </c>
      <c r="H68" s="59" t="n">
        <v>4258</v>
      </c>
      <c r="I68" s="68" t="n">
        <f aca="false">IF(H68="","",G68-H68)</f>
        <v>-58</v>
      </c>
      <c r="J68" s="40" t="n">
        <f aca="false">IF(OR(D68="",D68+G68=0),"",D68/(D68+G68))</f>
        <v>0.346506923914735</v>
      </c>
      <c r="K68" s="40" t="n">
        <f aca="false">IF(E68="","",E68/(E68+H68))</f>
        <v>0.334167318217357</v>
      </c>
      <c r="L68" s="69" t="n">
        <f aca="false">IF(OR(K68="",J68=""),"",(J68-K68)*100)</f>
        <v>1.23396056973774</v>
      </c>
      <c r="M68" s="36" t="n">
        <v>1.94836887084815</v>
      </c>
      <c r="N68" s="36" t="n">
        <v>1.35463990554941</v>
      </c>
      <c r="O68" s="36" t="n">
        <f aca="false">SQRT(M68^2+N68^2)</f>
        <v>2.37301296469215</v>
      </c>
      <c r="P68" s="40" t="n">
        <f aca="false">IF(J68="","",MAX(0,J68-1.96*O68/100))</f>
        <v>0.299995869806769</v>
      </c>
      <c r="Q68" s="40" t="n">
        <f aca="false">IF(J68="","",MIN(1,J68+1.96*O68/100))</f>
        <v>0.393017978022701</v>
      </c>
      <c r="R68" s="32" t="str">
        <f aca="false">IF(L68="","",IF(ABS(L68)&lt;=O68,"Yes","No"))</f>
        <v>Yes</v>
      </c>
      <c r="S68" s="32" t="str">
        <f aca="false">IF(L68="","",IF(ABS(L68)&lt;=1.96*O68,"Yes","No"))</f>
        <v>Yes</v>
      </c>
      <c r="T68" s="59" t="n">
        <f aca="false">IF(D68="","",ROUND(SQRT(((D68+G68)*O68/100)^2+(J68*(D68+G68)*0.0639)^2),0))</f>
        <v>209</v>
      </c>
      <c r="U68" s="32"/>
    </row>
    <row r="69" customFormat="false" ht="15" hidden="false" customHeight="false" outlineLevel="0" collapsed="false">
      <c r="A69" s="32" t="s">
        <v>220</v>
      </c>
      <c r="B69" s="32" t="s">
        <v>235</v>
      </c>
      <c r="C69" s="32" t="s">
        <v>161</v>
      </c>
      <c r="D69" s="59" t="n">
        <v>631</v>
      </c>
      <c r="E69" s="59" t="n">
        <v>580</v>
      </c>
      <c r="F69" s="68" t="n">
        <f aca="false">IF(E69="","",D69-E69)</f>
        <v>51</v>
      </c>
      <c r="G69" s="59" t="n">
        <v>1154</v>
      </c>
      <c r="H69" s="59" t="n">
        <v>1159</v>
      </c>
      <c r="I69" s="68" t="n">
        <f aca="false">IF(H69="","",G69-H69)</f>
        <v>-5</v>
      </c>
      <c r="J69" s="40" t="n">
        <f aca="false">IF(OR(D69="",D69+G69=0),"",D69/(D69+G69))</f>
        <v>0.353501400560224</v>
      </c>
      <c r="K69" s="40" t="n">
        <f aca="false">IF(E69="","",E69/(E69+H69))</f>
        <v>0.333525014376078</v>
      </c>
      <c r="L69" s="69" t="n">
        <f aca="false">IF(OR(K69="",J69=""),"",(J69-K69)*100)</f>
        <v>1.99763861841459</v>
      </c>
      <c r="M69" s="36" t="n">
        <v>2.40885732401297</v>
      </c>
      <c r="N69" s="36" t="n">
        <v>1.35463990554941</v>
      </c>
      <c r="O69" s="36" t="n">
        <f aca="false">SQRT(M69^2+N69^2)</f>
        <v>2.76362857149035</v>
      </c>
      <c r="P69" s="40" t="n">
        <f aca="false">IF(J69="","",MAX(0,J69-1.96*O69/100))</f>
        <v>0.299334280559013</v>
      </c>
      <c r="Q69" s="40" t="n">
        <f aca="false">IF(J69="","",MIN(1,J69+1.96*O69/100))</f>
        <v>0.407668520561435</v>
      </c>
      <c r="R69" s="32" t="str">
        <f aca="false">IF(L69="","",IF(ABS(L69)&lt;=O69,"Yes","No"))</f>
        <v>Yes</v>
      </c>
      <c r="S69" s="32" t="str">
        <f aca="false">IF(L69="","",IF(ABS(L69)&lt;=1.96*O69,"Yes","No"))</f>
        <v>Yes</v>
      </c>
      <c r="T69" s="59" t="n">
        <f aca="false">IF(D69="","",ROUND(SQRT(((D69+G69)*O69/100)^2+(J69*(D69+G69)*0.06991)^2),0))</f>
        <v>66</v>
      </c>
      <c r="U69" s="32"/>
    </row>
    <row r="70" customFormat="false" ht="15" hidden="false" customHeight="false" outlineLevel="0" collapsed="false">
      <c r="A70" s="32" t="s">
        <v>220</v>
      </c>
      <c r="B70" s="32" t="s">
        <v>236</v>
      </c>
      <c r="C70" s="32" t="s">
        <v>161</v>
      </c>
      <c r="D70" s="59" t="n">
        <v>1934</v>
      </c>
      <c r="E70" s="59" t="n">
        <v>1879</v>
      </c>
      <c r="F70" s="68" t="n">
        <f aca="false">IF(E70="","",D70-E70)</f>
        <v>55</v>
      </c>
      <c r="G70" s="59" t="n">
        <v>2501</v>
      </c>
      <c r="H70" s="59" t="n">
        <v>2565</v>
      </c>
      <c r="I70" s="68" t="n">
        <f aca="false">IF(H70="","",G70-H70)</f>
        <v>-64</v>
      </c>
      <c r="J70" s="40" t="n">
        <f aca="false">IF(OR(D70="",D70+G70=0),"",D70/(D70+G70))</f>
        <v>0.436076662908681</v>
      </c>
      <c r="K70" s="40" t="n">
        <f aca="false">IF(E70="","",E70/(E70+H70))</f>
        <v>0.422817281728173</v>
      </c>
      <c r="L70" s="69" t="n">
        <f aca="false">IF(OR(K70="",J70=""),"",(J70-K70)*100)</f>
        <v>1.32593811805081</v>
      </c>
      <c r="M70" s="36" t="n">
        <v>1.94836887084815</v>
      </c>
      <c r="N70" s="36" t="n">
        <v>1.35463990554941</v>
      </c>
      <c r="O70" s="36" t="n">
        <f aca="false">SQRT(M70^2+N70^2)</f>
        <v>2.37301296469215</v>
      </c>
      <c r="P70" s="40" t="n">
        <f aca="false">IF(J70="","",MAX(0,J70-1.96*O70/100))</f>
        <v>0.389565608800715</v>
      </c>
      <c r="Q70" s="40" t="n">
        <f aca="false">IF(J70="","",MIN(1,J70+1.96*O70/100))</f>
        <v>0.482587717016647</v>
      </c>
      <c r="R70" s="32" t="str">
        <f aca="false">IF(L70="","",IF(ABS(L70)&lt;=O70,"Yes","No"))</f>
        <v>Yes</v>
      </c>
      <c r="S70" s="32" t="str">
        <f aca="false">IF(L70="","",IF(ABS(L70)&lt;=1.96*O70,"Yes","No"))</f>
        <v>Yes</v>
      </c>
      <c r="T70" s="59" t="n">
        <f aca="false">IF(D70="","",ROUND(SQRT(((D70+G70)*O70/100)^2+(J70*(D70+G70)*0.0639)^2),0))</f>
        <v>162</v>
      </c>
      <c r="U70" s="32"/>
    </row>
    <row r="71" customFormat="false" ht="15" hidden="false" customHeight="false" outlineLevel="0" collapsed="false">
      <c r="A71" s="32" t="s">
        <v>220</v>
      </c>
      <c r="B71" s="32" t="s">
        <v>237</v>
      </c>
      <c r="C71" s="32" t="s">
        <v>161</v>
      </c>
      <c r="D71" s="59" t="n">
        <v>3400</v>
      </c>
      <c r="E71" s="59" t="n">
        <v>3370</v>
      </c>
      <c r="F71" s="68" t="n">
        <f aca="false">IF(E71="","",D71-E71)</f>
        <v>30</v>
      </c>
      <c r="G71" s="59" t="n">
        <v>3840</v>
      </c>
      <c r="H71" s="59" t="n">
        <v>3831</v>
      </c>
      <c r="I71" s="68" t="n">
        <f aca="false">IF(H71="","",G71-H71)</f>
        <v>9</v>
      </c>
      <c r="J71" s="40" t="n">
        <f aca="false">IF(OR(D71="",D71+G71=0),"",D71/(D71+G71))</f>
        <v>0.469613259668508</v>
      </c>
      <c r="K71" s="40" t="n">
        <f aca="false">IF(E71="","",E71/(E71+H71))</f>
        <v>0.467990556867102</v>
      </c>
      <c r="L71" s="69" t="n">
        <f aca="false">IF(OR(K71="",J71=""),"",(J71-K71)*100)</f>
        <v>0.162270280140653</v>
      </c>
      <c r="M71" s="36" t="n">
        <v>1.94836887084815</v>
      </c>
      <c r="N71" s="36" t="n">
        <v>1.35463990554941</v>
      </c>
      <c r="O71" s="36" t="n">
        <f aca="false">SQRT(M71^2+N71^2)</f>
        <v>2.37301296469215</v>
      </c>
      <c r="P71" s="40" t="n">
        <f aca="false">IF(J71="","",MAX(0,J71-1.96*O71/100))</f>
        <v>0.423102205560542</v>
      </c>
      <c r="Q71" s="40" t="n">
        <f aca="false">IF(J71="","",MIN(1,J71+1.96*O71/100))</f>
        <v>0.516124313776474</v>
      </c>
      <c r="R71" s="32" t="str">
        <f aca="false">IF(L71="","",IF(ABS(L71)&lt;=O71,"Yes","No"))</f>
        <v>Yes</v>
      </c>
      <c r="S71" s="32" t="str">
        <f aca="false">IF(L71="","",IF(ABS(L71)&lt;=1.96*O71,"Yes","No"))</f>
        <v>Yes</v>
      </c>
      <c r="T71" s="59" t="n">
        <f aca="false">IF(D71="","",ROUND(SQRT(((D71+G71)*O71/100)^2+(J71*(D71+G71)*0.0639)^2),0))</f>
        <v>277</v>
      </c>
      <c r="U71" s="32"/>
    </row>
    <row r="72" customFormat="false" ht="15" hidden="false" customHeight="false" outlineLevel="0" collapsed="false">
      <c r="A72" s="32" t="s">
        <v>220</v>
      </c>
      <c r="B72" s="32" t="s">
        <v>238</v>
      </c>
      <c r="C72" s="32" t="s">
        <v>161</v>
      </c>
      <c r="D72" s="59" t="n">
        <v>2012</v>
      </c>
      <c r="E72" s="59" t="n">
        <v>1920</v>
      </c>
      <c r="F72" s="68" t="n">
        <f aca="false">IF(E72="","",D72-E72)</f>
        <v>92</v>
      </c>
      <c r="G72" s="59" t="n">
        <v>3885</v>
      </c>
      <c r="H72" s="59" t="n">
        <v>3865</v>
      </c>
      <c r="I72" s="68" t="n">
        <f aca="false">IF(H72="","",G72-H72)</f>
        <v>20</v>
      </c>
      <c r="J72" s="40" t="n">
        <f aca="false">IF(OR(D72="",D72+G72=0),"",D72/(D72+G72))</f>
        <v>0.341190435814821</v>
      </c>
      <c r="K72" s="40" t="n">
        <f aca="false">IF(E72="","",E72/(E72+H72))</f>
        <v>0.331892826274849</v>
      </c>
      <c r="L72" s="69" t="n">
        <f aca="false">IF(OR(K72="",J72=""),"",(J72-K72)*100)</f>
        <v>0.929760953997239</v>
      </c>
      <c r="M72" s="36" t="n">
        <v>1.94836887084815</v>
      </c>
      <c r="N72" s="36" t="n">
        <v>1.35463990554941</v>
      </c>
      <c r="O72" s="36" t="n">
        <f aca="false">SQRT(M72^2+N72^2)</f>
        <v>2.37301296469215</v>
      </c>
      <c r="P72" s="40" t="n">
        <f aca="false">IF(J72="","",MAX(0,J72-1.96*O72/100))</f>
        <v>0.294679381706855</v>
      </c>
      <c r="Q72" s="40" t="n">
        <f aca="false">IF(J72="","",MIN(1,J72+1.96*O72/100))</f>
        <v>0.387701489922787</v>
      </c>
      <c r="R72" s="32" t="str">
        <f aca="false">IF(L72="","",IF(ABS(L72)&lt;=O72,"Yes","No"))</f>
        <v>Yes</v>
      </c>
      <c r="S72" s="32" t="str">
        <f aca="false">IF(L72="","",IF(ABS(L72)&lt;=1.96*O72,"Yes","No"))</f>
        <v>Yes</v>
      </c>
      <c r="T72" s="59" t="n">
        <f aca="false">IF(D72="","",ROUND(SQRT(((D72+G72)*O72/100)^2+(J72*(D72+G72)*0.0639)^2),0))</f>
        <v>190</v>
      </c>
      <c r="U72" s="32"/>
    </row>
    <row r="73" customFormat="false" ht="15" hidden="false" customHeight="false" outlineLevel="0" collapsed="false">
      <c r="A73" s="32" t="s">
        <v>220</v>
      </c>
      <c r="B73" s="32" t="s">
        <v>239</v>
      </c>
      <c r="C73" s="32" t="s">
        <v>161</v>
      </c>
      <c r="D73" s="59" t="n">
        <v>1630</v>
      </c>
      <c r="E73" s="59" t="n">
        <v>1490</v>
      </c>
      <c r="F73" s="68" t="n">
        <f aca="false">IF(E73="","",D73-E73)</f>
        <v>140</v>
      </c>
      <c r="G73" s="59" t="n">
        <v>1579</v>
      </c>
      <c r="H73" s="59" t="n">
        <v>1627</v>
      </c>
      <c r="I73" s="68" t="n">
        <f aca="false">IF(H73="","",G73-H73)</f>
        <v>-48</v>
      </c>
      <c r="J73" s="40" t="n">
        <f aca="false">IF(OR(D73="",D73+G73=0),"",D73/(D73+G73))</f>
        <v>0.507946400747897</v>
      </c>
      <c r="K73" s="40" t="n">
        <f aca="false">IF(E73="","",E73/(E73+H73))</f>
        <v>0.478023740776388</v>
      </c>
      <c r="L73" s="69" t="n">
        <f aca="false">IF(OR(K73="",J73=""),"",(J73-K73)*100)</f>
        <v>2.9922659971509</v>
      </c>
      <c r="M73" s="36" t="n">
        <v>2.40885732401297</v>
      </c>
      <c r="N73" s="36" t="n">
        <v>1.35463990554941</v>
      </c>
      <c r="O73" s="36" t="n">
        <f aca="false">SQRT(M73^2+N73^2)</f>
        <v>2.76362857149035</v>
      </c>
      <c r="P73" s="40" t="n">
        <f aca="false">IF(J73="","",MAX(0,J73-1.96*O73/100))</f>
        <v>0.453779280746686</v>
      </c>
      <c r="Q73" s="40" t="n">
        <f aca="false">IF(J73="","",MIN(1,J73+1.96*O73/100))</f>
        <v>0.562113520749108</v>
      </c>
      <c r="R73" s="32" t="str">
        <f aca="false">IF(L73="","",IF(ABS(L73)&lt;=O73,"Yes","No"))</f>
        <v>No</v>
      </c>
      <c r="S73" s="32" t="str">
        <f aca="false">IF(L73="","",IF(ABS(L73)&lt;=1.96*O73,"Yes","No"))</f>
        <v>Yes</v>
      </c>
      <c r="T73" s="59" t="n">
        <f aca="false">IF(D73="","",ROUND(SQRT(((D73+G73)*O73/100)^2+(J73*(D73+G73)*0.06991)^2),0))</f>
        <v>144</v>
      </c>
      <c r="U73" s="32"/>
    </row>
    <row r="74" customFormat="false" ht="15" hidden="false" customHeight="false" outlineLevel="0" collapsed="false">
      <c r="A74" s="32" t="s">
        <v>220</v>
      </c>
      <c r="B74" s="32" t="s">
        <v>240</v>
      </c>
      <c r="C74" s="32" t="s">
        <v>161</v>
      </c>
      <c r="D74" s="59" t="n">
        <v>756</v>
      </c>
      <c r="E74" s="59" t="n">
        <v>731</v>
      </c>
      <c r="F74" s="68" t="n">
        <f aca="false">IF(E74="","",D74-E74)</f>
        <v>25</v>
      </c>
      <c r="G74" s="59" t="n">
        <v>783</v>
      </c>
      <c r="H74" s="59" t="n">
        <v>843</v>
      </c>
      <c r="I74" s="68" t="n">
        <f aca="false">IF(H74="","",G74-H74)</f>
        <v>-60</v>
      </c>
      <c r="J74" s="40" t="n">
        <f aca="false">IF(OR(D74="",D74+G74=0),"",D74/(D74+G74))</f>
        <v>0.491228070175439</v>
      </c>
      <c r="K74" s="40" t="n">
        <f aca="false">IF(E74="","",E74/(E74+H74))</f>
        <v>0.464421855146125</v>
      </c>
      <c r="L74" s="69" t="n">
        <f aca="false">IF(OR(K74="",J74=""),"",(J74-K74)*100)</f>
        <v>2.68062150293141</v>
      </c>
      <c r="M74" s="36" t="n">
        <v>2.40885732401297</v>
      </c>
      <c r="N74" s="36" t="n">
        <v>1.35463990554941</v>
      </c>
      <c r="O74" s="36" t="n">
        <f aca="false">SQRT(M74^2+N74^2)</f>
        <v>2.76362857149035</v>
      </c>
      <c r="P74" s="40" t="n">
        <f aca="false">IF(J74="","",MAX(0,J74-1.96*O74/100))</f>
        <v>0.437060950174228</v>
      </c>
      <c r="Q74" s="40" t="n">
        <f aca="false">IF(J74="","",MIN(1,J74+1.96*O74/100))</f>
        <v>0.54539519017665</v>
      </c>
      <c r="R74" s="32" t="str">
        <f aca="false">IF(L74="","",IF(ABS(L74)&lt;=O74,"Yes","No"))</f>
        <v>Yes</v>
      </c>
      <c r="S74" s="32" t="str">
        <f aca="false">IF(L74="","",IF(ABS(L74)&lt;=1.96*O74,"Yes","No"))</f>
        <v>Yes</v>
      </c>
      <c r="T74" s="59" t="n">
        <f aca="false">IF(D74="","",ROUND(SQRT(((D74+G74)*O74/100)^2+(J74*(D74+G74)*0.06991)^2),0))</f>
        <v>68</v>
      </c>
      <c r="U74" s="32"/>
    </row>
    <row r="75" customFormat="false" ht="15" hidden="false" customHeight="false" outlineLevel="0" collapsed="false">
      <c r="A75" s="32" t="s">
        <v>220</v>
      </c>
      <c r="B75" s="32" t="s">
        <v>241</v>
      </c>
      <c r="C75" s="32" t="s">
        <v>161</v>
      </c>
      <c r="D75" s="59" t="n">
        <v>2527</v>
      </c>
      <c r="E75" s="59" t="n">
        <v>2355</v>
      </c>
      <c r="F75" s="68" t="n">
        <f aca="false">IF(E75="","",D75-E75)</f>
        <v>172</v>
      </c>
      <c r="G75" s="59" t="n">
        <v>2662</v>
      </c>
      <c r="H75" s="59" t="n">
        <v>2934</v>
      </c>
      <c r="I75" s="68" t="n">
        <f aca="false">IF(H75="","",G75-H75)</f>
        <v>-272</v>
      </c>
      <c r="J75" s="40" t="n">
        <f aca="false">IF(OR(D75="",D75+G75=0),"",D75/(D75+G75))</f>
        <v>0.486991713239545</v>
      </c>
      <c r="K75" s="40" t="n">
        <f aca="false">IF(E75="","",E75/(E75+H75))</f>
        <v>0.445263754963131</v>
      </c>
      <c r="L75" s="69" t="n">
        <f aca="false">IF(OR(K75="",J75=""),"",(J75-K75)*100)</f>
        <v>4.17279582764142</v>
      </c>
      <c r="M75" s="36" t="n">
        <v>1.94836887084815</v>
      </c>
      <c r="N75" s="36" t="n">
        <v>1.35463990554941</v>
      </c>
      <c r="O75" s="36" t="n">
        <f aca="false">SQRT(M75^2+N75^2)</f>
        <v>2.37301296469215</v>
      </c>
      <c r="P75" s="40" t="n">
        <f aca="false">IF(J75="","",MAX(0,J75-1.96*O75/100))</f>
        <v>0.440480659131579</v>
      </c>
      <c r="Q75" s="40" t="n">
        <f aca="false">IF(J75="","",MIN(1,J75+1.96*O75/100))</f>
        <v>0.533502767347511</v>
      </c>
      <c r="R75" s="32" t="str">
        <f aca="false">IF(L75="","",IF(ABS(L75)&lt;=O75,"Yes","No"))</f>
        <v>No</v>
      </c>
      <c r="S75" s="32" t="str">
        <f aca="false">IF(L75="","",IF(ABS(L75)&lt;=1.96*O75,"Yes","No"))</f>
        <v>Yes</v>
      </c>
      <c r="T75" s="59" t="n">
        <f aca="false">IF(D75="","",ROUND(SQRT(((D75+G75)*O75/100)^2+(J75*(D75+G75)*0.0639)^2),0))</f>
        <v>203</v>
      </c>
      <c r="U75" s="32"/>
    </row>
    <row r="76" customFormat="false" ht="15" hidden="false" customHeight="false" outlineLevel="0" collapsed="false">
      <c r="A76" s="32" t="s">
        <v>220</v>
      </c>
      <c r="B76" s="32" t="s">
        <v>242</v>
      </c>
      <c r="C76" s="32" t="s">
        <v>161</v>
      </c>
      <c r="D76" s="59" t="n">
        <v>7004</v>
      </c>
      <c r="E76" s="59" t="n">
        <v>6698</v>
      </c>
      <c r="F76" s="68" t="n">
        <f aca="false">IF(E76="","",D76-E76)</f>
        <v>306</v>
      </c>
      <c r="G76" s="59" t="n">
        <v>6243</v>
      </c>
      <c r="H76" s="59" t="n">
        <v>6630</v>
      </c>
      <c r="I76" s="68" t="n">
        <f aca="false">IF(H76="","",G76-H76)</f>
        <v>-387</v>
      </c>
      <c r="J76" s="40" t="n">
        <f aca="false">IF(OR(D76="",D76+G76=0),"",D76/(D76+G76))</f>
        <v>0.528723484562543</v>
      </c>
      <c r="K76" s="40" t="n">
        <f aca="false">IF(E76="","",E76/(E76+H76))</f>
        <v>0.502551020408163</v>
      </c>
      <c r="L76" s="69" t="n">
        <f aca="false">IF(OR(K76="",J76=""),"",(J76-K76)*100)</f>
        <v>2.61724641543792</v>
      </c>
      <c r="M76" s="36" t="n">
        <v>1.94836887084815</v>
      </c>
      <c r="N76" s="36" t="n">
        <v>1.35463990554941</v>
      </c>
      <c r="O76" s="36" t="n">
        <f aca="false">SQRT(M76^2+N76^2)</f>
        <v>2.37301296469215</v>
      </c>
      <c r="P76" s="40" t="n">
        <f aca="false">IF(J76="","",MAX(0,J76-1.96*O76/100))</f>
        <v>0.482212430454576</v>
      </c>
      <c r="Q76" s="40" t="n">
        <f aca="false">IF(J76="","",MIN(1,J76+1.96*O76/100))</f>
        <v>0.575234538670509</v>
      </c>
      <c r="R76" s="32" t="str">
        <f aca="false">IF(L76="","",IF(ABS(L76)&lt;=O76,"Yes","No"))</f>
        <v>No</v>
      </c>
      <c r="S76" s="32" t="str">
        <f aca="false">IF(L76="","",IF(ABS(L76)&lt;=1.96*O76,"Yes","No"))</f>
        <v>Yes</v>
      </c>
      <c r="T76" s="59" t="n">
        <f aca="false">IF(D76="","",ROUND(SQRT(((D76+G76)*O76/100)^2+(J76*(D76+G76)*0.0639)^2),0))</f>
        <v>547</v>
      </c>
      <c r="U76" s="32"/>
    </row>
    <row r="77" customFormat="false" ht="15" hidden="false" customHeight="false" outlineLevel="0" collapsed="false">
      <c r="A77" s="32" t="s">
        <v>220</v>
      </c>
      <c r="B77" s="32" t="s">
        <v>243</v>
      </c>
      <c r="C77" s="32" t="s">
        <v>161</v>
      </c>
      <c r="D77" s="59" t="n">
        <v>704</v>
      </c>
      <c r="E77" s="59" t="n">
        <v>678</v>
      </c>
      <c r="F77" s="68" t="n">
        <f aca="false">IF(E77="","",D77-E77)</f>
        <v>26</v>
      </c>
      <c r="G77" s="59" t="n">
        <v>1099</v>
      </c>
      <c r="H77" s="59" t="n">
        <v>1089</v>
      </c>
      <c r="I77" s="68" t="n">
        <f aca="false">IF(H77="","",G77-H77)</f>
        <v>10</v>
      </c>
      <c r="J77" s="40" t="n">
        <f aca="false">IF(OR(D77="",D77+G77=0),"",D77/(D77+G77))</f>
        <v>0.390460343871326</v>
      </c>
      <c r="K77" s="40" t="n">
        <f aca="false">IF(E77="","",E77/(E77+H77))</f>
        <v>0.383701188455009</v>
      </c>
      <c r="L77" s="69" t="n">
        <f aca="false">IF(OR(K77="",J77=""),"",(J77-K77)*100)</f>
        <v>0.675915541631705</v>
      </c>
      <c r="M77" s="36" t="n">
        <v>2.40885732401297</v>
      </c>
      <c r="N77" s="36" t="n">
        <v>1.35463990554941</v>
      </c>
      <c r="O77" s="36" t="n">
        <f aca="false">SQRT(M77^2+N77^2)</f>
        <v>2.76362857149035</v>
      </c>
      <c r="P77" s="40" t="n">
        <f aca="false">IF(J77="","",MAX(0,J77-1.96*O77/100))</f>
        <v>0.336293223870115</v>
      </c>
      <c r="Q77" s="40" t="n">
        <f aca="false">IF(J77="","",MIN(1,J77+1.96*O77/100))</f>
        <v>0.444627463872537</v>
      </c>
      <c r="R77" s="32" t="str">
        <f aca="false">IF(L77="","",IF(ABS(L77)&lt;=O77,"Yes","No"))</f>
        <v>Yes</v>
      </c>
      <c r="S77" s="32" t="str">
        <f aca="false">IF(L77="","",IF(ABS(L77)&lt;=1.96*O77,"Yes","No"))</f>
        <v>Yes</v>
      </c>
      <c r="T77" s="59" t="n">
        <f aca="false">IF(D77="","",ROUND(SQRT(((D77+G77)*O77/100)^2+(J77*(D77+G77)*0.06991)^2),0))</f>
        <v>70</v>
      </c>
      <c r="U77" s="32"/>
    </row>
    <row r="78" customFormat="false" ht="15" hidden="false" customHeight="false" outlineLevel="0" collapsed="false">
      <c r="A78" s="32" t="s">
        <v>220</v>
      </c>
      <c r="B78" s="32" t="s">
        <v>244</v>
      </c>
      <c r="C78" s="32" t="s">
        <v>161</v>
      </c>
      <c r="D78" s="59" t="n">
        <v>1380</v>
      </c>
      <c r="E78" s="59" t="n">
        <v>1368</v>
      </c>
      <c r="F78" s="68" t="n">
        <f aca="false">IF(E78="","",D78-E78)</f>
        <v>12</v>
      </c>
      <c r="G78" s="59" t="n">
        <v>2480</v>
      </c>
      <c r="H78" s="59" t="n">
        <v>2520</v>
      </c>
      <c r="I78" s="68" t="n">
        <f aca="false">IF(H78="","",G78-H78)</f>
        <v>-40</v>
      </c>
      <c r="J78" s="40" t="n">
        <f aca="false">IF(OR(D78="",D78+G78=0),"",D78/(D78+G78))</f>
        <v>0.357512953367876</v>
      </c>
      <c r="K78" s="40" t="n">
        <f aca="false">IF(E78="","",E78/(E78+H78))</f>
        <v>0.351851851851852</v>
      </c>
      <c r="L78" s="69" t="n">
        <f aca="false">IF(OR(K78="",J78=""),"",(J78-K78)*100)</f>
        <v>0.566110151602378</v>
      </c>
      <c r="M78" s="36" t="n">
        <v>1.94836887084815</v>
      </c>
      <c r="N78" s="36" t="n">
        <v>1.35463990554941</v>
      </c>
      <c r="O78" s="36" t="n">
        <f aca="false">SQRT(M78^2+N78^2)</f>
        <v>2.37301296469215</v>
      </c>
      <c r="P78" s="40" t="n">
        <f aca="false">IF(J78="","",MAX(0,J78-1.96*O78/100))</f>
        <v>0.31100189925991</v>
      </c>
      <c r="Q78" s="40" t="n">
        <f aca="false">IF(J78="","",MIN(1,J78+1.96*O78/100))</f>
        <v>0.404024007475842</v>
      </c>
      <c r="R78" s="32" t="str">
        <f aca="false">IF(L78="","",IF(ABS(L78)&lt;=O78,"Yes","No"))</f>
        <v>Yes</v>
      </c>
      <c r="S78" s="32" t="str">
        <f aca="false">IF(L78="","",IF(ABS(L78)&lt;=1.96*O78,"Yes","No"))</f>
        <v>Yes</v>
      </c>
      <c r="T78" s="59" t="n">
        <f aca="false">IF(D78="","",ROUND(SQRT(((D78+G78)*O78/100)^2+(J78*(D78+G78)*0.0639)^2),0))</f>
        <v>127</v>
      </c>
      <c r="U78" s="32"/>
    </row>
    <row r="79" customFormat="false" ht="15" hidden="false" customHeight="false" outlineLevel="0" collapsed="false">
      <c r="A79" s="32" t="s">
        <v>220</v>
      </c>
      <c r="B79" s="32" t="s">
        <v>245</v>
      </c>
      <c r="C79" s="32" t="s">
        <v>161</v>
      </c>
      <c r="D79" s="59" t="n">
        <v>87</v>
      </c>
      <c r="E79" s="59" t="n">
        <v>82</v>
      </c>
      <c r="F79" s="68" t="n">
        <f aca="false">IF(E79="","",D79-E79)</f>
        <v>5</v>
      </c>
      <c r="G79" s="59" t="n">
        <v>176</v>
      </c>
      <c r="H79" s="59" t="n">
        <v>171</v>
      </c>
      <c r="I79" s="68" t="n">
        <f aca="false">IF(H79="","",G79-H79)</f>
        <v>5</v>
      </c>
      <c r="J79" s="40" t="n">
        <f aca="false">IF(OR(D79="",D79+G79=0),"",D79/(D79+G79))</f>
        <v>0.330798479087452</v>
      </c>
      <c r="K79" s="40" t="n">
        <f aca="false">IF(E79="","",E79/(E79+H79))</f>
        <v>0.324110671936759</v>
      </c>
      <c r="L79" s="69" t="n">
        <f aca="false">IF(OR(K79="",J79=""),"",(J79-K79)*100)</f>
        <v>0.668780715069356</v>
      </c>
      <c r="M79" s="36" t="n">
        <v>3.63100374319665</v>
      </c>
      <c r="N79" s="36" t="n">
        <v>1.35463990554941</v>
      </c>
      <c r="O79" s="36" t="n">
        <f aca="false">SQRT(M79^2+N79^2)</f>
        <v>3.87546609542839</v>
      </c>
      <c r="P79" s="40" t="n">
        <f aca="false">IF(J79="","",MAX(0,J79-1.96*O79/100))</f>
        <v>0.254839343617056</v>
      </c>
      <c r="Q79" s="40" t="n">
        <f aca="false">IF(J79="","",MIN(1,J79+1.96*O79/100))</f>
        <v>0.406757614557849</v>
      </c>
      <c r="R79" s="32" t="str">
        <f aca="false">IF(L79="","",IF(ABS(L79)&lt;=O79,"Yes","No"))</f>
        <v>Yes</v>
      </c>
      <c r="S79" s="32" t="str">
        <f aca="false">IF(L79="","",IF(ABS(L79)&lt;=1.96*O79,"Yes","No"))</f>
        <v>Yes</v>
      </c>
      <c r="T79" s="59" t="n">
        <f aca="false">IF(D79="","",ROUND(SQRT(((D79+G79)*O79/100)^2+(J79*(D79+G79)*0.09092)^2),0))</f>
        <v>13</v>
      </c>
      <c r="U79" s="32"/>
    </row>
    <row r="80" customFormat="false" ht="15" hidden="false" customHeight="false" outlineLevel="0" collapsed="false">
      <c r="A80" s="32" t="s">
        <v>220</v>
      </c>
      <c r="B80" s="32" t="s">
        <v>246</v>
      </c>
      <c r="C80" s="32" t="s">
        <v>161</v>
      </c>
      <c r="D80" s="59" t="n">
        <v>360</v>
      </c>
      <c r="E80" s="59" t="n">
        <v>331</v>
      </c>
      <c r="F80" s="68" t="n">
        <f aca="false">IF(E80="","",D80-E80)</f>
        <v>29</v>
      </c>
      <c r="G80" s="59" t="n">
        <v>527</v>
      </c>
      <c r="H80" s="59" t="n">
        <v>571</v>
      </c>
      <c r="I80" s="68" t="n">
        <f aca="false">IF(H80="","",G80-H80)</f>
        <v>-44</v>
      </c>
      <c r="J80" s="40" t="n">
        <f aca="false">IF(OR(D80="",D80+G80=0),"",D80/(D80+G80))</f>
        <v>0.405862457722661</v>
      </c>
      <c r="K80" s="40" t="n">
        <f aca="false">IF(E80="","",E80/(E80+H80))</f>
        <v>0.366962305986696</v>
      </c>
      <c r="L80" s="69" t="n">
        <f aca="false">IF(OR(K80="",J80=""),"",(J80-K80)*100)</f>
        <v>3.89001517359644</v>
      </c>
      <c r="M80" s="36" t="n">
        <v>3.63100374319665</v>
      </c>
      <c r="N80" s="36" t="n">
        <v>1.35463990554941</v>
      </c>
      <c r="O80" s="36" t="n">
        <f aca="false">SQRT(M80^2+N80^2)</f>
        <v>3.87546609542839</v>
      </c>
      <c r="P80" s="40" t="n">
        <f aca="false">IF(J80="","",MAX(0,J80-1.96*O80/100))</f>
        <v>0.329903322252264</v>
      </c>
      <c r="Q80" s="40" t="n">
        <f aca="false">IF(J80="","",MIN(1,J80+1.96*O80/100))</f>
        <v>0.481821593193057</v>
      </c>
      <c r="R80" s="32" t="str">
        <f aca="false">IF(L80="","",IF(ABS(L80)&lt;=O80,"Yes","No"))</f>
        <v>No</v>
      </c>
      <c r="S80" s="32" t="str">
        <f aca="false">IF(L80="","",IF(ABS(L80)&lt;=1.96*O80,"Yes","No"))</f>
        <v>Yes</v>
      </c>
      <c r="T80" s="59" t="n">
        <f aca="false">IF(D80="","",ROUND(SQRT(((D80+G80)*O80/100)^2+(J80*(D80+G80)*0.09092)^2),0))</f>
        <v>47</v>
      </c>
      <c r="U80" s="32"/>
    </row>
    <row r="81" customFormat="false" ht="15" hidden="false" customHeight="false" outlineLevel="0" collapsed="false">
      <c r="A81" s="32" t="s">
        <v>220</v>
      </c>
      <c r="B81" s="32" t="s">
        <v>247</v>
      </c>
      <c r="C81" s="32" t="s">
        <v>161</v>
      </c>
      <c r="D81" s="59" t="n">
        <v>226</v>
      </c>
      <c r="E81" s="59" t="n">
        <v>212</v>
      </c>
      <c r="F81" s="68" t="n">
        <f aca="false">IF(E81="","",D81-E81)</f>
        <v>14</v>
      </c>
      <c r="G81" s="59" t="n">
        <v>299</v>
      </c>
      <c r="H81" s="59" t="n">
        <v>308</v>
      </c>
      <c r="I81" s="68" t="n">
        <f aca="false">IF(H81="","",G81-H81)</f>
        <v>-9</v>
      </c>
      <c r="J81" s="40" t="n">
        <f aca="false">IF(OR(D81="",D81+G81=0),"",D81/(D81+G81))</f>
        <v>0.43047619047619</v>
      </c>
      <c r="K81" s="40" t="n">
        <f aca="false">IF(E81="","",E81/(E81+H81))</f>
        <v>0.407692307692308</v>
      </c>
      <c r="L81" s="69" t="n">
        <f aca="false">IF(OR(K81="",J81=""),"",(J81-K81)*100)</f>
        <v>2.27838827838828</v>
      </c>
      <c r="M81" s="36" t="n">
        <v>3.63100374319665</v>
      </c>
      <c r="N81" s="36" t="n">
        <v>1.35463990554941</v>
      </c>
      <c r="O81" s="36" t="n">
        <f aca="false">SQRT(M81^2+N81^2)</f>
        <v>3.87546609542839</v>
      </c>
      <c r="P81" s="40" t="n">
        <f aca="false">IF(J81="","",MAX(0,J81-1.96*O81/100))</f>
        <v>0.354517055005794</v>
      </c>
      <c r="Q81" s="40" t="n">
        <f aca="false">IF(J81="","",MIN(1,J81+1.96*O81/100))</f>
        <v>0.506435325946587</v>
      </c>
      <c r="R81" s="32" t="str">
        <f aca="false">IF(L81="","",IF(ABS(L81)&lt;=O81,"Yes","No"))</f>
        <v>Yes</v>
      </c>
      <c r="S81" s="32" t="str">
        <f aca="false">IF(L81="","",IF(ABS(L81)&lt;=1.96*O81,"Yes","No"))</f>
        <v>Yes</v>
      </c>
      <c r="T81" s="59" t="n">
        <f aca="false">IF(D81="","",ROUND(SQRT(((D81+G81)*O81/100)^2+(J81*(D81+G81)*0.09092)^2),0))</f>
        <v>29</v>
      </c>
      <c r="U81" s="32"/>
    </row>
    <row r="82" customFormat="false" ht="15" hidden="false" customHeight="false" outlineLevel="0" collapsed="false">
      <c r="A82" s="32" t="s">
        <v>220</v>
      </c>
      <c r="B82" s="32" t="s">
        <v>248</v>
      </c>
      <c r="C82" s="32" t="s">
        <v>161</v>
      </c>
      <c r="D82" s="59" t="n">
        <v>291</v>
      </c>
      <c r="E82" s="59" t="n">
        <v>272</v>
      </c>
      <c r="F82" s="68" t="n">
        <f aca="false">IF(E82="","",D82-E82)</f>
        <v>19</v>
      </c>
      <c r="G82" s="59" t="n">
        <v>396</v>
      </c>
      <c r="H82" s="59" t="n">
        <v>400</v>
      </c>
      <c r="I82" s="68" t="n">
        <f aca="false">IF(H82="","",G82-H82)</f>
        <v>-4</v>
      </c>
      <c r="J82" s="40" t="n">
        <f aca="false">IF(OR(D82="",D82+G82=0),"",D82/(D82+G82))</f>
        <v>0.423580786026201</v>
      </c>
      <c r="K82" s="40" t="n">
        <f aca="false">IF(E82="","",E82/(E82+H82))</f>
        <v>0.404761904761905</v>
      </c>
      <c r="L82" s="69" t="n">
        <f aca="false">IF(OR(K82="",J82=""),"",(J82-K82)*100)</f>
        <v>1.88188812642961</v>
      </c>
      <c r="M82" s="36" t="n">
        <v>3.63100374319665</v>
      </c>
      <c r="N82" s="36" t="n">
        <v>1.35463990554941</v>
      </c>
      <c r="O82" s="36" t="n">
        <f aca="false">SQRT(M82^2+N82^2)</f>
        <v>3.87546609542839</v>
      </c>
      <c r="P82" s="40" t="n">
        <f aca="false">IF(J82="","",MAX(0,J82-1.96*O82/100))</f>
        <v>0.347621650555804</v>
      </c>
      <c r="Q82" s="40" t="n">
        <f aca="false">IF(J82="","",MIN(1,J82+1.96*O82/100))</f>
        <v>0.499539921496597</v>
      </c>
      <c r="R82" s="32" t="str">
        <f aca="false">IF(L82="","",IF(ABS(L82)&lt;=O82,"Yes","No"))</f>
        <v>Yes</v>
      </c>
      <c r="S82" s="32" t="str">
        <f aca="false">IF(L82="","",IF(ABS(L82)&lt;=1.96*O82,"Yes","No"))</f>
        <v>Yes</v>
      </c>
      <c r="T82" s="59" t="n">
        <f aca="false">IF(D82="","",ROUND(SQRT(((D82+G82)*O82/100)^2+(J82*(D82+G82)*0.09092)^2),0))</f>
        <v>38</v>
      </c>
      <c r="U82" s="32"/>
    </row>
    <row r="83" customFormat="false" ht="15" hidden="false" customHeight="false" outlineLevel="0" collapsed="false">
      <c r="A83" s="32" t="s">
        <v>220</v>
      </c>
      <c r="B83" s="32" t="s">
        <v>249</v>
      </c>
      <c r="C83" s="32" t="s">
        <v>161</v>
      </c>
      <c r="D83" s="59" t="n">
        <v>1262</v>
      </c>
      <c r="E83" s="59" t="n">
        <v>1207</v>
      </c>
      <c r="F83" s="68" t="n">
        <f aca="false">IF(E83="","",D83-E83)</f>
        <v>55</v>
      </c>
      <c r="G83" s="59" t="n">
        <v>2644</v>
      </c>
      <c r="H83" s="59" t="n">
        <v>2601</v>
      </c>
      <c r="I83" s="68" t="n">
        <f aca="false">IF(H83="","",G83-H83)</f>
        <v>43</v>
      </c>
      <c r="J83" s="40" t="n">
        <f aca="false">IF(OR(D83="",D83+G83=0),"",D83/(D83+G83))</f>
        <v>0.323092677931388</v>
      </c>
      <c r="K83" s="40" t="n">
        <f aca="false">IF(E83="","",E83/(E83+H83))</f>
        <v>0.316964285714286</v>
      </c>
      <c r="L83" s="69" t="n">
        <f aca="false">IF(OR(K83="",J83=""),"",(J83-K83)*100)</f>
        <v>0.612839221710193</v>
      </c>
      <c r="M83" s="36" t="n">
        <v>1.94836887084815</v>
      </c>
      <c r="N83" s="36" t="n">
        <v>1.35463990554941</v>
      </c>
      <c r="O83" s="36" t="n">
        <f aca="false">SQRT(M83^2+N83^2)</f>
        <v>2.37301296469215</v>
      </c>
      <c r="P83" s="40" t="n">
        <f aca="false">IF(J83="","",MAX(0,J83-1.96*O83/100))</f>
        <v>0.276581623823422</v>
      </c>
      <c r="Q83" s="40" t="n">
        <f aca="false">IF(J83="","",MIN(1,J83+1.96*O83/100))</f>
        <v>0.369603732039354</v>
      </c>
      <c r="R83" s="32" t="str">
        <f aca="false">IF(L83="","",IF(ABS(L83)&lt;=O83,"Yes","No"))</f>
        <v>Yes</v>
      </c>
      <c r="S83" s="32" t="str">
        <f aca="false">IF(L83="","",IF(ABS(L83)&lt;=1.96*O83,"Yes","No"))</f>
        <v>Yes</v>
      </c>
      <c r="T83" s="59" t="n">
        <f aca="false">IF(D83="","",ROUND(SQRT(((D83+G83)*O83/100)^2+(J83*(D83+G83)*0.0639)^2),0))</f>
        <v>123</v>
      </c>
      <c r="U83" s="32"/>
    </row>
    <row r="84" customFormat="false" ht="15" hidden="false" customHeight="false" outlineLevel="0" collapsed="false">
      <c r="A84" s="32" t="s">
        <v>220</v>
      </c>
      <c r="B84" s="32" t="s">
        <v>250</v>
      </c>
      <c r="C84" s="32" t="s">
        <v>161</v>
      </c>
      <c r="D84" s="59" t="n">
        <v>1909</v>
      </c>
      <c r="E84" s="59" t="n">
        <v>1838</v>
      </c>
      <c r="F84" s="68" t="n">
        <f aca="false">IF(E84="","",D84-E84)</f>
        <v>71</v>
      </c>
      <c r="G84" s="59" t="n">
        <v>2081</v>
      </c>
      <c r="H84" s="59" t="n">
        <v>2112</v>
      </c>
      <c r="I84" s="68" t="n">
        <f aca="false">IF(H84="","",G84-H84)</f>
        <v>-31</v>
      </c>
      <c r="J84" s="40" t="n">
        <f aca="false">IF(OR(D84="",D84+G84=0),"",D84/(D84+G84))</f>
        <v>0.478446115288221</v>
      </c>
      <c r="K84" s="40" t="n">
        <f aca="false">IF(E84="","",E84/(E84+H84))</f>
        <v>0.465316455696203</v>
      </c>
      <c r="L84" s="69" t="n">
        <f aca="false">IF(OR(K84="",J84=""),"",(J84-K84)*100)</f>
        <v>1.3129659592018</v>
      </c>
      <c r="M84" s="36" t="n">
        <v>1.94836887084815</v>
      </c>
      <c r="N84" s="36" t="n">
        <v>1.35463990554941</v>
      </c>
      <c r="O84" s="36" t="n">
        <f aca="false">SQRT(M84^2+N84^2)</f>
        <v>2.37301296469215</v>
      </c>
      <c r="P84" s="40" t="n">
        <f aca="false">IF(J84="","",MAX(0,J84-1.96*O84/100))</f>
        <v>0.431935061180255</v>
      </c>
      <c r="Q84" s="40" t="n">
        <f aca="false">IF(J84="","",MIN(1,J84+1.96*O84/100))</f>
        <v>0.524957169396187</v>
      </c>
      <c r="R84" s="32" t="str">
        <f aca="false">IF(L84="","",IF(ABS(L84)&lt;=O84,"Yes","No"))</f>
        <v>Yes</v>
      </c>
      <c r="S84" s="32" t="str">
        <f aca="false">IF(L84="","",IF(ABS(L84)&lt;=1.96*O84,"Yes","No"))</f>
        <v>Yes</v>
      </c>
      <c r="T84" s="59" t="n">
        <f aca="false">IF(D84="","",ROUND(SQRT(((D84+G84)*O84/100)^2+(J84*(D84+G84)*0.0639)^2),0))</f>
        <v>154</v>
      </c>
      <c r="U84" s="32"/>
    </row>
    <row r="85" customFormat="false" ht="15" hidden="false" customHeight="false" outlineLevel="0" collapsed="false">
      <c r="A85" s="32" t="s">
        <v>220</v>
      </c>
      <c r="B85" s="32" t="s">
        <v>251</v>
      </c>
      <c r="C85" s="32" t="s">
        <v>161</v>
      </c>
      <c r="D85" s="59" t="n">
        <v>403</v>
      </c>
      <c r="E85" s="59" t="n">
        <v>379</v>
      </c>
      <c r="F85" s="68" t="n">
        <f aca="false">IF(E85="","",D85-E85)</f>
        <v>24</v>
      </c>
      <c r="G85" s="59" t="n">
        <v>593</v>
      </c>
      <c r="H85" s="59" t="n">
        <v>605</v>
      </c>
      <c r="I85" s="68" t="n">
        <f aca="false">IF(H85="","",G85-H85)</f>
        <v>-12</v>
      </c>
      <c r="J85" s="40" t="n">
        <f aca="false">IF(OR(D85="",D85+G85=0),"",D85/(D85+G85))</f>
        <v>0.404618473895582</v>
      </c>
      <c r="K85" s="40" t="n">
        <f aca="false">IF(E85="","",E85/(E85+H85))</f>
        <v>0.385162601626016</v>
      </c>
      <c r="L85" s="69" t="n">
        <f aca="false">IF(OR(K85="",J85=""),"",(J85-K85)*100)</f>
        <v>1.9455872269566</v>
      </c>
      <c r="M85" s="36" t="n">
        <v>3.63100374319665</v>
      </c>
      <c r="N85" s="36" t="n">
        <v>1.35463990554941</v>
      </c>
      <c r="O85" s="36" t="n">
        <f aca="false">SQRT(M85^2+N85^2)</f>
        <v>3.87546609542839</v>
      </c>
      <c r="P85" s="40" t="n">
        <f aca="false">IF(J85="","",MAX(0,J85-1.96*O85/100))</f>
        <v>0.328659338425186</v>
      </c>
      <c r="Q85" s="40" t="n">
        <f aca="false">IF(J85="","",MIN(1,J85+1.96*O85/100))</f>
        <v>0.480577609365979</v>
      </c>
      <c r="R85" s="32" t="str">
        <f aca="false">IF(L85="","",IF(ABS(L85)&lt;=O85,"Yes","No"))</f>
        <v>Yes</v>
      </c>
      <c r="S85" s="32" t="str">
        <f aca="false">IF(L85="","",IF(ABS(L85)&lt;=1.96*O85,"Yes","No"))</f>
        <v>Yes</v>
      </c>
      <c r="T85" s="59" t="n">
        <f aca="false">IF(D85="","",ROUND(SQRT(((D85+G85)*O85/100)^2+(J85*(D85+G85)*0.09092)^2),0))</f>
        <v>53</v>
      </c>
      <c r="U85" s="32"/>
    </row>
    <row r="86" customFormat="false" ht="15" hidden="false" customHeight="false" outlineLevel="0" collapsed="false">
      <c r="A86" s="32" t="s">
        <v>220</v>
      </c>
      <c r="B86" s="32" t="s">
        <v>212</v>
      </c>
      <c r="C86" s="32" t="s">
        <v>161</v>
      </c>
      <c r="D86" s="59" t="n">
        <v>1075</v>
      </c>
      <c r="E86" s="59" t="n">
        <v>1032</v>
      </c>
      <c r="F86" s="68" t="n">
        <f aca="false">IF(E86="","",D86-E86)</f>
        <v>43</v>
      </c>
      <c r="G86" s="59" t="n">
        <v>1979</v>
      </c>
      <c r="H86" s="59" t="n">
        <v>1971</v>
      </c>
      <c r="I86" s="68" t="n">
        <f aca="false">IF(H86="","",G86-H86)</f>
        <v>8</v>
      </c>
      <c r="J86" s="40" t="n">
        <f aca="false">IF(OR(D86="",D86+G86=0),"",D86/(D86+G86))</f>
        <v>0.35199738048461</v>
      </c>
      <c r="K86" s="40" t="n">
        <f aca="false">IF(E86="","",E86/(E86+H86))</f>
        <v>0.343656343656344</v>
      </c>
      <c r="L86" s="69" t="n">
        <f aca="false">IF(OR(K86="",J86=""),"",(J86-K86)*100)</f>
        <v>0.834103682826665</v>
      </c>
      <c r="M86" s="36" t="n">
        <v>2.40885732401297</v>
      </c>
      <c r="N86" s="36" t="n">
        <v>1.35463990554941</v>
      </c>
      <c r="O86" s="36" t="n">
        <f aca="false">SQRT(M86^2+N86^2)</f>
        <v>2.76362857149035</v>
      </c>
      <c r="P86" s="40" t="n">
        <f aca="false">IF(J86="","",MAX(0,J86-1.96*O86/100))</f>
        <v>0.297830260483399</v>
      </c>
      <c r="Q86" s="40" t="n">
        <f aca="false">IF(J86="","",MIN(1,J86+1.96*O86/100))</f>
        <v>0.406164500485821</v>
      </c>
      <c r="R86" s="32" t="str">
        <f aca="false">IF(L86="","",IF(ABS(L86)&lt;=O86,"Yes","No"))</f>
        <v>Yes</v>
      </c>
      <c r="S86" s="32" t="str">
        <f aca="false">IF(L86="","",IF(ABS(L86)&lt;=1.96*O86,"Yes","No"))</f>
        <v>Yes</v>
      </c>
      <c r="T86" s="59" t="n">
        <f aca="false">IF(D86="","",ROUND(SQRT(((D86+G86)*O86/100)^2+(J86*(D86+G86)*0.06991)^2),0))</f>
        <v>113</v>
      </c>
      <c r="U86" s="32"/>
    </row>
    <row r="87" customFormat="false" ht="15" hidden="false" customHeight="false" outlineLevel="0" collapsed="false">
      <c r="A87" s="32" t="s">
        <v>220</v>
      </c>
      <c r="B87" s="32" t="s">
        <v>252</v>
      </c>
      <c r="C87" s="32" t="s">
        <v>161</v>
      </c>
      <c r="D87" s="59" t="n">
        <v>287</v>
      </c>
      <c r="E87" s="59" t="n">
        <v>249</v>
      </c>
      <c r="F87" s="68" t="n">
        <f aca="false">IF(E87="","",D87-E87)</f>
        <v>38</v>
      </c>
      <c r="G87" s="59" t="n">
        <v>273</v>
      </c>
      <c r="H87" s="59" t="n">
        <v>326</v>
      </c>
      <c r="I87" s="68" t="n">
        <f aca="false">IF(H87="","",G87-H87)</f>
        <v>-53</v>
      </c>
      <c r="J87" s="40" t="n">
        <f aca="false">IF(OR(D87="",D87+G87=0),"",D87/(D87+G87))</f>
        <v>0.5125</v>
      </c>
      <c r="K87" s="40" t="n">
        <f aca="false">IF(E87="","",E87/(E87+H87))</f>
        <v>0.43304347826087</v>
      </c>
      <c r="L87" s="69" t="n">
        <f aca="false">IF(OR(K87="",J87=""),"",(J87-K87)*100)</f>
        <v>7.94565217391304</v>
      </c>
      <c r="M87" s="36" t="n">
        <v>3.63100374319665</v>
      </c>
      <c r="N87" s="36" t="n">
        <v>1.35463990554941</v>
      </c>
      <c r="O87" s="36" t="n">
        <f aca="false">SQRT(M87^2+N87^2)</f>
        <v>3.87546609542839</v>
      </c>
      <c r="P87" s="40" t="n">
        <f aca="false">IF(J87="","",MAX(0,J87-1.96*O87/100))</f>
        <v>0.436540864529604</v>
      </c>
      <c r="Q87" s="40" t="n">
        <f aca="false">IF(J87="","",MIN(1,J87+1.96*O87/100))</f>
        <v>0.588459135470396</v>
      </c>
      <c r="R87" s="32" t="str">
        <f aca="false">IF(L87="","",IF(ABS(L87)&lt;=O87,"Yes","No"))</f>
        <v>No</v>
      </c>
      <c r="S87" s="32" t="str">
        <f aca="false">IF(L87="","",IF(ABS(L87)&lt;=1.96*O87,"Yes","No"))</f>
        <v>No</v>
      </c>
      <c r="T87" s="59" t="n">
        <f aca="false">IF(D87="","",ROUND(SQRT(((D87+G87)*O87/100)^2+(J87*(D87+G87)*0.09092)^2),0))</f>
        <v>34</v>
      </c>
      <c r="U87" s="32"/>
    </row>
    <row r="88" customFormat="false" ht="15" hidden="false" customHeight="false" outlineLevel="0" collapsed="false">
      <c r="A88" s="32" t="s">
        <v>220</v>
      </c>
      <c r="B88" s="32" t="s">
        <v>253</v>
      </c>
      <c r="C88" s="32" t="s">
        <v>161</v>
      </c>
      <c r="D88" s="59" t="n">
        <v>1839</v>
      </c>
      <c r="E88" s="59" t="n">
        <v>1767</v>
      </c>
      <c r="F88" s="68" t="n">
        <f aca="false">IF(E88="","",D88-E88)</f>
        <v>72</v>
      </c>
      <c r="G88" s="59" t="n">
        <v>2365</v>
      </c>
      <c r="H88" s="59" t="n">
        <v>2379</v>
      </c>
      <c r="I88" s="68" t="n">
        <f aca="false">IF(H88="","",G88-H88)</f>
        <v>-14</v>
      </c>
      <c r="J88" s="40" t="n">
        <f aca="false">IF(OR(D88="",D88+G88=0),"",D88/(D88+G88))</f>
        <v>0.43744053282588</v>
      </c>
      <c r="K88" s="40" t="n">
        <f aca="false">IF(E88="","",E88/(E88+H88))</f>
        <v>0.426193921852388</v>
      </c>
      <c r="L88" s="69" t="n">
        <f aca="false">IF(OR(K88="",J88=""),"",(J88-K88)*100)</f>
        <v>1.12466109734923</v>
      </c>
      <c r="M88" s="36" t="n">
        <v>1.94836887084815</v>
      </c>
      <c r="N88" s="36" t="n">
        <v>1.35463990554941</v>
      </c>
      <c r="O88" s="36" t="n">
        <f aca="false">SQRT(M88^2+N88^2)</f>
        <v>2.37301296469215</v>
      </c>
      <c r="P88" s="40" t="n">
        <f aca="false">IF(J88="","",MAX(0,J88-1.96*O88/100))</f>
        <v>0.390929478717914</v>
      </c>
      <c r="Q88" s="40" t="n">
        <f aca="false">IF(J88="","",MIN(1,J88+1.96*O88/100))</f>
        <v>0.483951586933846</v>
      </c>
      <c r="R88" s="32" t="str">
        <f aca="false">IF(L88="","",IF(ABS(L88)&lt;=O88,"Yes","No"))</f>
        <v>Yes</v>
      </c>
      <c r="S88" s="32" t="str">
        <f aca="false">IF(L88="","",IF(ABS(L88)&lt;=1.96*O88,"Yes","No"))</f>
        <v>Yes</v>
      </c>
      <c r="T88" s="59" t="n">
        <f aca="false">IF(D88="","",ROUND(SQRT(((D88+G88)*O88/100)^2+(J88*(D88+G88)*0.0639)^2),0))</f>
        <v>154</v>
      </c>
      <c r="U88" s="32"/>
    </row>
    <row r="89" customFormat="false" ht="15" hidden="false" customHeight="false" outlineLevel="0" collapsed="false">
      <c r="A89" s="32" t="s">
        <v>220</v>
      </c>
      <c r="B89" s="32" t="s">
        <v>254</v>
      </c>
      <c r="C89" s="32" t="s">
        <v>161</v>
      </c>
      <c r="D89" s="59" t="n">
        <v>1985</v>
      </c>
      <c r="E89" s="59" t="n">
        <v>1908</v>
      </c>
      <c r="F89" s="68" t="n">
        <f aca="false">IF(E89="","",D89-E89)</f>
        <v>77</v>
      </c>
      <c r="G89" s="59" t="n">
        <v>1470</v>
      </c>
      <c r="H89" s="59" t="n">
        <v>1518</v>
      </c>
      <c r="I89" s="68" t="n">
        <f aca="false">IF(H89="","",G89-H89)</f>
        <v>-48</v>
      </c>
      <c r="J89" s="40" t="n">
        <f aca="false">IF(OR(D89="",D89+G89=0),"",D89/(D89+G89))</f>
        <v>0.574529667149059</v>
      </c>
      <c r="K89" s="40" t="n">
        <f aca="false">IF(E89="","",E89/(E89+H89))</f>
        <v>0.5569176882662</v>
      </c>
      <c r="L89" s="69" t="n">
        <f aca="false">IF(OR(K89="",J89=""),"",(J89-K89)*100)</f>
        <v>1.76119788828596</v>
      </c>
      <c r="M89" s="36" t="n">
        <v>2.40885732401297</v>
      </c>
      <c r="N89" s="36" t="n">
        <v>1.35463990554941</v>
      </c>
      <c r="O89" s="36" t="n">
        <f aca="false">SQRT(M89^2+N89^2)</f>
        <v>2.76362857149035</v>
      </c>
      <c r="P89" s="40" t="n">
        <f aca="false">IF(J89="","",MAX(0,J89-1.96*O89/100))</f>
        <v>0.520362547147848</v>
      </c>
      <c r="Q89" s="40" t="n">
        <f aca="false">IF(J89="","",MIN(1,J89+1.96*O89/100))</f>
        <v>0.62869678715027</v>
      </c>
      <c r="R89" s="32" t="str">
        <f aca="false">IF(L89="","",IF(ABS(L89)&lt;=O89,"Yes","No"))</f>
        <v>Yes</v>
      </c>
      <c r="S89" s="32" t="str">
        <f aca="false">IF(L89="","",IF(ABS(L89)&lt;=1.96*O89,"Yes","No"))</f>
        <v>Yes</v>
      </c>
      <c r="T89" s="59" t="n">
        <f aca="false">IF(D89="","",ROUND(SQRT(((D89+G89)*O89/100)^2+(J89*(D89+G89)*0.06991)^2),0))</f>
        <v>168</v>
      </c>
      <c r="U89" s="32"/>
    </row>
    <row r="90" customFormat="false" ht="15" hidden="false" customHeight="false" outlineLevel="0" collapsed="false">
      <c r="A90" s="32" t="s">
        <v>220</v>
      </c>
      <c r="B90" s="32" t="s">
        <v>255</v>
      </c>
      <c r="C90" s="32" t="s">
        <v>161</v>
      </c>
      <c r="D90" s="59" t="n">
        <v>539</v>
      </c>
      <c r="E90" s="59" t="n">
        <v>508</v>
      </c>
      <c r="F90" s="68" t="n">
        <f aca="false">IF(E90="","",D90-E90)</f>
        <v>31</v>
      </c>
      <c r="G90" s="59" t="n">
        <v>729</v>
      </c>
      <c r="H90" s="59" t="n">
        <v>791</v>
      </c>
      <c r="I90" s="68" t="n">
        <f aca="false">IF(H90="","",G90-H90)</f>
        <v>-62</v>
      </c>
      <c r="J90" s="40" t="n">
        <f aca="false">IF(OR(D90="",D90+G90=0),"",D90/(D90+G90))</f>
        <v>0.425078864353312</v>
      </c>
      <c r="K90" s="40" t="n">
        <f aca="false">IF(E90="","",E90/(E90+H90))</f>
        <v>0.391070053887606</v>
      </c>
      <c r="L90" s="69" t="n">
        <f aca="false">IF(OR(K90="",J90=""),"",(J90-K90)*100)</f>
        <v>3.40088104657065</v>
      </c>
      <c r="M90" s="36" t="n">
        <v>3.63100374319665</v>
      </c>
      <c r="N90" s="36" t="n">
        <v>1.35463990554941</v>
      </c>
      <c r="O90" s="36" t="n">
        <f aca="false">SQRT(M90^2+N90^2)</f>
        <v>3.87546609542839</v>
      </c>
      <c r="P90" s="40" t="n">
        <f aca="false">IF(J90="","",MAX(0,J90-1.96*O90/100))</f>
        <v>0.349119728882916</v>
      </c>
      <c r="Q90" s="40" t="n">
        <f aca="false">IF(J90="","",MIN(1,J90+1.96*O90/100))</f>
        <v>0.501037999823709</v>
      </c>
      <c r="R90" s="32" t="str">
        <f aca="false">IF(L90="","",IF(ABS(L90)&lt;=O90,"Yes","No"))</f>
        <v>Yes</v>
      </c>
      <c r="S90" s="32" t="str">
        <f aca="false">IF(L90="","",IF(ABS(L90)&lt;=1.96*O90,"Yes","No"))</f>
        <v>Yes</v>
      </c>
      <c r="T90" s="59" t="n">
        <f aca="false">IF(D90="","",ROUND(SQRT(((D90+G90)*O90/100)^2+(J90*(D90+G90)*0.09092)^2),0))</f>
        <v>69</v>
      </c>
      <c r="U90" s="32"/>
    </row>
    <row r="92" customFormat="false" ht="15" hidden="false" customHeight="false" outlineLevel="0" collapsed="false">
      <c r="A92" s="20" t="s">
        <v>383</v>
      </c>
      <c r="B92" s="70"/>
      <c r="C92" s="70"/>
      <c r="D92" s="71" t="n">
        <f aca="false">SUMIF(E2:E90,"&lt;&gt;",D2:D90)</f>
        <v>198141</v>
      </c>
      <c r="E92" s="71" t="n">
        <f aca="false">SUM(E2:E90)</f>
        <v>193125</v>
      </c>
      <c r="F92" s="72" t="n">
        <f aca="false">D92-E92</f>
        <v>5016</v>
      </c>
      <c r="G92" s="71" t="n">
        <f aca="false">SUMIF(H2:H90,"&lt;&gt;",G2:G90)</f>
        <v>192614</v>
      </c>
      <c r="H92" s="71" t="n">
        <f aca="false">SUM(H2:H90)</f>
        <v>195380</v>
      </c>
      <c r="I92" s="72" t="n">
        <f aca="false">G92-H92</f>
        <v>-2766</v>
      </c>
      <c r="J92" s="73" t="n">
        <f aca="false">D92/(D92+G92)</f>
        <v>0.50707220636972</v>
      </c>
      <c r="K92" s="73" t="n">
        <f aca="false">E92/(E92+H92)</f>
        <v>0.497097849448527</v>
      </c>
      <c r="L92" s="74" t="n">
        <f aca="false">(J92-K92)*100</f>
        <v>0.997435692119314</v>
      </c>
      <c r="M92" s="75" t="n">
        <v>0</v>
      </c>
      <c r="N92" s="75" t="n">
        <v>1.35463990554941</v>
      </c>
      <c r="O92" s="75" t="n">
        <f aca="false">SQRT(M92^2+N92^2)</f>
        <v>1.35463990554941</v>
      </c>
      <c r="P92" s="73" t="n">
        <f aca="false">J92-1.96*O92/100</f>
        <v>0.480521264220952</v>
      </c>
      <c r="Q92" s="73" t="n">
        <f aca="false">J92+1.96*O92/100</f>
        <v>0.533623148518489</v>
      </c>
      <c r="R92" s="70" t="str">
        <f aca="false">IF(ABS(L92)&lt;=O92,"Yes","No")</f>
        <v>Yes</v>
      </c>
      <c r="S92" s="70" t="str">
        <f aca="false">IF(ABS(L92)&lt;=1.96*O92,"Yes","No")</f>
        <v>Yes</v>
      </c>
      <c r="T92" s="71" t="n">
        <f aca="false">ROUND(SQRT(((D92+G92)*O92/100)^2+(J92*(D92+G92)*0.05027)^2),0)</f>
        <v>11280</v>
      </c>
    </row>
    <row r="93" customFormat="false" ht="15" hidden="false" customHeight="false" outlineLevel="0" collapsed="false">
      <c r="A93" s="20" t="s">
        <v>384</v>
      </c>
      <c r="B93" s="70"/>
      <c r="C93" s="70"/>
      <c r="D93" s="71" t="n">
        <f aca="false">SUM(D2:D90)</f>
        <v>198141</v>
      </c>
      <c r="E93" s="71"/>
      <c r="F93" s="72"/>
      <c r="G93" s="71" t="n">
        <f aca="false">SUM(G2:G90)</f>
        <v>192614</v>
      </c>
      <c r="H93" s="71"/>
      <c r="I93" s="72"/>
      <c r="J93" s="73" t="n">
        <f aca="false">D93/(D93+G93)</f>
        <v>0.50707220636972</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73.6629213483146</v>
      </c>
    </row>
    <row r="96" customFormat="false" ht="15" hidden="false" customHeight="false" outlineLevel="0" collapsed="false">
      <c r="A96" s="2" t="s">
        <v>386</v>
      </c>
      <c r="F96" s="76" t="n">
        <f aca="false">(SUMIF(I2:I90,"&gt;0")-SUMIF(I2:I90,"&lt;0"))/COUNT(I2:I90)</f>
        <v>63.1011235955056</v>
      </c>
    </row>
    <row r="97" customFormat="false" ht="15" hidden="false" customHeight="false" outlineLevel="0" collapsed="false">
      <c r="A97" s="2" t="s">
        <v>387</v>
      </c>
      <c r="F97" s="77" t="n">
        <f aca="false">(SUMIF(L2:L90,"&gt;0")-SUMIF(L2:L90,"&lt;0"))/COUNT(L2:L90)</f>
        <v>2.24590723357888</v>
      </c>
    </row>
    <row r="98" customFormat="false" ht="15" hidden="false" customHeight="false" outlineLevel="0" collapsed="false">
      <c r="A98" s="5" t="s">
        <v>388</v>
      </c>
      <c r="F98" s="78" t="n">
        <f aca="false">SQRT(SUMSQ(L2:L90)/COUNT(L2:L90))</f>
        <v>2.89867014480178</v>
      </c>
    </row>
    <row r="99" customFormat="false" ht="15" hidden="false" customHeight="false" outlineLevel="0" collapsed="false">
      <c r="A99" s="5" t="s">
        <v>389</v>
      </c>
      <c r="F99" s="79" t="n">
        <f aca="false">L92</f>
        <v>0.997435692119314</v>
      </c>
    </row>
    <row r="100" customFormat="false" ht="15" hidden="false" customHeight="false" outlineLevel="0" collapsed="false">
      <c r="A100" s="5" t="s">
        <v>390</v>
      </c>
      <c r="F100" s="78" t="n">
        <f aca="false">SQRT((SUMSQ(L2:L90)-2*L92*SUM(L2:L90)+COUNT(L2:L90)*L92^2)/COUNT(L2:L90))</f>
        <v>2.39466745004103</v>
      </c>
    </row>
    <row r="101" customFormat="false" ht="15" hidden="false" customHeight="false" outlineLevel="0" collapsed="false">
      <c r="A101" s="2" t="s">
        <v>391</v>
      </c>
      <c r="F101" s="80" t="n">
        <f aca="false">D92/E92-1</f>
        <v>0.0259728155339807</v>
      </c>
    </row>
    <row r="102" customFormat="false" ht="15" hidden="false" customHeight="false" outlineLevel="0" collapsed="false">
      <c r="A102" s="5" t="s">
        <v>392</v>
      </c>
      <c r="F102" s="81" t="n">
        <f aca="false">G92/H92-1</f>
        <v>-0.0141570273313543</v>
      </c>
    </row>
    <row r="103" customFormat="false" ht="15" hidden="false" customHeight="false" outlineLevel="0" collapsed="false">
      <c r="A103" s="2" t="s">
        <v>393</v>
      </c>
      <c r="F103" s="80" t="n">
        <f aca="false">(D92+G92)/(E92+H92)-1</f>
        <v>0.00579143125571102</v>
      </c>
    </row>
    <row r="104" customFormat="false" ht="15" hidden="false" customHeight="false" outlineLevel="0" collapsed="false">
      <c r="A104" s="2" t="s">
        <v>394</v>
      </c>
      <c r="F104" s="77" t="n">
        <f aca="false">AVERAGE(O2:O90)</f>
        <v>3.0067370828858</v>
      </c>
    </row>
    <row r="105" customFormat="false" ht="15" hidden="false" customHeight="false" outlineLevel="0" collapsed="false">
      <c r="A105" s="5" t="s">
        <v>395</v>
      </c>
      <c r="F105" s="82" t="n">
        <f aca="false">COUNTIF(R2:R90,"Yes")/(COUNTIF(R2:R90,"Yes")+COUNTIF(R2:R90,"No"))</f>
        <v>0.730337078651685</v>
      </c>
    </row>
    <row r="106" customFormat="false" ht="15" hidden="false" customHeight="false" outlineLevel="0" collapsed="false">
      <c r="A106" s="5" t="s">
        <v>396</v>
      </c>
      <c r="F106" s="82" t="n">
        <f aca="false">COUNTIF(S2:S90,"Yes")/(COUNTIF(S2:S90,"Yes")+COUNTIF(S2:S90,"No"))</f>
        <v>0.97752808988764</v>
      </c>
    </row>
    <row r="107" customFormat="false" ht="15" hidden="false" customHeight="false" outlineLevel="0" collapsed="false">
      <c r="A107" s="2" t="s">
        <v>397</v>
      </c>
      <c r="F107" s="83" t="n">
        <f aca="false">COUNTIFS(L2:L90,"&gt;=-3",L2:L90,"&lt;=3")/COUNT(L2:L90)</f>
        <v>0.730337078651685</v>
      </c>
    </row>
    <row r="108" customFormat="false" ht="15" hidden="false" customHeight="false" outlineLevel="0" collapsed="false">
      <c r="A108" s="2" t="s">
        <v>435</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1118.47016125919</v>
      </c>
    </row>
    <row r="112" customFormat="false" ht="15" hidden="false" customHeight="false" outlineLevel="0" collapsed="false">
      <c r="A112" s="2" t="s">
        <v>402</v>
      </c>
      <c r="F112" s="85" t="n">
        <f aca="false">F92-((D92+G92)-(E92+H92))*K92</f>
        <v>3897.52983874081</v>
      </c>
    </row>
    <row r="113" customFormat="false" ht="15" hidden="false" customHeight="false" outlineLevel="0" collapsed="false">
      <c r="A113" s="2" t="s">
        <v>403</v>
      </c>
      <c r="F113" s="85" t="n">
        <f aca="false">((D92+G92)-(E92+H92))*(1-K92)</f>
        <v>1131.52983874081</v>
      </c>
    </row>
    <row r="114" customFormat="false" ht="15" hidden="false" customHeight="false" outlineLevel="0" collapsed="false">
      <c r="A114" s="2" t="s">
        <v>404</v>
      </c>
      <c r="F114" s="85" t="n">
        <f aca="false">I92-((D92+G92)-(E92+H92))*(1-K92)</f>
        <v>-3897.52983874081</v>
      </c>
    </row>
    <row r="115" customFormat="false" ht="15" hidden="false" customHeight="false" outlineLevel="0" collapsed="false">
      <c r="A115" s="2" t="s">
        <v>405</v>
      </c>
      <c r="F115" s="80" t="n">
        <f aca="false">(F92-((D92+G92)-(E92+H92))*K92)/E92</f>
        <v>0.0201813842782696</v>
      </c>
    </row>
    <row r="116" customFormat="false" ht="15" hidden="false" customHeight="false" outlineLevel="0" collapsed="false">
      <c r="A116" s="2" t="s">
        <v>406</v>
      </c>
      <c r="F116" s="80" t="n">
        <f aca="false">(I92-((D92+G92)-(E92+H92))*(1-K92))/H92</f>
        <v>-0.0199484585870653</v>
      </c>
    </row>
    <row r="118" customFormat="false" ht="15" hidden="false" customHeight="false" outlineLevel="0" collapsed="false">
      <c r="U118" s="5" t="s">
        <v>136</v>
      </c>
    </row>
    <row r="119" customFormat="false" ht="41.75" hidden="false" customHeight="false" outlineLevel="0" collapsed="false">
      <c r="U119" s="67" t="s">
        <v>436</v>
      </c>
    </row>
    <row r="120" customFormat="false" ht="41.75" hidden="false" customHeight="false" outlineLevel="0" collapsed="false">
      <c r="U120" s="67" t="s">
        <v>437</v>
      </c>
    </row>
    <row r="121" customFormat="false" ht="41.75" hidden="false" customHeight="false" outlineLevel="0" collapsed="false">
      <c r="U121" s="67" t="s">
        <v>417</v>
      </c>
    </row>
    <row r="122" customFormat="false" ht="28.35" hidden="false" customHeight="false" outlineLevel="0" collapsed="false">
      <c r="U122" s="67" t="s">
        <v>439</v>
      </c>
    </row>
    <row r="123" customFormat="false" ht="41.75" hidden="false" customHeight="false" outlineLevel="0" collapsed="false">
      <c r="U123" s="67" t="s">
        <v>440</v>
      </c>
    </row>
    <row r="124" customFormat="false" ht="28.35" hidden="false" customHeight="false" outlineLevel="0" collapsed="false">
      <c r="U124" s="67" t="s">
        <v>441</v>
      </c>
    </row>
    <row r="125" customFormat="false" ht="28.35" hidden="false" customHeight="false" outlineLevel="0" collapsed="false">
      <c r="U125" s="67" t="s">
        <v>413</v>
      </c>
    </row>
    <row r="126" customFormat="false" ht="41.75" hidden="false" customHeight="false" outlineLevel="0" collapsed="false">
      <c r="U126" s="67" t="s">
        <v>442</v>
      </c>
    </row>
    <row r="127" customFormat="false" ht="15" hidden="false" customHeight="false" outlineLevel="0" collapsed="false">
      <c r="U127" s="67" t="s">
        <v>443</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445</v>
      </c>
      <c r="H1" s="8" t="s">
        <v>370</v>
      </c>
      <c r="I1" s="8" t="s">
        <v>371</v>
      </c>
      <c r="J1" s="8" t="s">
        <v>372</v>
      </c>
      <c r="K1" s="8" t="s">
        <v>373</v>
      </c>
      <c r="L1" s="8" t="s">
        <v>374</v>
      </c>
      <c r="M1" s="8" t="s">
        <v>446</v>
      </c>
      <c r="N1" s="8" t="s">
        <v>447</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185</v>
      </c>
      <c r="E2" s="59" t="n">
        <v>160</v>
      </c>
      <c r="F2" s="68" t="n">
        <f aca="false">IF(E2="","",D2-E2)</f>
        <v>25</v>
      </c>
      <c r="G2" s="59" t="n">
        <v>241</v>
      </c>
      <c r="H2" s="59" t="n">
        <v>221</v>
      </c>
      <c r="I2" s="68" t="n">
        <f aca="false">IF(H2="","",G2-H2)</f>
        <v>20</v>
      </c>
      <c r="J2" s="40" t="n">
        <f aca="false">IF(OR(D2="",D2+G2=0),"",D2/(D2+G2))</f>
        <v>0.434272300469484</v>
      </c>
      <c r="K2" s="40" t="n">
        <f aca="false">IF(E2="","",E2/(E2+H2))</f>
        <v>0.41994750656168</v>
      </c>
      <c r="L2" s="69" t="n">
        <f aca="false">IF(OR(K2="",J2=""),"",(J2-K2)*100)</f>
        <v>1.43247939078038</v>
      </c>
      <c r="M2" s="36" t="n">
        <v>3.17576510259995</v>
      </c>
      <c r="N2" s="36" t="n">
        <v>1.05181566017852</v>
      </c>
      <c r="O2" s="36" t="n">
        <f aca="false">SQRT(M2^2+N2^2)</f>
        <v>3.34541479788209</v>
      </c>
      <c r="P2" s="40" t="n">
        <f aca="false">IF(J2="","",MAX(0,J2-1.96*O2/100))</f>
        <v>0.368702170430995</v>
      </c>
      <c r="Q2" s="40" t="n">
        <f aca="false">IF(J2="","",MIN(1,J2+1.96*O2/100))</f>
        <v>0.499842430507972</v>
      </c>
      <c r="R2" s="32" t="str">
        <f aca="false">IF(L2="","",IF(ABS(L2)&lt;=O2,"Yes","No"))</f>
        <v>Yes</v>
      </c>
      <c r="S2" s="32" t="str">
        <f aca="false">IF(L2="","",IF(ABS(L2)&lt;=1.96*O2,"Yes","No"))</f>
        <v>Yes</v>
      </c>
      <c r="T2" s="59" t="n">
        <f aca="false">IF(D2="","",ROUND(SQRT(((D2+G2)*O2/100)^2+(J2*(D2+G2)*0.07067)^2),0))</f>
        <v>19</v>
      </c>
      <c r="U2" s="32" t="s">
        <v>432</v>
      </c>
    </row>
    <row r="3" customFormat="false" ht="15" hidden="false" customHeight="false" outlineLevel="0" collapsed="false">
      <c r="A3" s="32" t="s">
        <v>159</v>
      </c>
      <c r="B3" s="32" t="s">
        <v>165</v>
      </c>
      <c r="C3" s="32" t="s">
        <v>161</v>
      </c>
      <c r="D3" s="59" t="n">
        <v>112</v>
      </c>
      <c r="E3" s="59" t="n">
        <v>95</v>
      </c>
      <c r="F3" s="68" t="n">
        <f aca="false">IF(E3="","",D3-E3)</f>
        <v>17</v>
      </c>
      <c r="G3" s="59" t="n">
        <v>212</v>
      </c>
      <c r="H3" s="59" t="n">
        <v>192</v>
      </c>
      <c r="I3" s="68" t="n">
        <f aca="false">IF(H3="","",G3-H3)</f>
        <v>20</v>
      </c>
      <c r="J3" s="40" t="n">
        <f aca="false">IF(OR(D3="",D3+G3=0),"",D3/(D3+G3))</f>
        <v>0.345679012345679</v>
      </c>
      <c r="K3" s="40" t="n">
        <f aca="false">IF(E3="","",E3/(E3+H3))</f>
        <v>0.331010452961673</v>
      </c>
      <c r="L3" s="69" t="n">
        <f aca="false">IF(OR(K3="",J3=""),"",(J3-K3)*100)</f>
        <v>1.46685593840065</v>
      </c>
      <c r="M3" s="36" t="n">
        <v>3.17576510259995</v>
      </c>
      <c r="N3" s="36" t="n">
        <v>1.05181566017852</v>
      </c>
      <c r="O3" s="36" t="n">
        <f aca="false">SQRT(M3^2+N3^2)</f>
        <v>3.34541479788209</v>
      </c>
      <c r="P3" s="40" t="n">
        <f aca="false">IF(J3="","",MAX(0,J3-1.96*O3/100))</f>
        <v>0.28010888230719</v>
      </c>
      <c r="Q3" s="40" t="n">
        <f aca="false">IF(J3="","",MIN(1,J3+1.96*O3/100))</f>
        <v>0.411249142384168</v>
      </c>
      <c r="R3" s="32" t="str">
        <f aca="false">IF(L3="","",IF(ABS(L3)&lt;=O3,"Yes","No"))</f>
        <v>Yes</v>
      </c>
      <c r="S3" s="32" t="str">
        <f aca="false">IF(L3="","",IF(ABS(L3)&lt;=1.96*O3,"Yes","No"))</f>
        <v>Yes</v>
      </c>
      <c r="T3" s="59" t="n">
        <f aca="false">IF(D3="","",ROUND(SQRT(((D3+G3)*O3/100)^2+(J3*(D3+G3)*0.07067)^2),0))</f>
        <v>13</v>
      </c>
      <c r="U3" s="32" t="s">
        <v>432</v>
      </c>
    </row>
    <row r="4" customFormat="false" ht="15" hidden="false" customHeight="false" outlineLevel="0" collapsed="false">
      <c r="A4" s="32" t="s">
        <v>159</v>
      </c>
      <c r="B4" s="32" t="s">
        <v>166</v>
      </c>
      <c r="C4" s="32" t="s">
        <v>161</v>
      </c>
      <c r="D4" s="59" t="n">
        <v>116</v>
      </c>
      <c r="E4" s="59" t="n">
        <v>110</v>
      </c>
      <c r="F4" s="68" t="n">
        <f aca="false">IF(E4="","",D4-E4)</f>
        <v>6</v>
      </c>
      <c r="G4" s="59" t="n">
        <v>229</v>
      </c>
      <c r="H4" s="59" t="n">
        <v>175</v>
      </c>
      <c r="I4" s="68" t="n">
        <f aca="false">IF(H4="","",G4-H4)</f>
        <v>54</v>
      </c>
      <c r="J4" s="40" t="n">
        <f aca="false">IF(OR(D4="",D4+G4=0),"",D4/(D4+G4))</f>
        <v>0.336231884057971</v>
      </c>
      <c r="K4" s="40" t="n">
        <f aca="false">IF(E4="","",E4/(E4+H4))</f>
        <v>0.385964912280702</v>
      </c>
      <c r="L4" s="69" t="n">
        <f aca="false">IF(OR(K4="",J4=""),"",(J4-K4)*100)</f>
        <v>-4.97330282227307</v>
      </c>
      <c r="M4" s="36" t="n">
        <v>3.17576510259995</v>
      </c>
      <c r="N4" s="36" t="n">
        <v>1.05181566017852</v>
      </c>
      <c r="O4" s="36" t="n">
        <f aca="false">SQRT(M4^2+N4^2)</f>
        <v>3.34541479788209</v>
      </c>
      <c r="P4" s="40" t="n">
        <f aca="false">IF(J4="","",MAX(0,J4-1.96*O4/100))</f>
        <v>0.270661754019482</v>
      </c>
      <c r="Q4" s="40" t="n">
        <f aca="false">IF(J4="","",MIN(1,J4+1.96*O4/100))</f>
        <v>0.40180201409646</v>
      </c>
      <c r="R4" s="32" t="str">
        <f aca="false">IF(L4="","",IF(ABS(L4)&lt;=O4,"Yes","No"))</f>
        <v>No</v>
      </c>
      <c r="S4" s="32" t="str">
        <f aca="false">IF(L4="","",IF(ABS(L4)&lt;=1.96*O4,"Yes","No"))</f>
        <v>Yes</v>
      </c>
      <c r="T4" s="59" t="n">
        <f aca="false">IF(D4="","",ROUND(SQRT(((D4+G4)*O4/100)^2+(J4*(D4+G4)*0.07067)^2),0))</f>
        <v>14</v>
      </c>
      <c r="U4" s="32" t="s">
        <v>432</v>
      </c>
    </row>
    <row r="5" customFormat="false" ht="15" hidden="false" customHeight="false" outlineLevel="0" collapsed="false">
      <c r="A5" s="32" t="s">
        <v>159</v>
      </c>
      <c r="B5" s="32" t="s">
        <v>167</v>
      </c>
      <c r="C5" s="32" t="s">
        <v>161</v>
      </c>
      <c r="D5" s="59" t="n">
        <v>409</v>
      </c>
      <c r="E5" s="59" t="n">
        <v>369</v>
      </c>
      <c r="F5" s="68" t="n">
        <f aca="false">IF(E5="","",D5-E5)</f>
        <v>40</v>
      </c>
      <c r="G5" s="59" t="n">
        <v>865</v>
      </c>
      <c r="H5" s="59" t="n">
        <v>742</v>
      </c>
      <c r="I5" s="68" t="n">
        <f aca="false">IF(H5="","",G5-H5)</f>
        <v>123</v>
      </c>
      <c r="J5" s="40" t="n">
        <f aca="false">IF(OR(D5="",D5+G5=0),"",D5/(D5+G5))</f>
        <v>0.321036106750392</v>
      </c>
      <c r="K5" s="40" t="n">
        <f aca="false">IF(E5="","",E5/(E5+H5))</f>
        <v>0.332133213321332</v>
      </c>
      <c r="L5" s="69" t="n">
        <f aca="false">IF(OR(K5="",J5=""),"",(J5-K5)*100)</f>
        <v>-1.10971065709397</v>
      </c>
      <c r="M5" s="36" t="n">
        <v>1.87635304542411</v>
      </c>
      <c r="N5" s="36" t="n">
        <v>1.05181566017852</v>
      </c>
      <c r="O5" s="36" t="n">
        <f aca="false">SQRT(M5^2+N5^2)</f>
        <v>2.15105019329375</v>
      </c>
      <c r="P5" s="40" t="n">
        <f aca="false">IF(J5="","",MAX(0,J5-1.96*O5/100))</f>
        <v>0.278875522961835</v>
      </c>
      <c r="Q5" s="40" t="n">
        <f aca="false">IF(J5="","",MIN(1,J5+1.96*O5/100))</f>
        <v>0.36319669053895</v>
      </c>
      <c r="R5" s="32" t="str">
        <f aca="false">IF(L5="","",IF(ABS(L5)&lt;=O5,"Yes","No"))</f>
        <v>Yes</v>
      </c>
      <c r="S5" s="32" t="str">
        <f aca="false">IF(L5="","",IF(ABS(L5)&lt;=1.96*O5,"Yes","No"))</f>
        <v>Yes</v>
      </c>
      <c r="T5" s="59" t="n">
        <f aca="false">IF(D5="","",ROUND(SQRT(((D5+G5)*O5/100)^2+(J5*(D5+G5)*0.05402)^2),0))</f>
        <v>35</v>
      </c>
      <c r="U5" s="32" t="s">
        <v>432</v>
      </c>
    </row>
    <row r="6" customFormat="false" ht="15" hidden="false" customHeight="false" outlineLevel="0" collapsed="false">
      <c r="A6" s="32" t="s">
        <v>159</v>
      </c>
      <c r="B6" s="32" t="s">
        <v>169</v>
      </c>
      <c r="C6" s="32" t="s">
        <v>161</v>
      </c>
      <c r="D6" s="59" t="n">
        <v>41</v>
      </c>
      <c r="E6" s="59" t="n">
        <v>34</v>
      </c>
      <c r="F6" s="68" t="n">
        <f aca="false">IF(E6="","",D6-E6)</f>
        <v>7</v>
      </c>
      <c r="G6" s="59" t="n">
        <v>55</v>
      </c>
      <c r="H6" s="59" t="n">
        <v>43</v>
      </c>
      <c r="I6" s="68" t="n">
        <f aca="false">IF(H6="","",G6-H6)</f>
        <v>12</v>
      </c>
      <c r="J6" s="40" t="n">
        <f aca="false">IF(OR(D6="",D6+G6=0),"",D6/(D6+G6))</f>
        <v>0.427083333333333</v>
      </c>
      <c r="K6" s="40" t="n">
        <f aca="false">IF(E6="","",E6/(E6+H6))</f>
        <v>0.441558441558442</v>
      </c>
      <c r="L6" s="69" t="n">
        <f aca="false">IF(OR(K6="",J6=""),"",(J6-K6)*100)</f>
        <v>-1.44751082251082</v>
      </c>
      <c r="M6" s="36" t="n">
        <v>3.17576510259995</v>
      </c>
      <c r="N6" s="36" t="n">
        <v>1.05181566017852</v>
      </c>
      <c r="O6" s="36" t="n">
        <f aca="false">SQRT(M6^2+N6^2)</f>
        <v>3.34541479788209</v>
      </c>
      <c r="P6" s="40" t="n">
        <f aca="false">IF(J6="","",MAX(0,J6-1.96*O6/100))</f>
        <v>0.361513203294844</v>
      </c>
      <c r="Q6" s="40" t="n">
        <f aca="false">IF(J6="","",MIN(1,J6+1.96*O6/100))</f>
        <v>0.492653463371822</v>
      </c>
      <c r="R6" s="32" t="str">
        <f aca="false">IF(L6="","",IF(ABS(L6)&lt;=O6,"Yes","No"))</f>
        <v>Yes</v>
      </c>
      <c r="S6" s="32" t="str">
        <f aca="false">IF(L6="","",IF(ABS(L6)&lt;=1.96*O6,"Yes","No"))</f>
        <v>Yes</v>
      </c>
      <c r="T6" s="59" t="n">
        <f aca="false">IF(D6="","",ROUND(SQRT(((D6+G6)*O6/100)^2+(J6*(D6+G6)*0.07067)^2),0))</f>
        <v>4</v>
      </c>
      <c r="U6" s="32" t="s">
        <v>432</v>
      </c>
    </row>
    <row r="7" customFormat="false" ht="15" hidden="false" customHeight="false" outlineLevel="0" collapsed="false">
      <c r="A7" s="32" t="s">
        <v>159</v>
      </c>
      <c r="B7" s="32" t="s">
        <v>170</v>
      </c>
      <c r="C7" s="32" t="s">
        <v>161</v>
      </c>
      <c r="D7" s="59" t="n">
        <v>614</v>
      </c>
      <c r="E7" s="59" t="n">
        <v>536</v>
      </c>
      <c r="F7" s="68" t="n">
        <f aca="false">IF(E7="","",D7-E7)</f>
        <v>78</v>
      </c>
      <c r="G7" s="59" t="n">
        <v>1264</v>
      </c>
      <c r="H7" s="59" t="n">
        <v>1122</v>
      </c>
      <c r="I7" s="68" t="n">
        <f aca="false">IF(H7="","",G7-H7)</f>
        <v>142</v>
      </c>
      <c r="J7" s="40" t="n">
        <f aca="false">IF(OR(D7="",D7+G7=0),"",D7/(D7+G7))</f>
        <v>0.326943556975506</v>
      </c>
      <c r="K7" s="40" t="n">
        <f aca="false">IF(E7="","",E7/(E7+H7))</f>
        <v>0.323281061519904</v>
      </c>
      <c r="L7" s="69" t="n">
        <f aca="false">IF(OR(K7="",J7=""),"",(J7-K7)*100)</f>
        <v>0.366249545560238</v>
      </c>
      <c r="M7" s="36" t="n">
        <v>1.87635304542411</v>
      </c>
      <c r="N7" s="36" t="n">
        <v>1.05181566017852</v>
      </c>
      <c r="O7" s="36" t="n">
        <f aca="false">SQRT(M7^2+N7^2)</f>
        <v>2.15105019329375</v>
      </c>
      <c r="P7" s="40" t="n">
        <f aca="false">IF(J7="","",MAX(0,J7-1.96*O7/100))</f>
        <v>0.284782973186948</v>
      </c>
      <c r="Q7" s="40" t="n">
        <f aca="false">IF(J7="","",MIN(1,J7+1.96*O7/100))</f>
        <v>0.369104140764063</v>
      </c>
      <c r="R7" s="32" t="str">
        <f aca="false">IF(L7="","",IF(ABS(L7)&lt;=O7,"Yes","No"))</f>
        <v>Yes</v>
      </c>
      <c r="S7" s="32" t="str">
        <f aca="false">IF(L7="","",IF(ABS(L7)&lt;=1.96*O7,"Yes","No"))</f>
        <v>Yes</v>
      </c>
      <c r="T7" s="59" t="n">
        <f aca="false">IF(D7="","",ROUND(SQRT(((D7+G7)*O7/100)^2+(J7*(D7+G7)*0.05402)^2),0))</f>
        <v>52</v>
      </c>
      <c r="U7" s="32" t="s">
        <v>432</v>
      </c>
    </row>
    <row r="8" customFormat="false" ht="15" hidden="false" customHeight="false" outlineLevel="0" collapsed="false">
      <c r="A8" s="32" t="s">
        <v>159</v>
      </c>
      <c r="B8" s="32" t="s">
        <v>171</v>
      </c>
      <c r="C8" s="32" t="s">
        <v>161</v>
      </c>
      <c r="D8" s="59" t="n">
        <v>965</v>
      </c>
      <c r="E8" s="59" t="n">
        <v>912</v>
      </c>
      <c r="F8" s="68" t="n">
        <f aca="false">IF(E8="","",D8-E8)</f>
        <v>53</v>
      </c>
      <c r="G8" s="59" t="n">
        <v>1183</v>
      </c>
      <c r="H8" s="59" t="n">
        <v>949</v>
      </c>
      <c r="I8" s="68" t="n">
        <f aca="false">IF(H8="","",G8-H8)</f>
        <v>234</v>
      </c>
      <c r="J8" s="40" t="n">
        <f aca="false">IF(OR(D8="",D8+G8=0),"",D8/(D8+G8))</f>
        <v>0.449255121042831</v>
      </c>
      <c r="K8" s="40" t="n">
        <f aca="false">IF(E8="","",E8/(E8+H8))</f>
        <v>0.490059108006448</v>
      </c>
      <c r="L8" s="69" t="n">
        <f aca="false">IF(OR(K8="",J8=""),"",(J8-K8)*100)</f>
        <v>-4.08039869636176</v>
      </c>
      <c r="M8" s="36" t="n">
        <v>1.87635304542411</v>
      </c>
      <c r="N8" s="36" t="n">
        <v>1.05181566017852</v>
      </c>
      <c r="O8" s="36" t="n">
        <f aca="false">SQRT(M8^2+N8^2)</f>
        <v>2.15105019329375</v>
      </c>
      <c r="P8" s="40" t="n">
        <f aca="false">IF(J8="","",MAX(0,J8-1.96*O8/100))</f>
        <v>0.407094537254273</v>
      </c>
      <c r="Q8" s="40" t="n">
        <f aca="false">IF(J8="","",MIN(1,J8+1.96*O8/100))</f>
        <v>0.491415704831388</v>
      </c>
      <c r="R8" s="32" t="str">
        <f aca="false">IF(L8="","",IF(ABS(L8)&lt;=O8,"Yes","No"))</f>
        <v>No</v>
      </c>
      <c r="S8" s="32" t="str">
        <f aca="false">IF(L8="","",IF(ABS(L8)&lt;=1.96*O8,"Yes","No"))</f>
        <v>Yes</v>
      </c>
      <c r="T8" s="59" t="n">
        <f aca="false">IF(D8="","",ROUND(SQRT(((D8+G8)*O8/100)^2+(J8*(D8+G8)*0.05402)^2),0))</f>
        <v>70</v>
      </c>
      <c r="U8" s="32" t="s">
        <v>432</v>
      </c>
    </row>
    <row r="9" customFormat="false" ht="15" hidden="false" customHeight="false" outlineLevel="0" collapsed="false">
      <c r="A9" s="32" t="s">
        <v>159</v>
      </c>
      <c r="B9" s="32" t="s">
        <v>172</v>
      </c>
      <c r="C9" s="32" t="s">
        <v>161</v>
      </c>
      <c r="D9" s="59" t="n">
        <v>277</v>
      </c>
      <c r="E9" s="59" t="n">
        <v>267</v>
      </c>
      <c r="F9" s="68" t="n">
        <f aca="false">IF(E9="","",D9-E9)</f>
        <v>10</v>
      </c>
      <c r="G9" s="59" t="n">
        <v>512</v>
      </c>
      <c r="H9" s="59" t="n">
        <v>495</v>
      </c>
      <c r="I9" s="68" t="n">
        <f aca="false">IF(H9="","",G9-H9)</f>
        <v>17</v>
      </c>
      <c r="J9" s="40" t="n">
        <f aca="false">IF(OR(D9="",D9+G9=0),"",D9/(D9+G9))</f>
        <v>0.351077313054499</v>
      </c>
      <c r="K9" s="40" t="n">
        <f aca="false">IF(E9="","",E9/(E9+H9))</f>
        <v>0.350393700787402</v>
      </c>
      <c r="L9" s="69" t="n">
        <f aca="false">IF(OR(K9="",J9=""),"",(J9-K9)*100)</f>
        <v>0.0683612267097788</v>
      </c>
      <c r="M9" s="36" t="n">
        <v>3.17576510259995</v>
      </c>
      <c r="N9" s="36" t="n">
        <v>1.05181566017852</v>
      </c>
      <c r="O9" s="36" t="n">
        <f aca="false">SQRT(M9^2+N9^2)</f>
        <v>3.34541479788209</v>
      </c>
      <c r="P9" s="40" t="n">
        <f aca="false">IF(J9="","",MAX(0,J9-1.96*O9/100))</f>
        <v>0.28550718301601</v>
      </c>
      <c r="Q9" s="40" t="n">
        <f aca="false">IF(J9="","",MIN(1,J9+1.96*O9/100))</f>
        <v>0.416647443092988</v>
      </c>
      <c r="R9" s="32" t="str">
        <f aca="false">IF(L9="","",IF(ABS(L9)&lt;=O9,"Yes","No"))</f>
        <v>Yes</v>
      </c>
      <c r="S9" s="32" t="str">
        <f aca="false">IF(L9="","",IF(ABS(L9)&lt;=1.96*O9,"Yes","No"))</f>
        <v>Yes</v>
      </c>
      <c r="T9" s="59" t="n">
        <f aca="false">IF(D9="","",ROUND(SQRT(((D9+G9)*O9/100)^2+(J9*(D9+G9)*0.07067)^2),0))</f>
        <v>33</v>
      </c>
      <c r="U9" s="32" t="s">
        <v>432</v>
      </c>
    </row>
    <row r="10" customFormat="false" ht="15" hidden="false" customHeight="false" outlineLevel="0" collapsed="false">
      <c r="A10" s="32" t="s">
        <v>159</v>
      </c>
      <c r="B10" s="32" t="s">
        <v>173</v>
      </c>
      <c r="C10" s="32" t="s">
        <v>161</v>
      </c>
      <c r="D10" s="59" t="n">
        <v>510</v>
      </c>
      <c r="E10" s="59" t="n">
        <v>455</v>
      </c>
      <c r="F10" s="68" t="n">
        <f aca="false">IF(E10="","",D10-E10)</f>
        <v>55</v>
      </c>
      <c r="G10" s="59" t="n">
        <v>502</v>
      </c>
      <c r="H10" s="59" t="n">
        <v>467</v>
      </c>
      <c r="I10" s="68" t="n">
        <f aca="false">IF(H10="","",G10-H10)</f>
        <v>35</v>
      </c>
      <c r="J10" s="40" t="n">
        <f aca="false">IF(OR(D10="",D10+G10=0),"",D10/(D10+G10))</f>
        <v>0.503952569169961</v>
      </c>
      <c r="K10" s="40" t="n">
        <f aca="false">IF(E10="","",E10/(E10+H10))</f>
        <v>0.493492407809111</v>
      </c>
      <c r="L10" s="69" t="n">
        <f aca="false">IF(OR(K10="",J10=""),"",(J10-K10)*100)</f>
        <v>1.04601613608498</v>
      </c>
      <c r="M10" s="36" t="n">
        <v>3.17576510259995</v>
      </c>
      <c r="N10" s="36" t="n">
        <v>1.05181566017852</v>
      </c>
      <c r="O10" s="36" t="n">
        <f aca="false">SQRT(M10^2+N10^2)</f>
        <v>3.34541479788209</v>
      </c>
      <c r="P10" s="40" t="n">
        <f aca="false">IF(J10="","",MAX(0,J10-1.96*O10/100))</f>
        <v>0.438382439131472</v>
      </c>
      <c r="Q10" s="40" t="n">
        <f aca="false">IF(J10="","",MIN(1,J10+1.96*O10/100))</f>
        <v>0.569522699208449</v>
      </c>
      <c r="R10" s="32" t="str">
        <f aca="false">IF(L10="","",IF(ABS(L10)&lt;=O10,"Yes","No"))</f>
        <v>Yes</v>
      </c>
      <c r="S10" s="32" t="str">
        <f aca="false">IF(L10="","",IF(ABS(L10)&lt;=1.96*O10,"Yes","No"))</f>
        <v>Yes</v>
      </c>
      <c r="T10" s="59" t="n">
        <f aca="false">IF(D10="","",ROUND(SQRT(((D10+G10)*O10/100)^2+(J10*(D10+G10)*0.07067)^2),0))</f>
        <v>49</v>
      </c>
      <c r="U10" s="32" t="s">
        <v>432</v>
      </c>
    </row>
    <row r="11" customFormat="false" ht="15" hidden="false" customHeight="false" outlineLevel="0" collapsed="false">
      <c r="A11" s="32" t="s">
        <v>159</v>
      </c>
      <c r="B11" s="32" t="s">
        <v>174</v>
      </c>
      <c r="C11" s="32" t="s">
        <v>161</v>
      </c>
      <c r="D11" s="59" t="n">
        <v>34</v>
      </c>
      <c r="E11" s="59" t="n">
        <v>29</v>
      </c>
      <c r="F11" s="68" t="n">
        <f aca="false">IF(E11="","",D11-E11)</f>
        <v>5</v>
      </c>
      <c r="G11" s="59" t="n">
        <v>77</v>
      </c>
      <c r="H11" s="59" t="n">
        <v>59</v>
      </c>
      <c r="I11" s="68" t="n">
        <f aca="false">IF(H11="","",G11-H11)</f>
        <v>18</v>
      </c>
      <c r="J11" s="40" t="n">
        <f aca="false">IF(OR(D11="",D11+G11=0),"",D11/(D11+G11))</f>
        <v>0.306306306306306</v>
      </c>
      <c r="K11" s="40" t="n">
        <f aca="false">IF(E11="","",E11/(E11+H11))</f>
        <v>0.329545454545455</v>
      </c>
      <c r="L11" s="69" t="n">
        <f aca="false">IF(OR(K11="",J11=""),"",(J11-K11)*100)</f>
        <v>-2.32391482391482</v>
      </c>
      <c r="M11" s="36" t="n">
        <v>3.17576510259995</v>
      </c>
      <c r="N11" s="36" t="n">
        <v>1.05181566017852</v>
      </c>
      <c r="O11" s="36" t="n">
        <f aca="false">SQRT(M11^2+N11^2)</f>
        <v>3.34541479788209</v>
      </c>
      <c r="P11" s="40" t="n">
        <f aca="false">IF(J11="","",MAX(0,J11-1.96*O11/100))</f>
        <v>0.240736176267817</v>
      </c>
      <c r="Q11" s="40" t="n">
        <f aca="false">IF(J11="","",MIN(1,J11+1.96*O11/100))</f>
        <v>0.371876436344795</v>
      </c>
      <c r="R11" s="32" t="str">
        <f aca="false">IF(L11="","",IF(ABS(L11)&lt;=O11,"Yes","No"))</f>
        <v>Yes</v>
      </c>
      <c r="S11" s="32" t="str">
        <f aca="false">IF(L11="","",IF(ABS(L11)&lt;=1.96*O11,"Yes","No"))</f>
        <v>Yes</v>
      </c>
      <c r="T11" s="59" t="n">
        <f aca="false">IF(D11="","",ROUND(SQRT(((D11+G11)*O11/100)^2+(J11*(D11+G11)*0.07067)^2),0))</f>
        <v>4</v>
      </c>
      <c r="U11" s="32" t="s">
        <v>432</v>
      </c>
    </row>
    <row r="12" customFormat="false" ht="15" hidden="false" customHeight="false" outlineLevel="0" collapsed="false">
      <c r="A12" s="32" t="s">
        <v>159</v>
      </c>
      <c r="B12" s="32" t="s">
        <v>175</v>
      </c>
      <c r="C12" s="32" t="s">
        <v>161</v>
      </c>
      <c r="D12" s="59" t="n">
        <v>66</v>
      </c>
      <c r="E12" s="59" t="n">
        <v>41</v>
      </c>
      <c r="F12" s="68" t="n">
        <f aca="false">IF(E12="","",D12-E12)</f>
        <v>25</v>
      </c>
      <c r="G12" s="59" t="n">
        <v>181</v>
      </c>
      <c r="H12" s="59" t="n">
        <v>163</v>
      </c>
      <c r="I12" s="68" t="n">
        <f aca="false">IF(H12="","",G12-H12)</f>
        <v>18</v>
      </c>
      <c r="J12" s="40" t="n">
        <f aca="false">IF(OR(D12="",D12+G12=0),"",D12/(D12+G12))</f>
        <v>0.267206477732794</v>
      </c>
      <c r="K12" s="40" t="n">
        <f aca="false">IF(E12="","",E12/(E12+H12))</f>
        <v>0.200980392156863</v>
      </c>
      <c r="L12" s="69" t="n">
        <f aca="false">IF(OR(K12="",J12=""),"",(J12-K12)*100)</f>
        <v>6.62260855759308</v>
      </c>
      <c r="M12" s="36" t="n">
        <v>3.17576510259995</v>
      </c>
      <c r="N12" s="36" t="n">
        <v>1.05181566017852</v>
      </c>
      <c r="O12" s="36" t="n">
        <f aca="false">SQRT(M12^2+N12^2)</f>
        <v>3.34541479788209</v>
      </c>
      <c r="P12" s="40" t="n">
        <f aca="false">IF(J12="","",MAX(0,J12-1.96*O12/100))</f>
        <v>0.201636347694305</v>
      </c>
      <c r="Q12" s="40" t="n">
        <f aca="false">IF(J12="","",MIN(1,J12+1.96*O12/100))</f>
        <v>0.332776607771282</v>
      </c>
      <c r="R12" s="32" t="str">
        <f aca="false">IF(L12="","",IF(ABS(L12)&lt;=O12,"Yes","No"))</f>
        <v>No</v>
      </c>
      <c r="S12" s="32" t="str">
        <f aca="false">IF(L12="","",IF(ABS(L12)&lt;=1.96*O12,"Yes","No"))</f>
        <v>No</v>
      </c>
      <c r="T12" s="59" t="n">
        <f aca="false">IF(D12="","",ROUND(SQRT(((D12+G12)*O12/100)^2+(J12*(D12+G12)*0.07067)^2),0))</f>
        <v>9</v>
      </c>
      <c r="U12" s="32" t="s">
        <v>432</v>
      </c>
    </row>
    <row r="13" customFormat="false" ht="15" hidden="false" customHeight="false" outlineLevel="0" collapsed="false">
      <c r="A13" s="32" t="s">
        <v>159</v>
      </c>
      <c r="B13" s="32" t="s">
        <v>176</v>
      </c>
      <c r="C13" s="32" t="s">
        <v>161</v>
      </c>
      <c r="D13" s="59" t="n">
        <v>698</v>
      </c>
      <c r="E13" s="59" t="n">
        <v>668</v>
      </c>
      <c r="F13" s="68" t="n">
        <f aca="false">IF(E13="","",D13-E13)</f>
        <v>30</v>
      </c>
      <c r="G13" s="59" t="n">
        <v>921</v>
      </c>
      <c r="H13" s="59" t="n">
        <v>766</v>
      </c>
      <c r="I13" s="68" t="n">
        <f aca="false">IF(H13="","",G13-H13)</f>
        <v>155</v>
      </c>
      <c r="J13" s="40" t="n">
        <f aca="false">IF(OR(D13="",D13+G13=0),"",D13/(D13+G13))</f>
        <v>0.43113032736257</v>
      </c>
      <c r="K13" s="40" t="n">
        <f aca="false">IF(E13="","",E13/(E13+H13))</f>
        <v>0.465829846582985</v>
      </c>
      <c r="L13" s="69" t="n">
        <f aca="false">IF(OR(K13="",J13=""),"",(J13-K13)*100)</f>
        <v>-3.46995192204151</v>
      </c>
      <c r="M13" s="36" t="n">
        <v>1.87635304542411</v>
      </c>
      <c r="N13" s="36" t="n">
        <v>1.05181566017852</v>
      </c>
      <c r="O13" s="36" t="n">
        <f aca="false">SQRT(M13^2+N13^2)</f>
        <v>2.15105019329375</v>
      </c>
      <c r="P13" s="40" t="n">
        <f aca="false">IF(J13="","",MAX(0,J13-1.96*O13/100))</f>
        <v>0.388969743574012</v>
      </c>
      <c r="Q13" s="40" t="n">
        <f aca="false">IF(J13="","",MIN(1,J13+1.96*O13/100))</f>
        <v>0.473290911151127</v>
      </c>
      <c r="R13" s="32" t="str">
        <f aca="false">IF(L13="","",IF(ABS(L13)&lt;=O13,"Yes","No"))</f>
        <v>No</v>
      </c>
      <c r="S13" s="32" t="str">
        <f aca="false">IF(L13="","",IF(ABS(L13)&lt;=1.96*O13,"Yes","No"))</f>
        <v>Yes</v>
      </c>
      <c r="T13" s="59" t="n">
        <f aca="false">IF(D13="","",ROUND(SQRT(((D13+G13)*O13/100)^2+(J13*(D13+G13)*0.05402)^2),0))</f>
        <v>51</v>
      </c>
      <c r="U13" s="32" t="s">
        <v>432</v>
      </c>
    </row>
    <row r="14" customFormat="false" ht="15" hidden="false" customHeight="false" outlineLevel="0" collapsed="false">
      <c r="A14" s="32" t="s">
        <v>159</v>
      </c>
      <c r="B14" s="32" t="s">
        <v>177</v>
      </c>
      <c r="C14" s="32" t="s">
        <v>161</v>
      </c>
      <c r="D14" s="59" t="n">
        <v>474</v>
      </c>
      <c r="E14" s="59" t="n">
        <v>402</v>
      </c>
      <c r="F14" s="68" t="n">
        <f aca="false">IF(E14="","",D14-E14)</f>
        <v>72</v>
      </c>
      <c r="G14" s="59" t="n">
        <v>793</v>
      </c>
      <c r="H14" s="59" t="n">
        <v>686</v>
      </c>
      <c r="I14" s="68" t="n">
        <f aca="false">IF(H14="","",G14-H14)</f>
        <v>107</v>
      </c>
      <c r="J14" s="40" t="n">
        <f aca="false">IF(OR(D14="",D14+G14=0),"",D14/(D14+G14))</f>
        <v>0.374112075769534</v>
      </c>
      <c r="K14" s="40" t="n">
        <f aca="false">IF(E14="","",E14/(E14+H14))</f>
        <v>0.369485294117647</v>
      </c>
      <c r="L14" s="69" t="n">
        <f aca="false">IF(OR(K14="",J14=""),"",(J14-K14)*100)</f>
        <v>0.462678165188724</v>
      </c>
      <c r="M14" s="36" t="n">
        <v>1.87635304542411</v>
      </c>
      <c r="N14" s="36" t="n">
        <v>1.05181566017852</v>
      </c>
      <c r="O14" s="36" t="n">
        <f aca="false">SQRT(M14^2+N14^2)</f>
        <v>2.15105019329375</v>
      </c>
      <c r="P14" s="40" t="n">
        <f aca="false">IF(J14="","",MAX(0,J14-1.96*O14/100))</f>
        <v>0.331951491980977</v>
      </c>
      <c r="Q14" s="40" t="n">
        <f aca="false">IF(J14="","",MIN(1,J14+1.96*O14/100))</f>
        <v>0.416272659558092</v>
      </c>
      <c r="R14" s="32" t="str">
        <f aca="false">IF(L14="","",IF(ABS(L14)&lt;=O14,"Yes","No"))</f>
        <v>Yes</v>
      </c>
      <c r="S14" s="32" t="str">
        <f aca="false">IF(L14="","",IF(ABS(L14)&lt;=1.96*O14,"Yes","No"))</f>
        <v>Yes</v>
      </c>
      <c r="T14" s="59" t="n">
        <f aca="false">IF(D14="","",ROUND(SQRT(((D14+G14)*O14/100)^2+(J14*(D14+G14)*0.05402)^2),0))</f>
        <v>37</v>
      </c>
      <c r="U14" s="32" t="s">
        <v>432</v>
      </c>
    </row>
    <row r="15" customFormat="false" ht="15" hidden="false" customHeight="false" outlineLevel="0" collapsed="false">
      <c r="A15" s="32" t="s">
        <v>159</v>
      </c>
      <c r="B15" s="32" t="s">
        <v>178</v>
      </c>
      <c r="C15" s="32" t="s">
        <v>161</v>
      </c>
      <c r="D15" s="59" t="n">
        <v>540</v>
      </c>
      <c r="E15" s="59" t="n">
        <v>510</v>
      </c>
      <c r="F15" s="68" t="n">
        <f aca="false">IF(E15="","",D15-E15)</f>
        <v>30</v>
      </c>
      <c r="G15" s="59" t="n">
        <v>1131</v>
      </c>
      <c r="H15" s="59" t="n">
        <v>960</v>
      </c>
      <c r="I15" s="68" t="n">
        <f aca="false">IF(H15="","",G15-H15)</f>
        <v>171</v>
      </c>
      <c r="J15" s="40" t="n">
        <f aca="false">IF(OR(D15="",D15+G15=0),"",D15/(D15+G15))</f>
        <v>0.323159784560144</v>
      </c>
      <c r="K15" s="40" t="n">
        <f aca="false">IF(E15="","",E15/(E15+H15))</f>
        <v>0.346938775510204</v>
      </c>
      <c r="L15" s="69" t="n">
        <f aca="false">IF(OR(K15="",J15=""),"",(J15-K15)*100)</f>
        <v>-2.37789909500605</v>
      </c>
      <c r="M15" s="36" t="n">
        <v>1.87635304542411</v>
      </c>
      <c r="N15" s="36" t="n">
        <v>1.05181566017852</v>
      </c>
      <c r="O15" s="36" t="n">
        <f aca="false">SQRT(M15^2+N15^2)</f>
        <v>2.15105019329375</v>
      </c>
      <c r="P15" s="40" t="n">
        <f aca="false">IF(J15="","",MAX(0,J15-1.96*O15/100))</f>
        <v>0.280999200771586</v>
      </c>
      <c r="Q15" s="40" t="n">
        <f aca="false">IF(J15="","",MIN(1,J15+1.96*O15/100))</f>
        <v>0.365320368348701</v>
      </c>
      <c r="R15" s="32" t="str">
        <f aca="false">IF(L15="","",IF(ABS(L15)&lt;=O15,"Yes","No"))</f>
        <v>No</v>
      </c>
      <c r="S15" s="32" t="str">
        <f aca="false">IF(L15="","",IF(ABS(L15)&lt;=1.96*O15,"Yes","No"))</f>
        <v>Yes</v>
      </c>
      <c r="T15" s="59" t="n">
        <f aca="false">IF(D15="","",ROUND(SQRT(((D15+G15)*O15/100)^2+(J15*(D15+G15)*0.05402)^2),0))</f>
        <v>46</v>
      </c>
      <c r="U15" s="32" t="s">
        <v>432</v>
      </c>
    </row>
    <row r="16" customFormat="false" ht="15" hidden="false" customHeight="false" outlineLevel="0" collapsed="false">
      <c r="A16" s="32" t="s">
        <v>159</v>
      </c>
      <c r="B16" s="32" t="s">
        <v>179</v>
      </c>
      <c r="C16" s="32" t="s">
        <v>161</v>
      </c>
      <c r="D16" s="59" t="n">
        <v>530</v>
      </c>
      <c r="E16" s="59" t="n">
        <v>500</v>
      </c>
      <c r="F16" s="68" t="n">
        <f aca="false">IF(E16="","",D16-E16)</f>
        <v>30</v>
      </c>
      <c r="G16" s="59" t="n">
        <v>691</v>
      </c>
      <c r="H16" s="59" t="n">
        <v>546</v>
      </c>
      <c r="I16" s="68" t="n">
        <f aca="false">IF(H16="","",G16-H16)</f>
        <v>145</v>
      </c>
      <c r="J16" s="40" t="n">
        <f aca="false">IF(OR(D16="",D16+G16=0),"",D16/(D16+G16))</f>
        <v>0.434070434070434</v>
      </c>
      <c r="K16" s="40" t="n">
        <f aca="false">IF(E16="","",E16/(E16+H16))</f>
        <v>0.478011472275335</v>
      </c>
      <c r="L16" s="69" t="n">
        <f aca="false">IF(OR(K16="",J16=""),"",(J16-K16)*100)</f>
        <v>-4.39410382049005</v>
      </c>
      <c r="M16" s="36" t="n">
        <v>1.87635304542411</v>
      </c>
      <c r="N16" s="36" t="n">
        <v>1.05181566017852</v>
      </c>
      <c r="O16" s="36" t="n">
        <f aca="false">SQRT(M16^2+N16^2)</f>
        <v>2.15105019329375</v>
      </c>
      <c r="P16" s="40" t="n">
        <f aca="false">IF(J16="","",MAX(0,J16-1.96*O16/100))</f>
        <v>0.391909850281877</v>
      </c>
      <c r="Q16" s="40" t="n">
        <f aca="false">IF(J16="","",MIN(1,J16+1.96*O16/100))</f>
        <v>0.476231017858992</v>
      </c>
      <c r="R16" s="32" t="str">
        <f aca="false">IF(L16="","",IF(ABS(L16)&lt;=O16,"Yes","No"))</f>
        <v>No</v>
      </c>
      <c r="S16" s="32" t="str">
        <f aca="false">IF(L16="","",IF(ABS(L16)&lt;=1.96*O16,"Yes","No"))</f>
        <v>No</v>
      </c>
      <c r="T16" s="59" t="n">
        <f aca="false">IF(D16="","",ROUND(SQRT(((D16+G16)*O16/100)^2+(J16*(D16+G16)*0.05402)^2),0))</f>
        <v>39</v>
      </c>
      <c r="U16" s="32" t="s">
        <v>432</v>
      </c>
    </row>
    <row r="17" customFormat="false" ht="15" hidden="false" customHeight="false" outlineLevel="0" collapsed="false">
      <c r="A17" s="32" t="s">
        <v>159</v>
      </c>
      <c r="B17" s="32" t="s">
        <v>180</v>
      </c>
      <c r="C17" s="32" t="s">
        <v>161</v>
      </c>
      <c r="D17" s="59" t="n">
        <v>132</v>
      </c>
      <c r="E17" s="59" t="n">
        <v>111</v>
      </c>
      <c r="F17" s="68" t="n">
        <f aca="false">IF(E17="","",D17-E17)</f>
        <v>21</v>
      </c>
      <c r="G17" s="59" t="n">
        <v>398</v>
      </c>
      <c r="H17" s="59" t="n">
        <v>372</v>
      </c>
      <c r="I17" s="68" t="n">
        <f aca="false">IF(H17="","",G17-H17)</f>
        <v>26</v>
      </c>
      <c r="J17" s="40" t="n">
        <f aca="false">IF(OR(D17="",D17+G17=0),"",D17/(D17+G17))</f>
        <v>0.249056603773585</v>
      </c>
      <c r="K17" s="40" t="n">
        <f aca="false">IF(E17="","",E17/(E17+H17))</f>
        <v>0.229813664596273</v>
      </c>
      <c r="L17" s="69" t="n">
        <f aca="false">IF(OR(K17="",J17=""),"",(J17-K17)*100)</f>
        <v>1.92429391773116</v>
      </c>
      <c r="M17" s="36" t="n">
        <v>3.17576510259995</v>
      </c>
      <c r="N17" s="36" t="n">
        <v>1.05181566017852</v>
      </c>
      <c r="O17" s="36" t="n">
        <f aca="false">SQRT(M17^2+N17^2)</f>
        <v>3.34541479788209</v>
      </c>
      <c r="P17" s="40" t="n">
        <f aca="false">IF(J17="","",MAX(0,J17-1.96*O17/100))</f>
        <v>0.183486473735096</v>
      </c>
      <c r="Q17" s="40" t="n">
        <f aca="false">IF(J17="","",MIN(1,J17+1.96*O17/100))</f>
        <v>0.314626733812074</v>
      </c>
      <c r="R17" s="32" t="str">
        <f aca="false">IF(L17="","",IF(ABS(L17)&lt;=O17,"Yes","No"))</f>
        <v>Yes</v>
      </c>
      <c r="S17" s="32" t="str">
        <f aca="false">IF(L17="","",IF(ABS(L17)&lt;=1.96*O17,"Yes","No"))</f>
        <v>Yes</v>
      </c>
      <c r="T17" s="59" t="n">
        <f aca="false">IF(D17="","",ROUND(SQRT(((D17+G17)*O17/100)^2+(J17*(D17+G17)*0.07067)^2),0))</f>
        <v>20</v>
      </c>
      <c r="U17" s="32" t="s">
        <v>432</v>
      </c>
    </row>
    <row r="18" customFormat="false" ht="15" hidden="false" customHeight="false" outlineLevel="0" collapsed="false">
      <c r="A18" s="32" t="s">
        <v>159</v>
      </c>
      <c r="B18" s="32" t="s">
        <v>181</v>
      </c>
      <c r="C18" s="32" t="s">
        <v>161</v>
      </c>
      <c r="D18" s="59" t="n">
        <v>799</v>
      </c>
      <c r="E18" s="59" t="n">
        <v>687</v>
      </c>
      <c r="F18" s="68" t="n">
        <f aca="false">IF(E18="","",D18-E18)</f>
        <v>112</v>
      </c>
      <c r="G18" s="59" t="n">
        <v>1034</v>
      </c>
      <c r="H18" s="59" t="n">
        <v>978</v>
      </c>
      <c r="I18" s="68" t="n">
        <f aca="false">IF(H18="","",G18-H18)</f>
        <v>56</v>
      </c>
      <c r="J18" s="40" t="n">
        <f aca="false">IF(OR(D18="",D18+G18=0),"",D18/(D18+G18))</f>
        <v>0.435897435897436</v>
      </c>
      <c r="K18" s="40" t="n">
        <f aca="false">IF(E18="","",E18/(E18+H18))</f>
        <v>0.412612612612613</v>
      </c>
      <c r="L18" s="69" t="n">
        <f aca="false">IF(OR(K18="",J18=""),"",(J18-K18)*100)</f>
        <v>2.32848232848233</v>
      </c>
      <c r="M18" s="36" t="n">
        <v>1.87635304542411</v>
      </c>
      <c r="N18" s="36" t="n">
        <v>1.05181566017852</v>
      </c>
      <c r="O18" s="36" t="n">
        <f aca="false">SQRT(M18^2+N18^2)</f>
        <v>2.15105019329375</v>
      </c>
      <c r="P18" s="40" t="n">
        <f aca="false">IF(J18="","",MAX(0,J18-1.96*O18/100))</f>
        <v>0.393736852108878</v>
      </c>
      <c r="Q18" s="40" t="n">
        <f aca="false">IF(J18="","",MIN(1,J18+1.96*O18/100))</f>
        <v>0.478058019685993</v>
      </c>
      <c r="R18" s="32" t="str">
        <f aca="false">IF(L18="","",IF(ABS(L18)&lt;=O18,"Yes","No"))</f>
        <v>No</v>
      </c>
      <c r="S18" s="32" t="str">
        <f aca="false">IF(L18="","",IF(ABS(L18)&lt;=1.96*O18,"Yes","No"))</f>
        <v>Yes</v>
      </c>
      <c r="T18" s="59" t="n">
        <f aca="false">IF(D18="","",ROUND(SQRT(((D18+G18)*O18/100)^2+(J18*(D18+G18)*0.05402)^2),0))</f>
        <v>58</v>
      </c>
      <c r="U18" s="32" t="s">
        <v>432</v>
      </c>
    </row>
    <row r="19" customFormat="false" ht="15" hidden="false" customHeight="false" outlineLevel="0" collapsed="false">
      <c r="A19" s="32" t="s">
        <v>159</v>
      </c>
      <c r="B19" s="32" t="s">
        <v>182</v>
      </c>
      <c r="C19" s="32" t="s">
        <v>161</v>
      </c>
      <c r="D19" s="59" t="n">
        <v>65</v>
      </c>
      <c r="E19" s="59" t="n">
        <v>53</v>
      </c>
      <c r="F19" s="68" t="n">
        <f aca="false">IF(E19="","",D19-E19)</f>
        <v>12</v>
      </c>
      <c r="G19" s="59" t="n">
        <v>111</v>
      </c>
      <c r="H19" s="59" t="n">
        <v>112</v>
      </c>
      <c r="I19" s="68" t="n">
        <f aca="false">IF(H19="","",G19-H19)</f>
        <v>-1</v>
      </c>
      <c r="J19" s="40" t="n">
        <f aca="false">IF(OR(D19="",D19+G19=0),"",D19/(D19+G19))</f>
        <v>0.369318181818182</v>
      </c>
      <c r="K19" s="40" t="n">
        <f aca="false">IF(E19="","",E19/(E19+H19))</f>
        <v>0.321212121212121</v>
      </c>
      <c r="L19" s="69" t="n">
        <f aca="false">IF(OR(K19="",J19=""),"",(J19-K19)*100)</f>
        <v>4.81060606060606</v>
      </c>
      <c r="M19" s="36" t="n">
        <v>3.17576510259995</v>
      </c>
      <c r="N19" s="36" t="n">
        <v>1.05181566017852</v>
      </c>
      <c r="O19" s="36" t="n">
        <f aca="false">SQRT(M19^2+N19^2)</f>
        <v>3.34541479788209</v>
      </c>
      <c r="P19" s="40" t="n">
        <f aca="false">IF(J19="","",MAX(0,J19-1.96*O19/100))</f>
        <v>0.303748051779693</v>
      </c>
      <c r="Q19" s="40" t="n">
        <f aca="false">IF(J19="","",MIN(1,J19+1.96*O19/100))</f>
        <v>0.434888311856671</v>
      </c>
      <c r="R19" s="32" t="str">
        <f aca="false">IF(L19="","",IF(ABS(L19)&lt;=O19,"Yes","No"))</f>
        <v>No</v>
      </c>
      <c r="S19" s="32" t="str">
        <f aca="false">IF(L19="","",IF(ABS(L19)&lt;=1.96*O19,"Yes","No"))</f>
        <v>Yes</v>
      </c>
      <c r="T19" s="59" t="n">
        <f aca="false">IF(D19="","",ROUND(SQRT(((D19+G19)*O19/100)^2+(J19*(D19+G19)*0.07067)^2),0))</f>
        <v>7</v>
      </c>
      <c r="U19" s="32" t="s">
        <v>432</v>
      </c>
    </row>
    <row r="20" customFormat="false" ht="15" hidden="false" customHeight="false" outlineLevel="0" collapsed="false">
      <c r="A20" s="32" t="s">
        <v>159</v>
      </c>
      <c r="B20" s="32" t="s">
        <v>183</v>
      </c>
      <c r="C20" s="32" t="s">
        <v>161</v>
      </c>
      <c r="D20" s="59" t="n">
        <v>1768</v>
      </c>
      <c r="E20" s="59" t="n">
        <v>1453</v>
      </c>
      <c r="F20" s="68" t="n">
        <f aca="false">IF(E20="","",D20-E20)</f>
        <v>315</v>
      </c>
      <c r="G20" s="59" t="n">
        <v>2424</v>
      </c>
      <c r="H20" s="59" t="n">
        <v>2080</v>
      </c>
      <c r="I20" s="68" t="n">
        <f aca="false">IF(H20="","",G20-H20)</f>
        <v>344</v>
      </c>
      <c r="J20" s="40" t="n">
        <f aca="false">IF(OR(D20="",D20+G20=0),"",D20/(D20+G20))</f>
        <v>0.42175572519084</v>
      </c>
      <c r="K20" s="40" t="n">
        <f aca="false">IF(E20="","",E20/(E20+H20))</f>
        <v>0.411265213699406</v>
      </c>
      <c r="L20" s="69" t="n">
        <f aca="false">IF(OR(K20="",J20=""),"",(J20-K20)*100)</f>
        <v>1.04905114914341</v>
      </c>
      <c r="M20" s="36" t="n">
        <v>1.44807452737494</v>
      </c>
      <c r="N20" s="36" t="n">
        <v>1.05181566017852</v>
      </c>
      <c r="O20" s="36" t="n">
        <f aca="false">SQRT(M20^2+N20^2)</f>
        <v>1.78975864848558</v>
      </c>
      <c r="P20" s="40" t="n">
        <f aca="false">IF(J20="","",MAX(0,J20-1.96*O20/100))</f>
        <v>0.386676455680522</v>
      </c>
      <c r="Q20" s="40" t="n">
        <f aca="false">IF(J20="","",MIN(1,J20+1.96*O20/100))</f>
        <v>0.456834994701157</v>
      </c>
      <c r="R20" s="32" t="str">
        <f aca="false">IF(L20="","",IF(ABS(L20)&lt;=O20,"Yes","No"))</f>
        <v>Yes</v>
      </c>
      <c r="S20" s="32" t="str">
        <f aca="false">IF(L20="","",IF(ABS(L20)&lt;=1.96*O20,"Yes","No"))</f>
        <v>Yes</v>
      </c>
      <c r="T20" s="59" t="n">
        <f aca="false">IF(D20="","",ROUND(SQRT(((D20+G20)*O20/100)^2+(J20*(D20+G20)*0.04632)^2),0))</f>
        <v>111</v>
      </c>
      <c r="U20" s="32" t="s">
        <v>432</v>
      </c>
    </row>
    <row r="21" customFormat="false" ht="15" hidden="false" customHeight="false" outlineLevel="0" collapsed="false">
      <c r="A21" s="32" t="s">
        <v>159</v>
      </c>
      <c r="B21" s="32" t="s">
        <v>185</v>
      </c>
      <c r="C21" s="32" t="s">
        <v>161</v>
      </c>
      <c r="D21" s="59" t="n">
        <v>558</v>
      </c>
      <c r="E21" s="59" t="n">
        <v>574</v>
      </c>
      <c r="F21" s="68" t="n">
        <f aca="false">IF(E21="","",D21-E21)</f>
        <v>-16</v>
      </c>
      <c r="G21" s="59" t="n">
        <v>668</v>
      </c>
      <c r="H21" s="59" t="n">
        <v>562</v>
      </c>
      <c r="I21" s="68" t="n">
        <f aca="false">IF(H21="","",G21-H21)</f>
        <v>106</v>
      </c>
      <c r="J21" s="40" t="n">
        <f aca="false">IF(OR(D21="",D21+G21=0),"",D21/(D21+G21))</f>
        <v>0.455138662316476</v>
      </c>
      <c r="K21" s="40" t="n">
        <f aca="false">IF(E21="","",E21/(E21+H21))</f>
        <v>0.505281690140845</v>
      </c>
      <c r="L21" s="69" t="n">
        <f aca="false">IF(OR(K21="",J21=""),"",(J21-K21)*100)</f>
        <v>-5.01430278243688</v>
      </c>
      <c r="M21" s="36" t="n">
        <v>1.87635304542411</v>
      </c>
      <c r="N21" s="36" t="n">
        <v>1.05181566017852</v>
      </c>
      <c r="O21" s="36" t="n">
        <f aca="false">SQRT(M21^2+N21^2)</f>
        <v>2.15105019329375</v>
      </c>
      <c r="P21" s="40" t="n">
        <f aca="false">IF(J21="","",MAX(0,J21-1.96*O21/100))</f>
        <v>0.412978078527919</v>
      </c>
      <c r="Q21" s="40" t="n">
        <f aca="false">IF(J21="","",MIN(1,J21+1.96*O21/100))</f>
        <v>0.497299246105034</v>
      </c>
      <c r="R21" s="32" t="str">
        <f aca="false">IF(L21="","",IF(ABS(L21)&lt;=O21,"Yes","No"))</f>
        <v>No</v>
      </c>
      <c r="S21" s="32" t="str">
        <f aca="false">IF(L21="","",IF(ABS(L21)&lt;=1.96*O21,"Yes","No"))</f>
        <v>No</v>
      </c>
      <c r="T21" s="59" t="n">
        <f aca="false">IF(D21="","",ROUND(SQRT(((D21+G21)*O21/100)^2+(J21*(D21+G21)*0.05402)^2),0))</f>
        <v>40</v>
      </c>
      <c r="U21" s="32" t="s">
        <v>432</v>
      </c>
    </row>
    <row r="22" customFormat="false" ht="15" hidden="false" customHeight="false" outlineLevel="0" collapsed="false">
      <c r="A22" s="32" t="s">
        <v>159</v>
      </c>
      <c r="B22" s="32" t="s">
        <v>186</v>
      </c>
      <c r="C22" s="32" t="s">
        <v>161</v>
      </c>
      <c r="D22" s="59" t="n">
        <v>723</v>
      </c>
      <c r="E22" s="59" t="n">
        <v>613</v>
      </c>
      <c r="F22" s="68" t="n">
        <f aca="false">IF(E22="","",D22-E22)</f>
        <v>110</v>
      </c>
      <c r="G22" s="59" t="n">
        <v>1295</v>
      </c>
      <c r="H22" s="59" t="n">
        <v>1136</v>
      </c>
      <c r="I22" s="68" t="n">
        <f aca="false">IF(H22="","",G22-H22)</f>
        <v>159</v>
      </c>
      <c r="J22" s="40" t="n">
        <f aca="false">IF(OR(D22="",D22+G22=0),"",D22/(D22+G22))</f>
        <v>0.358275520317146</v>
      </c>
      <c r="K22" s="40" t="n">
        <f aca="false">IF(E22="","",E22/(E22+H22))</f>
        <v>0.350485991995426</v>
      </c>
      <c r="L22" s="69" t="n">
        <f aca="false">IF(OR(K22="",J22=""),"",(J22-K22)*100)</f>
        <v>0.778952832171975</v>
      </c>
      <c r="M22" s="36" t="n">
        <v>1.87635304542411</v>
      </c>
      <c r="N22" s="36" t="n">
        <v>1.05181566017852</v>
      </c>
      <c r="O22" s="36" t="n">
        <f aca="false">SQRT(M22^2+N22^2)</f>
        <v>2.15105019329375</v>
      </c>
      <c r="P22" s="40" t="n">
        <f aca="false">IF(J22="","",MAX(0,J22-1.96*O22/100))</f>
        <v>0.316114936528588</v>
      </c>
      <c r="Q22" s="40" t="n">
        <f aca="false">IF(J22="","",MIN(1,J22+1.96*O22/100))</f>
        <v>0.400436104105703</v>
      </c>
      <c r="R22" s="32" t="str">
        <f aca="false">IF(L22="","",IF(ABS(L22)&lt;=O22,"Yes","No"))</f>
        <v>Yes</v>
      </c>
      <c r="S22" s="32" t="str">
        <f aca="false">IF(L22="","",IF(ABS(L22)&lt;=1.96*O22,"Yes","No"))</f>
        <v>Yes</v>
      </c>
      <c r="T22" s="59" t="n">
        <f aca="false">IF(D22="","",ROUND(SQRT(((D22+G22)*O22/100)^2+(J22*(D22+G22)*0.05402)^2),0))</f>
        <v>58</v>
      </c>
      <c r="U22" s="32" t="s">
        <v>432</v>
      </c>
    </row>
    <row r="23" customFormat="false" ht="15" hidden="false" customHeight="false" outlineLevel="0" collapsed="false">
      <c r="A23" s="32" t="s">
        <v>159</v>
      </c>
      <c r="B23" s="32" t="s">
        <v>187</v>
      </c>
      <c r="C23" s="32" t="s">
        <v>161</v>
      </c>
      <c r="D23" s="59" t="n">
        <v>306</v>
      </c>
      <c r="E23" s="59" t="n">
        <v>273</v>
      </c>
      <c r="F23" s="68" t="n">
        <f aca="false">IF(E23="","",D23-E23)</f>
        <v>33</v>
      </c>
      <c r="G23" s="59" t="n">
        <v>592</v>
      </c>
      <c r="H23" s="59" t="n">
        <v>574</v>
      </c>
      <c r="I23" s="68" t="n">
        <f aca="false">IF(H23="","",G23-H23)</f>
        <v>18</v>
      </c>
      <c r="J23" s="40" t="n">
        <f aca="false">IF(OR(D23="",D23+G23=0),"",D23/(D23+G23))</f>
        <v>0.34075723830735</v>
      </c>
      <c r="K23" s="40" t="n">
        <f aca="false">IF(E23="","",E23/(E23+H23))</f>
        <v>0.322314049586777</v>
      </c>
      <c r="L23" s="69" t="n">
        <f aca="false">IF(OR(K23="",J23=""),"",(J23-K23)*100)</f>
        <v>1.84431887205728</v>
      </c>
      <c r="M23" s="36" t="n">
        <v>3.17576510259995</v>
      </c>
      <c r="N23" s="36" t="n">
        <v>1.05181566017852</v>
      </c>
      <c r="O23" s="36" t="n">
        <f aca="false">SQRT(M23^2+N23^2)</f>
        <v>3.34541479788209</v>
      </c>
      <c r="P23" s="40" t="n">
        <f aca="false">IF(J23="","",MAX(0,J23-1.96*O23/100))</f>
        <v>0.275187108268861</v>
      </c>
      <c r="Q23" s="40" t="n">
        <f aca="false">IF(J23="","",MIN(1,J23+1.96*O23/100))</f>
        <v>0.406327368345839</v>
      </c>
      <c r="R23" s="32" t="str">
        <f aca="false">IF(L23="","",IF(ABS(L23)&lt;=O23,"Yes","No"))</f>
        <v>Yes</v>
      </c>
      <c r="S23" s="32" t="str">
        <f aca="false">IF(L23="","",IF(ABS(L23)&lt;=1.96*O23,"Yes","No"))</f>
        <v>Yes</v>
      </c>
      <c r="T23" s="59" t="n">
        <f aca="false">IF(D23="","",ROUND(SQRT(((D23+G23)*O23/100)^2+(J23*(D23+G23)*0.07067)^2),0))</f>
        <v>37</v>
      </c>
      <c r="U23" s="32" t="s">
        <v>432</v>
      </c>
    </row>
    <row r="24" customFormat="false" ht="15" hidden="false" customHeight="false" outlineLevel="0" collapsed="false">
      <c r="A24" s="32" t="s">
        <v>159</v>
      </c>
      <c r="B24" s="32" t="s">
        <v>188</v>
      </c>
      <c r="C24" s="32" t="s">
        <v>161</v>
      </c>
      <c r="D24" s="59" t="n">
        <v>46</v>
      </c>
      <c r="E24" s="59" t="n">
        <v>50</v>
      </c>
      <c r="F24" s="68" t="n">
        <f aca="false">IF(E24="","",D24-E24)</f>
        <v>-4</v>
      </c>
      <c r="G24" s="59" t="n">
        <v>60</v>
      </c>
      <c r="H24" s="59" t="n">
        <v>48</v>
      </c>
      <c r="I24" s="68" t="n">
        <f aca="false">IF(H24="","",G24-H24)</f>
        <v>12</v>
      </c>
      <c r="J24" s="40" t="n">
        <f aca="false">IF(OR(D24="",D24+G24=0),"",D24/(D24+G24))</f>
        <v>0.433962264150943</v>
      </c>
      <c r="K24" s="40" t="n">
        <f aca="false">IF(E24="","",E24/(E24+H24))</f>
        <v>0.510204081632653</v>
      </c>
      <c r="L24" s="69" t="n">
        <f aca="false">IF(OR(K24="",J24=""),"",(J24-K24)*100)</f>
        <v>-7.62418174817097</v>
      </c>
      <c r="M24" s="36" t="n">
        <v>3.17576510259995</v>
      </c>
      <c r="N24" s="36" t="n">
        <v>1.05181566017852</v>
      </c>
      <c r="O24" s="36" t="n">
        <f aca="false">SQRT(M24^2+N24^2)</f>
        <v>3.34541479788209</v>
      </c>
      <c r="P24" s="40" t="n">
        <f aca="false">IF(J24="","",MAX(0,J24-1.96*O24/100))</f>
        <v>0.368392134112455</v>
      </c>
      <c r="Q24" s="40" t="n">
        <f aca="false">IF(J24="","",MIN(1,J24+1.96*O24/100))</f>
        <v>0.499532394189432</v>
      </c>
      <c r="R24" s="32" t="str">
        <f aca="false">IF(L24="","",IF(ABS(L24)&lt;=O24,"Yes","No"))</f>
        <v>No</v>
      </c>
      <c r="S24" s="32" t="str">
        <f aca="false">IF(L24="","",IF(ABS(L24)&lt;=1.96*O24,"Yes","No"))</f>
        <v>No</v>
      </c>
      <c r="T24" s="59" t="n">
        <f aca="false">IF(D24="","",ROUND(SQRT(((D24+G24)*O24/100)^2+(J24*(D24+G24)*0.07067)^2),0))</f>
        <v>5</v>
      </c>
      <c r="U24" s="32" t="s">
        <v>432</v>
      </c>
    </row>
    <row r="25" customFormat="false" ht="15" hidden="false" customHeight="false" outlineLevel="0" collapsed="false">
      <c r="A25" s="32" t="s">
        <v>189</v>
      </c>
      <c r="B25" s="32" t="s">
        <v>190</v>
      </c>
      <c r="C25" s="32" t="s">
        <v>161</v>
      </c>
      <c r="D25" s="59" t="n">
        <v>474</v>
      </c>
      <c r="E25" s="59" t="n">
        <v>454</v>
      </c>
      <c r="F25" s="68" t="n">
        <f aca="false">IF(E25="","",D25-E25)</f>
        <v>20</v>
      </c>
      <c r="G25" s="59" t="n">
        <v>466</v>
      </c>
      <c r="H25" s="59" t="n">
        <v>406</v>
      </c>
      <c r="I25" s="68" t="n">
        <f aca="false">IF(H25="","",G25-H25)</f>
        <v>60</v>
      </c>
      <c r="J25" s="40" t="n">
        <f aca="false">IF(OR(D25="",D25+G25=0),"",D25/(D25+G25))</f>
        <v>0.504255319148936</v>
      </c>
      <c r="K25" s="40" t="n">
        <f aca="false">IF(E25="","",E25/(E25+H25))</f>
        <v>0.527906976744186</v>
      </c>
      <c r="L25" s="69" t="n">
        <f aca="false">IF(OR(K25="",J25=""),"",(J25-K25)*100)</f>
        <v>-2.36516575952499</v>
      </c>
      <c r="M25" s="36" t="n">
        <v>3.17576510259995</v>
      </c>
      <c r="N25" s="36" t="n">
        <v>1.05181566017852</v>
      </c>
      <c r="O25" s="36" t="n">
        <f aca="false">SQRT(M25^2+N25^2)</f>
        <v>3.34541479788209</v>
      </c>
      <c r="P25" s="40" t="n">
        <f aca="false">IF(J25="","",MAX(0,J25-1.96*O25/100))</f>
        <v>0.438685189110447</v>
      </c>
      <c r="Q25" s="40" t="n">
        <f aca="false">IF(J25="","",MIN(1,J25+1.96*O25/100))</f>
        <v>0.569825449187425</v>
      </c>
      <c r="R25" s="32" t="str">
        <f aca="false">IF(L25="","",IF(ABS(L25)&lt;=O25,"Yes","No"))</f>
        <v>Yes</v>
      </c>
      <c r="S25" s="32" t="str">
        <f aca="false">IF(L25="","",IF(ABS(L25)&lt;=1.96*O25,"Yes","No"))</f>
        <v>Yes</v>
      </c>
      <c r="T25" s="59" t="n">
        <f aca="false">IF(D25="","",ROUND(SQRT(((D25+G25)*O25/100)^2+(J25*(D25+G25)*0.07067)^2),0))</f>
        <v>46</v>
      </c>
      <c r="U25" s="32"/>
    </row>
    <row r="26" customFormat="false" ht="15" hidden="false" customHeight="false" outlineLevel="0" collapsed="false">
      <c r="A26" s="32" t="s">
        <v>189</v>
      </c>
      <c r="B26" s="32" t="s">
        <v>191</v>
      </c>
      <c r="C26" s="32" t="s">
        <v>161</v>
      </c>
      <c r="D26" s="59" t="n">
        <v>17252</v>
      </c>
      <c r="E26" s="59" t="n">
        <v>19919</v>
      </c>
      <c r="F26" s="68" t="n">
        <f aca="false">IF(E26="","",D26-E26)</f>
        <v>-2667</v>
      </c>
      <c r="G26" s="59" t="n">
        <v>8074</v>
      </c>
      <c r="H26" s="59" t="n">
        <v>7341</v>
      </c>
      <c r="I26" s="68" t="n">
        <f aca="false">IF(H26="","",G26-H26)</f>
        <v>733</v>
      </c>
      <c r="J26" s="40" t="n">
        <f aca="false">IF(OR(D26="",D26+G26=0),"",D26/(D26+G26))</f>
        <v>0.681197188659875</v>
      </c>
      <c r="K26" s="40" t="n">
        <f aca="false">IF(E26="","",E26/(E26+H26))</f>
        <v>0.73070432868672</v>
      </c>
      <c r="L26" s="69" t="n">
        <f aca="false">IF(OR(K26="",J26=""),"",(J26-K26)*100)</f>
        <v>-4.95071400268452</v>
      </c>
      <c r="M26" s="36" t="n">
        <v>1.44807452737494</v>
      </c>
      <c r="N26" s="36" t="n">
        <v>1.05181566017852</v>
      </c>
      <c r="O26" s="36" t="n">
        <f aca="false">SQRT(M26^2+N26^2)</f>
        <v>1.78975864848558</v>
      </c>
      <c r="P26" s="40" t="n">
        <f aca="false">IF(J26="","",MAX(0,J26-1.96*O26/100))</f>
        <v>0.646117919149558</v>
      </c>
      <c r="Q26" s="40" t="n">
        <f aca="false">IF(J26="","",MIN(1,J26+1.96*O26/100))</f>
        <v>0.716276458170193</v>
      </c>
      <c r="R26" s="32" t="str">
        <f aca="false">IF(L26="","",IF(ABS(L26)&lt;=O26,"Yes","No"))</f>
        <v>No</v>
      </c>
      <c r="S26" s="32" t="str">
        <f aca="false">IF(L26="","",IF(ABS(L26)&lt;=1.96*O26,"Yes","No"))</f>
        <v>No</v>
      </c>
      <c r="T26" s="59" t="n">
        <f aca="false">IF(D26="","",ROUND(SQRT(((D26+G26)*O26/100)^2+(J26*(D26+G26)*0.04632)^2),0))</f>
        <v>919</v>
      </c>
      <c r="U26" s="32"/>
    </row>
    <row r="27" customFormat="false" ht="15" hidden="false" customHeight="false" outlineLevel="0" collapsed="false">
      <c r="A27" s="32" t="s">
        <v>189</v>
      </c>
      <c r="B27" s="32" t="s">
        <v>192</v>
      </c>
      <c r="C27" s="32" t="s">
        <v>161</v>
      </c>
      <c r="D27" s="59" t="n">
        <v>4667</v>
      </c>
      <c r="E27" s="59" t="n">
        <v>4700</v>
      </c>
      <c r="F27" s="68" t="n">
        <f aca="false">IF(E27="","",D27-E27)</f>
        <v>-33</v>
      </c>
      <c r="G27" s="59" t="n">
        <v>2684</v>
      </c>
      <c r="H27" s="59" t="n">
        <v>2300</v>
      </c>
      <c r="I27" s="68" t="n">
        <f aca="false">IF(H27="","",G27-H27)</f>
        <v>384</v>
      </c>
      <c r="J27" s="40" t="n">
        <f aca="false">IF(OR(D27="",D27+G27=0),"",D27/(D27+G27))</f>
        <v>0.634879608216569</v>
      </c>
      <c r="K27" s="40" t="n">
        <f aca="false">IF(E27="","",E27/(E27+H27))</f>
        <v>0.671428571428571</v>
      </c>
      <c r="L27" s="69" t="n">
        <f aca="false">IF(OR(K27="",J27=""),"",(J27-K27)*100)</f>
        <v>-3.65489632120022</v>
      </c>
      <c r="M27" s="36" t="n">
        <v>1.44807452737494</v>
      </c>
      <c r="N27" s="36" t="n">
        <v>1.05181566017852</v>
      </c>
      <c r="O27" s="36" t="n">
        <f aca="false">SQRT(M27^2+N27^2)</f>
        <v>1.78975864848558</v>
      </c>
      <c r="P27" s="40" t="n">
        <f aca="false">IF(J27="","",MAX(0,J27-1.96*O27/100))</f>
        <v>0.599800338706252</v>
      </c>
      <c r="Q27" s="40" t="n">
        <f aca="false">IF(J27="","",MIN(1,J27+1.96*O27/100))</f>
        <v>0.669958877726887</v>
      </c>
      <c r="R27" s="32" t="str">
        <f aca="false">IF(L27="","",IF(ABS(L27)&lt;=O27,"Yes","No"))</f>
        <v>No</v>
      </c>
      <c r="S27" s="32" t="str">
        <f aca="false">IF(L27="","",IF(ABS(L27)&lt;=1.96*O27,"Yes","No"))</f>
        <v>No</v>
      </c>
      <c r="T27" s="59" t="n">
        <f aca="false">IF(D27="","",ROUND(SQRT(((D27+G27)*O27/100)^2+(J27*(D27+G27)*0.04632)^2),0))</f>
        <v>253</v>
      </c>
      <c r="U27" s="32"/>
    </row>
    <row r="28" customFormat="false" ht="15" hidden="false" customHeight="false" outlineLevel="0" collapsed="false">
      <c r="A28" s="32" t="s">
        <v>189</v>
      </c>
      <c r="B28" s="32" t="s">
        <v>193</v>
      </c>
      <c r="C28" s="32" t="s">
        <v>161</v>
      </c>
      <c r="D28" s="59" t="n">
        <v>1121</v>
      </c>
      <c r="E28" s="59" t="n">
        <v>1137</v>
      </c>
      <c r="F28" s="68" t="n">
        <f aca="false">IF(E28="","",D28-E28)</f>
        <v>-16</v>
      </c>
      <c r="G28" s="59" t="n">
        <v>901</v>
      </c>
      <c r="H28" s="59" t="n">
        <v>821</v>
      </c>
      <c r="I28" s="68" t="n">
        <f aca="false">IF(H28="","",G28-H28)</f>
        <v>80</v>
      </c>
      <c r="J28" s="40" t="n">
        <f aca="false">IF(OR(D28="",D28+G28=0),"",D28/(D28+G28))</f>
        <v>0.554401582591494</v>
      </c>
      <c r="K28" s="40" t="n">
        <f aca="false">IF(E28="","",E28/(E28+H28))</f>
        <v>0.580694586312564</v>
      </c>
      <c r="L28" s="69" t="n">
        <f aca="false">IF(OR(K28="",J28=""),"",(J28-K28)*100)</f>
        <v>-2.62930037210704</v>
      </c>
      <c r="M28" s="36" t="n">
        <v>1.87635304542411</v>
      </c>
      <c r="N28" s="36" t="n">
        <v>1.05181566017852</v>
      </c>
      <c r="O28" s="36" t="n">
        <f aca="false">SQRT(M28^2+N28^2)</f>
        <v>2.15105019329375</v>
      </c>
      <c r="P28" s="40" t="n">
        <f aca="false">IF(J28="","",MAX(0,J28-1.96*O28/100))</f>
        <v>0.512240998802936</v>
      </c>
      <c r="Q28" s="40" t="n">
        <f aca="false">IF(J28="","",MIN(1,J28+1.96*O28/100))</f>
        <v>0.596562166380051</v>
      </c>
      <c r="R28" s="32" t="str">
        <f aca="false">IF(L28="","",IF(ABS(L28)&lt;=O28,"Yes","No"))</f>
        <v>No</v>
      </c>
      <c r="S28" s="32" t="str">
        <f aca="false">IF(L28="","",IF(ABS(L28)&lt;=1.96*O28,"Yes","No"))</f>
        <v>Yes</v>
      </c>
      <c r="T28" s="59" t="n">
        <f aca="false">IF(D28="","",ROUND(SQRT(((D28+G28)*O28/100)^2+(J28*(D28+G28)*0.05402)^2),0))</f>
        <v>75</v>
      </c>
      <c r="U28" s="32"/>
    </row>
    <row r="29" customFormat="false" ht="15" hidden="false" customHeight="false" outlineLevel="0" collapsed="false">
      <c r="A29" s="32" t="s">
        <v>189</v>
      </c>
      <c r="B29" s="32" t="s">
        <v>194</v>
      </c>
      <c r="C29" s="32" t="s">
        <v>161</v>
      </c>
      <c r="D29" s="59" t="n">
        <v>502</v>
      </c>
      <c r="E29" s="59" t="n">
        <v>513</v>
      </c>
      <c r="F29" s="68" t="n">
        <f aca="false">IF(E29="","",D29-E29)</f>
        <v>-11</v>
      </c>
      <c r="G29" s="59" t="n">
        <v>574</v>
      </c>
      <c r="H29" s="59" t="n">
        <v>446</v>
      </c>
      <c r="I29" s="68" t="n">
        <f aca="false">IF(H29="","",G29-H29)</f>
        <v>128</v>
      </c>
      <c r="J29" s="40" t="n">
        <f aca="false">IF(OR(D29="",D29+G29=0),"",D29/(D29+G29))</f>
        <v>0.466542750929368</v>
      </c>
      <c r="K29" s="40" t="n">
        <f aca="false">IF(E29="","",E29/(E29+H29))</f>
        <v>0.534932221063608</v>
      </c>
      <c r="L29" s="69" t="n">
        <f aca="false">IF(OR(K29="",J29=""),"",(J29-K29)*100)</f>
        <v>-6.83894701342399</v>
      </c>
      <c r="M29" s="36" t="n">
        <v>3.17576510259995</v>
      </c>
      <c r="N29" s="36" t="n">
        <v>1.05181566017852</v>
      </c>
      <c r="O29" s="36" t="n">
        <f aca="false">SQRT(M29^2+N29^2)</f>
        <v>3.34541479788209</v>
      </c>
      <c r="P29" s="40" t="n">
        <f aca="false">IF(J29="","",MAX(0,J29-1.96*O29/100))</f>
        <v>0.400972620890879</v>
      </c>
      <c r="Q29" s="40" t="n">
        <f aca="false">IF(J29="","",MIN(1,J29+1.96*O29/100))</f>
        <v>0.532112880967857</v>
      </c>
      <c r="R29" s="32" t="str">
        <f aca="false">IF(L29="","",IF(ABS(L29)&lt;=O29,"Yes","No"))</f>
        <v>No</v>
      </c>
      <c r="S29" s="32" t="str">
        <f aca="false">IF(L29="","",IF(ABS(L29)&lt;=1.96*O29,"Yes","No"))</f>
        <v>No</v>
      </c>
      <c r="T29" s="59" t="n">
        <f aca="false">IF(D29="","",ROUND(SQRT(((D29+G29)*O29/100)^2+(J29*(D29+G29)*0.07067)^2),0))</f>
        <v>51</v>
      </c>
      <c r="U29" s="32"/>
    </row>
    <row r="30" customFormat="false" ht="15" hidden="false" customHeight="false" outlineLevel="0" collapsed="false">
      <c r="A30" s="32" t="s">
        <v>189</v>
      </c>
      <c r="B30" s="32" t="s">
        <v>195</v>
      </c>
      <c r="C30" s="32" t="s">
        <v>161</v>
      </c>
      <c r="D30" s="59" t="n">
        <v>662</v>
      </c>
      <c r="E30" s="59" t="n">
        <v>660</v>
      </c>
      <c r="F30" s="68" t="n">
        <f aca="false">IF(E30="","",D30-E30)</f>
        <v>2</v>
      </c>
      <c r="G30" s="59" t="n">
        <v>549</v>
      </c>
      <c r="H30" s="59" t="n">
        <v>515</v>
      </c>
      <c r="I30" s="68" t="n">
        <f aca="false">IF(H30="","",G30-H30)</f>
        <v>34</v>
      </c>
      <c r="J30" s="40" t="n">
        <f aca="false">IF(OR(D30="",D30+G30=0),"",D30/(D30+G30))</f>
        <v>0.546655656482246</v>
      </c>
      <c r="K30" s="40" t="n">
        <f aca="false">IF(E30="","",E30/(E30+H30))</f>
        <v>0.561702127659575</v>
      </c>
      <c r="L30" s="69" t="n">
        <f aca="false">IF(OR(K30="",J30=""),"",(J30-K30)*100)</f>
        <v>-1.50464711773284</v>
      </c>
      <c r="M30" s="36" t="n">
        <v>1.87635304542411</v>
      </c>
      <c r="N30" s="36" t="n">
        <v>1.05181566017852</v>
      </c>
      <c r="O30" s="36" t="n">
        <f aca="false">SQRT(M30^2+N30^2)</f>
        <v>2.15105019329375</v>
      </c>
      <c r="P30" s="40" t="n">
        <f aca="false">IF(J30="","",MAX(0,J30-1.96*O30/100))</f>
        <v>0.504495072693689</v>
      </c>
      <c r="Q30" s="40" t="n">
        <f aca="false">IF(J30="","",MIN(1,J30+1.96*O30/100))</f>
        <v>0.588816240270804</v>
      </c>
      <c r="R30" s="32" t="str">
        <f aca="false">IF(L30="","",IF(ABS(L30)&lt;=O30,"Yes","No"))</f>
        <v>Yes</v>
      </c>
      <c r="S30" s="32" t="str">
        <f aca="false">IF(L30="","",IF(ABS(L30)&lt;=1.96*O30,"Yes","No"))</f>
        <v>Yes</v>
      </c>
      <c r="T30" s="59" t="n">
        <f aca="false">IF(D30="","",ROUND(SQRT(((D30+G30)*O30/100)^2+(J30*(D30+G30)*0.05402)^2),0))</f>
        <v>44</v>
      </c>
      <c r="U30" s="32"/>
    </row>
    <row r="31" customFormat="false" ht="15" hidden="false" customHeight="false" outlineLevel="0" collapsed="false">
      <c r="A31" s="32" t="s">
        <v>189</v>
      </c>
      <c r="B31" s="32" t="s">
        <v>196</v>
      </c>
      <c r="C31" s="32" t="s">
        <v>161</v>
      </c>
      <c r="D31" s="59" t="n">
        <v>2608</v>
      </c>
      <c r="E31" s="59" t="n">
        <v>2434</v>
      </c>
      <c r="F31" s="68" t="n">
        <f aca="false">IF(E31="","",D31-E31)</f>
        <v>174</v>
      </c>
      <c r="G31" s="59" t="n">
        <v>2126</v>
      </c>
      <c r="H31" s="59" t="n">
        <v>1955</v>
      </c>
      <c r="I31" s="68" t="n">
        <f aca="false">IF(H31="","",G31-H31)</f>
        <v>171</v>
      </c>
      <c r="J31" s="40" t="n">
        <f aca="false">IF(OR(D31="",D31+G31=0),"",D31/(D31+G31))</f>
        <v>0.550908322771441</v>
      </c>
      <c r="K31" s="40" t="n">
        <f aca="false">IF(E31="","",E31/(E31+H31))</f>
        <v>0.554568238778765</v>
      </c>
      <c r="L31" s="69" t="n">
        <f aca="false">IF(OR(K31="",J31=""),"",(J31-K31)*100)</f>
        <v>-0.36599160073244</v>
      </c>
      <c r="M31" s="36" t="n">
        <v>1.44807452737494</v>
      </c>
      <c r="N31" s="36" t="n">
        <v>1.05181566017852</v>
      </c>
      <c r="O31" s="36" t="n">
        <f aca="false">SQRT(M31^2+N31^2)</f>
        <v>1.78975864848558</v>
      </c>
      <c r="P31" s="40" t="n">
        <f aca="false">IF(J31="","",MAX(0,J31-1.96*O31/100))</f>
        <v>0.515829053261123</v>
      </c>
      <c r="Q31" s="40" t="n">
        <f aca="false">IF(J31="","",MIN(1,J31+1.96*O31/100))</f>
        <v>0.585987592281758</v>
      </c>
      <c r="R31" s="32" t="str">
        <f aca="false">IF(L31="","",IF(ABS(L31)&lt;=O31,"Yes","No"))</f>
        <v>Yes</v>
      </c>
      <c r="S31" s="32" t="str">
        <f aca="false">IF(L31="","",IF(ABS(L31)&lt;=1.96*O31,"Yes","No"))</f>
        <v>Yes</v>
      </c>
      <c r="T31" s="59" t="n">
        <f aca="false">IF(D31="","",ROUND(SQRT(((D31+G31)*O31/100)^2+(J31*(D31+G31)*0.04632)^2),0))</f>
        <v>148</v>
      </c>
      <c r="U31" s="32"/>
    </row>
    <row r="32" customFormat="false" ht="15" hidden="false" customHeight="false" outlineLevel="0" collapsed="false">
      <c r="A32" s="32" t="s">
        <v>189</v>
      </c>
      <c r="B32" s="32" t="s">
        <v>197</v>
      </c>
      <c r="C32" s="32" t="s">
        <v>161</v>
      </c>
      <c r="D32" s="59" t="n">
        <v>931</v>
      </c>
      <c r="E32" s="59" t="n">
        <v>1077</v>
      </c>
      <c r="F32" s="68" t="n">
        <f aca="false">IF(E32="","",D32-E32)</f>
        <v>-146</v>
      </c>
      <c r="G32" s="59" t="n">
        <v>546</v>
      </c>
      <c r="H32" s="59" t="n">
        <v>463</v>
      </c>
      <c r="I32" s="68" t="n">
        <f aca="false">IF(H32="","",G32-H32)</f>
        <v>83</v>
      </c>
      <c r="J32" s="40" t="n">
        <f aca="false">IF(OR(D32="",D32+G32=0),"",D32/(D32+G32))</f>
        <v>0.630331753554502</v>
      </c>
      <c r="K32" s="40" t="n">
        <f aca="false">IF(E32="","",E32/(E32+H32))</f>
        <v>0.699350649350649</v>
      </c>
      <c r="L32" s="69" t="n">
        <f aca="false">IF(OR(K32="",J32=""),"",(J32-K32)*100)</f>
        <v>-6.90188957961471</v>
      </c>
      <c r="M32" s="36" t="n">
        <v>1.87635304542411</v>
      </c>
      <c r="N32" s="36" t="n">
        <v>1.05181566017852</v>
      </c>
      <c r="O32" s="36" t="n">
        <f aca="false">SQRT(M32^2+N32^2)</f>
        <v>2.15105019329375</v>
      </c>
      <c r="P32" s="40" t="n">
        <f aca="false">IF(J32="","",MAX(0,J32-1.96*O32/100))</f>
        <v>0.588171169765945</v>
      </c>
      <c r="Q32" s="40" t="n">
        <f aca="false">IF(J32="","",MIN(1,J32+1.96*O32/100))</f>
        <v>0.67249233734306</v>
      </c>
      <c r="R32" s="32" t="str">
        <f aca="false">IF(L32="","",IF(ABS(L32)&lt;=O32,"Yes","No"))</f>
        <v>No</v>
      </c>
      <c r="S32" s="32" t="str">
        <f aca="false">IF(L32="","",IF(ABS(L32)&lt;=1.96*O32,"Yes","No"))</f>
        <v>No</v>
      </c>
      <c r="T32" s="59" t="n">
        <f aca="false">IF(D32="","",ROUND(SQRT(((D32+G32)*O32/100)^2+(J32*(D32+G32)*0.05402)^2),0))</f>
        <v>59</v>
      </c>
      <c r="U32" s="32"/>
    </row>
    <row r="33" customFormat="false" ht="15" hidden="false" customHeight="false" outlineLevel="0" collapsed="false">
      <c r="A33" s="32" t="s">
        <v>189</v>
      </c>
      <c r="B33" s="32" t="s">
        <v>198</v>
      </c>
      <c r="C33" s="32" t="s">
        <v>161</v>
      </c>
      <c r="D33" s="59" t="n">
        <v>273</v>
      </c>
      <c r="E33" s="59" t="n">
        <v>294</v>
      </c>
      <c r="F33" s="68" t="n">
        <f aca="false">IF(E33="","",D33-E33)</f>
        <v>-21</v>
      </c>
      <c r="G33" s="59" t="n">
        <v>197</v>
      </c>
      <c r="H33" s="59" t="n">
        <v>198</v>
      </c>
      <c r="I33" s="68" t="n">
        <f aca="false">IF(H33="","",G33-H33)</f>
        <v>-1</v>
      </c>
      <c r="J33" s="40" t="n">
        <f aca="false">IF(OR(D33="",D33+G33=0),"",D33/(D33+G33))</f>
        <v>0.580851063829787</v>
      </c>
      <c r="K33" s="40" t="n">
        <f aca="false">IF(E33="","",E33/(E33+H33))</f>
        <v>0.597560975609756</v>
      </c>
      <c r="L33" s="69" t="n">
        <f aca="false">IF(OR(K33="",J33=""),"",(J33-K33)*100)</f>
        <v>-1.67099117799688</v>
      </c>
      <c r="M33" s="36" t="n">
        <v>3.17576510259995</v>
      </c>
      <c r="N33" s="36" t="n">
        <v>1.05181566017852</v>
      </c>
      <c r="O33" s="36" t="n">
        <f aca="false">SQRT(M33^2+N33^2)</f>
        <v>3.34541479788209</v>
      </c>
      <c r="P33" s="40" t="n">
        <f aca="false">IF(J33="","",MAX(0,J33-1.96*O33/100))</f>
        <v>0.515280933791298</v>
      </c>
      <c r="Q33" s="40" t="n">
        <f aca="false">IF(J33="","",MIN(1,J33+1.96*O33/100))</f>
        <v>0.646421193868276</v>
      </c>
      <c r="R33" s="32" t="str">
        <f aca="false">IF(L33="","",IF(ABS(L33)&lt;=O33,"Yes","No"))</f>
        <v>Yes</v>
      </c>
      <c r="S33" s="32" t="str">
        <f aca="false">IF(L33="","",IF(ABS(L33)&lt;=1.96*O33,"Yes","No"))</f>
        <v>Yes</v>
      </c>
      <c r="T33" s="59" t="n">
        <f aca="false">IF(D33="","",ROUND(SQRT(((D33+G33)*O33/100)^2+(J33*(D33+G33)*0.07067)^2),0))</f>
        <v>25</v>
      </c>
      <c r="U33" s="32"/>
    </row>
    <row r="34" customFormat="false" ht="15" hidden="false" customHeight="false" outlineLevel="0" collapsed="false">
      <c r="A34" s="32" t="s">
        <v>189</v>
      </c>
      <c r="B34" s="32" t="s">
        <v>199</v>
      </c>
      <c r="C34" s="32" t="s">
        <v>161</v>
      </c>
      <c r="D34" s="59" t="n">
        <v>503</v>
      </c>
      <c r="E34" s="59" t="n">
        <v>498</v>
      </c>
      <c r="F34" s="68" t="n">
        <f aca="false">IF(E34="","",D34-E34)</f>
        <v>5</v>
      </c>
      <c r="G34" s="59" t="n">
        <v>990</v>
      </c>
      <c r="H34" s="59" t="n">
        <v>876</v>
      </c>
      <c r="I34" s="68" t="n">
        <f aca="false">IF(H34="","",G34-H34)</f>
        <v>114</v>
      </c>
      <c r="J34" s="40" t="n">
        <f aca="false">IF(OR(D34="",D34+G34=0),"",D34/(D34+G34))</f>
        <v>0.336905559276624</v>
      </c>
      <c r="K34" s="40" t="n">
        <f aca="false">IF(E34="","",E34/(E34+H34))</f>
        <v>0.362445414847162</v>
      </c>
      <c r="L34" s="69" t="n">
        <f aca="false">IF(OR(K34="",J34=""),"",(J34-K34)*100)</f>
        <v>-2.55398555705373</v>
      </c>
      <c r="M34" s="36" t="n">
        <v>1.87635304542411</v>
      </c>
      <c r="N34" s="36" t="n">
        <v>1.05181566017852</v>
      </c>
      <c r="O34" s="36" t="n">
        <f aca="false">SQRT(M34^2+N34^2)</f>
        <v>2.15105019329375</v>
      </c>
      <c r="P34" s="40" t="n">
        <f aca="false">IF(J34="","",MAX(0,J34-1.96*O34/100))</f>
        <v>0.294744975488067</v>
      </c>
      <c r="Q34" s="40" t="n">
        <f aca="false">IF(J34="","",MIN(1,J34+1.96*O34/100))</f>
        <v>0.379066143065182</v>
      </c>
      <c r="R34" s="32" t="str">
        <f aca="false">IF(L34="","",IF(ABS(L34)&lt;=O34,"Yes","No"))</f>
        <v>No</v>
      </c>
      <c r="S34" s="32" t="str">
        <f aca="false">IF(L34="","",IF(ABS(L34)&lt;=1.96*O34,"Yes","No"))</f>
        <v>Yes</v>
      </c>
      <c r="T34" s="59" t="n">
        <f aca="false">IF(D34="","",ROUND(SQRT(((D34+G34)*O34/100)^2+(J34*(D34+G34)*0.05402)^2),0))</f>
        <v>42</v>
      </c>
      <c r="U34" s="32"/>
    </row>
    <row r="35" customFormat="false" ht="15" hidden="false" customHeight="false" outlineLevel="0" collapsed="false">
      <c r="A35" s="32" t="s">
        <v>189</v>
      </c>
      <c r="B35" s="32" t="s">
        <v>200</v>
      </c>
      <c r="C35" s="32" t="s">
        <v>161</v>
      </c>
      <c r="D35" s="59" t="n">
        <v>7885</v>
      </c>
      <c r="E35" s="59" t="n">
        <v>7236</v>
      </c>
      <c r="F35" s="68" t="n">
        <f aca="false">IF(E35="","",D35-E35)</f>
        <v>649</v>
      </c>
      <c r="G35" s="59" t="n">
        <v>7030</v>
      </c>
      <c r="H35" s="59" t="n">
        <v>6846</v>
      </c>
      <c r="I35" s="68" t="n">
        <f aca="false">IF(H35="","",G35-H35)</f>
        <v>184</v>
      </c>
      <c r="J35" s="40" t="n">
        <f aca="false">IF(OR(D35="",D35+G35=0),"",D35/(D35+G35))</f>
        <v>0.528662420382166</v>
      </c>
      <c r="K35" s="40" t="n">
        <f aca="false">IF(E35="","",E35/(E35+H35))</f>
        <v>0.513847464848743</v>
      </c>
      <c r="L35" s="69" t="n">
        <f aca="false">IF(OR(K35="",J35=""),"",(J35-K35)*100)</f>
        <v>1.48149555334225</v>
      </c>
      <c r="M35" s="36" t="n">
        <v>1.44807452737494</v>
      </c>
      <c r="N35" s="36" t="n">
        <v>1.05181566017852</v>
      </c>
      <c r="O35" s="36" t="n">
        <f aca="false">SQRT(M35^2+N35^2)</f>
        <v>1.78975864848558</v>
      </c>
      <c r="P35" s="40" t="n">
        <f aca="false">IF(J35="","",MAX(0,J35-1.96*O35/100))</f>
        <v>0.493583150871848</v>
      </c>
      <c r="Q35" s="40" t="n">
        <f aca="false">IF(J35="","",MIN(1,J35+1.96*O35/100))</f>
        <v>0.563741689892483</v>
      </c>
      <c r="R35" s="32" t="str">
        <f aca="false">IF(L35="","",IF(ABS(L35)&lt;=O35,"Yes","No"))</f>
        <v>Yes</v>
      </c>
      <c r="S35" s="32" t="str">
        <f aca="false">IF(L35="","",IF(ABS(L35)&lt;=1.96*O35,"Yes","No"))</f>
        <v>Yes</v>
      </c>
      <c r="T35" s="59" t="n">
        <f aca="false">IF(D35="","",ROUND(SQRT(((D35+G35)*O35/100)^2+(J35*(D35+G35)*0.04632)^2),0))</f>
        <v>452</v>
      </c>
      <c r="U35" s="32"/>
    </row>
    <row r="36" customFormat="false" ht="15" hidden="false" customHeight="false" outlineLevel="0" collapsed="false">
      <c r="A36" s="32" t="s">
        <v>189</v>
      </c>
      <c r="B36" s="32" t="s">
        <v>201</v>
      </c>
      <c r="C36" s="32" t="s">
        <v>161</v>
      </c>
      <c r="D36" s="59" t="n">
        <v>745</v>
      </c>
      <c r="E36" s="59" t="n">
        <v>738</v>
      </c>
      <c r="F36" s="68" t="n">
        <f aca="false">IF(E36="","",D36-E36)</f>
        <v>7</v>
      </c>
      <c r="G36" s="59" t="n">
        <v>1244</v>
      </c>
      <c r="H36" s="59" t="n">
        <v>1114</v>
      </c>
      <c r="I36" s="68" t="n">
        <f aca="false">IF(H36="","",G36-H36)</f>
        <v>130</v>
      </c>
      <c r="J36" s="40" t="n">
        <f aca="false">IF(OR(D36="",D36+G36=0),"",D36/(D36+G36))</f>
        <v>0.374560080442433</v>
      </c>
      <c r="K36" s="40" t="n">
        <f aca="false">IF(E36="","",E36/(E36+H36))</f>
        <v>0.398488120950324</v>
      </c>
      <c r="L36" s="69" t="n">
        <f aca="false">IF(OR(K36="",J36=""),"",(J36-K36)*100)</f>
        <v>-2.39280405078906</v>
      </c>
      <c r="M36" s="36" t="n">
        <v>1.87635304542411</v>
      </c>
      <c r="N36" s="36" t="n">
        <v>1.05181566017852</v>
      </c>
      <c r="O36" s="36" t="n">
        <f aca="false">SQRT(M36^2+N36^2)</f>
        <v>2.15105019329375</v>
      </c>
      <c r="P36" s="40" t="n">
        <f aca="false">IF(J36="","",MAX(0,J36-1.96*O36/100))</f>
        <v>0.332399496653876</v>
      </c>
      <c r="Q36" s="40" t="n">
        <f aca="false">IF(J36="","",MIN(1,J36+1.96*O36/100))</f>
        <v>0.416720664230991</v>
      </c>
      <c r="R36" s="32" t="str">
        <f aca="false">IF(L36="","",IF(ABS(L36)&lt;=O36,"Yes","No"))</f>
        <v>No</v>
      </c>
      <c r="S36" s="32" t="str">
        <f aca="false">IF(L36="","",IF(ABS(L36)&lt;=1.96*O36,"Yes","No"))</f>
        <v>Yes</v>
      </c>
      <c r="T36" s="59" t="n">
        <f aca="false">IF(D36="","",ROUND(SQRT(((D36+G36)*O36/100)^2+(J36*(D36+G36)*0.05402)^2),0))</f>
        <v>59</v>
      </c>
      <c r="U36" s="32"/>
    </row>
    <row r="37" customFormat="false" ht="15" hidden="false" customHeight="false" outlineLevel="0" collapsed="false">
      <c r="A37" s="32" t="s">
        <v>189</v>
      </c>
      <c r="B37" s="32" t="s">
        <v>202</v>
      </c>
      <c r="C37" s="32" t="s">
        <v>161</v>
      </c>
      <c r="D37" s="59" t="n">
        <v>400</v>
      </c>
      <c r="E37" s="59" t="n">
        <v>411</v>
      </c>
      <c r="F37" s="68" t="n">
        <f aca="false">IF(E37="","",D37-E37)</f>
        <v>-11</v>
      </c>
      <c r="G37" s="59" t="n">
        <v>727</v>
      </c>
      <c r="H37" s="59" t="n">
        <v>680</v>
      </c>
      <c r="I37" s="68" t="n">
        <f aca="false">IF(H37="","",G37-H37)</f>
        <v>47</v>
      </c>
      <c r="J37" s="40" t="n">
        <f aca="false">IF(OR(D37="",D37+G37=0),"",D37/(D37+G37))</f>
        <v>0.354924578527063</v>
      </c>
      <c r="K37" s="40" t="n">
        <f aca="false">IF(E37="","",E37/(E37+H37))</f>
        <v>0.376718606782768</v>
      </c>
      <c r="L37" s="69" t="n">
        <f aca="false">IF(OR(K37="",J37=""),"",(J37-K37)*100)</f>
        <v>-2.17940282557051</v>
      </c>
      <c r="M37" s="36" t="n">
        <v>3.17576510259995</v>
      </c>
      <c r="N37" s="36" t="n">
        <v>1.05181566017852</v>
      </c>
      <c r="O37" s="36" t="n">
        <f aca="false">SQRT(M37^2+N37^2)</f>
        <v>3.34541479788209</v>
      </c>
      <c r="P37" s="40" t="n">
        <f aca="false">IF(J37="","",MAX(0,J37-1.96*O37/100))</f>
        <v>0.289354448488574</v>
      </c>
      <c r="Q37" s="40" t="n">
        <f aca="false">IF(J37="","",MIN(1,J37+1.96*O37/100))</f>
        <v>0.420494708565552</v>
      </c>
      <c r="R37" s="32" t="str">
        <f aca="false">IF(L37="","",IF(ABS(L37)&lt;=O37,"Yes","No"))</f>
        <v>Yes</v>
      </c>
      <c r="S37" s="32" t="str">
        <f aca="false">IF(L37="","",IF(ABS(L37)&lt;=1.96*O37,"Yes","No"))</f>
        <v>Yes</v>
      </c>
      <c r="T37" s="59" t="n">
        <f aca="false">IF(D37="","",ROUND(SQRT(((D37+G37)*O37/100)^2+(J37*(D37+G37)*0.07067)^2),0))</f>
        <v>47</v>
      </c>
      <c r="U37" s="32"/>
    </row>
    <row r="38" customFormat="false" ht="15" hidden="false" customHeight="false" outlineLevel="0" collapsed="false">
      <c r="A38" s="32" t="s">
        <v>189</v>
      </c>
      <c r="B38" s="32" t="s">
        <v>203</v>
      </c>
      <c r="C38" s="32" t="s">
        <v>161</v>
      </c>
      <c r="D38" s="59" t="n">
        <v>652</v>
      </c>
      <c r="E38" s="59" t="n">
        <v>623</v>
      </c>
      <c r="F38" s="68" t="n">
        <f aca="false">IF(E38="","",D38-E38)</f>
        <v>29</v>
      </c>
      <c r="G38" s="59" t="n">
        <v>1354</v>
      </c>
      <c r="H38" s="59" t="n">
        <v>1233</v>
      </c>
      <c r="I38" s="68" t="n">
        <f aca="false">IF(H38="","",G38-H38)</f>
        <v>121</v>
      </c>
      <c r="J38" s="40" t="n">
        <f aca="false">IF(OR(D38="",D38+G38=0),"",D38/(D38+G38))</f>
        <v>0.325024925224327</v>
      </c>
      <c r="K38" s="40" t="n">
        <f aca="false">IF(E38="","",E38/(E38+H38))</f>
        <v>0.335668103448276</v>
      </c>
      <c r="L38" s="69" t="n">
        <f aca="false">IF(OR(K38="",J38=""),"",(J38-K38)*100)</f>
        <v>-1.06431782239488</v>
      </c>
      <c r="M38" s="36" t="n">
        <v>1.87635304542411</v>
      </c>
      <c r="N38" s="36" t="n">
        <v>1.05181566017852</v>
      </c>
      <c r="O38" s="36" t="n">
        <f aca="false">SQRT(M38^2+N38^2)</f>
        <v>2.15105019329375</v>
      </c>
      <c r="P38" s="40" t="n">
        <f aca="false">IF(J38="","",MAX(0,J38-1.96*O38/100))</f>
        <v>0.28286434143577</v>
      </c>
      <c r="Q38" s="40" t="n">
        <f aca="false">IF(J38="","",MIN(1,J38+1.96*O38/100))</f>
        <v>0.367185509012885</v>
      </c>
      <c r="R38" s="32" t="str">
        <f aca="false">IF(L38="","",IF(ABS(L38)&lt;=O38,"Yes","No"))</f>
        <v>Yes</v>
      </c>
      <c r="S38" s="32" t="str">
        <f aca="false">IF(L38="","",IF(ABS(L38)&lt;=1.96*O38,"Yes","No"))</f>
        <v>Yes</v>
      </c>
      <c r="T38" s="59" t="n">
        <f aca="false">IF(D38="","",ROUND(SQRT(((D38+G38)*O38/100)^2+(J38*(D38+G38)*0.05402)^2),0))</f>
        <v>56</v>
      </c>
      <c r="U38" s="32"/>
    </row>
    <row r="39" customFormat="false" ht="15" hidden="false" customHeight="false" outlineLevel="0" collapsed="false">
      <c r="A39" s="32" t="s">
        <v>189</v>
      </c>
      <c r="B39" s="32" t="s">
        <v>204</v>
      </c>
      <c r="C39" s="32" t="s">
        <v>161</v>
      </c>
      <c r="D39" s="59" t="n">
        <v>678</v>
      </c>
      <c r="E39" s="59" t="n">
        <v>691</v>
      </c>
      <c r="F39" s="68" t="n">
        <f aca="false">IF(E39="","",D39-E39)</f>
        <v>-13</v>
      </c>
      <c r="G39" s="59" t="n">
        <v>665</v>
      </c>
      <c r="H39" s="59" t="n">
        <v>584</v>
      </c>
      <c r="I39" s="68" t="n">
        <f aca="false">IF(H39="","",G39-H39)</f>
        <v>81</v>
      </c>
      <c r="J39" s="40" t="n">
        <f aca="false">IF(OR(D39="",D39+G39=0),"",D39/(D39+G39))</f>
        <v>0.504839910647803</v>
      </c>
      <c r="K39" s="40" t="n">
        <f aca="false">IF(E39="","",E39/(E39+H39))</f>
        <v>0.541960784313726</v>
      </c>
      <c r="L39" s="69" t="n">
        <f aca="false">IF(OR(K39="",J39=""),"",(J39-K39)*100)</f>
        <v>-3.71208736659221</v>
      </c>
      <c r="M39" s="36" t="n">
        <v>1.87635304542411</v>
      </c>
      <c r="N39" s="36" t="n">
        <v>1.05181566017852</v>
      </c>
      <c r="O39" s="36" t="n">
        <f aca="false">SQRT(M39^2+N39^2)</f>
        <v>2.15105019329375</v>
      </c>
      <c r="P39" s="40" t="n">
        <f aca="false">IF(J39="","",MAX(0,J39-1.96*O39/100))</f>
        <v>0.462679326859246</v>
      </c>
      <c r="Q39" s="40" t="n">
        <f aca="false">IF(J39="","",MIN(1,J39+1.96*O39/100))</f>
        <v>0.547000494436361</v>
      </c>
      <c r="R39" s="32" t="str">
        <f aca="false">IF(L39="","",IF(ABS(L39)&lt;=O39,"Yes","No"))</f>
        <v>No</v>
      </c>
      <c r="S39" s="32" t="str">
        <f aca="false">IF(L39="","",IF(ABS(L39)&lt;=1.96*O39,"Yes","No"))</f>
        <v>Yes</v>
      </c>
      <c r="T39" s="59" t="n">
        <f aca="false">IF(D39="","",ROUND(SQRT(((D39+G39)*O39/100)^2+(J39*(D39+G39)*0.05402)^2),0))</f>
        <v>47</v>
      </c>
      <c r="U39" s="32"/>
    </row>
    <row r="40" customFormat="false" ht="15" hidden="false" customHeight="false" outlineLevel="0" collapsed="false">
      <c r="A40" s="32" t="s">
        <v>189</v>
      </c>
      <c r="B40" s="32" t="s">
        <v>205</v>
      </c>
      <c r="C40" s="32" t="s">
        <v>161</v>
      </c>
      <c r="D40" s="59" t="n">
        <v>3276</v>
      </c>
      <c r="E40" s="59" t="n">
        <v>2780</v>
      </c>
      <c r="F40" s="68" t="n">
        <f aca="false">IF(E40="","",D40-E40)</f>
        <v>496</v>
      </c>
      <c r="G40" s="59" t="n">
        <v>4013</v>
      </c>
      <c r="H40" s="59" t="n">
        <v>3849</v>
      </c>
      <c r="I40" s="68" t="n">
        <f aca="false">IF(H40="","",G40-H40)</f>
        <v>164</v>
      </c>
      <c r="J40" s="40" t="n">
        <f aca="false">IF(OR(D40="",D40+G40=0),"",D40/(D40+G40))</f>
        <v>0.449444368226094</v>
      </c>
      <c r="K40" s="40" t="n">
        <f aca="false">IF(E40="","",E40/(E40+H40))</f>
        <v>0.419369437320863</v>
      </c>
      <c r="L40" s="69" t="n">
        <f aca="false">IF(OR(K40="",J40=""),"",(J40-K40)*100)</f>
        <v>3.00749309052313</v>
      </c>
      <c r="M40" s="36" t="n">
        <v>1.44807452737494</v>
      </c>
      <c r="N40" s="36" t="n">
        <v>1.05181566017852</v>
      </c>
      <c r="O40" s="36" t="n">
        <f aca="false">SQRT(M40^2+N40^2)</f>
        <v>1.78975864848558</v>
      </c>
      <c r="P40" s="40" t="n">
        <f aca="false">IF(J40="","",MAX(0,J40-1.96*O40/100))</f>
        <v>0.414365098715777</v>
      </c>
      <c r="Q40" s="40" t="n">
        <f aca="false">IF(J40="","",MIN(1,J40+1.96*O40/100))</f>
        <v>0.484523637736412</v>
      </c>
      <c r="R40" s="32" t="str">
        <f aca="false">IF(L40="","",IF(ABS(L40)&lt;=O40,"Yes","No"))</f>
        <v>No</v>
      </c>
      <c r="S40" s="32" t="str">
        <f aca="false">IF(L40="","",IF(ABS(L40)&lt;=1.96*O40,"Yes","No"))</f>
        <v>Yes</v>
      </c>
      <c r="T40" s="59" t="n">
        <f aca="false">IF(D40="","",ROUND(SQRT(((D40+G40)*O40/100)^2+(J40*(D40+G40)*0.04632)^2),0))</f>
        <v>200</v>
      </c>
      <c r="U40" s="32"/>
    </row>
    <row r="41" customFormat="false" ht="15" hidden="false" customHeight="false" outlineLevel="0" collapsed="false">
      <c r="A41" s="32" t="s">
        <v>189</v>
      </c>
      <c r="B41" s="32" t="s">
        <v>206</v>
      </c>
      <c r="C41" s="32" t="s">
        <v>161</v>
      </c>
      <c r="D41" s="59" t="n">
        <v>3027</v>
      </c>
      <c r="E41" s="59" t="n">
        <v>2945</v>
      </c>
      <c r="F41" s="68" t="n">
        <f aca="false">IF(E41="","",D41-E41)</f>
        <v>82</v>
      </c>
      <c r="G41" s="59" t="n">
        <v>3093</v>
      </c>
      <c r="H41" s="59" t="n">
        <v>2844</v>
      </c>
      <c r="I41" s="68" t="n">
        <f aca="false">IF(H41="","",G41-H41)</f>
        <v>249</v>
      </c>
      <c r="J41" s="40" t="n">
        <f aca="false">IF(OR(D41="",D41+G41=0),"",D41/(D41+G41))</f>
        <v>0.494607843137255</v>
      </c>
      <c r="K41" s="40" t="n">
        <f aca="false">IF(E41="","",E41/(E41+H41))</f>
        <v>0.50872344100881</v>
      </c>
      <c r="L41" s="69" t="n">
        <f aca="false">IF(OR(K41="",J41=""),"",(J41-K41)*100)</f>
        <v>-1.41155978715549</v>
      </c>
      <c r="M41" s="36" t="n">
        <v>1.44807452737494</v>
      </c>
      <c r="N41" s="36" t="n">
        <v>1.05181566017852</v>
      </c>
      <c r="O41" s="36" t="n">
        <f aca="false">SQRT(M41^2+N41^2)</f>
        <v>1.78975864848558</v>
      </c>
      <c r="P41" s="40" t="n">
        <f aca="false">IF(J41="","",MAX(0,J41-1.96*O41/100))</f>
        <v>0.459528573626938</v>
      </c>
      <c r="Q41" s="40" t="n">
        <f aca="false">IF(J41="","",MIN(1,J41+1.96*O41/100))</f>
        <v>0.529687112647572</v>
      </c>
      <c r="R41" s="32" t="str">
        <f aca="false">IF(L41="","",IF(ABS(L41)&lt;=O41,"Yes","No"))</f>
        <v>Yes</v>
      </c>
      <c r="S41" s="32" t="str">
        <f aca="false">IF(L41="","",IF(ABS(L41)&lt;=1.96*O41,"Yes","No"))</f>
        <v>Yes</v>
      </c>
      <c r="T41" s="59" t="n">
        <f aca="false">IF(D41="","",ROUND(SQRT(((D41+G41)*O41/100)^2+(J41*(D41+G41)*0.04632)^2),0))</f>
        <v>178</v>
      </c>
      <c r="U41" s="32"/>
    </row>
    <row r="42" customFormat="false" ht="15" hidden="false" customHeight="false" outlineLevel="0" collapsed="false">
      <c r="A42" s="32" t="s">
        <v>189</v>
      </c>
      <c r="B42" s="32" t="s">
        <v>207</v>
      </c>
      <c r="C42" s="32" t="s">
        <v>161</v>
      </c>
      <c r="D42" s="59" t="n">
        <v>574</v>
      </c>
      <c r="E42" s="59" t="n">
        <v>537</v>
      </c>
      <c r="F42" s="68" t="n">
        <f aca="false">IF(E42="","",D42-E42)</f>
        <v>37</v>
      </c>
      <c r="G42" s="59" t="n">
        <v>623</v>
      </c>
      <c r="H42" s="59" t="n">
        <v>626</v>
      </c>
      <c r="I42" s="68" t="n">
        <f aca="false">IF(H42="","",G42-H42)</f>
        <v>-3</v>
      </c>
      <c r="J42" s="40" t="n">
        <f aca="false">IF(OR(D42="",D42+G42=0),"",D42/(D42+G42))</f>
        <v>0.47953216374269</v>
      </c>
      <c r="K42" s="40" t="n">
        <f aca="false">IF(E42="","",E42/(E42+H42))</f>
        <v>0.461736887360275</v>
      </c>
      <c r="L42" s="69" t="n">
        <f aca="false">IF(OR(K42="",J42=""),"",(J42-K42)*100)</f>
        <v>1.77952763824149</v>
      </c>
      <c r="M42" s="36" t="n">
        <v>1.87635304542411</v>
      </c>
      <c r="N42" s="36" t="n">
        <v>1.05181566017852</v>
      </c>
      <c r="O42" s="36" t="n">
        <f aca="false">SQRT(M42^2+N42^2)</f>
        <v>2.15105019329375</v>
      </c>
      <c r="P42" s="40" t="n">
        <f aca="false">IF(J42="","",MAX(0,J42-1.96*O42/100))</f>
        <v>0.437371579954133</v>
      </c>
      <c r="Q42" s="40" t="n">
        <f aca="false">IF(J42="","",MIN(1,J42+1.96*O42/100))</f>
        <v>0.521692747531248</v>
      </c>
      <c r="R42" s="32" t="str">
        <f aca="false">IF(L42="","",IF(ABS(L42)&lt;=O42,"Yes","No"))</f>
        <v>Yes</v>
      </c>
      <c r="S42" s="32" t="str">
        <f aca="false">IF(L42="","",IF(ABS(L42)&lt;=1.96*O42,"Yes","No"))</f>
        <v>Yes</v>
      </c>
      <c r="T42" s="59" t="n">
        <f aca="false">IF(D42="","",ROUND(SQRT(((D42+G42)*O42/100)^2+(J42*(D42+G42)*0.05402)^2),0))</f>
        <v>40</v>
      </c>
      <c r="U42" s="32"/>
    </row>
    <row r="43" customFormat="false" ht="15" hidden="false" customHeight="false" outlineLevel="0" collapsed="false">
      <c r="A43" s="32" t="s">
        <v>189</v>
      </c>
      <c r="B43" s="32" t="s">
        <v>208</v>
      </c>
      <c r="C43" s="32" t="s">
        <v>161</v>
      </c>
      <c r="D43" s="59" t="n">
        <v>4957</v>
      </c>
      <c r="E43" s="59" t="n">
        <v>5009</v>
      </c>
      <c r="F43" s="68" t="n">
        <f aca="false">IF(E43="","",D43-E43)</f>
        <v>-52</v>
      </c>
      <c r="G43" s="59" t="n">
        <v>4313</v>
      </c>
      <c r="H43" s="59" t="n">
        <v>3839</v>
      </c>
      <c r="I43" s="68" t="n">
        <f aca="false">IF(H43="","",G43-H43)</f>
        <v>474</v>
      </c>
      <c r="J43" s="40" t="n">
        <f aca="false">IF(OR(D43="",D43+G43=0),"",D43/(D43+G43))</f>
        <v>0.534735706580367</v>
      </c>
      <c r="K43" s="40" t="n">
        <f aca="false">IF(E43="","",E43/(E43+H43))</f>
        <v>0.566116636528029</v>
      </c>
      <c r="L43" s="69" t="n">
        <f aca="false">IF(OR(K43="",J43=""),"",(J43-K43)*100)</f>
        <v>-3.13809299476622</v>
      </c>
      <c r="M43" s="36" t="n">
        <v>1.44807452737494</v>
      </c>
      <c r="N43" s="36" t="n">
        <v>1.05181566017852</v>
      </c>
      <c r="O43" s="36" t="n">
        <f aca="false">SQRT(M43^2+N43^2)</f>
        <v>1.78975864848558</v>
      </c>
      <c r="P43" s="40" t="n">
        <f aca="false">IF(J43="","",MAX(0,J43-1.96*O43/100))</f>
        <v>0.499656437070049</v>
      </c>
      <c r="Q43" s="40" t="n">
        <f aca="false">IF(J43="","",MIN(1,J43+1.96*O43/100))</f>
        <v>0.569814976090684</v>
      </c>
      <c r="R43" s="32" t="str">
        <f aca="false">IF(L43="","",IF(ABS(L43)&lt;=O43,"Yes","No"))</f>
        <v>No</v>
      </c>
      <c r="S43" s="32" t="str">
        <f aca="false">IF(L43="","",IF(ABS(L43)&lt;=1.96*O43,"Yes","No"))</f>
        <v>Yes</v>
      </c>
      <c r="T43" s="59" t="n">
        <f aca="false">IF(D43="","",ROUND(SQRT(((D43+G43)*O43/100)^2+(J43*(D43+G43)*0.04632)^2),0))</f>
        <v>283</v>
      </c>
      <c r="U43" s="32"/>
    </row>
    <row r="44" customFormat="false" ht="15" hidden="false" customHeight="false" outlineLevel="0" collapsed="false">
      <c r="A44" s="32" t="s">
        <v>189</v>
      </c>
      <c r="B44" s="32" t="s">
        <v>209</v>
      </c>
      <c r="C44" s="32" t="s">
        <v>161</v>
      </c>
      <c r="D44" s="59" t="n">
        <v>5452</v>
      </c>
      <c r="E44" s="59" t="n">
        <v>5137</v>
      </c>
      <c r="F44" s="68" t="n">
        <f aca="false">IF(E44="","",D44-E44)</f>
        <v>315</v>
      </c>
      <c r="G44" s="59" t="n">
        <v>4595</v>
      </c>
      <c r="H44" s="59" t="n">
        <v>4495</v>
      </c>
      <c r="I44" s="68" t="n">
        <f aca="false">IF(H44="","",G44-H44)</f>
        <v>100</v>
      </c>
      <c r="J44" s="40" t="n">
        <f aca="false">IF(OR(D44="",D44+G44=0),"",D44/(D44+G44))</f>
        <v>0.542649547128496</v>
      </c>
      <c r="K44" s="40" t="n">
        <f aca="false">IF(E44="","",E44/(E44+H44))</f>
        <v>0.533326411960133</v>
      </c>
      <c r="L44" s="69" t="n">
        <f aca="false">IF(OR(K44="",J44=""),"",(J44-K44)*100)</f>
        <v>0.932313516836325</v>
      </c>
      <c r="M44" s="36" t="n">
        <v>1.44807452737494</v>
      </c>
      <c r="N44" s="36" t="n">
        <v>1.05181566017852</v>
      </c>
      <c r="O44" s="36" t="n">
        <f aca="false">SQRT(M44^2+N44^2)</f>
        <v>1.78975864848558</v>
      </c>
      <c r="P44" s="40" t="n">
        <f aca="false">IF(J44="","",MAX(0,J44-1.96*O44/100))</f>
        <v>0.507570277618179</v>
      </c>
      <c r="Q44" s="40" t="n">
        <f aca="false">IF(J44="","",MIN(1,J44+1.96*O44/100))</f>
        <v>0.577728816638814</v>
      </c>
      <c r="R44" s="32" t="str">
        <f aca="false">IF(L44="","",IF(ABS(L44)&lt;=O44,"Yes","No"))</f>
        <v>Yes</v>
      </c>
      <c r="S44" s="32" t="str">
        <f aca="false">IF(L44="","",IF(ABS(L44)&lt;=1.96*O44,"Yes","No"))</f>
        <v>Yes</v>
      </c>
      <c r="T44" s="59" t="n">
        <f aca="false">IF(D44="","",ROUND(SQRT(((D44+G44)*O44/100)^2+(J44*(D44+G44)*0.04632)^2),0))</f>
        <v>310</v>
      </c>
      <c r="U44" s="32"/>
    </row>
    <row r="45" customFormat="false" ht="15" hidden="false" customHeight="false" outlineLevel="0" collapsed="false">
      <c r="A45" s="32" t="s">
        <v>189</v>
      </c>
      <c r="B45" s="32" t="s">
        <v>210</v>
      </c>
      <c r="C45" s="32" t="s">
        <v>161</v>
      </c>
      <c r="D45" s="59" t="n">
        <v>1739</v>
      </c>
      <c r="E45" s="59" t="n">
        <v>1663</v>
      </c>
      <c r="F45" s="68" t="n">
        <f aca="false">IF(E45="","",D45-E45)</f>
        <v>76</v>
      </c>
      <c r="G45" s="59" t="n">
        <v>2202</v>
      </c>
      <c r="H45" s="59" t="n">
        <v>1974</v>
      </c>
      <c r="I45" s="68" t="n">
        <f aca="false">IF(H45="","",G45-H45)</f>
        <v>228</v>
      </c>
      <c r="J45" s="40" t="n">
        <f aca="false">IF(OR(D45="",D45+G45=0),"",D45/(D45+G45))</f>
        <v>0.44125856381629</v>
      </c>
      <c r="K45" s="40" t="n">
        <f aca="false">IF(E45="","",E45/(E45+H45))</f>
        <v>0.457244982128128</v>
      </c>
      <c r="L45" s="69" t="n">
        <f aca="false">IF(OR(K45="",J45=""),"",(J45-K45)*100)</f>
        <v>-1.59864183118373</v>
      </c>
      <c r="M45" s="36" t="n">
        <v>1.44807452737494</v>
      </c>
      <c r="N45" s="36" t="n">
        <v>1.05181566017852</v>
      </c>
      <c r="O45" s="36" t="n">
        <f aca="false">SQRT(M45^2+N45^2)</f>
        <v>1.78975864848558</v>
      </c>
      <c r="P45" s="40" t="n">
        <f aca="false">IF(J45="","",MAX(0,J45-1.96*O45/100))</f>
        <v>0.406179294305973</v>
      </c>
      <c r="Q45" s="40" t="n">
        <f aca="false">IF(J45="","",MIN(1,J45+1.96*O45/100))</f>
        <v>0.476337833326608</v>
      </c>
      <c r="R45" s="32" t="str">
        <f aca="false">IF(L45="","",IF(ABS(L45)&lt;=O45,"Yes","No"))</f>
        <v>Yes</v>
      </c>
      <c r="S45" s="32" t="str">
        <f aca="false">IF(L45="","",IF(ABS(L45)&lt;=1.96*O45,"Yes","No"))</f>
        <v>Yes</v>
      </c>
      <c r="T45" s="59" t="n">
        <f aca="false">IF(D45="","",ROUND(SQRT(((D45+G45)*O45/100)^2+(J45*(D45+G45)*0.04632)^2),0))</f>
        <v>107</v>
      </c>
      <c r="U45" s="32"/>
    </row>
    <row r="46" customFormat="false" ht="15" hidden="false" customHeight="false" outlineLevel="0" collapsed="false">
      <c r="A46" s="32" t="s">
        <v>189</v>
      </c>
      <c r="B46" s="32" t="s">
        <v>211</v>
      </c>
      <c r="C46" s="32" t="s">
        <v>161</v>
      </c>
      <c r="D46" s="59" t="n">
        <v>3949</v>
      </c>
      <c r="E46" s="59" t="n">
        <v>3652</v>
      </c>
      <c r="F46" s="68" t="n">
        <f aca="false">IF(E46="","",D46-E46)</f>
        <v>297</v>
      </c>
      <c r="G46" s="59" t="n">
        <v>4100</v>
      </c>
      <c r="H46" s="59" t="n">
        <v>3768</v>
      </c>
      <c r="I46" s="68" t="n">
        <f aca="false">IF(H46="","",G46-H46)</f>
        <v>332</v>
      </c>
      <c r="J46" s="40" t="n">
        <f aca="false">IF(OR(D46="",D46+G46=0),"",D46/(D46+G46))</f>
        <v>0.490619952789166</v>
      </c>
      <c r="K46" s="40" t="n">
        <f aca="false">IF(E46="","",E46/(E46+H46))</f>
        <v>0.492183288409704</v>
      </c>
      <c r="L46" s="69" t="n">
        <f aca="false">IF(OR(K46="",J46=""),"",(J46-K46)*100)</f>
        <v>-0.156333562053712</v>
      </c>
      <c r="M46" s="36" t="n">
        <v>1.44807452737494</v>
      </c>
      <c r="N46" s="36" t="n">
        <v>1.05181566017852</v>
      </c>
      <c r="O46" s="36" t="n">
        <f aca="false">SQRT(M46^2+N46^2)</f>
        <v>1.78975864848558</v>
      </c>
      <c r="P46" s="40" t="n">
        <f aca="false">IF(J46="","",MAX(0,J46-1.96*O46/100))</f>
        <v>0.455540683278849</v>
      </c>
      <c r="Q46" s="40" t="n">
        <f aca="false">IF(J46="","",MIN(1,J46+1.96*O46/100))</f>
        <v>0.525699222299484</v>
      </c>
      <c r="R46" s="32" t="str">
        <f aca="false">IF(L46="","",IF(ABS(L46)&lt;=O46,"Yes","No"))</f>
        <v>Yes</v>
      </c>
      <c r="S46" s="32" t="str">
        <f aca="false">IF(L46="","",IF(ABS(L46)&lt;=1.96*O46,"Yes","No"))</f>
        <v>Yes</v>
      </c>
      <c r="T46" s="59" t="n">
        <f aca="false">IF(D46="","",ROUND(SQRT(((D46+G46)*O46/100)^2+(J46*(D46+G46)*0.04632)^2),0))</f>
        <v>233</v>
      </c>
      <c r="U46" s="32"/>
    </row>
    <row r="47" customFormat="false" ht="15" hidden="false" customHeight="false" outlineLevel="0" collapsed="false">
      <c r="A47" s="32" t="s">
        <v>189</v>
      </c>
      <c r="B47" s="32" t="s">
        <v>212</v>
      </c>
      <c r="C47" s="32" t="s">
        <v>161</v>
      </c>
      <c r="D47" s="59" t="n">
        <v>997</v>
      </c>
      <c r="E47" s="59" t="n">
        <v>875</v>
      </c>
      <c r="F47" s="68" t="n">
        <f aca="false">IF(E47="","",D47-E47)</f>
        <v>122</v>
      </c>
      <c r="G47" s="59" t="n">
        <v>1798</v>
      </c>
      <c r="H47" s="59" t="n">
        <v>1592</v>
      </c>
      <c r="I47" s="68" t="n">
        <f aca="false">IF(H47="","",G47-H47)</f>
        <v>206</v>
      </c>
      <c r="J47" s="40" t="n">
        <f aca="false">IF(OR(D47="",D47+G47=0),"",D47/(D47+G47))</f>
        <v>0.356708407871199</v>
      </c>
      <c r="K47" s="40" t="n">
        <f aca="false">IF(E47="","",E47/(E47+H47))</f>
        <v>0.35468179975679</v>
      </c>
      <c r="L47" s="69" t="n">
        <f aca="false">IF(OR(K47="",J47=""),"",(J47-K47)*100)</f>
        <v>0.202660811440891</v>
      </c>
      <c r="M47" s="36" t="n">
        <v>1.44807452737494</v>
      </c>
      <c r="N47" s="36" t="n">
        <v>1.05181566017852</v>
      </c>
      <c r="O47" s="36" t="n">
        <f aca="false">SQRT(M47^2+N47^2)</f>
        <v>1.78975864848558</v>
      </c>
      <c r="P47" s="40" t="n">
        <f aca="false">IF(J47="","",MAX(0,J47-1.96*O47/100))</f>
        <v>0.321629138360881</v>
      </c>
      <c r="Q47" s="40" t="n">
        <f aca="false">IF(J47="","",MIN(1,J47+1.96*O47/100))</f>
        <v>0.391787677381516</v>
      </c>
      <c r="R47" s="32" t="str">
        <f aca="false">IF(L47="","",IF(ABS(L47)&lt;=O47,"Yes","No"))</f>
        <v>Yes</v>
      </c>
      <c r="S47" s="32" t="str">
        <f aca="false">IF(L47="","",IF(ABS(L47)&lt;=1.96*O47,"Yes","No"))</f>
        <v>Yes</v>
      </c>
      <c r="T47" s="59" t="n">
        <f aca="false">IF(D47="","",ROUND(SQRT(((D47+G47)*O47/100)^2+(J47*(D47+G47)*0.04632)^2),0))</f>
        <v>68</v>
      </c>
      <c r="U47" s="32"/>
    </row>
    <row r="48" customFormat="false" ht="15" hidden="false" customHeight="false" outlineLevel="0" collapsed="false">
      <c r="A48" s="32" t="s">
        <v>189</v>
      </c>
      <c r="B48" s="32" t="s">
        <v>213</v>
      </c>
      <c r="C48" s="32" t="s">
        <v>161</v>
      </c>
      <c r="D48" s="59" t="n">
        <v>836</v>
      </c>
      <c r="E48" s="59" t="n">
        <v>822</v>
      </c>
      <c r="F48" s="68" t="n">
        <f aca="false">IF(E48="","",D48-E48)</f>
        <v>14</v>
      </c>
      <c r="G48" s="59" t="n">
        <v>1656</v>
      </c>
      <c r="H48" s="59" t="n">
        <v>1519</v>
      </c>
      <c r="I48" s="68" t="n">
        <f aca="false">IF(H48="","",G48-H48)</f>
        <v>137</v>
      </c>
      <c r="J48" s="40" t="n">
        <f aca="false">IF(OR(D48="",D48+G48=0),"",D48/(D48+G48))</f>
        <v>0.335473515248796</v>
      </c>
      <c r="K48" s="40" t="n">
        <f aca="false">IF(E48="","",E48/(E48+H48))</f>
        <v>0.351131994873986</v>
      </c>
      <c r="L48" s="69" t="n">
        <f aca="false">IF(OR(K48="",J48=""),"",(J48-K48)*100)</f>
        <v>-1.56584796251893</v>
      </c>
      <c r="M48" s="36" t="n">
        <v>1.87635304542411</v>
      </c>
      <c r="N48" s="36" t="n">
        <v>1.05181566017852</v>
      </c>
      <c r="O48" s="36" t="n">
        <f aca="false">SQRT(M48^2+N48^2)</f>
        <v>2.15105019329375</v>
      </c>
      <c r="P48" s="40" t="n">
        <f aca="false">IF(J48="","",MAX(0,J48-1.96*O48/100))</f>
        <v>0.293312931460239</v>
      </c>
      <c r="Q48" s="40" t="n">
        <f aca="false">IF(J48="","",MIN(1,J48+1.96*O48/100))</f>
        <v>0.377634099037354</v>
      </c>
      <c r="R48" s="32" t="str">
        <f aca="false">IF(L48="","",IF(ABS(L48)&lt;=O48,"Yes","No"))</f>
        <v>Yes</v>
      </c>
      <c r="S48" s="32" t="str">
        <f aca="false">IF(L48="","",IF(ABS(L48)&lt;=1.96*O48,"Yes","No"))</f>
        <v>Yes</v>
      </c>
      <c r="T48" s="59" t="n">
        <f aca="false">IF(D48="","",ROUND(SQRT(((D48+G48)*O48/100)^2+(J48*(D48+G48)*0.05402)^2),0))</f>
        <v>70</v>
      </c>
      <c r="U48" s="32"/>
    </row>
    <row r="49" customFormat="false" ht="15" hidden="false" customHeight="false" outlineLevel="0" collapsed="false">
      <c r="A49" s="32" t="s">
        <v>189</v>
      </c>
      <c r="B49" s="32" t="s">
        <v>214</v>
      </c>
      <c r="C49" s="32" t="s">
        <v>161</v>
      </c>
      <c r="D49" s="59" t="n">
        <v>5204</v>
      </c>
      <c r="E49" s="59" t="n">
        <v>5195</v>
      </c>
      <c r="F49" s="68" t="n">
        <f aca="false">IF(E49="","",D49-E49)</f>
        <v>9</v>
      </c>
      <c r="G49" s="59" t="n">
        <v>4467</v>
      </c>
      <c r="H49" s="59" t="n">
        <v>4070</v>
      </c>
      <c r="I49" s="68" t="n">
        <f aca="false">IF(H49="","",G49-H49)</f>
        <v>397</v>
      </c>
      <c r="J49" s="40" t="n">
        <f aca="false">IF(OR(D49="",D49+G49=0),"",D49/(D49+G49))</f>
        <v>0.538103608727122</v>
      </c>
      <c r="K49" s="40" t="n">
        <f aca="false">IF(E49="","",E49/(E49+H49))</f>
        <v>0.560712358337831</v>
      </c>
      <c r="L49" s="69" t="n">
        <f aca="false">IF(OR(K49="",J49=""),"",(J49-K49)*100)</f>
        <v>-2.26087496107081</v>
      </c>
      <c r="M49" s="36" t="n">
        <v>1.44807452737494</v>
      </c>
      <c r="N49" s="36" t="n">
        <v>1.05181566017852</v>
      </c>
      <c r="O49" s="36" t="n">
        <f aca="false">SQRT(M49^2+N49^2)</f>
        <v>1.78975864848558</v>
      </c>
      <c r="P49" s="40" t="n">
        <f aca="false">IF(J49="","",MAX(0,J49-1.96*O49/100))</f>
        <v>0.503024339216805</v>
      </c>
      <c r="Q49" s="40" t="n">
        <f aca="false">IF(J49="","",MIN(1,J49+1.96*O49/100))</f>
        <v>0.57318287823744</v>
      </c>
      <c r="R49" s="32" t="str">
        <f aca="false">IF(L49="","",IF(ABS(L49)&lt;=O49,"Yes","No"))</f>
        <v>No</v>
      </c>
      <c r="S49" s="32" t="str">
        <f aca="false">IF(L49="","",IF(ABS(L49)&lt;=1.96*O49,"Yes","No"))</f>
        <v>Yes</v>
      </c>
      <c r="T49" s="59" t="n">
        <f aca="false">IF(D49="","",ROUND(SQRT(((D49+G49)*O49/100)^2+(J49*(D49+G49)*0.04632)^2),0))</f>
        <v>297</v>
      </c>
      <c r="U49" s="32"/>
    </row>
    <row r="50" customFormat="false" ht="15" hidden="false" customHeight="false" outlineLevel="0" collapsed="false">
      <c r="A50" s="32" t="s">
        <v>215</v>
      </c>
      <c r="B50" s="32" t="s">
        <v>216</v>
      </c>
      <c r="C50" s="32" t="s">
        <v>161</v>
      </c>
      <c r="D50" s="59" t="n">
        <v>398</v>
      </c>
      <c r="E50" s="59" t="n">
        <v>330</v>
      </c>
      <c r="F50" s="68" t="n">
        <f aca="false">IF(E50="","",D50-E50)</f>
        <v>68</v>
      </c>
      <c r="G50" s="59" t="n">
        <v>690</v>
      </c>
      <c r="H50" s="59" t="n">
        <v>632</v>
      </c>
      <c r="I50" s="68" t="n">
        <f aca="false">IF(H50="","",G50-H50)</f>
        <v>58</v>
      </c>
      <c r="J50" s="40" t="n">
        <f aca="false">IF(OR(D50="",D50+G50=0),"",D50/(D50+G50))</f>
        <v>0.365808823529412</v>
      </c>
      <c r="K50" s="40" t="n">
        <f aca="false">IF(E50="","",E50/(E50+H50))</f>
        <v>0.343035343035343</v>
      </c>
      <c r="L50" s="69" t="n">
        <f aca="false">IF(OR(K50="",J50=""),"",(J50-K50)*100)</f>
        <v>2.27734804940687</v>
      </c>
      <c r="M50" s="36" t="n">
        <v>3.17576510259995</v>
      </c>
      <c r="N50" s="36" t="n">
        <v>1.05181566017852</v>
      </c>
      <c r="O50" s="36" t="n">
        <f aca="false">SQRT(M50^2+N50^2)</f>
        <v>3.34541479788209</v>
      </c>
      <c r="P50" s="40" t="n">
        <f aca="false">IF(J50="","",MAX(0,J50-1.96*O50/100))</f>
        <v>0.300238693490923</v>
      </c>
      <c r="Q50" s="40" t="n">
        <f aca="false">IF(J50="","",MIN(1,J50+1.96*O50/100))</f>
        <v>0.431378953567901</v>
      </c>
      <c r="R50" s="32" t="str">
        <f aca="false">IF(L50="","",IF(ABS(L50)&lt;=O50,"Yes","No"))</f>
        <v>Yes</v>
      </c>
      <c r="S50" s="32" t="str">
        <f aca="false">IF(L50="","",IF(ABS(L50)&lt;=1.96*O50,"Yes","No"))</f>
        <v>Yes</v>
      </c>
      <c r="T50" s="59" t="n">
        <f aca="false">IF(D50="","",ROUND(SQRT(((D50+G50)*O50/100)^2+(J50*(D50+G50)*0.07067)^2),0))</f>
        <v>46</v>
      </c>
      <c r="U50" s="32"/>
    </row>
    <row r="51" customFormat="false" ht="15" hidden="false" customHeight="false" outlineLevel="0" collapsed="false">
      <c r="A51" s="32" t="s">
        <v>215</v>
      </c>
      <c r="B51" s="32" t="s">
        <v>218</v>
      </c>
      <c r="C51" s="32" t="s">
        <v>161</v>
      </c>
      <c r="D51" s="59" t="n">
        <v>1047</v>
      </c>
      <c r="E51" s="59" t="n">
        <v>1009</v>
      </c>
      <c r="F51" s="68" t="n">
        <f aca="false">IF(E51="","",D51-E51)</f>
        <v>38</v>
      </c>
      <c r="G51" s="59" t="n">
        <v>1626</v>
      </c>
      <c r="H51" s="59" t="n">
        <v>1471</v>
      </c>
      <c r="I51" s="68" t="n">
        <f aca="false">IF(H51="","",G51-H51)</f>
        <v>155</v>
      </c>
      <c r="J51" s="40" t="n">
        <f aca="false">IF(OR(D51="",D51+G51=0),"",D51/(D51+G51))</f>
        <v>0.391694725028058</v>
      </c>
      <c r="K51" s="40" t="n">
        <f aca="false">IF(E51="","",E51/(E51+H51))</f>
        <v>0.406854838709677</v>
      </c>
      <c r="L51" s="69" t="n">
        <f aca="false">IF(OR(K51="",J51=""),"",(J51-K51)*100)</f>
        <v>-1.51601136816191</v>
      </c>
      <c r="M51" s="36" t="n">
        <v>1.44807452737494</v>
      </c>
      <c r="N51" s="36" t="n">
        <v>1.05181566017852</v>
      </c>
      <c r="O51" s="36" t="n">
        <f aca="false">SQRT(M51^2+N51^2)</f>
        <v>1.78975864848558</v>
      </c>
      <c r="P51" s="40" t="n">
        <f aca="false">IF(J51="","",MAX(0,J51-1.96*O51/100))</f>
        <v>0.356615455517741</v>
      </c>
      <c r="Q51" s="40" t="n">
        <f aca="false">IF(J51="","",MIN(1,J51+1.96*O51/100))</f>
        <v>0.426773994538376</v>
      </c>
      <c r="R51" s="32" t="str">
        <f aca="false">IF(L51="","",IF(ABS(L51)&lt;=O51,"Yes","No"))</f>
        <v>Yes</v>
      </c>
      <c r="S51" s="32" t="str">
        <f aca="false">IF(L51="","",IF(ABS(L51)&lt;=1.96*O51,"Yes","No"))</f>
        <v>Yes</v>
      </c>
      <c r="T51" s="59" t="n">
        <f aca="false">IF(D51="","",ROUND(SQRT(((D51+G51)*O51/100)^2+(J51*(D51+G51)*0.04632)^2),0))</f>
        <v>68</v>
      </c>
      <c r="U51" s="32" t="s">
        <v>433</v>
      </c>
    </row>
    <row r="52" customFormat="false" ht="15" hidden="false" customHeight="false" outlineLevel="0" collapsed="false">
      <c r="A52" s="32" t="s">
        <v>215</v>
      </c>
      <c r="B52" s="32" t="s">
        <v>219</v>
      </c>
      <c r="C52" s="32" t="s">
        <v>161</v>
      </c>
      <c r="D52" s="59" t="n">
        <v>422</v>
      </c>
      <c r="E52" s="59" t="n">
        <v>358</v>
      </c>
      <c r="F52" s="68" t="n">
        <f aca="false">IF(E52="","",D52-E52)</f>
        <v>64</v>
      </c>
      <c r="G52" s="59" t="n">
        <v>687</v>
      </c>
      <c r="H52" s="59" t="n">
        <v>503</v>
      </c>
      <c r="I52" s="68" t="n">
        <f aca="false">IF(H52="","",G52-H52)</f>
        <v>184</v>
      </c>
      <c r="J52" s="40" t="n">
        <f aca="false">IF(OR(D52="",D52+G52=0),"",D52/(D52+G52))</f>
        <v>0.380522993688007</v>
      </c>
      <c r="K52" s="40" t="n">
        <f aca="false">IF(E52="","",E52/(E52+H52))</f>
        <v>0.415795586527294</v>
      </c>
      <c r="L52" s="69" t="n">
        <f aca="false">IF(OR(K52="",J52=""),"",(J52-K52)*100)</f>
        <v>-3.52725928392866</v>
      </c>
      <c r="M52" s="36" t="n">
        <v>3.17576510259995</v>
      </c>
      <c r="N52" s="36" t="n">
        <v>1.05181566017852</v>
      </c>
      <c r="O52" s="36" t="n">
        <f aca="false">SQRT(M52^2+N52^2)</f>
        <v>3.34541479788209</v>
      </c>
      <c r="P52" s="40" t="n">
        <f aca="false">IF(J52="","",MAX(0,J52-1.96*O52/100))</f>
        <v>0.314952863649518</v>
      </c>
      <c r="Q52" s="40" t="n">
        <f aca="false">IF(J52="","",MIN(1,J52+1.96*O52/100))</f>
        <v>0.446093123726496</v>
      </c>
      <c r="R52" s="32" t="str">
        <f aca="false">IF(L52="","",IF(ABS(L52)&lt;=O52,"Yes","No"))</f>
        <v>No</v>
      </c>
      <c r="S52" s="32" t="str">
        <f aca="false">IF(L52="","",IF(ABS(L52)&lt;=1.96*O52,"Yes","No"))</f>
        <v>Yes</v>
      </c>
      <c r="T52" s="59" t="n">
        <f aca="false">IF(D52="","",ROUND(SQRT(((D52+G52)*O52/100)^2+(J52*(D52+G52)*0.07067)^2),0))</f>
        <v>48</v>
      </c>
      <c r="U52" s="32" t="s">
        <v>434</v>
      </c>
    </row>
    <row r="53" customFormat="false" ht="15" hidden="false" customHeight="false" outlineLevel="0" collapsed="false">
      <c r="A53" s="32" t="s">
        <v>220</v>
      </c>
      <c r="B53" s="32" t="s">
        <v>221</v>
      </c>
      <c r="C53" s="32" t="s">
        <v>161</v>
      </c>
      <c r="D53" s="59" t="n">
        <v>1051</v>
      </c>
      <c r="E53" s="59" t="n">
        <v>908</v>
      </c>
      <c r="F53" s="68" t="n">
        <f aca="false">IF(E53="","",D53-E53)</f>
        <v>143</v>
      </c>
      <c r="G53" s="59" t="n">
        <v>1280</v>
      </c>
      <c r="H53" s="59" t="n">
        <v>1196</v>
      </c>
      <c r="I53" s="68" t="n">
        <f aca="false">IF(H53="","",G53-H53)</f>
        <v>84</v>
      </c>
      <c r="J53" s="40" t="n">
        <f aca="false">IF(OR(D53="",D53+G53=0),"",D53/(D53+G53))</f>
        <v>0.450879450879451</v>
      </c>
      <c r="K53" s="40" t="n">
        <f aca="false">IF(E53="","",E53/(E53+H53))</f>
        <v>0.431558935361217</v>
      </c>
      <c r="L53" s="69" t="n">
        <f aca="false">IF(OR(K53="",J53=""),"",(J53-K53)*100)</f>
        <v>1.93205155182341</v>
      </c>
      <c r="M53" s="36" t="n">
        <v>1.87635304542411</v>
      </c>
      <c r="N53" s="36" t="n">
        <v>1.05181566017852</v>
      </c>
      <c r="O53" s="36" t="n">
        <f aca="false">SQRT(M53^2+N53^2)</f>
        <v>2.15105019329375</v>
      </c>
      <c r="P53" s="40" t="n">
        <f aca="false">IF(J53="","",MAX(0,J53-1.96*O53/100))</f>
        <v>0.408718867090893</v>
      </c>
      <c r="Q53" s="40" t="n">
        <f aca="false">IF(J53="","",MIN(1,J53+1.96*O53/100))</f>
        <v>0.493040034668008</v>
      </c>
      <c r="R53" s="32" t="str">
        <f aca="false">IF(L53="","",IF(ABS(L53)&lt;=O53,"Yes","No"))</f>
        <v>Yes</v>
      </c>
      <c r="S53" s="32" t="str">
        <f aca="false">IF(L53="","",IF(ABS(L53)&lt;=1.96*O53,"Yes","No"))</f>
        <v>Yes</v>
      </c>
      <c r="T53" s="59" t="n">
        <f aca="false">IF(D53="","",ROUND(SQRT(((D53+G53)*O53/100)^2+(J53*(D53+G53)*0.05402)^2),0))</f>
        <v>76</v>
      </c>
      <c r="U53" s="32"/>
    </row>
    <row r="54" customFormat="false" ht="15" hidden="false" customHeight="false" outlineLevel="0" collapsed="false">
      <c r="A54" s="32" t="s">
        <v>220</v>
      </c>
      <c r="B54" s="32" t="s">
        <v>222</v>
      </c>
      <c r="C54" s="32" t="s">
        <v>161</v>
      </c>
      <c r="D54" s="59" t="n">
        <v>710</v>
      </c>
      <c r="E54" s="59" t="n">
        <v>701</v>
      </c>
      <c r="F54" s="68" t="n">
        <f aca="false">IF(E54="","",D54-E54)</f>
        <v>9</v>
      </c>
      <c r="G54" s="59" t="n">
        <v>849</v>
      </c>
      <c r="H54" s="59" t="n">
        <v>780</v>
      </c>
      <c r="I54" s="68" t="n">
        <f aca="false">IF(H54="","",G54-H54)</f>
        <v>69</v>
      </c>
      <c r="J54" s="40" t="n">
        <f aca="false">IF(OR(D54="",D54+G54=0),"",D54/(D54+G54))</f>
        <v>0.4554201411161</v>
      </c>
      <c r="K54" s="40" t="n">
        <f aca="false">IF(E54="","",E54/(E54+H54))</f>
        <v>0.473328831870358</v>
      </c>
      <c r="L54" s="69" t="n">
        <f aca="false">IF(OR(K54="",J54=""),"",(J54-K54)*100)</f>
        <v>-1.79086907542578</v>
      </c>
      <c r="M54" s="36" t="n">
        <v>1.87635304542411</v>
      </c>
      <c r="N54" s="36" t="n">
        <v>1.05181566017852</v>
      </c>
      <c r="O54" s="36" t="n">
        <f aca="false">SQRT(M54^2+N54^2)</f>
        <v>2.15105019329375</v>
      </c>
      <c r="P54" s="40" t="n">
        <f aca="false">IF(J54="","",MAX(0,J54-1.96*O54/100))</f>
        <v>0.413259557327543</v>
      </c>
      <c r="Q54" s="40" t="n">
        <f aca="false">IF(J54="","",MIN(1,J54+1.96*O54/100))</f>
        <v>0.497580724904658</v>
      </c>
      <c r="R54" s="32" t="str">
        <f aca="false">IF(L54="","",IF(ABS(L54)&lt;=O54,"Yes","No"))</f>
        <v>Yes</v>
      </c>
      <c r="S54" s="32" t="str">
        <f aca="false">IF(L54="","",IF(ABS(L54)&lt;=1.96*O54,"Yes","No"))</f>
        <v>Yes</v>
      </c>
      <c r="T54" s="59" t="n">
        <f aca="false">IF(D54="","",ROUND(SQRT(((D54+G54)*O54/100)^2+(J54*(D54+G54)*0.05402)^2),0))</f>
        <v>51</v>
      </c>
      <c r="U54" s="32"/>
    </row>
    <row r="55" customFormat="false" ht="15" hidden="false" customHeight="false" outlineLevel="0" collapsed="false">
      <c r="A55" s="32" t="s">
        <v>220</v>
      </c>
      <c r="B55" s="32" t="s">
        <v>223</v>
      </c>
      <c r="C55" s="32" t="s">
        <v>161</v>
      </c>
      <c r="D55" s="59" t="n">
        <v>432</v>
      </c>
      <c r="E55" s="59" t="n">
        <v>368</v>
      </c>
      <c r="F55" s="68" t="n">
        <f aca="false">IF(E55="","",D55-E55)</f>
        <v>64</v>
      </c>
      <c r="G55" s="59" t="n">
        <v>415</v>
      </c>
      <c r="H55" s="59" t="n">
        <v>408</v>
      </c>
      <c r="I55" s="68" t="n">
        <f aca="false">IF(H55="","",G55-H55)</f>
        <v>7</v>
      </c>
      <c r="J55" s="40" t="n">
        <f aca="false">IF(OR(D55="",D55+G55=0),"",D55/(D55+G55))</f>
        <v>0.510035419126328</v>
      </c>
      <c r="K55" s="40" t="n">
        <f aca="false">IF(E55="","",E55/(E55+H55))</f>
        <v>0.474226804123711</v>
      </c>
      <c r="L55" s="69" t="n">
        <f aca="false">IF(OR(K55="",J55=""),"",(J55-K55)*100)</f>
        <v>3.58086150026169</v>
      </c>
      <c r="M55" s="36" t="n">
        <v>3.17576510259995</v>
      </c>
      <c r="N55" s="36" t="n">
        <v>1.05181566017852</v>
      </c>
      <c r="O55" s="36" t="n">
        <f aca="false">SQRT(M55^2+N55^2)</f>
        <v>3.34541479788209</v>
      </c>
      <c r="P55" s="40" t="n">
        <f aca="false">IF(J55="","",MAX(0,J55-1.96*O55/100))</f>
        <v>0.444465289087839</v>
      </c>
      <c r="Q55" s="40" t="n">
        <f aca="false">IF(J55="","",MIN(1,J55+1.96*O55/100))</f>
        <v>0.575605549164817</v>
      </c>
      <c r="R55" s="32" t="str">
        <f aca="false">IF(L55="","",IF(ABS(L55)&lt;=O55,"Yes","No"))</f>
        <v>No</v>
      </c>
      <c r="S55" s="32" t="str">
        <f aca="false">IF(L55="","",IF(ABS(L55)&lt;=1.96*O55,"Yes","No"))</f>
        <v>Yes</v>
      </c>
      <c r="T55" s="59" t="n">
        <f aca="false">IF(D55="","",ROUND(SQRT(((D55+G55)*O55/100)^2+(J55*(D55+G55)*0.07067)^2),0))</f>
        <v>42</v>
      </c>
      <c r="U55" s="32"/>
    </row>
    <row r="56" customFormat="false" ht="15" hidden="false" customHeight="false" outlineLevel="0" collapsed="false">
      <c r="A56" s="32" t="s">
        <v>220</v>
      </c>
      <c r="B56" s="32" t="s">
        <v>192</v>
      </c>
      <c r="C56" s="32" t="s">
        <v>161</v>
      </c>
      <c r="D56" s="59" t="n">
        <v>11645</v>
      </c>
      <c r="E56" s="59" t="n">
        <v>12121</v>
      </c>
      <c r="F56" s="68" t="n">
        <f aca="false">IF(E56="","",D56-E56)</f>
        <v>-476</v>
      </c>
      <c r="G56" s="59" t="n">
        <v>5818</v>
      </c>
      <c r="H56" s="59" t="n">
        <v>4931</v>
      </c>
      <c r="I56" s="68" t="n">
        <f aca="false">IF(H56="","",G56-H56)</f>
        <v>887</v>
      </c>
      <c r="J56" s="40" t="n">
        <f aca="false">IF(OR(D56="",D56+G56=0),"",D56/(D56+G56))</f>
        <v>0.666838458455019</v>
      </c>
      <c r="K56" s="40" t="n">
        <f aca="false">IF(E56="","",E56/(E56+H56))</f>
        <v>0.710825709594183</v>
      </c>
      <c r="L56" s="69" t="n">
        <f aca="false">IF(OR(K56="",J56=""),"",(J56-K56)*100)</f>
        <v>-4.39872511391632</v>
      </c>
      <c r="M56" s="36" t="n">
        <v>1.44807452737494</v>
      </c>
      <c r="N56" s="36" t="n">
        <v>1.05181566017852</v>
      </c>
      <c r="O56" s="36" t="n">
        <f aca="false">SQRT(M56^2+N56^2)</f>
        <v>1.78975864848558</v>
      </c>
      <c r="P56" s="40" t="n">
        <f aca="false">IF(J56="","",MAX(0,J56-1.96*O56/100))</f>
        <v>0.631759188944702</v>
      </c>
      <c r="Q56" s="40" t="n">
        <f aca="false">IF(J56="","",MIN(1,J56+1.96*O56/100))</f>
        <v>0.701917727965337</v>
      </c>
      <c r="R56" s="32" t="str">
        <f aca="false">IF(L56="","",IF(ABS(L56)&lt;=O56,"Yes","No"))</f>
        <v>No</v>
      </c>
      <c r="S56" s="32" t="str">
        <f aca="false">IF(L56="","",IF(ABS(L56)&lt;=1.96*O56,"Yes","No"))</f>
        <v>No</v>
      </c>
      <c r="T56" s="59" t="n">
        <f aca="false">IF(D56="","",ROUND(SQRT(((D56+G56)*O56/100)^2+(J56*(D56+G56)*0.04632)^2),0))</f>
        <v>623</v>
      </c>
      <c r="U56" s="32"/>
    </row>
    <row r="57" customFormat="false" ht="15" hidden="false" customHeight="false" outlineLevel="0" collapsed="false">
      <c r="A57" s="32" t="s">
        <v>220</v>
      </c>
      <c r="B57" s="32" t="s">
        <v>224</v>
      </c>
      <c r="C57" s="32" t="s">
        <v>161</v>
      </c>
      <c r="D57" s="59" t="n">
        <v>6353</v>
      </c>
      <c r="E57" s="59" t="n">
        <v>5576</v>
      </c>
      <c r="F57" s="68" t="n">
        <f aca="false">IF(E57="","",D57-E57)</f>
        <v>777</v>
      </c>
      <c r="G57" s="59" t="n">
        <v>4849</v>
      </c>
      <c r="H57" s="59" t="n">
        <v>4673</v>
      </c>
      <c r="I57" s="68" t="n">
        <f aca="false">IF(H57="","",G57-H57)</f>
        <v>176</v>
      </c>
      <c r="J57" s="40" t="n">
        <f aca="false">IF(OR(D57="",D57+G57=0),"",D57/(D57+G57))</f>
        <v>0.567130869487592</v>
      </c>
      <c r="K57" s="40" t="n">
        <f aca="false">IF(E57="","",E57/(E57+H57))</f>
        <v>0.544053078349107</v>
      </c>
      <c r="L57" s="69" t="n">
        <f aca="false">IF(OR(K57="",J57=""),"",(J57-K57)*100)</f>
        <v>2.30777911384843</v>
      </c>
      <c r="M57" s="36" t="n">
        <v>1.44807452737494</v>
      </c>
      <c r="N57" s="36" t="n">
        <v>1.05181566017852</v>
      </c>
      <c r="O57" s="36" t="n">
        <f aca="false">SQRT(M57^2+N57^2)</f>
        <v>1.78975864848558</v>
      </c>
      <c r="P57" s="40" t="n">
        <f aca="false">IF(J57="","",MAX(0,J57-1.96*O57/100))</f>
        <v>0.532051599977274</v>
      </c>
      <c r="Q57" s="40" t="n">
        <f aca="false">IF(J57="","",MIN(1,J57+1.96*O57/100))</f>
        <v>0.602210138997909</v>
      </c>
      <c r="R57" s="32" t="str">
        <f aca="false">IF(L57="","",IF(ABS(L57)&lt;=O57,"Yes","No"))</f>
        <v>No</v>
      </c>
      <c r="S57" s="32" t="str">
        <f aca="false">IF(L57="","",IF(ABS(L57)&lt;=1.96*O57,"Yes","No"))</f>
        <v>Yes</v>
      </c>
      <c r="T57" s="59" t="n">
        <f aca="false">IF(D57="","",ROUND(SQRT(((D57+G57)*O57/100)^2+(J57*(D57+G57)*0.04632)^2),0))</f>
        <v>356</v>
      </c>
      <c r="U57" s="32"/>
    </row>
    <row r="58" customFormat="false" ht="15" hidden="false" customHeight="false" outlineLevel="0" collapsed="false">
      <c r="A58" s="32" t="s">
        <v>220</v>
      </c>
      <c r="B58" s="32" t="s">
        <v>225</v>
      </c>
      <c r="C58" s="32" t="s">
        <v>161</v>
      </c>
      <c r="D58" s="59" t="n">
        <v>1543</v>
      </c>
      <c r="E58" s="59" t="n">
        <v>1370</v>
      </c>
      <c r="F58" s="68" t="n">
        <f aca="false">IF(E58="","",D58-E58)</f>
        <v>173</v>
      </c>
      <c r="G58" s="59" t="n">
        <v>2480</v>
      </c>
      <c r="H58" s="59" t="n">
        <v>2143</v>
      </c>
      <c r="I58" s="68" t="n">
        <f aca="false">IF(H58="","",G58-H58)</f>
        <v>337</v>
      </c>
      <c r="J58" s="40" t="n">
        <f aca="false">IF(OR(D58="",D58+G58=0),"",D58/(D58+G58))</f>
        <v>0.383544618443947</v>
      </c>
      <c r="K58" s="40" t="n">
        <f aca="false">IF(E58="","",E58/(E58+H58))</f>
        <v>0.389980074010817</v>
      </c>
      <c r="L58" s="69" t="n">
        <f aca="false">IF(OR(K58="",J58=""),"",(J58-K58)*100)</f>
        <v>-0.643545556686964</v>
      </c>
      <c r="M58" s="36" t="n">
        <v>1.44807452737494</v>
      </c>
      <c r="N58" s="36" t="n">
        <v>1.05181566017852</v>
      </c>
      <c r="O58" s="36" t="n">
        <f aca="false">SQRT(M58^2+N58^2)</f>
        <v>1.78975864848558</v>
      </c>
      <c r="P58" s="40" t="n">
        <f aca="false">IF(J58="","",MAX(0,J58-1.96*O58/100))</f>
        <v>0.34846534893363</v>
      </c>
      <c r="Q58" s="40" t="n">
        <f aca="false">IF(J58="","",MIN(1,J58+1.96*O58/100))</f>
        <v>0.418623887954265</v>
      </c>
      <c r="R58" s="32" t="str">
        <f aca="false">IF(L58="","",IF(ABS(L58)&lt;=O58,"Yes","No"))</f>
        <v>Yes</v>
      </c>
      <c r="S58" s="32" t="str">
        <f aca="false">IF(L58="","",IF(ABS(L58)&lt;=1.96*O58,"Yes","No"))</f>
        <v>Yes</v>
      </c>
      <c r="T58" s="59" t="n">
        <f aca="false">IF(D58="","",ROUND(SQRT(((D58+G58)*O58/100)^2+(J58*(D58+G58)*0.04632)^2),0))</f>
        <v>101</v>
      </c>
      <c r="U58" s="32"/>
    </row>
    <row r="59" customFormat="false" ht="15" hidden="false" customHeight="false" outlineLevel="0" collapsed="false">
      <c r="A59" s="32" t="s">
        <v>220</v>
      </c>
      <c r="B59" s="32" t="s">
        <v>226</v>
      </c>
      <c r="C59" s="32" t="s">
        <v>161</v>
      </c>
      <c r="D59" s="59" t="n">
        <v>31</v>
      </c>
      <c r="E59" s="59" t="n">
        <v>30</v>
      </c>
      <c r="F59" s="68" t="n">
        <f aca="false">IF(E59="","",D59-E59)</f>
        <v>1</v>
      </c>
      <c r="G59" s="59" t="n">
        <v>52</v>
      </c>
      <c r="H59" s="59" t="n">
        <v>36</v>
      </c>
      <c r="I59" s="68" t="n">
        <f aca="false">IF(H59="","",G59-H59)</f>
        <v>16</v>
      </c>
      <c r="J59" s="40" t="n">
        <f aca="false">IF(OR(D59="",D59+G59=0),"",D59/(D59+G59))</f>
        <v>0.373493975903614</v>
      </c>
      <c r="K59" s="40" t="n">
        <f aca="false">IF(E59="","",E59/(E59+H59))</f>
        <v>0.454545454545455</v>
      </c>
      <c r="L59" s="69" t="n">
        <f aca="false">IF(OR(K59="",J59=""),"",(J59-K59)*100)</f>
        <v>-8.10514786418401</v>
      </c>
      <c r="M59" s="36" t="n">
        <v>3.17576510259995</v>
      </c>
      <c r="N59" s="36" t="n">
        <v>1.05181566017852</v>
      </c>
      <c r="O59" s="36" t="n">
        <f aca="false">SQRT(M59^2+N59^2)</f>
        <v>3.34541479788209</v>
      </c>
      <c r="P59" s="40" t="n">
        <f aca="false">IF(J59="","",MAX(0,J59-1.96*O59/100))</f>
        <v>0.307923845865126</v>
      </c>
      <c r="Q59" s="40" t="n">
        <f aca="false">IF(J59="","",MIN(1,J59+1.96*O59/100))</f>
        <v>0.439064105942103</v>
      </c>
      <c r="R59" s="32" t="str">
        <f aca="false">IF(L59="","",IF(ABS(L59)&lt;=O59,"Yes","No"))</f>
        <v>No</v>
      </c>
      <c r="S59" s="32" t="str">
        <f aca="false">IF(L59="","",IF(ABS(L59)&lt;=1.96*O59,"Yes","No"))</f>
        <v>No</v>
      </c>
      <c r="T59" s="59" t="n">
        <f aca="false">IF(D59="","",ROUND(SQRT(((D59+G59)*O59/100)^2+(J59*(D59+G59)*0.07067)^2),0))</f>
        <v>4</v>
      </c>
      <c r="U59" s="32"/>
    </row>
    <row r="60" customFormat="false" ht="15" hidden="false" customHeight="false" outlineLevel="0" collapsed="false">
      <c r="A60" s="32" t="s">
        <v>220</v>
      </c>
      <c r="B60" s="32" t="s">
        <v>227</v>
      </c>
      <c r="C60" s="32" t="s">
        <v>161</v>
      </c>
      <c r="D60" s="59" t="n">
        <v>974</v>
      </c>
      <c r="E60" s="59" t="n">
        <v>840</v>
      </c>
      <c r="F60" s="68" t="n">
        <f aca="false">IF(E60="","",D60-E60)</f>
        <v>134</v>
      </c>
      <c r="G60" s="59" t="n">
        <v>1241</v>
      </c>
      <c r="H60" s="59" t="n">
        <v>1151</v>
      </c>
      <c r="I60" s="68" t="n">
        <f aca="false">IF(H60="","",G60-H60)</f>
        <v>90</v>
      </c>
      <c r="J60" s="40" t="n">
        <f aca="false">IF(OR(D60="",D60+G60=0),"",D60/(D60+G60))</f>
        <v>0.439729119638826</v>
      </c>
      <c r="K60" s="40" t="n">
        <f aca="false">IF(E60="","",E60/(E60+H60))</f>
        <v>0.421898543445505</v>
      </c>
      <c r="L60" s="69" t="n">
        <f aca="false">IF(OR(K60="",J60=""),"",(J60-K60)*100)</f>
        <v>1.78305761933214</v>
      </c>
      <c r="M60" s="36" t="n">
        <v>1.87635304542411</v>
      </c>
      <c r="N60" s="36" t="n">
        <v>1.05181566017852</v>
      </c>
      <c r="O60" s="36" t="n">
        <f aca="false">SQRT(M60^2+N60^2)</f>
        <v>2.15105019329375</v>
      </c>
      <c r="P60" s="40" t="n">
        <f aca="false">IF(J60="","",MAX(0,J60-1.96*O60/100))</f>
        <v>0.397568535850269</v>
      </c>
      <c r="Q60" s="40" t="n">
        <f aca="false">IF(J60="","",MIN(1,J60+1.96*O60/100))</f>
        <v>0.481889703427384</v>
      </c>
      <c r="R60" s="32" t="str">
        <f aca="false">IF(L60="","",IF(ABS(L60)&lt;=O60,"Yes","No"))</f>
        <v>Yes</v>
      </c>
      <c r="S60" s="32" t="str">
        <f aca="false">IF(L60="","",IF(ABS(L60)&lt;=1.96*O60,"Yes","No"))</f>
        <v>Yes</v>
      </c>
      <c r="T60" s="59" t="n">
        <f aca="false">IF(D60="","",ROUND(SQRT(((D60+G60)*O60/100)^2+(J60*(D60+G60)*0.05402)^2),0))</f>
        <v>71</v>
      </c>
      <c r="U60" s="32"/>
    </row>
    <row r="61" customFormat="false" ht="15" hidden="false" customHeight="false" outlineLevel="0" collapsed="false">
      <c r="A61" s="32" t="s">
        <v>220</v>
      </c>
      <c r="B61" s="32" t="s">
        <v>228</v>
      </c>
      <c r="C61" s="32" t="s">
        <v>161</v>
      </c>
      <c r="D61" s="59" t="n">
        <v>146</v>
      </c>
      <c r="E61" s="59" t="n">
        <v>130</v>
      </c>
      <c r="F61" s="68" t="n">
        <f aca="false">IF(E61="","",D61-E61)</f>
        <v>16</v>
      </c>
      <c r="G61" s="59" t="n">
        <v>190</v>
      </c>
      <c r="H61" s="59" t="n">
        <v>203</v>
      </c>
      <c r="I61" s="68" t="n">
        <f aca="false">IF(H61="","",G61-H61)</f>
        <v>-13</v>
      </c>
      <c r="J61" s="40" t="n">
        <f aca="false">IF(OR(D61="",D61+G61=0),"",D61/(D61+G61))</f>
        <v>0.43452380952381</v>
      </c>
      <c r="K61" s="40" t="n">
        <f aca="false">IF(E61="","",E61/(E61+H61))</f>
        <v>0.39039039039039</v>
      </c>
      <c r="L61" s="69" t="n">
        <f aca="false">IF(OR(K61="",J61=""),"",(J61-K61)*100)</f>
        <v>4.41334191334192</v>
      </c>
      <c r="M61" s="36" t="n">
        <v>3.17576510259995</v>
      </c>
      <c r="N61" s="36" t="n">
        <v>1.05181566017852</v>
      </c>
      <c r="O61" s="36" t="n">
        <f aca="false">SQRT(M61^2+N61^2)</f>
        <v>3.34541479788209</v>
      </c>
      <c r="P61" s="40" t="n">
        <f aca="false">IF(J61="","",MAX(0,J61-1.96*O61/100))</f>
        <v>0.368953679485321</v>
      </c>
      <c r="Q61" s="40" t="n">
        <f aca="false">IF(J61="","",MIN(1,J61+1.96*O61/100))</f>
        <v>0.500093939562298</v>
      </c>
      <c r="R61" s="32" t="str">
        <f aca="false">IF(L61="","",IF(ABS(L61)&lt;=O61,"Yes","No"))</f>
        <v>No</v>
      </c>
      <c r="S61" s="32" t="str">
        <f aca="false">IF(L61="","",IF(ABS(L61)&lt;=1.96*O61,"Yes","No"))</f>
        <v>Yes</v>
      </c>
      <c r="T61" s="59" t="n">
        <f aca="false">IF(D61="","",ROUND(SQRT(((D61+G61)*O61/100)^2+(J61*(D61+G61)*0.07067)^2),0))</f>
        <v>15</v>
      </c>
      <c r="U61" s="32"/>
    </row>
    <row r="62" customFormat="false" ht="15" hidden="false" customHeight="false" outlineLevel="0" collapsed="false">
      <c r="A62" s="32" t="s">
        <v>220</v>
      </c>
      <c r="B62" s="32" t="s">
        <v>229</v>
      </c>
      <c r="C62" s="32" t="s">
        <v>161</v>
      </c>
      <c r="D62" s="59" t="n">
        <v>4521</v>
      </c>
      <c r="E62" s="59" t="n">
        <v>5059</v>
      </c>
      <c r="F62" s="68" t="n">
        <f aca="false">IF(E62="","",D62-E62)</f>
        <v>-538</v>
      </c>
      <c r="G62" s="59" t="n">
        <v>2257</v>
      </c>
      <c r="H62" s="59" t="n">
        <v>1583</v>
      </c>
      <c r="I62" s="68" t="n">
        <f aca="false">IF(H62="","",G62-H62)</f>
        <v>674</v>
      </c>
      <c r="J62" s="40" t="n">
        <f aca="false">IF(OR(D62="",D62+G62=0),"",D62/(D62+G62))</f>
        <v>0.66701091767483</v>
      </c>
      <c r="K62" s="40" t="n">
        <f aca="false">IF(E62="","",E62/(E62+H62))</f>
        <v>0.761668172237278</v>
      </c>
      <c r="L62" s="69" t="n">
        <f aca="false">IF(OR(K62="",J62=""),"",(J62-K62)*100)</f>
        <v>-9.46572545624476</v>
      </c>
      <c r="M62" s="36" t="n">
        <v>1.44807452737494</v>
      </c>
      <c r="N62" s="36" t="n">
        <v>1.05181566017852</v>
      </c>
      <c r="O62" s="36" t="n">
        <f aca="false">SQRT(M62^2+N62^2)</f>
        <v>1.78975864848558</v>
      </c>
      <c r="P62" s="40" t="n">
        <f aca="false">IF(J62="","",MAX(0,J62-1.96*O62/100))</f>
        <v>0.631931648164513</v>
      </c>
      <c r="Q62" s="40" t="n">
        <f aca="false">IF(J62="","",MIN(1,J62+1.96*O62/100))</f>
        <v>0.702090187185148</v>
      </c>
      <c r="R62" s="32" t="str">
        <f aca="false">IF(L62="","",IF(ABS(L62)&lt;=O62,"Yes","No"))</f>
        <v>No</v>
      </c>
      <c r="S62" s="32" t="str">
        <f aca="false">IF(L62="","",IF(ABS(L62)&lt;=1.96*O62,"Yes","No"))</f>
        <v>No</v>
      </c>
      <c r="T62" s="59" t="n">
        <f aca="false">IF(D62="","",ROUND(SQRT(((D62+G62)*O62/100)^2+(J62*(D62+G62)*0.04632)^2),0))</f>
        <v>242</v>
      </c>
      <c r="U62" s="32"/>
    </row>
    <row r="63" customFormat="false" ht="15" hidden="false" customHeight="false" outlineLevel="0" collapsed="false">
      <c r="A63" s="32" t="s">
        <v>220</v>
      </c>
      <c r="B63" s="32" t="s">
        <v>230</v>
      </c>
      <c r="C63" s="32" t="s">
        <v>161</v>
      </c>
      <c r="D63" s="59" t="n">
        <v>3912</v>
      </c>
      <c r="E63" s="59" t="n">
        <v>3565</v>
      </c>
      <c r="F63" s="68" t="n">
        <f aca="false">IF(E63="","",D63-E63)</f>
        <v>347</v>
      </c>
      <c r="G63" s="59" t="n">
        <v>3291</v>
      </c>
      <c r="H63" s="59" t="n">
        <v>3017</v>
      </c>
      <c r="I63" s="68" t="n">
        <f aca="false">IF(H63="","",G63-H63)</f>
        <v>274</v>
      </c>
      <c r="J63" s="40" t="n">
        <f aca="false">IF(OR(D63="",D63+G63=0),"",D63/(D63+G63))</f>
        <v>0.543107038733861</v>
      </c>
      <c r="K63" s="40" t="n">
        <f aca="false">IF(E63="","",E63/(E63+H63))</f>
        <v>0.541628684290489</v>
      </c>
      <c r="L63" s="69" t="n">
        <f aca="false">IF(OR(K63="",J63=""),"",(J63-K63)*100)</f>
        <v>0.147835444337174</v>
      </c>
      <c r="M63" s="36" t="n">
        <v>1.44807452737494</v>
      </c>
      <c r="N63" s="36" t="n">
        <v>1.05181566017852</v>
      </c>
      <c r="O63" s="36" t="n">
        <f aca="false">SQRT(M63^2+N63^2)</f>
        <v>1.78975864848558</v>
      </c>
      <c r="P63" s="40" t="n">
        <f aca="false">IF(J63="","",MAX(0,J63-1.96*O63/100))</f>
        <v>0.508027769223544</v>
      </c>
      <c r="Q63" s="40" t="n">
        <f aca="false">IF(J63="","",MIN(1,J63+1.96*O63/100))</f>
        <v>0.578186308244178</v>
      </c>
      <c r="R63" s="32" t="str">
        <f aca="false">IF(L63="","",IF(ABS(L63)&lt;=O63,"Yes","No"))</f>
        <v>Yes</v>
      </c>
      <c r="S63" s="32" t="str">
        <f aca="false">IF(L63="","",IF(ABS(L63)&lt;=1.96*O63,"Yes","No"))</f>
        <v>Yes</v>
      </c>
      <c r="T63" s="59" t="n">
        <f aca="false">IF(D63="","",ROUND(SQRT(((D63+G63)*O63/100)^2+(J63*(D63+G63)*0.04632)^2),0))</f>
        <v>222</v>
      </c>
      <c r="U63" s="32"/>
    </row>
    <row r="64" customFormat="false" ht="15" hidden="false" customHeight="false" outlineLevel="0" collapsed="false">
      <c r="A64" s="32" t="s">
        <v>220</v>
      </c>
      <c r="B64" s="32" t="s">
        <v>231</v>
      </c>
      <c r="C64" s="32" t="s">
        <v>161</v>
      </c>
      <c r="D64" s="59" t="n">
        <v>456</v>
      </c>
      <c r="E64" s="59" t="n">
        <v>497</v>
      </c>
      <c r="F64" s="68" t="n">
        <f aca="false">IF(E64="","",D64-E64)</f>
        <v>-41</v>
      </c>
      <c r="G64" s="59" t="n">
        <v>275</v>
      </c>
      <c r="H64" s="59" t="n">
        <v>253</v>
      </c>
      <c r="I64" s="68" t="n">
        <f aca="false">IF(H64="","",G64-H64)</f>
        <v>22</v>
      </c>
      <c r="J64" s="40" t="n">
        <f aca="false">IF(OR(D64="",D64+G64=0),"",D64/(D64+G64))</f>
        <v>0.623803009575923</v>
      </c>
      <c r="K64" s="40" t="n">
        <f aca="false">IF(E64="","",E64/(E64+H64))</f>
        <v>0.662666666666667</v>
      </c>
      <c r="L64" s="69" t="n">
        <f aca="false">IF(OR(K64="",J64=""),"",(J64-K64)*100)</f>
        <v>-3.88636570907432</v>
      </c>
      <c r="M64" s="36" t="n">
        <v>3.17576510259995</v>
      </c>
      <c r="N64" s="36" t="n">
        <v>1.05181566017852</v>
      </c>
      <c r="O64" s="36" t="n">
        <f aca="false">SQRT(M64^2+N64^2)</f>
        <v>3.34541479788209</v>
      </c>
      <c r="P64" s="40" t="n">
        <f aca="false">IF(J64="","",MAX(0,J64-1.96*O64/100))</f>
        <v>0.558232879537435</v>
      </c>
      <c r="Q64" s="40" t="n">
        <f aca="false">IF(J64="","",MIN(1,J64+1.96*O64/100))</f>
        <v>0.689373139614412</v>
      </c>
      <c r="R64" s="32" t="str">
        <f aca="false">IF(L64="","",IF(ABS(L64)&lt;=O64,"Yes","No"))</f>
        <v>No</v>
      </c>
      <c r="S64" s="32" t="str">
        <f aca="false">IF(L64="","",IF(ABS(L64)&lt;=1.96*O64,"Yes","No"))</f>
        <v>Yes</v>
      </c>
      <c r="T64" s="59" t="n">
        <f aca="false">IF(D64="","",ROUND(SQRT(((D64+G64)*O64/100)^2+(J64*(D64+G64)*0.07067)^2),0))</f>
        <v>40</v>
      </c>
      <c r="U64" s="32"/>
    </row>
    <row r="65" customFormat="false" ht="15" hidden="false" customHeight="false" outlineLevel="0" collapsed="false">
      <c r="A65" s="32" t="s">
        <v>220</v>
      </c>
      <c r="B65" s="32" t="s">
        <v>232</v>
      </c>
      <c r="C65" s="32" t="s">
        <v>161</v>
      </c>
      <c r="D65" s="59" t="n">
        <v>62</v>
      </c>
      <c r="E65" s="59" t="n">
        <v>72</v>
      </c>
      <c r="F65" s="68" t="n">
        <f aca="false">IF(E65="","",D65-E65)</f>
        <v>-10</v>
      </c>
      <c r="G65" s="59" t="n">
        <v>60</v>
      </c>
      <c r="H65" s="59" t="n">
        <v>39</v>
      </c>
      <c r="I65" s="68" t="n">
        <f aca="false">IF(H65="","",G65-H65)</f>
        <v>21</v>
      </c>
      <c r="J65" s="40" t="n">
        <f aca="false">IF(OR(D65="",D65+G65=0),"",D65/(D65+G65))</f>
        <v>0.508196721311475</v>
      </c>
      <c r="K65" s="40" t="n">
        <f aca="false">IF(E65="","",E65/(E65+H65))</f>
        <v>0.648648648648649</v>
      </c>
      <c r="L65" s="69" t="n">
        <f aca="false">IF(OR(K65="",J65=""),"",(J65-K65)*100)</f>
        <v>-14.0451927337173</v>
      </c>
      <c r="M65" s="36" t="n">
        <v>3.17576510259995</v>
      </c>
      <c r="N65" s="36" t="n">
        <v>1.05181566017852</v>
      </c>
      <c r="O65" s="36" t="n">
        <f aca="false">SQRT(M65^2+N65^2)</f>
        <v>3.34541479788209</v>
      </c>
      <c r="P65" s="40" t="n">
        <f aca="false">IF(J65="","",MAX(0,J65-1.96*O65/100))</f>
        <v>0.442626591272987</v>
      </c>
      <c r="Q65" s="40" t="n">
        <f aca="false">IF(J65="","",MIN(1,J65+1.96*O65/100))</f>
        <v>0.573766851349964</v>
      </c>
      <c r="R65" s="32" t="str">
        <f aca="false">IF(L65="","",IF(ABS(L65)&lt;=O65,"Yes","No"))</f>
        <v>No</v>
      </c>
      <c r="S65" s="32" t="str">
        <f aca="false">IF(L65="","",IF(ABS(L65)&lt;=1.96*O65,"Yes","No"))</f>
        <v>No</v>
      </c>
      <c r="T65" s="59" t="n">
        <f aca="false">IF(D65="","",ROUND(SQRT(((D65+G65)*O65/100)^2+(J65*(D65+G65)*0.07067)^2),0))</f>
        <v>6</v>
      </c>
      <c r="U65" s="32"/>
    </row>
    <row r="66" customFormat="false" ht="15" hidden="false" customHeight="false" outlineLevel="0" collapsed="false">
      <c r="A66" s="32" t="s">
        <v>220</v>
      </c>
      <c r="B66" s="32" t="s">
        <v>198</v>
      </c>
      <c r="C66" s="32" t="s">
        <v>161</v>
      </c>
      <c r="D66" s="59" t="n">
        <v>3272</v>
      </c>
      <c r="E66" s="59" t="n">
        <v>3075</v>
      </c>
      <c r="F66" s="68" t="n">
        <f aca="false">IF(E66="","",D66-E66)</f>
        <v>197</v>
      </c>
      <c r="G66" s="59" t="n">
        <v>2838</v>
      </c>
      <c r="H66" s="59" t="n">
        <v>2610</v>
      </c>
      <c r="I66" s="68" t="n">
        <f aca="false">IF(H66="","",G66-H66)</f>
        <v>228</v>
      </c>
      <c r="J66" s="40" t="n">
        <f aca="false">IF(OR(D66="",D66+G66=0),"",D66/(D66+G66))</f>
        <v>0.535515548281506</v>
      </c>
      <c r="K66" s="40" t="n">
        <f aca="false">IF(E66="","",E66/(E66+H66))</f>
        <v>0.54089709762533</v>
      </c>
      <c r="L66" s="69" t="n">
        <f aca="false">IF(OR(K66="",J66=""),"",(J66-K66)*100)</f>
        <v>-0.538154934382407</v>
      </c>
      <c r="M66" s="36" t="n">
        <v>1.44807452737494</v>
      </c>
      <c r="N66" s="36" t="n">
        <v>1.05181566017852</v>
      </c>
      <c r="O66" s="36" t="n">
        <f aca="false">SQRT(M66^2+N66^2)</f>
        <v>1.78975864848558</v>
      </c>
      <c r="P66" s="40" t="n">
        <f aca="false">IF(J66="","",MAX(0,J66-1.96*O66/100))</f>
        <v>0.500436278771188</v>
      </c>
      <c r="Q66" s="40" t="n">
        <f aca="false">IF(J66="","",MIN(1,J66+1.96*O66/100))</f>
        <v>0.570594817791823</v>
      </c>
      <c r="R66" s="32" t="str">
        <f aca="false">IF(L66="","",IF(ABS(L66)&lt;=O66,"Yes","No"))</f>
        <v>Yes</v>
      </c>
      <c r="S66" s="32" t="str">
        <f aca="false">IF(L66="","",IF(ABS(L66)&lt;=1.96*O66,"Yes","No"))</f>
        <v>Yes</v>
      </c>
      <c r="T66" s="59" t="n">
        <f aca="false">IF(D66="","",ROUND(SQRT(((D66+G66)*O66/100)^2+(J66*(D66+G66)*0.04632)^2),0))</f>
        <v>187</v>
      </c>
      <c r="U66" s="32"/>
    </row>
    <row r="67" customFormat="false" ht="15" hidden="false" customHeight="false" outlineLevel="0" collapsed="false">
      <c r="A67" s="32" t="s">
        <v>220</v>
      </c>
      <c r="B67" s="32" t="s">
        <v>233</v>
      </c>
      <c r="C67" s="32" t="s">
        <v>161</v>
      </c>
      <c r="D67" s="59" t="n">
        <v>1272</v>
      </c>
      <c r="E67" s="59" t="n">
        <v>1246</v>
      </c>
      <c r="F67" s="68" t="n">
        <f aca="false">IF(E67="","",D67-E67)</f>
        <v>26</v>
      </c>
      <c r="G67" s="59" t="n">
        <v>1077</v>
      </c>
      <c r="H67" s="59" t="n">
        <v>966</v>
      </c>
      <c r="I67" s="68" t="n">
        <f aca="false">IF(H67="","",G67-H67)</f>
        <v>111</v>
      </c>
      <c r="J67" s="40" t="n">
        <f aca="false">IF(OR(D67="",D67+G67=0),"",D67/(D67+G67))</f>
        <v>0.541507024265645</v>
      </c>
      <c r="K67" s="40" t="n">
        <f aca="false">IF(E67="","",E67/(E67+H67))</f>
        <v>0.563291139240506</v>
      </c>
      <c r="L67" s="69" t="n">
        <f aca="false">IF(OR(K67="",J67=""),"",(J67-K67)*100)</f>
        <v>-2.17841149748613</v>
      </c>
      <c r="M67" s="36" t="n">
        <v>1.87635304542411</v>
      </c>
      <c r="N67" s="36" t="n">
        <v>1.05181566017852</v>
      </c>
      <c r="O67" s="36" t="n">
        <f aca="false">SQRT(M67^2+N67^2)</f>
        <v>2.15105019329375</v>
      </c>
      <c r="P67" s="40" t="n">
        <f aca="false">IF(J67="","",MAX(0,J67-1.96*O67/100))</f>
        <v>0.499346440477088</v>
      </c>
      <c r="Q67" s="40" t="n">
        <f aca="false">IF(J67="","",MIN(1,J67+1.96*O67/100))</f>
        <v>0.583667608054203</v>
      </c>
      <c r="R67" s="32" t="str">
        <f aca="false">IF(L67="","",IF(ABS(L67)&lt;=O67,"Yes","No"))</f>
        <v>No</v>
      </c>
      <c r="S67" s="32" t="str">
        <f aca="false">IF(L67="","",IF(ABS(L67)&lt;=1.96*O67,"Yes","No"))</f>
        <v>Yes</v>
      </c>
      <c r="T67" s="59" t="n">
        <f aca="false">IF(D67="","",ROUND(SQRT(((D67+G67)*O67/100)^2+(J67*(D67+G67)*0.05402)^2),0))</f>
        <v>85</v>
      </c>
      <c r="U67" s="32"/>
    </row>
    <row r="68" customFormat="false" ht="15" hidden="false" customHeight="false" outlineLevel="0" collapsed="false">
      <c r="A68" s="32" t="s">
        <v>220</v>
      </c>
      <c r="B68" s="32" t="s">
        <v>234</v>
      </c>
      <c r="C68" s="32" t="s">
        <v>161</v>
      </c>
      <c r="D68" s="59" t="n">
        <v>1914</v>
      </c>
      <c r="E68" s="59" t="n">
        <v>1543</v>
      </c>
      <c r="F68" s="68" t="n">
        <f aca="false">IF(E68="","",D68-E68)</f>
        <v>371</v>
      </c>
      <c r="G68" s="59" t="n">
        <v>2816</v>
      </c>
      <c r="H68" s="59" t="n">
        <v>2708</v>
      </c>
      <c r="I68" s="68" t="n">
        <f aca="false">IF(H68="","",G68-H68)</f>
        <v>108</v>
      </c>
      <c r="J68" s="40" t="n">
        <f aca="false">IF(OR(D68="",D68+G68=0),"",D68/(D68+G68))</f>
        <v>0.404651162790698</v>
      </c>
      <c r="K68" s="40" t="n">
        <f aca="false">IF(E68="","",E68/(E68+H68))</f>
        <v>0.36297341801929</v>
      </c>
      <c r="L68" s="69" t="n">
        <f aca="false">IF(OR(K68="",J68=""),"",(J68-K68)*100)</f>
        <v>4.16777447714081</v>
      </c>
      <c r="M68" s="36" t="n">
        <v>1.44807452737494</v>
      </c>
      <c r="N68" s="36" t="n">
        <v>1.05181566017852</v>
      </c>
      <c r="O68" s="36" t="n">
        <f aca="false">SQRT(M68^2+N68^2)</f>
        <v>1.78975864848558</v>
      </c>
      <c r="P68" s="40" t="n">
        <f aca="false">IF(J68="","",MAX(0,J68-1.96*O68/100))</f>
        <v>0.36957189328038</v>
      </c>
      <c r="Q68" s="40" t="n">
        <f aca="false">IF(J68="","",MIN(1,J68+1.96*O68/100))</f>
        <v>0.439730432301015</v>
      </c>
      <c r="R68" s="32" t="str">
        <f aca="false">IF(L68="","",IF(ABS(L68)&lt;=O68,"Yes","No"))</f>
        <v>No</v>
      </c>
      <c r="S68" s="32" t="str">
        <f aca="false">IF(L68="","",IF(ABS(L68)&lt;=1.96*O68,"Yes","No"))</f>
        <v>No</v>
      </c>
      <c r="T68" s="59" t="n">
        <f aca="false">IF(D68="","",ROUND(SQRT(((D68+G68)*O68/100)^2+(J68*(D68+G68)*0.04632)^2),0))</f>
        <v>123</v>
      </c>
      <c r="U68" s="32"/>
    </row>
    <row r="69" customFormat="false" ht="15" hidden="false" customHeight="false" outlineLevel="0" collapsed="false">
      <c r="A69" s="32" t="s">
        <v>220</v>
      </c>
      <c r="B69" s="32" t="s">
        <v>235</v>
      </c>
      <c r="C69" s="32" t="s">
        <v>161</v>
      </c>
      <c r="D69" s="59" t="n">
        <v>483</v>
      </c>
      <c r="E69" s="59" t="n">
        <v>474</v>
      </c>
      <c r="F69" s="68" t="n">
        <f aca="false">IF(E69="","",D69-E69)</f>
        <v>9</v>
      </c>
      <c r="G69" s="59" t="n">
        <v>850</v>
      </c>
      <c r="H69" s="59" t="n">
        <v>678</v>
      </c>
      <c r="I69" s="68" t="n">
        <f aca="false">IF(H69="","",G69-H69)</f>
        <v>172</v>
      </c>
      <c r="J69" s="40" t="n">
        <f aca="false">IF(OR(D69="",D69+G69=0),"",D69/(D69+G69))</f>
        <v>0.362340585146287</v>
      </c>
      <c r="K69" s="40" t="n">
        <f aca="false">IF(E69="","",E69/(E69+H69))</f>
        <v>0.411458333333333</v>
      </c>
      <c r="L69" s="69" t="n">
        <f aca="false">IF(OR(K69="",J69=""),"",(J69-K69)*100)</f>
        <v>-4.91177481870467</v>
      </c>
      <c r="M69" s="36" t="n">
        <v>1.87635304542411</v>
      </c>
      <c r="N69" s="36" t="n">
        <v>1.05181566017852</v>
      </c>
      <c r="O69" s="36" t="n">
        <f aca="false">SQRT(M69^2+N69^2)</f>
        <v>2.15105019329375</v>
      </c>
      <c r="P69" s="40" t="n">
        <f aca="false">IF(J69="","",MAX(0,J69-1.96*O69/100))</f>
        <v>0.320180001357729</v>
      </c>
      <c r="Q69" s="40" t="n">
        <f aca="false">IF(J69="","",MIN(1,J69+1.96*O69/100))</f>
        <v>0.404501168934844</v>
      </c>
      <c r="R69" s="32" t="str">
        <f aca="false">IF(L69="","",IF(ABS(L69)&lt;=O69,"Yes","No"))</f>
        <v>No</v>
      </c>
      <c r="S69" s="32" t="str">
        <f aca="false">IF(L69="","",IF(ABS(L69)&lt;=1.96*O69,"Yes","No"))</f>
        <v>No</v>
      </c>
      <c r="T69" s="59" t="n">
        <f aca="false">IF(D69="","",ROUND(SQRT(((D69+G69)*O69/100)^2+(J69*(D69+G69)*0.05402)^2),0))</f>
        <v>39</v>
      </c>
      <c r="U69" s="32"/>
    </row>
    <row r="70" customFormat="false" ht="15" hidden="false" customHeight="false" outlineLevel="0" collapsed="false">
      <c r="A70" s="32" t="s">
        <v>220</v>
      </c>
      <c r="B70" s="32" t="s">
        <v>236</v>
      </c>
      <c r="C70" s="32" t="s">
        <v>161</v>
      </c>
      <c r="D70" s="59" t="n">
        <v>1479</v>
      </c>
      <c r="E70" s="59" t="n">
        <v>1320</v>
      </c>
      <c r="F70" s="68" t="n">
        <f aca="false">IF(E70="","",D70-E70)</f>
        <v>159</v>
      </c>
      <c r="G70" s="59" t="n">
        <v>1805</v>
      </c>
      <c r="H70" s="59" t="n">
        <v>1650</v>
      </c>
      <c r="I70" s="68" t="n">
        <f aca="false">IF(H70="","",G70-H70)</f>
        <v>155</v>
      </c>
      <c r="J70" s="40" t="n">
        <f aca="false">IF(OR(D70="",D70+G70=0),"",D70/(D70+G70))</f>
        <v>0.450365408038977</v>
      </c>
      <c r="K70" s="40" t="n">
        <f aca="false">IF(E70="","",E70/(E70+H70))</f>
        <v>0.444444444444444</v>
      </c>
      <c r="L70" s="69" t="n">
        <f aca="false">IF(OR(K70="",J70=""),"",(J70-K70)*100)</f>
        <v>0.592096359453243</v>
      </c>
      <c r="M70" s="36" t="n">
        <v>1.44807452737494</v>
      </c>
      <c r="N70" s="36" t="n">
        <v>1.05181566017852</v>
      </c>
      <c r="O70" s="36" t="n">
        <f aca="false">SQRT(M70^2+N70^2)</f>
        <v>1.78975864848558</v>
      </c>
      <c r="P70" s="40" t="n">
        <f aca="false">IF(J70="","",MAX(0,J70-1.96*O70/100))</f>
        <v>0.41528613852866</v>
      </c>
      <c r="Q70" s="40" t="n">
        <f aca="false">IF(J70="","",MIN(1,J70+1.96*O70/100))</f>
        <v>0.485444677549294</v>
      </c>
      <c r="R70" s="32" t="str">
        <f aca="false">IF(L70="","",IF(ABS(L70)&lt;=O70,"Yes","No"))</f>
        <v>Yes</v>
      </c>
      <c r="S70" s="32" t="str">
        <f aca="false">IF(L70="","",IF(ABS(L70)&lt;=1.96*O70,"Yes","No"))</f>
        <v>Yes</v>
      </c>
      <c r="T70" s="59" t="n">
        <f aca="false">IF(D70="","",ROUND(SQRT(((D70+G70)*O70/100)^2+(J70*(D70+G70)*0.04632)^2),0))</f>
        <v>90</v>
      </c>
      <c r="U70" s="32"/>
    </row>
    <row r="71" customFormat="false" ht="15" hidden="false" customHeight="false" outlineLevel="0" collapsed="false">
      <c r="A71" s="32" t="s">
        <v>220</v>
      </c>
      <c r="B71" s="32" t="s">
        <v>237</v>
      </c>
      <c r="C71" s="32" t="s">
        <v>161</v>
      </c>
      <c r="D71" s="59" t="n">
        <v>2625</v>
      </c>
      <c r="E71" s="59" t="n">
        <v>2540</v>
      </c>
      <c r="F71" s="68" t="n">
        <f aca="false">IF(E71="","",D71-E71)</f>
        <v>85</v>
      </c>
      <c r="G71" s="59" t="n">
        <v>2987</v>
      </c>
      <c r="H71" s="59" t="n">
        <v>2624</v>
      </c>
      <c r="I71" s="68" t="n">
        <f aca="false">IF(H71="","",G71-H71)</f>
        <v>363</v>
      </c>
      <c r="J71" s="40" t="n">
        <f aca="false">IF(OR(D71="",D71+G71=0),"",D71/(D71+G71))</f>
        <v>0.467747683535282</v>
      </c>
      <c r="K71" s="40" t="n">
        <f aca="false">IF(E71="","",E71/(E71+H71))</f>
        <v>0.491866769945779</v>
      </c>
      <c r="L71" s="69" t="n">
        <f aca="false">IF(OR(K71="",J71=""),"",(J71-K71)*100)</f>
        <v>-2.41190864104969</v>
      </c>
      <c r="M71" s="36" t="n">
        <v>1.44807452737494</v>
      </c>
      <c r="N71" s="36" t="n">
        <v>1.05181566017852</v>
      </c>
      <c r="O71" s="36" t="n">
        <f aca="false">SQRT(M71^2+N71^2)</f>
        <v>1.78975864848558</v>
      </c>
      <c r="P71" s="40" t="n">
        <f aca="false">IF(J71="","",MAX(0,J71-1.96*O71/100))</f>
        <v>0.432668414024964</v>
      </c>
      <c r="Q71" s="40" t="n">
        <f aca="false">IF(J71="","",MIN(1,J71+1.96*O71/100))</f>
        <v>0.502826953045599</v>
      </c>
      <c r="R71" s="32" t="str">
        <f aca="false">IF(L71="","",IF(ABS(L71)&lt;=O71,"Yes","No"))</f>
        <v>No</v>
      </c>
      <c r="S71" s="32" t="str">
        <f aca="false">IF(L71="","",IF(ABS(L71)&lt;=1.96*O71,"Yes","No"))</f>
        <v>Yes</v>
      </c>
      <c r="T71" s="59" t="n">
        <f aca="false">IF(D71="","",ROUND(SQRT(((D71+G71)*O71/100)^2+(J71*(D71+G71)*0.04632)^2),0))</f>
        <v>158</v>
      </c>
      <c r="U71" s="32"/>
    </row>
    <row r="72" customFormat="false" ht="15" hidden="false" customHeight="false" outlineLevel="0" collapsed="false">
      <c r="A72" s="32" t="s">
        <v>220</v>
      </c>
      <c r="B72" s="32" t="s">
        <v>238</v>
      </c>
      <c r="C72" s="32" t="s">
        <v>161</v>
      </c>
      <c r="D72" s="59" t="n">
        <v>1617</v>
      </c>
      <c r="E72" s="59" t="n">
        <v>1404</v>
      </c>
      <c r="F72" s="68" t="n">
        <f aca="false">IF(E72="","",D72-E72)</f>
        <v>213</v>
      </c>
      <c r="G72" s="59" t="n">
        <v>2737</v>
      </c>
      <c r="H72" s="59" t="n">
        <v>2512</v>
      </c>
      <c r="I72" s="68" t="n">
        <f aca="false">IF(H72="","",G72-H72)</f>
        <v>225</v>
      </c>
      <c r="J72" s="40" t="n">
        <f aca="false">IF(OR(D72="",D72+G72=0),"",D72/(D72+G72))</f>
        <v>0.371382636655949</v>
      </c>
      <c r="K72" s="40" t="n">
        <f aca="false">IF(E72="","",E72/(E72+H72))</f>
        <v>0.3585291113381</v>
      </c>
      <c r="L72" s="69" t="n">
        <f aca="false">IF(OR(K72="",J72=""),"",(J72-K72)*100)</f>
        <v>1.28535253178484</v>
      </c>
      <c r="M72" s="36" t="n">
        <v>1.44807452737494</v>
      </c>
      <c r="N72" s="36" t="n">
        <v>1.05181566017852</v>
      </c>
      <c r="O72" s="36" t="n">
        <f aca="false">SQRT(M72^2+N72^2)</f>
        <v>1.78975864848558</v>
      </c>
      <c r="P72" s="40" t="n">
        <f aca="false">IF(J72="","",MAX(0,J72-1.96*O72/100))</f>
        <v>0.336303367145631</v>
      </c>
      <c r="Q72" s="40" t="n">
        <f aca="false">IF(J72="","",MIN(1,J72+1.96*O72/100))</f>
        <v>0.406461906166266</v>
      </c>
      <c r="R72" s="32" t="str">
        <f aca="false">IF(L72="","",IF(ABS(L72)&lt;=O72,"Yes","No"))</f>
        <v>Yes</v>
      </c>
      <c r="S72" s="32" t="str">
        <f aca="false">IF(L72="","",IF(ABS(L72)&lt;=1.96*O72,"Yes","No"))</f>
        <v>Yes</v>
      </c>
      <c r="T72" s="59" t="n">
        <f aca="false">IF(D72="","",ROUND(SQRT(((D72+G72)*O72/100)^2+(J72*(D72+G72)*0.04632)^2),0))</f>
        <v>108</v>
      </c>
      <c r="U72" s="32"/>
    </row>
    <row r="73" customFormat="false" ht="15" hidden="false" customHeight="false" outlineLevel="0" collapsed="false">
      <c r="A73" s="32" t="s">
        <v>220</v>
      </c>
      <c r="B73" s="32" t="s">
        <v>239</v>
      </c>
      <c r="C73" s="32" t="s">
        <v>161</v>
      </c>
      <c r="D73" s="59" t="n">
        <v>1185</v>
      </c>
      <c r="E73" s="59" t="n">
        <v>1128</v>
      </c>
      <c r="F73" s="68" t="n">
        <f aca="false">IF(E73="","",D73-E73)</f>
        <v>57</v>
      </c>
      <c r="G73" s="59" t="n">
        <v>1165</v>
      </c>
      <c r="H73" s="59" t="n">
        <v>998</v>
      </c>
      <c r="I73" s="68" t="n">
        <f aca="false">IF(H73="","",G73-H73)</f>
        <v>167</v>
      </c>
      <c r="J73" s="40" t="n">
        <f aca="false">IF(OR(D73="",D73+G73=0),"",D73/(D73+G73))</f>
        <v>0.504255319148936</v>
      </c>
      <c r="K73" s="40" t="n">
        <f aca="false">IF(E73="","",E73/(E73+H73))</f>
        <v>0.530573847601129</v>
      </c>
      <c r="L73" s="69" t="n">
        <f aca="false">IF(OR(K73="",J73=""),"",(J73-K73)*100)</f>
        <v>-2.63185284521927</v>
      </c>
      <c r="M73" s="36" t="n">
        <v>1.87635304542411</v>
      </c>
      <c r="N73" s="36" t="n">
        <v>1.05181566017852</v>
      </c>
      <c r="O73" s="36" t="n">
        <f aca="false">SQRT(M73^2+N73^2)</f>
        <v>2.15105019329375</v>
      </c>
      <c r="P73" s="40" t="n">
        <f aca="false">IF(J73="","",MAX(0,J73-1.96*O73/100))</f>
        <v>0.462094735360379</v>
      </c>
      <c r="Q73" s="40" t="n">
        <f aca="false">IF(J73="","",MIN(1,J73+1.96*O73/100))</f>
        <v>0.546415902937494</v>
      </c>
      <c r="R73" s="32" t="str">
        <f aca="false">IF(L73="","",IF(ABS(L73)&lt;=O73,"Yes","No"))</f>
        <v>No</v>
      </c>
      <c r="S73" s="32" t="str">
        <f aca="false">IF(L73="","",IF(ABS(L73)&lt;=1.96*O73,"Yes","No"))</f>
        <v>Yes</v>
      </c>
      <c r="T73" s="59" t="n">
        <f aca="false">IF(D73="","",ROUND(SQRT(((D73+G73)*O73/100)^2+(J73*(D73+G73)*0.05402)^2),0))</f>
        <v>82</v>
      </c>
      <c r="U73" s="32"/>
    </row>
    <row r="74" customFormat="false" ht="15" hidden="false" customHeight="false" outlineLevel="0" collapsed="false">
      <c r="A74" s="32" t="s">
        <v>220</v>
      </c>
      <c r="B74" s="32" t="s">
        <v>240</v>
      </c>
      <c r="C74" s="32" t="s">
        <v>161</v>
      </c>
      <c r="D74" s="59" t="n">
        <v>563</v>
      </c>
      <c r="E74" s="59" t="n">
        <v>536</v>
      </c>
      <c r="F74" s="68" t="n">
        <f aca="false">IF(E74="","",D74-E74)</f>
        <v>27</v>
      </c>
      <c r="G74" s="59" t="n">
        <v>585</v>
      </c>
      <c r="H74" s="59" t="n">
        <v>521</v>
      </c>
      <c r="I74" s="68" t="n">
        <f aca="false">IF(H74="","",G74-H74)</f>
        <v>64</v>
      </c>
      <c r="J74" s="40" t="n">
        <f aca="false">IF(OR(D74="",D74+G74=0),"",D74/(D74+G74))</f>
        <v>0.490418118466899</v>
      </c>
      <c r="K74" s="40" t="n">
        <f aca="false">IF(E74="","",E74/(E74+H74))</f>
        <v>0.507095553453169</v>
      </c>
      <c r="L74" s="69" t="n">
        <f aca="false">IF(OR(K74="",J74=""),"",(J74-K74)*100)</f>
        <v>-1.66774349862704</v>
      </c>
      <c r="M74" s="36" t="n">
        <v>1.87635304542411</v>
      </c>
      <c r="N74" s="36" t="n">
        <v>1.05181566017852</v>
      </c>
      <c r="O74" s="36" t="n">
        <f aca="false">SQRT(M74^2+N74^2)</f>
        <v>2.15105019329375</v>
      </c>
      <c r="P74" s="40" t="n">
        <f aca="false">IF(J74="","",MAX(0,J74-1.96*O74/100))</f>
        <v>0.448257534678341</v>
      </c>
      <c r="Q74" s="40" t="n">
        <f aca="false">IF(J74="","",MIN(1,J74+1.96*O74/100))</f>
        <v>0.532578702255457</v>
      </c>
      <c r="R74" s="32" t="str">
        <f aca="false">IF(L74="","",IF(ABS(L74)&lt;=O74,"Yes","No"))</f>
        <v>Yes</v>
      </c>
      <c r="S74" s="32" t="str">
        <f aca="false">IF(L74="","",IF(ABS(L74)&lt;=1.96*O74,"Yes","No"))</f>
        <v>Yes</v>
      </c>
      <c r="T74" s="59" t="n">
        <f aca="false">IF(D74="","",ROUND(SQRT(((D74+G74)*O74/100)^2+(J74*(D74+G74)*0.05402)^2),0))</f>
        <v>39</v>
      </c>
      <c r="U74" s="32"/>
    </row>
    <row r="75" customFormat="false" ht="15" hidden="false" customHeight="false" outlineLevel="0" collapsed="false">
      <c r="A75" s="32" t="s">
        <v>220</v>
      </c>
      <c r="B75" s="32" t="s">
        <v>241</v>
      </c>
      <c r="C75" s="32" t="s">
        <v>161</v>
      </c>
      <c r="D75" s="59" t="n">
        <v>1871</v>
      </c>
      <c r="E75" s="59" t="n">
        <v>1650</v>
      </c>
      <c r="F75" s="68" t="n">
        <f aca="false">IF(E75="","",D75-E75)</f>
        <v>221</v>
      </c>
      <c r="G75" s="59" t="n">
        <v>1682</v>
      </c>
      <c r="H75" s="59" t="n">
        <v>1634</v>
      </c>
      <c r="I75" s="68" t="n">
        <f aca="false">IF(H75="","",G75-H75)</f>
        <v>48</v>
      </c>
      <c r="J75" s="40" t="n">
        <f aca="false">IF(OR(D75="",D75+G75=0),"",D75/(D75+G75))</f>
        <v>0.52659724176752</v>
      </c>
      <c r="K75" s="40" t="n">
        <f aca="false">IF(E75="","",E75/(E75+H75))</f>
        <v>0.502436053593179</v>
      </c>
      <c r="L75" s="69" t="n">
        <f aca="false">IF(OR(K75="",J75=""),"",(J75-K75)*100)</f>
        <v>2.41611881743414</v>
      </c>
      <c r="M75" s="36" t="n">
        <v>1.44807452737494</v>
      </c>
      <c r="N75" s="36" t="n">
        <v>1.05181566017852</v>
      </c>
      <c r="O75" s="36" t="n">
        <f aca="false">SQRT(M75^2+N75^2)</f>
        <v>1.78975864848558</v>
      </c>
      <c r="P75" s="40" t="n">
        <f aca="false">IF(J75="","",MAX(0,J75-1.96*O75/100))</f>
        <v>0.491517972257203</v>
      </c>
      <c r="Q75" s="40" t="n">
        <f aca="false">IF(J75="","",MIN(1,J75+1.96*O75/100))</f>
        <v>0.561676511277838</v>
      </c>
      <c r="R75" s="32" t="str">
        <f aca="false">IF(L75="","",IF(ABS(L75)&lt;=O75,"Yes","No"))</f>
        <v>No</v>
      </c>
      <c r="S75" s="32" t="str">
        <f aca="false">IF(L75="","",IF(ABS(L75)&lt;=1.96*O75,"Yes","No"))</f>
        <v>Yes</v>
      </c>
      <c r="T75" s="59" t="n">
        <f aca="false">IF(D75="","",ROUND(SQRT(((D75+G75)*O75/100)^2+(J75*(D75+G75)*0.04632)^2),0))</f>
        <v>107</v>
      </c>
      <c r="U75" s="32"/>
    </row>
    <row r="76" customFormat="false" ht="15" hidden="false" customHeight="false" outlineLevel="0" collapsed="false">
      <c r="A76" s="32" t="s">
        <v>220</v>
      </c>
      <c r="B76" s="32" t="s">
        <v>242</v>
      </c>
      <c r="C76" s="32" t="s">
        <v>161</v>
      </c>
      <c r="D76" s="59" t="n">
        <v>5233</v>
      </c>
      <c r="E76" s="59" t="n">
        <v>4804</v>
      </c>
      <c r="F76" s="68" t="n">
        <f aca="false">IF(E76="","",D76-E76)</f>
        <v>429</v>
      </c>
      <c r="G76" s="59" t="n">
        <v>4251</v>
      </c>
      <c r="H76" s="59" t="n">
        <v>4095</v>
      </c>
      <c r="I76" s="68" t="n">
        <f aca="false">IF(H76="","",G76-H76)</f>
        <v>156</v>
      </c>
      <c r="J76" s="40" t="n">
        <f aca="false">IF(OR(D76="",D76+G76=0),"",D76/(D76+G76))</f>
        <v>0.551771404470688</v>
      </c>
      <c r="K76" s="40" t="n">
        <f aca="false">IF(E76="","",E76/(E76+H76))</f>
        <v>0.539835936622092</v>
      </c>
      <c r="L76" s="69" t="n">
        <f aca="false">IF(OR(K76="",J76=""),"",(J76-K76)*100)</f>
        <v>1.19354678485951</v>
      </c>
      <c r="M76" s="36" t="n">
        <v>1.44807452737494</v>
      </c>
      <c r="N76" s="36" t="n">
        <v>1.05181566017852</v>
      </c>
      <c r="O76" s="36" t="n">
        <f aca="false">SQRT(M76^2+N76^2)</f>
        <v>1.78975864848558</v>
      </c>
      <c r="P76" s="40" t="n">
        <f aca="false">IF(J76="","",MAX(0,J76-1.96*O76/100))</f>
        <v>0.51669213496037</v>
      </c>
      <c r="Q76" s="40" t="n">
        <f aca="false">IF(J76="","",MIN(1,J76+1.96*O76/100))</f>
        <v>0.586850673981005</v>
      </c>
      <c r="R76" s="32" t="str">
        <f aca="false">IF(L76="","",IF(ABS(L76)&lt;=O76,"Yes","No"))</f>
        <v>Yes</v>
      </c>
      <c r="S76" s="32" t="str">
        <f aca="false">IF(L76="","",IF(ABS(L76)&lt;=1.96*O76,"Yes","No"))</f>
        <v>Yes</v>
      </c>
      <c r="T76" s="59" t="n">
        <f aca="false">IF(D76="","",ROUND(SQRT(((D76+G76)*O76/100)^2+(J76*(D76+G76)*0.04632)^2),0))</f>
        <v>296</v>
      </c>
      <c r="U76" s="32"/>
    </row>
    <row r="77" customFormat="false" ht="15" hidden="false" customHeight="false" outlineLevel="0" collapsed="false">
      <c r="A77" s="32" t="s">
        <v>220</v>
      </c>
      <c r="B77" s="32" t="s">
        <v>243</v>
      </c>
      <c r="C77" s="32" t="s">
        <v>161</v>
      </c>
      <c r="D77" s="59" t="n">
        <v>535</v>
      </c>
      <c r="E77" s="59" t="n">
        <v>484</v>
      </c>
      <c r="F77" s="68" t="n">
        <f aca="false">IF(E77="","",D77-E77)</f>
        <v>51</v>
      </c>
      <c r="G77" s="59" t="n">
        <v>716</v>
      </c>
      <c r="H77" s="59" t="n">
        <v>685</v>
      </c>
      <c r="I77" s="68" t="n">
        <f aca="false">IF(H77="","",G77-H77)</f>
        <v>31</v>
      </c>
      <c r="J77" s="40" t="n">
        <f aca="false">IF(OR(D77="",D77+G77=0),"",D77/(D77+G77))</f>
        <v>0.427657873701039</v>
      </c>
      <c r="K77" s="40" t="n">
        <f aca="false">IF(E77="","",E77/(E77+H77))</f>
        <v>0.414029084687767</v>
      </c>
      <c r="L77" s="69" t="n">
        <f aca="false">IF(OR(K77="",J77=""),"",(J77-K77)*100)</f>
        <v>1.36287890132719</v>
      </c>
      <c r="M77" s="36" t="n">
        <v>1.87635304542411</v>
      </c>
      <c r="N77" s="36" t="n">
        <v>1.05181566017852</v>
      </c>
      <c r="O77" s="36" t="n">
        <f aca="false">SQRT(M77^2+N77^2)</f>
        <v>2.15105019329375</v>
      </c>
      <c r="P77" s="40" t="n">
        <f aca="false">IF(J77="","",MAX(0,J77-1.96*O77/100))</f>
        <v>0.385497289912482</v>
      </c>
      <c r="Q77" s="40" t="n">
        <f aca="false">IF(J77="","",MIN(1,J77+1.96*O77/100))</f>
        <v>0.469818457489597</v>
      </c>
      <c r="R77" s="32" t="str">
        <f aca="false">IF(L77="","",IF(ABS(L77)&lt;=O77,"Yes","No"))</f>
        <v>Yes</v>
      </c>
      <c r="S77" s="32" t="str">
        <f aca="false">IF(L77="","",IF(ABS(L77)&lt;=1.96*O77,"Yes","No"))</f>
        <v>Yes</v>
      </c>
      <c r="T77" s="59" t="n">
        <f aca="false">IF(D77="","",ROUND(SQRT(((D77+G77)*O77/100)^2+(J77*(D77+G77)*0.05402)^2),0))</f>
        <v>39</v>
      </c>
      <c r="U77" s="32"/>
    </row>
    <row r="78" customFormat="false" ht="15" hidden="false" customHeight="false" outlineLevel="0" collapsed="false">
      <c r="A78" s="32" t="s">
        <v>220</v>
      </c>
      <c r="B78" s="32" t="s">
        <v>244</v>
      </c>
      <c r="C78" s="32" t="s">
        <v>161</v>
      </c>
      <c r="D78" s="59" t="n">
        <v>1091</v>
      </c>
      <c r="E78" s="59" t="n">
        <v>1016</v>
      </c>
      <c r="F78" s="68" t="n">
        <f aca="false">IF(E78="","",D78-E78)</f>
        <v>75</v>
      </c>
      <c r="G78" s="59" t="n">
        <v>1756</v>
      </c>
      <c r="H78" s="59" t="n">
        <v>1531</v>
      </c>
      <c r="I78" s="68" t="n">
        <f aca="false">IF(H78="","",G78-H78)</f>
        <v>225</v>
      </c>
      <c r="J78" s="40" t="n">
        <f aca="false">IF(OR(D78="",D78+G78=0),"",D78/(D78+G78))</f>
        <v>0.383210396909027</v>
      </c>
      <c r="K78" s="40" t="n">
        <f aca="false">IF(E78="","",E78/(E78+H78))</f>
        <v>0.398900667451904</v>
      </c>
      <c r="L78" s="69" t="n">
        <f aca="false">IF(OR(K78="",J78=""),"",(J78-K78)*100)</f>
        <v>-1.56902705428772</v>
      </c>
      <c r="M78" s="36" t="n">
        <v>1.44807452737494</v>
      </c>
      <c r="N78" s="36" t="n">
        <v>1.05181566017852</v>
      </c>
      <c r="O78" s="36" t="n">
        <f aca="false">SQRT(M78^2+N78^2)</f>
        <v>1.78975864848558</v>
      </c>
      <c r="P78" s="40" t="n">
        <f aca="false">IF(J78="","",MAX(0,J78-1.96*O78/100))</f>
        <v>0.34813112739871</v>
      </c>
      <c r="Q78" s="40" t="n">
        <f aca="false">IF(J78="","",MIN(1,J78+1.96*O78/100))</f>
        <v>0.418289666419344</v>
      </c>
      <c r="R78" s="32" t="str">
        <f aca="false">IF(L78="","",IF(ABS(L78)&lt;=O78,"Yes","No"))</f>
        <v>Yes</v>
      </c>
      <c r="S78" s="32" t="str">
        <f aca="false">IF(L78="","",IF(ABS(L78)&lt;=1.96*O78,"Yes","No"))</f>
        <v>Yes</v>
      </c>
      <c r="T78" s="59" t="n">
        <f aca="false">IF(D78="","",ROUND(SQRT(((D78+G78)*O78/100)^2+(J78*(D78+G78)*0.04632)^2),0))</f>
        <v>72</v>
      </c>
      <c r="U78" s="32"/>
    </row>
    <row r="79" customFormat="false" ht="15" hidden="false" customHeight="false" outlineLevel="0" collapsed="false">
      <c r="A79" s="32" t="s">
        <v>220</v>
      </c>
      <c r="B79" s="32" t="s">
        <v>245</v>
      </c>
      <c r="C79" s="32" t="s">
        <v>161</v>
      </c>
      <c r="D79" s="59" t="n">
        <v>68</v>
      </c>
      <c r="E79" s="59" t="n">
        <v>62</v>
      </c>
      <c r="F79" s="68" t="n">
        <f aca="false">IF(E79="","",D79-E79)</f>
        <v>6</v>
      </c>
      <c r="G79" s="59" t="n">
        <v>113</v>
      </c>
      <c r="H79" s="59" t="n">
        <v>104</v>
      </c>
      <c r="I79" s="68" t="n">
        <f aca="false">IF(H79="","",G79-H79)</f>
        <v>9</v>
      </c>
      <c r="J79" s="40" t="n">
        <f aca="false">IF(OR(D79="",D79+G79=0),"",D79/(D79+G79))</f>
        <v>0.375690607734807</v>
      </c>
      <c r="K79" s="40" t="n">
        <f aca="false">IF(E79="","",E79/(E79+H79))</f>
        <v>0.373493975903614</v>
      </c>
      <c r="L79" s="69" t="n">
        <f aca="false">IF(OR(K79="",J79=""),"",(J79-K79)*100)</f>
        <v>0.219663183119218</v>
      </c>
      <c r="M79" s="36" t="n">
        <v>3.17576510259995</v>
      </c>
      <c r="N79" s="36" t="n">
        <v>1.05181566017852</v>
      </c>
      <c r="O79" s="36" t="n">
        <f aca="false">SQRT(M79^2+N79^2)</f>
        <v>3.34541479788209</v>
      </c>
      <c r="P79" s="40" t="n">
        <f aca="false">IF(J79="","",MAX(0,J79-1.96*O79/100))</f>
        <v>0.310120477696318</v>
      </c>
      <c r="Q79" s="40" t="n">
        <f aca="false">IF(J79="","",MIN(1,J79+1.96*O79/100))</f>
        <v>0.441260737773296</v>
      </c>
      <c r="R79" s="32" t="str">
        <f aca="false">IF(L79="","",IF(ABS(L79)&lt;=O79,"Yes","No"))</f>
        <v>Yes</v>
      </c>
      <c r="S79" s="32" t="str">
        <f aca="false">IF(L79="","",IF(ABS(L79)&lt;=1.96*O79,"Yes","No"))</f>
        <v>Yes</v>
      </c>
      <c r="T79" s="59" t="n">
        <f aca="false">IF(D79="","",ROUND(SQRT(((D79+G79)*O79/100)^2+(J79*(D79+G79)*0.07067)^2),0))</f>
        <v>8</v>
      </c>
      <c r="U79" s="32"/>
    </row>
    <row r="80" customFormat="false" ht="15" hidden="false" customHeight="false" outlineLevel="0" collapsed="false">
      <c r="A80" s="32" t="s">
        <v>220</v>
      </c>
      <c r="B80" s="32" t="s">
        <v>246</v>
      </c>
      <c r="C80" s="32" t="s">
        <v>161</v>
      </c>
      <c r="D80" s="59" t="n">
        <v>267</v>
      </c>
      <c r="E80" s="59" t="n">
        <v>243</v>
      </c>
      <c r="F80" s="68" t="n">
        <f aca="false">IF(E80="","",D80-E80)</f>
        <v>24</v>
      </c>
      <c r="G80" s="59" t="n">
        <v>329</v>
      </c>
      <c r="H80" s="59" t="n">
        <v>335</v>
      </c>
      <c r="I80" s="68" t="n">
        <f aca="false">IF(H80="","",G80-H80)</f>
        <v>-6</v>
      </c>
      <c r="J80" s="40" t="n">
        <f aca="false">IF(OR(D80="",D80+G80=0),"",D80/(D80+G80))</f>
        <v>0.447986577181208</v>
      </c>
      <c r="K80" s="40" t="n">
        <f aca="false">IF(E80="","",E80/(E80+H80))</f>
        <v>0.420415224913495</v>
      </c>
      <c r="L80" s="69" t="n">
        <f aca="false">IF(OR(K80="",J80=""),"",(J80-K80)*100)</f>
        <v>2.75713522677132</v>
      </c>
      <c r="M80" s="36" t="n">
        <v>3.17576510259995</v>
      </c>
      <c r="N80" s="36" t="n">
        <v>1.05181566017852</v>
      </c>
      <c r="O80" s="36" t="n">
        <f aca="false">SQRT(M80^2+N80^2)</f>
        <v>3.34541479788209</v>
      </c>
      <c r="P80" s="40" t="n">
        <f aca="false">IF(J80="","",MAX(0,J80-1.96*O80/100))</f>
        <v>0.382416447142719</v>
      </c>
      <c r="Q80" s="40" t="n">
        <f aca="false">IF(J80="","",MIN(1,J80+1.96*O80/100))</f>
        <v>0.513556707219697</v>
      </c>
      <c r="R80" s="32" t="str">
        <f aca="false">IF(L80="","",IF(ABS(L80)&lt;=O80,"Yes","No"))</f>
        <v>Yes</v>
      </c>
      <c r="S80" s="32" t="str">
        <f aca="false">IF(L80="","",IF(ABS(L80)&lt;=1.96*O80,"Yes","No"))</f>
        <v>Yes</v>
      </c>
      <c r="T80" s="59" t="n">
        <f aca="false">IF(D80="","",ROUND(SQRT(((D80+G80)*O80/100)^2+(J80*(D80+G80)*0.07067)^2),0))</f>
        <v>27</v>
      </c>
      <c r="U80" s="32"/>
    </row>
    <row r="81" customFormat="false" ht="15" hidden="false" customHeight="false" outlineLevel="0" collapsed="false">
      <c r="A81" s="32" t="s">
        <v>220</v>
      </c>
      <c r="B81" s="32" t="s">
        <v>247</v>
      </c>
      <c r="C81" s="32" t="s">
        <v>161</v>
      </c>
      <c r="D81" s="59" t="n">
        <v>159</v>
      </c>
      <c r="E81" s="59" t="n">
        <v>142</v>
      </c>
      <c r="F81" s="68" t="n">
        <f aca="false">IF(E81="","",D81-E81)</f>
        <v>17</v>
      </c>
      <c r="G81" s="59" t="n">
        <v>204</v>
      </c>
      <c r="H81" s="59" t="n">
        <v>172</v>
      </c>
      <c r="I81" s="68" t="n">
        <f aca="false">IF(H81="","",G81-H81)</f>
        <v>32</v>
      </c>
      <c r="J81" s="40" t="n">
        <f aca="false">IF(OR(D81="",D81+G81=0),"",D81/(D81+G81))</f>
        <v>0.43801652892562</v>
      </c>
      <c r="K81" s="40" t="n">
        <f aca="false">IF(E81="","",E81/(E81+H81))</f>
        <v>0.452229299363057</v>
      </c>
      <c r="L81" s="69" t="n">
        <f aca="false">IF(OR(K81="",J81=""),"",(J81-K81)*100)</f>
        <v>-1.42127704374375</v>
      </c>
      <c r="M81" s="36" t="n">
        <v>3.17576510259995</v>
      </c>
      <c r="N81" s="36" t="n">
        <v>1.05181566017852</v>
      </c>
      <c r="O81" s="36" t="n">
        <f aca="false">SQRT(M81^2+N81^2)</f>
        <v>3.34541479788209</v>
      </c>
      <c r="P81" s="40" t="n">
        <f aca="false">IF(J81="","",MAX(0,J81-1.96*O81/100))</f>
        <v>0.372446398887131</v>
      </c>
      <c r="Q81" s="40" t="n">
        <f aca="false">IF(J81="","",MIN(1,J81+1.96*O81/100))</f>
        <v>0.503586658964109</v>
      </c>
      <c r="R81" s="32" t="str">
        <f aca="false">IF(L81="","",IF(ABS(L81)&lt;=O81,"Yes","No"))</f>
        <v>Yes</v>
      </c>
      <c r="S81" s="32" t="str">
        <f aca="false">IF(L81="","",IF(ABS(L81)&lt;=1.96*O81,"Yes","No"))</f>
        <v>Yes</v>
      </c>
      <c r="T81" s="59" t="n">
        <f aca="false">IF(D81="","",ROUND(SQRT(((D81+G81)*O81/100)^2+(J81*(D81+G81)*0.07067)^2),0))</f>
        <v>17</v>
      </c>
      <c r="U81" s="32"/>
    </row>
    <row r="82" customFormat="false" ht="15" hidden="false" customHeight="false" outlineLevel="0" collapsed="false">
      <c r="A82" s="32" t="s">
        <v>220</v>
      </c>
      <c r="B82" s="32" t="s">
        <v>248</v>
      </c>
      <c r="C82" s="32" t="s">
        <v>161</v>
      </c>
      <c r="D82" s="59" t="n">
        <v>225</v>
      </c>
      <c r="E82" s="59" t="n">
        <v>192</v>
      </c>
      <c r="F82" s="68" t="n">
        <f aca="false">IF(E82="","",D82-E82)</f>
        <v>33</v>
      </c>
      <c r="G82" s="59" t="n">
        <v>253</v>
      </c>
      <c r="H82" s="59" t="n">
        <v>253</v>
      </c>
      <c r="I82" s="68" t="n">
        <f aca="false">IF(H82="","",G82-H82)</f>
        <v>0</v>
      </c>
      <c r="J82" s="40" t="n">
        <f aca="false">IF(OR(D82="",D82+G82=0),"",D82/(D82+G82))</f>
        <v>0.47071129707113</v>
      </c>
      <c r="K82" s="40" t="n">
        <f aca="false">IF(E82="","",E82/(E82+H82))</f>
        <v>0.431460674157303</v>
      </c>
      <c r="L82" s="69" t="n">
        <f aca="false">IF(OR(K82="",J82=""),"",(J82-K82)*100)</f>
        <v>3.92506229138263</v>
      </c>
      <c r="M82" s="36" t="n">
        <v>3.17576510259995</v>
      </c>
      <c r="N82" s="36" t="n">
        <v>1.05181566017852</v>
      </c>
      <c r="O82" s="36" t="n">
        <f aca="false">SQRT(M82^2+N82^2)</f>
        <v>3.34541479788209</v>
      </c>
      <c r="P82" s="40" t="n">
        <f aca="false">IF(J82="","",MAX(0,J82-1.96*O82/100))</f>
        <v>0.405141167032641</v>
      </c>
      <c r="Q82" s="40" t="n">
        <f aca="false">IF(J82="","",MIN(1,J82+1.96*O82/100))</f>
        <v>0.536281427109619</v>
      </c>
      <c r="R82" s="32" t="str">
        <f aca="false">IF(L82="","",IF(ABS(L82)&lt;=O82,"Yes","No"))</f>
        <v>No</v>
      </c>
      <c r="S82" s="32" t="str">
        <f aca="false">IF(L82="","",IF(ABS(L82)&lt;=1.96*O82,"Yes","No"))</f>
        <v>Yes</v>
      </c>
      <c r="T82" s="59" t="n">
        <f aca="false">IF(D82="","",ROUND(SQRT(((D82+G82)*O82/100)^2+(J82*(D82+G82)*0.07067)^2),0))</f>
        <v>23</v>
      </c>
      <c r="U82" s="32"/>
    </row>
    <row r="83" customFormat="false" ht="15" hidden="false" customHeight="false" outlineLevel="0" collapsed="false">
      <c r="A83" s="32" t="s">
        <v>220</v>
      </c>
      <c r="B83" s="32" t="s">
        <v>249</v>
      </c>
      <c r="C83" s="32" t="s">
        <v>161</v>
      </c>
      <c r="D83" s="59" t="n">
        <v>1064</v>
      </c>
      <c r="E83" s="59" t="n">
        <v>967</v>
      </c>
      <c r="F83" s="68" t="n">
        <f aca="false">IF(E83="","",D83-E83)</f>
        <v>97</v>
      </c>
      <c r="G83" s="59" t="n">
        <v>1873</v>
      </c>
      <c r="H83" s="59" t="n">
        <v>1709</v>
      </c>
      <c r="I83" s="68" t="n">
        <f aca="false">IF(H83="","",G83-H83)</f>
        <v>164</v>
      </c>
      <c r="J83" s="40" t="n">
        <f aca="false">IF(OR(D83="",D83+G83=0),"",D83/(D83+G83))</f>
        <v>0.36227442969016</v>
      </c>
      <c r="K83" s="40" t="n">
        <f aca="false">IF(E83="","",E83/(E83+H83))</f>
        <v>0.36136023916293</v>
      </c>
      <c r="L83" s="69" t="n">
        <f aca="false">IF(OR(K83="",J83=""),"",(J83-K83)*100)</f>
        <v>0.0914190527230296</v>
      </c>
      <c r="M83" s="36" t="n">
        <v>1.44807452737494</v>
      </c>
      <c r="N83" s="36" t="n">
        <v>1.05181566017852</v>
      </c>
      <c r="O83" s="36" t="n">
        <f aca="false">SQRT(M83^2+N83^2)</f>
        <v>1.78975864848558</v>
      </c>
      <c r="P83" s="40" t="n">
        <f aca="false">IF(J83="","",MAX(0,J83-1.96*O83/100))</f>
        <v>0.327195160179843</v>
      </c>
      <c r="Q83" s="40" t="n">
        <f aca="false">IF(J83="","",MIN(1,J83+1.96*O83/100))</f>
        <v>0.397353699200477</v>
      </c>
      <c r="R83" s="32" t="str">
        <f aca="false">IF(L83="","",IF(ABS(L83)&lt;=O83,"Yes","No"))</f>
        <v>Yes</v>
      </c>
      <c r="S83" s="32" t="str">
        <f aca="false">IF(L83="","",IF(ABS(L83)&lt;=1.96*O83,"Yes","No"))</f>
        <v>Yes</v>
      </c>
      <c r="T83" s="59" t="n">
        <f aca="false">IF(D83="","",ROUND(SQRT(((D83+G83)*O83/100)^2+(J83*(D83+G83)*0.04632)^2),0))</f>
        <v>72</v>
      </c>
      <c r="U83" s="32"/>
    </row>
    <row r="84" customFormat="false" ht="15" hidden="false" customHeight="false" outlineLevel="0" collapsed="false">
      <c r="A84" s="32" t="s">
        <v>220</v>
      </c>
      <c r="B84" s="32" t="s">
        <v>250</v>
      </c>
      <c r="C84" s="32" t="s">
        <v>161</v>
      </c>
      <c r="D84" s="59" t="n">
        <v>1415</v>
      </c>
      <c r="E84" s="59" t="n">
        <v>1261</v>
      </c>
      <c r="F84" s="68" t="n">
        <f aca="false">IF(E84="","",D84-E84)</f>
        <v>154</v>
      </c>
      <c r="G84" s="59" t="n">
        <v>1449</v>
      </c>
      <c r="H84" s="59" t="n">
        <v>1262</v>
      </c>
      <c r="I84" s="68" t="n">
        <f aca="false">IF(H84="","",G84-H84)</f>
        <v>187</v>
      </c>
      <c r="J84" s="40" t="n">
        <f aca="false">IF(OR(D84="",D84+G84=0),"",D84/(D84+G84))</f>
        <v>0.494064245810056</v>
      </c>
      <c r="K84" s="40" t="n">
        <f aca="false">IF(E84="","",E84/(E84+H84))</f>
        <v>0.499801823226318</v>
      </c>
      <c r="L84" s="69" t="n">
        <f aca="false">IF(OR(K84="",J84=""),"",(J84-K84)*100)</f>
        <v>-0.573757741626202</v>
      </c>
      <c r="M84" s="36" t="n">
        <v>1.44807452737494</v>
      </c>
      <c r="N84" s="36" t="n">
        <v>1.05181566017852</v>
      </c>
      <c r="O84" s="36" t="n">
        <f aca="false">SQRT(M84^2+N84^2)</f>
        <v>1.78975864848558</v>
      </c>
      <c r="P84" s="40" t="n">
        <f aca="false">IF(J84="","",MAX(0,J84-1.96*O84/100))</f>
        <v>0.458984976299739</v>
      </c>
      <c r="Q84" s="40" t="n">
        <f aca="false">IF(J84="","",MIN(1,J84+1.96*O84/100))</f>
        <v>0.529143515320373</v>
      </c>
      <c r="R84" s="32" t="str">
        <f aca="false">IF(L84="","",IF(ABS(L84)&lt;=O84,"Yes","No"))</f>
        <v>Yes</v>
      </c>
      <c r="S84" s="32" t="str">
        <f aca="false">IF(L84="","",IF(ABS(L84)&lt;=1.96*O84,"Yes","No"))</f>
        <v>Yes</v>
      </c>
      <c r="T84" s="59" t="n">
        <f aca="false">IF(D84="","",ROUND(SQRT(((D84+G84)*O84/100)^2+(J84*(D84+G84)*0.04632)^2),0))</f>
        <v>83</v>
      </c>
      <c r="U84" s="32"/>
    </row>
    <row r="85" customFormat="false" ht="15" hidden="false" customHeight="false" outlineLevel="0" collapsed="false">
      <c r="A85" s="32" t="s">
        <v>220</v>
      </c>
      <c r="B85" s="32" t="s">
        <v>251</v>
      </c>
      <c r="C85" s="32" t="s">
        <v>161</v>
      </c>
      <c r="D85" s="59" t="n">
        <v>281</v>
      </c>
      <c r="E85" s="59" t="n">
        <v>250</v>
      </c>
      <c r="F85" s="68" t="n">
        <f aca="false">IF(E85="","",D85-E85)</f>
        <v>31</v>
      </c>
      <c r="G85" s="59" t="n">
        <v>365</v>
      </c>
      <c r="H85" s="59" t="n">
        <v>344</v>
      </c>
      <c r="I85" s="68" t="n">
        <f aca="false">IF(H85="","",G85-H85)</f>
        <v>21</v>
      </c>
      <c r="J85" s="40" t="n">
        <f aca="false">IF(OR(D85="",D85+G85=0),"",D85/(D85+G85))</f>
        <v>0.434984520123839</v>
      </c>
      <c r="K85" s="40" t="n">
        <f aca="false">IF(E85="","",E85/(E85+H85))</f>
        <v>0.420875420875421</v>
      </c>
      <c r="L85" s="69" t="n">
        <f aca="false">IF(OR(K85="",J85=""),"",(J85-K85)*100)</f>
        <v>1.41090992484181</v>
      </c>
      <c r="M85" s="36" t="n">
        <v>3.17576510259995</v>
      </c>
      <c r="N85" s="36" t="n">
        <v>1.05181566017852</v>
      </c>
      <c r="O85" s="36" t="n">
        <f aca="false">SQRT(M85^2+N85^2)</f>
        <v>3.34541479788209</v>
      </c>
      <c r="P85" s="40" t="n">
        <f aca="false">IF(J85="","",MAX(0,J85-1.96*O85/100))</f>
        <v>0.36941439008535</v>
      </c>
      <c r="Q85" s="40" t="n">
        <f aca="false">IF(J85="","",MIN(1,J85+1.96*O85/100))</f>
        <v>0.500554650162328</v>
      </c>
      <c r="R85" s="32" t="str">
        <f aca="false">IF(L85="","",IF(ABS(L85)&lt;=O85,"Yes","No"))</f>
        <v>Yes</v>
      </c>
      <c r="S85" s="32" t="str">
        <f aca="false">IF(L85="","",IF(ABS(L85)&lt;=1.96*O85,"Yes","No"))</f>
        <v>Yes</v>
      </c>
      <c r="T85" s="59" t="n">
        <f aca="false">IF(D85="","",ROUND(SQRT(((D85+G85)*O85/100)^2+(J85*(D85+G85)*0.07067)^2),0))</f>
        <v>29</v>
      </c>
      <c r="U85" s="32"/>
    </row>
    <row r="86" customFormat="false" ht="15" hidden="false" customHeight="false" outlineLevel="0" collapsed="false">
      <c r="A86" s="32" t="s">
        <v>220</v>
      </c>
      <c r="B86" s="32" t="s">
        <v>212</v>
      </c>
      <c r="C86" s="32" t="s">
        <v>161</v>
      </c>
      <c r="D86" s="59" t="n">
        <v>841</v>
      </c>
      <c r="E86" s="59" t="n">
        <v>724</v>
      </c>
      <c r="F86" s="68" t="n">
        <f aca="false">IF(E86="","",D86-E86)</f>
        <v>117</v>
      </c>
      <c r="G86" s="59" t="n">
        <v>1326</v>
      </c>
      <c r="H86" s="59" t="n">
        <v>1138</v>
      </c>
      <c r="I86" s="68" t="n">
        <f aca="false">IF(H86="","",G86-H86)</f>
        <v>188</v>
      </c>
      <c r="J86" s="40" t="n">
        <f aca="false">IF(OR(D86="",D86+G86=0),"",D86/(D86+G86))</f>
        <v>0.388094139363175</v>
      </c>
      <c r="K86" s="40" t="n">
        <f aca="false">IF(E86="","",E86/(E86+H86))</f>
        <v>0.388829215896885</v>
      </c>
      <c r="L86" s="69" t="n">
        <f aca="false">IF(OR(K86="",J86=""),"",(J86-K86)*100)</f>
        <v>-0.0735076533710188</v>
      </c>
      <c r="M86" s="36" t="n">
        <v>1.87635304542411</v>
      </c>
      <c r="N86" s="36" t="n">
        <v>1.05181566017852</v>
      </c>
      <c r="O86" s="36" t="n">
        <f aca="false">SQRT(M86^2+N86^2)</f>
        <v>2.15105019329375</v>
      </c>
      <c r="P86" s="40" t="n">
        <f aca="false">IF(J86="","",MAX(0,J86-1.96*O86/100))</f>
        <v>0.345933555574617</v>
      </c>
      <c r="Q86" s="40" t="n">
        <f aca="false">IF(J86="","",MIN(1,J86+1.96*O86/100))</f>
        <v>0.430254723151732</v>
      </c>
      <c r="R86" s="32" t="str">
        <f aca="false">IF(L86="","",IF(ABS(L86)&lt;=O86,"Yes","No"))</f>
        <v>Yes</v>
      </c>
      <c r="S86" s="32" t="str">
        <f aca="false">IF(L86="","",IF(ABS(L86)&lt;=1.96*O86,"Yes","No"))</f>
        <v>Yes</v>
      </c>
      <c r="T86" s="59" t="n">
        <f aca="false">IF(D86="","",ROUND(SQRT(((D86+G86)*O86/100)^2+(J86*(D86+G86)*0.05402)^2),0))</f>
        <v>65</v>
      </c>
      <c r="U86" s="32"/>
    </row>
    <row r="87" customFormat="false" ht="15" hidden="false" customHeight="false" outlineLevel="0" collapsed="false">
      <c r="A87" s="32" t="s">
        <v>220</v>
      </c>
      <c r="B87" s="32" t="s">
        <v>252</v>
      </c>
      <c r="C87" s="32" t="s">
        <v>161</v>
      </c>
      <c r="D87" s="59" t="n">
        <v>184</v>
      </c>
      <c r="E87" s="59" t="n">
        <v>190</v>
      </c>
      <c r="F87" s="68" t="n">
        <f aca="false">IF(E87="","",D87-E87)</f>
        <v>-6</v>
      </c>
      <c r="G87" s="59" t="n">
        <v>216</v>
      </c>
      <c r="H87" s="59" t="n">
        <v>165</v>
      </c>
      <c r="I87" s="68" t="n">
        <f aca="false">IF(H87="","",G87-H87)</f>
        <v>51</v>
      </c>
      <c r="J87" s="40" t="n">
        <f aca="false">IF(OR(D87="",D87+G87=0),"",D87/(D87+G87))</f>
        <v>0.46</v>
      </c>
      <c r="K87" s="40" t="n">
        <f aca="false">IF(E87="","",E87/(E87+H87))</f>
        <v>0.535211267605634</v>
      </c>
      <c r="L87" s="69" t="n">
        <f aca="false">IF(OR(K87="",J87=""),"",(J87-K87)*100)</f>
        <v>-7.52112676056337</v>
      </c>
      <c r="M87" s="36" t="n">
        <v>3.17576510259995</v>
      </c>
      <c r="N87" s="36" t="n">
        <v>1.05181566017852</v>
      </c>
      <c r="O87" s="36" t="n">
        <f aca="false">SQRT(M87^2+N87^2)</f>
        <v>3.34541479788209</v>
      </c>
      <c r="P87" s="40" t="n">
        <f aca="false">IF(J87="","",MAX(0,J87-1.96*O87/100))</f>
        <v>0.394429869961511</v>
      </c>
      <c r="Q87" s="40" t="n">
        <f aca="false">IF(J87="","",MIN(1,J87+1.96*O87/100))</f>
        <v>0.525570130038489</v>
      </c>
      <c r="R87" s="32" t="str">
        <f aca="false">IF(L87="","",IF(ABS(L87)&lt;=O87,"Yes","No"))</f>
        <v>No</v>
      </c>
      <c r="S87" s="32" t="str">
        <f aca="false">IF(L87="","",IF(ABS(L87)&lt;=1.96*O87,"Yes","No"))</f>
        <v>No</v>
      </c>
      <c r="T87" s="59" t="n">
        <f aca="false">IF(D87="","",ROUND(SQRT(((D87+G87)*O87/100)^2+(J87*(D87+G87)*0.07067)^2),0))</f>
        <v>19</v>
      </c>
      <c r="U87" s="32"/>
    </row>
    <row r="88" customFormat="false" ht="15" hidden="false" customHeight="false" outlineLevel="0" collapsed="false">
      <c r="A88" s="32" t="s">
        <v>220</v>
      </c>
      <c r="B88" s="32" t="s">
        <v>253</v>
      </c>
      <c r="C88" s="32" t="s">
        <v>161</v>
      </c>
      <c r="D88" s="59" t="n">
        <v>1381</v>
      </c>
      <c r="E88" s="59" t="n">
        <v>1296</v>
      </c>
      <c r="F88" s="68" t="n">
        <f aca="false">IF(E88="","",D88-E88)</f>
        <v>85</v>
      </c>
      <c r="G88" s="59" t="n">
        <v>1695</v>
      </c>
      <c r="H88" s="59" t="n">
        <v>1534</v>
      </c>
      <c r="I88" s="68" t="n">
        <f aca="false">IF(H88="","",G88-H88)</f>
        <v>161</v>
      </c>
      <c r="J88" s="40" t="n">
        <f aca="false">IF(OR(D88="",D88+G88=0),"",D88/(D88+G88))</f>
        <v>0.448959687906372</v>
      </c>
      <c r="K88" s="40" t="n">
        <f aca="false">IF(E88="","",E88/(E88+H88))</f>
        <v>0.457950530035336</v>
      </c>
      <c r="L88" s="69" t="n">
        <f aca="false">IF(OR(K88="",J88=""),"",(J88-K88)*100)</f>
        <v>-0.899084212896378</v>
      </c>
      <c r="M88" s="36" t="n">
        <v>1.44807452737494</v>
      </c>
      <c r="N88" s="36" t="n">
        <v>1.05181566017852</v>
      </c>
      <c r="O88" s="36" t="n">
        <f aca="false">SQRT(M88^2+N88^2)</f>
        <v>1.78975864848558</v>
      </c>
      <c r="P88" s="40" t="n">
        <f aca="false">IF(J88="","",MAX(0,J88-1.96*O88/100))</f>
        <v>0.413880418396055</v>
      </c>
      <c r="Q88" s="40" t="n">
        <f aca="false">IF(J88="","",MIN(1,J88+1.96*O88/100))</f>
        <v>0.484038957416689</v>
      </c>
      <c r="R88" s="32" t="str">
        <f aca="false">IF(L88="","",IF(ABS(L88)&lt;=O88,"Yes","No"))</f>
        <v>Yes</v>
      </c>
      <c r="S88" s="32" t="str">
        <f aca="false">IF(L88="","",IF(ABS(L88)&lt;=1.96*O88,"Yes","No"))</f>
        <v>Yes</v>
      </c>
      <c r="T88" s="59" t="n">
        <f aca="false">IF(D88="","",ROUND(SQRT(((D88+G88)*O88/100)^2+(J88*(D88+G88)*0.04632)^2),0))</f>
        <v>84</v>
      </c>
      <c r="U88" s="32"/>
    </row>
    <row r="89" customFormat="false" ht="15" hidden="false" customHeight="false" outlineLevel="0" collapsed="false">
      <c r="A89" s="32" t="s">
        <v>220</v>
      </c>
      <c r="B89" s="32" t="s">
        <v>254</v>
      </c>
      <c r="C89" s="32" t="s">
        <v>161</v>
      </c>
      <c r="D89" s="59" t="n">
        <v>1317</v>
      </c>
      <c r="E89" s="59" t="n">
        <v>1247</v>
      </c>
      <c r="F89" s="68" t="n">
        <f aca="false">IF(E89="","",D89-E89)</f>
        <v>70</v>
      </c>
      <c r="G89" s="59" t="n">
        <v>900</v>
      </c>
      <c r="H89" s="59" t="n">
        <v>810</v>
      </c>
      <c r="I89" s="68" t="n">
        <f aca="false">IF(H89="","",G89-H89)</f>
        <v>90</v>
      </c>
      <c r="J89" s="40" t="n">
        <f aca="false">IF(OR(D89="",D89+G89=0),"",D89/(D89+G89))</f>
        <v>0.59404600811908</v>
      </c>
      <c r="K89" s="40" t="n">
        <f aca="false">IF(E89="","",E89/(E89+H89))</f>
        <v>0.606222654350997</v>
      </c>
      <c r="L89" s="69" t="n">
        <f aca="false">IF(OR(K89="",J89=""),"",(J89-K89)*100)</f>
        <v>-1.21766462319168</v>
      </c>
      <c r="M89" s="36" t="n">
        <v>1.87635304542411</v>
      </c>
      <c r="N89" s="36" t="n">
        <v>1.05181566017852</v>
      </c>
      <c r="O89" s="36" t="n">
        <f aca="false">SQRT(M89^2+N89^2)</f>
        <v>2.15105019329375</v>
      </c>
      <c r="P89" s="40" t="n">
        <f aca="false">IF(J89="","",MAX(0,J89-1.96*O89/100))</f>
        <v>0.551885424330522</v>
      </c>
      <c r="Q89" s="40" t="n">
        <f aca="false">IF(J89="","",MIN(1,J89+1.96*O89/100))</f>
        <v>0.636206591907637</v>
      </c>
      <c r="R89" s="32" t="str">
        <f aca="false">IF(L89="","",IF(ABS(L89)&lt;=O89,"Yes","No"))</f>
        <v>Yes</v>
      </c>
      <c r="S89" s="32" t="str">
        <f aca="false">IF(L89="","",IF(ABS(L89)&lt;=1.96*O89,"Yes","No"))</f>
        <v>Yes</v>
      </c>
      <c r="T89" s="59" t="n">
        <f aca="false">IF(D89="","",ROUND(SQRT(((D89+G89)*O89/100)^2+(J89*(D89+G89)*0.05402)^2),0))</f>
        <v>86</v>
      </c>
      <c r="U89" s="32"/>
    </row>
    <row r="90" customFormat="false" ht="15" hidden="false" customHeight="false" outlineLevel="0" collapsed="false">
      <c r="A90" s="32" t="s">
        <v>220</v>
      </c>
      <c r="B90" s="32" t="s">
        <v>255</v>
      </c>
      <c r="C90" s="32" t="s">
        <v>161</v>
      </c>
      <c r="D90" s="59" t="n">
        <v>430</v>
      </c>
      <c r="E90" s="59" t="n">
        <v>362</v>
      </c>
      <c r="F90" s="68" t="n">
        <f aca="false">IF(E90="","",D90-E90)</f>
        <v>68</v>
      </c>
      <c r="G90" s="59" t="n">
        <v>474</v>
      </c>
      <c r="H90" s="59" t="n">
        <v>437</v>
      </c>
      <c r="I90" s="68" t="n">
        <f aca="false">IF(H90="","",G90-H90)</f>
        <v>37</v>
      </c>
      <c r="J90" s="40" t="n">
        <f aca="false">IF(OR(D90="",D90+G90=0),"",D90/(D90+G90))</f>
        <v>0.475663716814159</v>
      </c>
      <c r="K90" s="40" t="n">
        <f aca="false">IF(E90="","",E90/(E90+H90))</f>
        <v>0.453066332916145</v>
      </c>
      <c r="L90" s="69" t="n">
        <f aca="false">IF(OR(K90="",J90=""),"",(J90-K90)*100)</f>
        <v>2.25973838980141</v>
      </c>
      <c r="M90" s="36" t="n">
        <v>3.17576510259995</v>
      </c>
      <c r="N90" s="36" t="n">
        <v>1.05181566017852</v>
      </c>
      <c r="O90" s="36" t="n">
        <f aca="false">SQRT(M90^2+N90^2)</f>
        <v>3.34541479788209</v>
      </c>
      <c r="P90" s="40" t="n">
        <f aca="false">IF(J90="","",MAX(0,J90-1.96*O90/100))</f>
        <v>0.41009358677567</v>
      </c>
      <c r="Q90" s="40" t="n">
        <f aca="false">IF(J90="","",MIN(1,J90+1.96*O90/100))</f>
        <v>0.541233846852648</v>
      </c>
      <c r="R90" s="32" t="str">
        <f aca="false">IF(L90="","",IF(ABS(L90)&lt;=O90,"Yes","No"))</f>
        <v>Yes</v>
      </c>
      <c r="S90" s="32" t="str">
        <f aca="false">IF(L90="","",IF(ABS(L90)&lt;=1.96*O90,"Yes","No"))</f>
        <v>Yes</v>
      </c>
      <c r="T90" s="59" t="n">
        <f aca="false">IF(D90="","",ROUND(SQRT(((D90+G90)*O90/100)^2+(J90*(D90+G90)*0.07067)^2),0))</f>
        <v>43</v>
      </c>
      <c r="U90" s="32"/>
    </row>
    <row r="92" customFormat="false" ht="15" hidden="false" customHeight="false" outlineLevel="0" collapsed="false">
      <c r="A92" s="20" t="s">
        <v>383</v>
      </c>
      <c r="B92" s="70"/>
      <c r="C92" s="70"/>
      <c r="D92" s="71" t="n">
        <f aca="false">SUMIF(E2:E90,"&lt;&gt;",D2:D90)</f>
        <v>143807</v>
      </c>
      <c r="E92" s="71" t="n">
        <f aca="false">SUM(E2:E90)</f>
        <v>139992</v>
      </c>
      <c r="F92" s="72" t="n">
        <f aca="false">D92-E92</f>
        <v>3815</v>
      </c>
      <c r="G92" s="71" t="n">
        <f aca="false">SUMIF(H2:H90,"&lt;&gt;",G2:G90)</f>
        <v>134948</v>
      </c>
      <c r="H92" s="71" t="n">
        <f aca="false">SUM(H2:H90)</f>
        <v>122296</v>
      </c>
      <c r="I92" s="72" t="n">
        <f aca="false">G92-H92</f>
        <v>12652</v>
      </c>
      <c r="J92" s="73" t="n">
        <f aca="false">D92/(D92+G92)</f>
        <v>0.515890297931876</v>
      </c>
      <c r="K92" s="73" t="n">
        <f aca="false">E92/(E92+H92)</f>
        <v>0.533733910815592</v>
      </c>
      <c r="L92" s="74" t="n">
        <f aca="false">(J92-K92)*100</f>
        <v>-1.78436128837164</v>
      </c>
      <c r="M92" s="75" t="n">
        <v>0</v>
      </c>
      <c r="N92" s="75" t="n">
        <v>1.05181566017852</v>
      </c>
      <c r="O92" s="75" t="n">
        <f aca="false">SQRT(M92^2+N92^2)</f>
        <v>1.05181566017852</v>
      </c>
      <c r="P92" s="73" t="n">
        <f aca="false">J92-1.96*O92/100</f>
        <v>0.495274710992377</v>
      </c>
      <c r="Q92" s="73" t="n">
        <f aca="false">J92+1.96*O92/100</f>
        <v>0.536505884871375</v>
      </c>
      <c r="R92" s="70" t="str">
        <f aca="false">IF(ABS(L92)&lt;=O92,"Yes","No")</f>
        <v>No</v>
      </c>
      <c r="S92" s="70" t="str">
        <f aca="false">IF(ABS(L92)&lt;=1.96*O92,"Yes","No")</f>
        <v>Yes</v>
      </c>
      <c r="T92" s="71" t="n">
        <f aca="false">ROUND(SQRT(((D92+G92)*O92/100)^2+(J92*(D92+G92)*0.035)^2),0)</f>
        <v>5825</v>
      </c>
    </row>
    <row r="93" customFormat="false" ht="15" hidden="false" customHeight="false" outlineLevel="0" collapsed="false">
      <c r="A93" s="20" t="s">
        <v>384</v>
      </c>
      <c r="B93" s="70"/>
      <c r="C93" s="70"/>
      <c r="D93" s="71" t="n">
        <f aca="false">SUM(D2:D90)</f>
        <v>143807</v>
      </c>
      <c r="E93" s="71"/>
      <c r="F93" s="72"/>
      <c r="G93" s="71" t="n">
        <f aca="false">SUM(G2:G90)</f>
        <v>134948</v>
      </c>
      <c r="H93" s="71"/>
      <c r="I93" s="72"/>
      <c r="J93" s="73" t="n">
        <f aca="false">D93/(D93+G93)</f>
        <v>0.515890297931876</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134.123595505618</v>
      </c>
    </row>
    <row r="96" customFormat="false" ht="15" hidden="false" customHeight="false" outlineLevel="0" collapsed="false">
      <c r="A96" s="2" t="s">
        <v>386</v>
      </c>
      <c r="F96" s="76" t="n">
        <f aca="false">(SUMIF(I2:I90,"&gt;0")-SUMIF(I2:I90,"&lt;0"))/COUNT(I2:I90)</f>
        <v>142.696629213483</v>
      </c>
    </row>
    <row r="97" customFormat="false" ht="15" hidden="false" customHeight="false" outlineLevel="0" collapsed="false">
      <c r="A97" s="2" t="s">
        <v>387</v>
      </c>
      <c r="F97" s="77" t="n">
        <f aca="false">(SUMIF(L2:L90,"&gt;0")-SUMIF(L2:L90,"&lt;0"))/COUNT(L2:L90)</f>
        <v>2.63431818209934</v>
      </c>
    </row>
    <row r="98" customFormat="false" ht="15" hidden="false" customHeight="false" outlineLevel="0" collapsed="false">
      <c r="A98" s="5" t="s">
        <v>388</v>
      </c>
      <c r="F98" s="78" t="n">
        <f aca="false">SQRT(SUMSQ(L2:L90)/COUNT(L2:L90))</f>
        <v>3.51336107742943</v>
      </c>
    </row>
    <row r="99" customFormat="false" ht="15" hidden="false" customHeight="false" outlineLevel="0" collapsed="false">
      <c r="A99" s="5" t="s">
        <v>389</v>
      </c>
      <c r="F99" s="79" t="n">
        <f aca="false">L92</f>
        <v>-1.78436128837164</v>
      </c>
    </row>
    <row r="100" customFormat="false" ht="15" hidden="false" customHeight="false" outlineLevel="0" collapsed="false">
      <c r="A100" s="5" t="s">
        <v>390</v>
      </c>
      <c r="F100" s="78" t="n">
        <f aca="false">SQRT((SUMSQ(L2:L90)-2*L92*SUM(L2:L90)+COUNT(L2:L90)*L92^2)/COUNT(L2:L90))</f>
        <v>3.42322091594876</v>
      </c>
    </row>
    <row r="101" customFormat="false" ht="15" hidden="false" customHeight="false" outlineLevel="0" collapsed="false">
      <c r="A101" s="2" t="s">
        <v>391</v>
      </c>
      <c r="F101" s="80" t="n">
        <f aca="false">D92/E92-1</f>
        <v>0.0272515572318419</v>
      </c>
    </row>
    <row r="102" customFormat="false" ht="15" hidden="false" customHeight="false" outlineLevel="0" collapsed="false">
      <c r="A102" s="5" t="s">
        <v>392</v>
      </c>
      <c r="F102" s="81" t="n">
        <f aca="false">G92/H92-1</f>
        <v>0.103453915091254</v>
      </c>
    </row>
    <row r="103" customFormat="false" ht="15" hidden="false" customHeight="false" outlineLevel="0" collapsed="false">
      <c r="A103" s="2" t="s">
        <v>393</v>
      </c>
      <c r="F103" s="80" t="n">
        <f aca="false">(D92+G92)/(E92+H92)-1</f>
        <v>0.0627821326175806</v>
      </c>
    </row>
    <row r="104" customFormat="false" ht="15" hidden="false" customHeight="false" outlineLevel="0" collapsed="false">
      <c r="A104" s="2" t="s">
        <v>394</v>
      </c>
      <c r="F104" s="77" t="n">
        <f aca="false">AVERAGE(O2:O90)</f>
        <v>2.43186133703987</v>
      </c>
    </row>
    <row r="105" customFormat="false" ht="15" hidden="false" customHeight="false" outlineLevel="0" collapsed="false">
      <c r="A105" s="5" t="s">
        <v>395</v>
      </c>
      <c r="F105" s="82" t="n">
        <f aca="false">COUNTIF(R2:R90,"Yes")/(COUNTIF(R2:R90,"Yes")+COUNTIF(R2:R90,"No"))</f>
        <v>0.573033707865169</v>
      </c>
    </row>
    <row r="106" customFormat="false" ht="15" hidden="false" customHeight="false" outlineLevel="0" collapsed="false">
      <c r="A106" s="5" t="s">
        <v>396</v>
      </c>
      <c r="F106" s="82" t="n">
        <f aca="false">COUNTIF(S2:S90,"Yes")/(COUNTIF(S2:S90,"Yes")+COUNTIF(S2:S90,"No"))</f>
        <v>0.831460674157303</v>
      </c>
    </row>
    <row r="107" customFormat="false" ht="15" hidden="false" customHeight="false" outlineLevel="0" collapsed="false">
      <c r="A107" s="2" t="s">
        <v>397</v>
      </c>
      <c r="F107" s="83" t="n">
        <f aca="false">COUNTIFS(L2:L90,"&gt;=-3",L2:L90,"&lt;=3")/COUNT(L2:L90)</f>
        <v>0.696629213483146</v>
      </c>
    </row>
    <row r="108" customFormat="false" ht="15" hidden="false" customHeight="false" outlineLevel="0" collapsed="false">
      <c r="A108" s="2" t="s">
        <v>448</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8788.99630940035</v>
      </c>
    </row>
    <row r="112" customFormat="false" ht="15" hidden="false" customHeight="false" outlineLevel="0" collapsed="false">
      <c r="A112" s="2" t="s">
        <v>402</v>
      </c>
      <c r="F112" s="85" t="n">
        <f aca="false">F92-((D92+G92)-(E92+H92))*K92</f>
        <v>-4973.99630940035</v>
      </c>
    </row>
    <row r="113" customFormat="false" ht="15" hidden="false" customHeight="false" outlineLevel="0" collapsed="false">
      <c r="A113" s="2" t="s">
        <v>403</v>
      </c>
      <c r="F113" s="85" t="n">
        <f aca="false">((D92+G92)-(E92+H92))*(1-K92)</f>
        <v>7678.00369059965</v>
      </c>
    </row>
    <row r="114" customFormat="false" ht="15" hidden="false" customHeight="false" outlineLevel="0" collapsed="false">
      <c r="A114" s="2" t="s">
        <v>404</v>
      </c>
      <c r="F114" s="85" t="n">
        <f aca="false">I92-((D92+G92)-(E92+H92))*(1-K92)</f>
        <v>4973.99630940035</v>
      </c>
    </row>
    <row r="115" customFormat="false" ht="15" hidden="false" customHeight="false" outlineLevel="0" collapsed="false">
      <c r="A115" s="2" t="s">
        <v>405</v>
      </c>
      <c r="F115" s="80" t="n">
        <f aca="false">(F92-((D92+G92)-(E92+H92))*K92)/E92</f>
        <v>-0.0355305753857389</v>
      </c>
    </row>
    <row r="116" customFormat="false" ht="15" hidden="false" customHeight="false" outlineLevel="0" collapsed="false">
      <c r="A116" s="2" t="s">
        <v>406</v>
      </c>
      <c r="F116" s="80" t="n">
        <f aca="false">(I92-((D92+G92)-(E92+H92))*(1-K92))/H92</f>
        <v>0.0406717824736733</v>
      </c>
    </row>
    <row r="118" customFormat="false" ht="15" hidden="false" customHeight="false" outlineLevel="0" collapsed="false">
      <c r="U118" s="5" t="s">
        <v>136</v>
      </c>
    </row>
    <row r="119" customFormat="false" ht="41.75" hidden="false" customHeight="false" outlineLevel="0" collapsed="false">
      <c r="U119" s="67" t="s">
        <v>449</v>
      </c>
    </row>
    <row r="120" customFormat="false" ht="41.75" hidden="false" customHeight="false" outlineLevel="0" collapsed="false">
      <c r="U120" s="67" t="s">
        <v>450</v>
      </c>
    </row>
    <row r="121" customFormat="false" ht="15" hidden="false" customHeight="false" outlineLevel="0" collapsed="false">
      <c r="U121" s="67" t="s">
        <v>451</v>
      </c>
    </row>
    <row r="122" customFormat="false" ht="28.35" hidden="false" customHeight="false" outlineLevel="0" collapsed="false">
      <c r="U122" s="67" t="s">
        <v>452</v>
      </c>
    </row>
    <row r="123" customFormat="false" ht="41.75" hidden="false" customHeight="false" outlineLevel="0" collapsed="false">
      <c r="U123" s="67" t="s">
        <v>453</v>
      </c>
    </row>
    <row r="124" customFormat="false" ht="28.35" hidden="false" customHeight="false" outlineLevel="0" collapsed="false">
      <c r="U124" s="67" t="s">
        <v>454</v>
      </c>
    </row>
    <row r="125" customFormat="false" ht="28.35" hidden="false" customHeight="false" outlineLevel="0" collapsed="false">
      <c r="U125" s="67" t="s">
        <v>413</v>
      </c>
    </row>
    <row r="126" customFormat="false" ht="41.75" hidden="false" customHeight="false" outlineLevel="0" collapsed="false">
      <c r="U126" s="67" t="s">
        <v>455</v>
      </c>
    </row>
    <row r="127" customFormat="false" ht="15" hidden="false" customHeight="false" outlineLevel="0" collapsed="false">
      <c r="U127" s="67" t="s">
        <v>456</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445</v>
      </c>
      <c r="H1" s="8" t="s">
        <v>370</v>
      </c>
      <c r="I1" s="8" t="s">
        <v>371</v>
      </c>
      <c r="J1" s="8" t="s">
        <v>372</v>
      </c>
      <c r="K1" s="8" t="s">
        <v>373</v>
      </c>
      <c r="L1" s="8" t="s">
        <v>374</v>
      </c>
      <c r="M1" s="8" t="s">
        <v>446</v>
      </c>
      <c r="N1" s="8" t="s">
        <v>447</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196</v>
      </c>
      <c r="E2" s="59" t="n">
        <v>160</v>
      </c>
      <c r="F2" s="68" t="n">
        <f aca="false">IF(E2="","",D2-E2)</f>
        <v>36</v>
      </c>
      <c r="G2" s="59" t="n">
        <v>230</v>
      </c>
      <c r="H2" s="59" t="n">
        <v>221</v>
      </c>
      <c r="I2" s="68" t="n">
        <f aca="false">IF(H2="","",G2-H2)</f>
        <v>9</v>
      </c>
      <c r="J2" s="40" t="n">
        <f aca="false">IF(OR(D2="",D2+G2=0),"",D2/(D2+G2))</f>
        <v>0.460093896713615</v>
      </c>
      <c r="K2" s="40" t="n">
        <f aca="false">IF(E2="","",E2/(E2+H2))</f>
        <v>0.41994750656168</v>
      </c>
      <c r="L2" s="69" t="n">
        <f aca="false">IF(OR(K2="",J2=""),"",(J2-K2)*100)</f>
        <v>4.01463901519352</v>
      </c>
      <c r="M2" s="36" t="n">
        <v>3.1080248214224</v>
      </c>
      <c r="N2" s="36" t="n">
        <v>1.05134356628362</v>
      </c>
      <c r="O2" s="36" t="n">
        <f aca="false">SQRT(M2^2+N2^2)</f>
        <v>3.28102751968704</v>
      </c>
      <c r="P2" s="40" t="n">
        <f aca="false">IF(J2="","",MAX(0,J2-1.96*O2/100))</f>
        <v>0.395785757327749</v>
      </c>
      <c r="Q2" s="40" t="n">
        <f aca="false">IF(J2="","",MIN(1,J2+1.96*O2/100))</f>
        <v>0.524402036099481</v>
      </c>
      <c r="R2" s="32" t="str">
        <f aca="false">IF(L2="","",IF(ABS(L2)&lt;=O2,"Yes","No"))</f>
        <v>No</v>
      </c>
      <c r="S2" s="32" t="str">
        <f aca="false">IF(L2="","",IF(ABS(L2)&lt;=1.96*O2,"Yes","No"))</f>
        <v>Yes</v>
      </c>
      <c r="T2" s="59" t="n">
        <f aca="false">IF(D2="","",ROUND(SQRT(((D2+G2)*O2/100)^2+(J2*(D2+G2)*0.07067)^2),0))</f>
        <v>20</v>
      </c>
      <c r="U2" s="32" t="s">
        <v>432</v>
      </c>
    </row>
    <row r="3" customFormat="false" ht="15" hidden="false" customHeight="false" outlineLevel="0" collapsed="false">
      <c r="A3" s="32" t="s">
        <v>159</v>
      </c>
      <c r="B3" s="32" t="s">
        <v>165</v>
      </c>
      <c r="C3" s="32" t="s">
        <v>161</v>
      </c>
      <c r="D3" s="59" t="n">
        <v>117</v>
      </c>
      <c r="E3" s="59" t="n">
        <v>95</v>
      </c>
      <c r="F3" s="68" t="n">
        <f aca="false">IF(E3="","",D3-E3)</f>
        <v>22</v>
      </c>
      <c r="G3" s="59" t="n">
        <v>207</v>
      </c>
      <c r="H3" s="59" t="n">
        <v>192</v>
      </c>
      <c r="I3" s="68" t="n">
        <f aca="false">IF(H3="","",G3-H3)</f>
        <v>15</v>
      </c>
      <c r="J3" s="40" t="n">
        <f aca="false">IF(OR(D3="",D3+G3=0),"",D3/(D3+G3))</f>
        <v>0.361111111111111</v>
      </c>
      <c r="K3" s="40" t="n">
        <f aca="false">IF(E3="","",E3/(E3+H3))</f>
        <v>0.331010452961673</v>
      </c>
      <c r="L3" s="69" t="n">
        <f aca="false">IF(OR(K3="",J3=""),"",(J3-K3)*100)</f>
        <v>3.01006581494386</v>
      </c>
      <c r="M3" s="36" t="n">
        <v>3.1080248214224</v>
      </c>
      <c r="N3" s="36" t="n">
        <v>1.05134356628362</v>
      </c>
      <c r="O3" s="36" t="n">
        <f aca="false">SQRT(M3^2+N3^2)</f>
        <v>3.28102751968704</v>
      </c>
      <c r="P3" s="40" t="n">
        <f aca="false">IF(J3="","",MAX(0,J3-1.96*O3/100))</f>
        <v>0.296802971725245</v>
      </c>
      <c r="Q3" s="40" t="n">
        <f aca="false">IF(J3="","",MIN(1,J3+1.96*O3/100))</f>
        <v>0.425419250496977</v>
      </c>
      <c r="R3" s="32" t="str">
        <f aca="false">IF(L3="","",IF(ABS(L3)&lt;=O3,"Yes","No"))</f>
        <v>Yes</v>
      </c>
      <c r="S3" s="32" t="str">
        <f aca="false">IF(L3="","",IF(ABS(L3)&lt;=1.96*O3,"Yes","No"))</f>
        <v>Yes</v>
      </c>
      <c r="T3" s="59" t="n">
        <f aca="false">IF(D3="","",ROUND(SQRT(((D3+G3)*O3/100)^2+(J3*(D3+G3)*0.07067)^2),0))</f>
        <v>13</v>
      </c>
      <c r="U3" s="32" t="s">
        <v>432</v>
      </c>
    </row>
    <row r="4" customFormat="false" ht="15" hidden="false" customHeight="false" outlineLevel="0" collapsed="false">
      <c r="A4" s="32" t="s">
        <v>159</v>
      </c>
      <c r="B4" s="32" t="s">
        <v>166</v>
      </c>
      <c r="C4" s="32" t="s">
        <v>161</v>
      </c>
      <c r="D4" s="59" t="n">
        <v>115</v>
      </c>
      <c r="E4" s="59" t="n">
        <v>110</v>
      </c>
      <c r="F4" s="68" t="n">
        <f aca="false">IF(E4="","",D4-E4)</f>
        <v>5</v>
      </c>
      <c r="G4" s="59" t="n">
        <v>230</v>
      </c>
      <c r="H4" s="59" t="n">
        <v>175</v>
      </c>
      <c r="I4" s="68" t="n">
        <f aca="false">IF(H4="","",G4-H4)</f>
        <v>55</v>
      </c>
      <c r="J4" s="40" t="n">
        <f aca="false">IF(OR(D4="",D4+G4=0),"",D4/(D4+G4))</f>
        <v>0.333333333333333</v>
      </c>
      <c r="K4" s="40" t="n">
        <f aca="false">IF(E4="","",E4/(E4+H4))</f>
        <v>0.385964912280702</v>
      </c>
      <c r="L4" s="69" t="n">
        <f aca="false">IF(OR(K4="",J4=""),"",(J4-K4)*100)</f>
        <v>-5.26315789473684</v>
      </c>
      <c r="M4" s="36" t="n">
        <v>3.1080248214224</v>
      </c>
      <c r="N4" s="36" t="n">
        <v>1.05134356628362</v>
      </c>
      <c r="O4" s="36" t="n">
        <f aca="false">SQRT(M4^2+N4^2)</f>
        <v>3.28102751968704</v>
      </c>
      <c r="P4" s="40" t="n">
        <f aca="false">IF(J4="","",MAX(0,J4-1.96*O4/100))</f>
        <v>0.269025193947467</v>
      </c>
      <c r="Q4" s="40" t="n">
        <f aca="false">IF(J4="","",MIN(1,J4+1.96*O4/100))</f>
        <v>0.397641472719199</v>
      </c>
      <c r="R4" s="32" t="str">
        <f aca="false">IF(L4="","",IF(ABS(L4)&lt;=O4,"Yes","No"))</f>
        <v>No</v>
      </c>
      <c r="S4" s="32" t="str">
        <f aca="false">IF(L4="","",IF(ABS(L4)&lt;=1.96*O4,"Yes","No"))</f>
        <v>Yes</v>
      </c>
      <c r="T4" s="59" t="n">
        <f aca="false">IF(D4="","",ROUND(SQRT(((D4+G4)*O4/100)^2+(J4*(D4+G4)*0.07067)^2),0))</f>
        <v>14</v>
      </c>
      <c r="U4" s="32" t="s">
        <v>432</v>
      </c>
    </row>
    <row r="5" customFormat="false" ht="15" hidden="false" customHeight="false" outlineLevel="0" collapsed="false">
      <c r="A5" s="32" t="s">
        <v>159</v>
      </c>
      <c r="B5" s="32" t="s">
        <v>167</v>
      </c>
      <c r="C5" s="32" t="s">
        <v>161</v>
      </c>
      <c r="D5" s="59" t="n">
        <v>390</v>
      </c>
      <c r="E5" s="59" t="n">
        <v>369</v>
      </c>
      <c r="F5" s="68" t="n">
        <f aca="false">IF(E5="","",D5-E5)</f>
        <v>21</v>
      </c>
      <c r="G5" s="59" t="n">
        <v>884</v>
      </c>
      <c r="H5" s="59" t="n">
        <v>742</v>
      </c>
      <c r="I5" s="68" t="n">
        <f aca="false">IF(H5="","",G5-H5)</f>
        <v>142</v>
      </c>
      <c r="J5" s="40" t="n">
        <f aca="false">IF(OR(D5="",D5+G5=0),"",D5/(D5+G5))</f>
        <v>0.306122448979592</v>
      </c>
      <c r="K5" s="40" t="n">
        <f aca="false">IF(E5="","",E5/(E5+H5))</f>
        <v>0.332133213321332</v>
      </c>
      <c r="L5" s="69" t="n">
        <f aca="false">IF(OR(K5="",J5=""),"",(J5-K5)*100)</f>
        <v>-2.60107643417403</v>
      </c>
      <c r="M5" s="36" t="n">
        <v>2.06682372168594</v>
      </c>
      <c r="N5" s="36" t="n">
        <v>1.05134356628362</v>
      </c>
      <c r="O5" s="36" t="n">
        <f aca="false">SQRT(M5^2+N5^2)</f>
        <v>2.31885393910218</v>
      </c>
      <c r="P5" s="40" t="n">
        <f aca="false">IF(J5="","",MAX(0,J5-1.96*O5/100))</f>
        <v>0.260672911773189</v>
      </c>
      <c r="Q5" s="40" t="n">
        <f aca="false">IF(J5="","",MIN(1,J5+1.96*O5/100))</f>
        <v>0.351571986185995</v>
      </c>
      <c r="R5" s="32" t="str">
        <f aca="false">IF(L5="","",IF(ABS(L5)&lt;=O5,"Yes","No"))</f>
        <v>No</v>
      </c>
      <c r="S5" s="32" t="str">
        <f aca="false">IF(L5="","",IF(ABS(L5)&lt;=1.96*O5,"Yes","No"))</f>
        <v>Yes</v>
      </c>
      <c r="T5" s="59" t="n">
        <f aca="false">IF(D5="","",ROUND(SQRT(((D5+G5)*O5/100)^2+(J5*(D5+G5)*0.05402)^2),0))</f>
        <v>36</v>
      </c>
      <c r="U5" s="32" t="s">
        <v>432</v>
      </c>
    </row>
    <row r="6" customFormat="false" ht="15" hidden="false" customHeight="false" outlineLevel="0" collapsed="false">
      <c r="A6" s="32" t="s">
        <v>159</v>
      </c>
      <c r="B6" s="32" t="s">
        <v>169</v>
      </c>
      <c r="C6" s="32" t="s">
        <v>161</v>
      </c>
      <c r="D6" s="59" t="n">
        <v>39</v>
      </c>
      <c r="E6" s="59" t="n">
        <v>34</v>
      </c>
      <c r="F6" s="68" t="n">
        <f aca="false">IF(E6="","",D6-E6)</f>
        <v>5</v>
      </c>
      <c r="G6" s="59" t="n">
        <v>57</v>
      </c>
      <c r="H6" s="59" t="n">
        <v>43</v>
      </c>
      <c r="I6" s="68" t="n">
        <f aca="false">IF(H6="","",G6-H6)</f>
        <v>14</v>
      </c>
      <c r="J6" s="40" t="n">
        <f aca="false">IF(OR(D6="",D6+G6=0),"",D6/(D6+G6))</f>
        <v>0.40625</v>
      </c>
      <c r="K6" s="40" t="n">
        <f aca="false">IF(E6="","",E6/(E6+H6))</f>
        <v>0.441558441558442</v>
      </c>
      <c r="L6" s="69" t="n">
        <f aca="false">IF(OR(K6="",J6=""),"",(J6-K6)*100)</f>
        <v>-3.53084415584415</v>
      </c>
      <c r="M6" s="36" t="n">
        <v>3.1080248214224</v>
      </c>
      <c r="N6" s="36" t="n">
        <v>1.05134356628362</v>
      </c>
      <c r="O6" s="36" t="n">
        <f aca="false">SQRT(M6^2+N6^2)</f>
        <v>3.28102751968704</v>
      </c>
      <c r="P6" s="40" t="n">
        <f aca="false">IF(J6="","",MAX(0,J6-1.96*O6/100))</f>
        <v>0.341941860614134</v>
      </c>
      <c r="Q6" s="40" t="n">
        <f aca="false">IF(J6="","",MIN(1,J6+1.96*O6/100))</f>
        <v>0.470558139385866</v>
      </c>
      <c r="R6" s="32" t="str">
        <f aca="false">IF(L6="","",IF(ABS(L6)&lt;=O6,"Yes","No"))</f>
        <v>No</v>
      </c>
      <c r="S6" s="32" t="str">
        <f aca="false">IF(L6="","",IF(ABS(L6)&lt;=1.96*O6,"Yes","No"))</f>
        <v>Yes</v>
      </c>
      <c r="T6" s="59" t="n">
        <f aca="false">IF(D6="","",ROUND(SQRT(((D6+G6)*O6/100)^2+(J6*(D6+G6)*0.07067)^2),0))</f>
        <v>4</v>
      </c>
      <c r="U6" s="32" t="s">
        <v>432</v>
      </c>
    </row>
    <row r="7" customFormat="false" ht="15" hidden="false" customHeight="false" outlineLevel="0" collapsed="false">
      <c r="A7" s="32" t="s">
        <v>159</v>
      </c>
      <c r="B7" s="32" t="s">
        <v>170</v>
      </c>
      <c r="C7" s="32" t="s">
        <v>161</v>
      </c>
      <c r="D7" s="59" t="n">
        <v>618</v>
      </c>
      <c r="E7" s="59" t="n">
        <v>536</v>
      </c>
      <c r="F7" s="68" t="n">
        <f aca="false">IF(E7="","",D7-E7)</f>
        <v>82</v>
      </c>
      <c r="G7" s="59" t="n">
        <v>1260</v>
      </c>
      <c r="H7" s="59" t="n">
        <v>1122</v>
      </c>
      <c r="I7" s="68" t="n">
        <f aca="false">IF(H7="","",G7-H7)</f>
        <v>138</v>
      </c>
      <c r="J7" s="40" t="n">
        <f aca="false">IF(OR(D7="",D7+G7=0),"",D7/(D7+G7))</f>
        <v>0.329073482428115</v>
      </c>
      <c r="K7" s="40" t="n">
        <f aca="false">IF(E7="","",E7/(E7+H7))</f>
        <v>0.323281061519904</v>
      </c>
      <c r="L7" s="69" t="n">
        <f aca="false">IF(OR(K7="",J7=""),"",(J7-K7)*100)</f>
        <v>0.579242090821153</v>
      </c>
      <c r="M7" s="36" t="n">
        <v>2.06682372168594</v>
      </c>
      <c r="N7" s="36" t="n">
        <v>1.05134356628362</v>
      </c>
      <c r="O7" s="36" t="n">
        <f aca="false">SQRT(M7^2+N7^2)</f>
        <v>2.31885393910218</v>
      </c>
      <c r="P7" s="40" t="n">
        <f aca="false">IF(J7="","",MAX(0,J7-1.96*O7/100))</f>
        <v>0.283623945221712</v>
      </c>
      <c r="Q7" s="40" t="n">
        <f aca="false">IF(J7="","",MIN(1,J7+1.96*O7/100))</f>
        <v>0.374523019634518</v>
      </c>
      <c r="R7" s="32" t="str">
        <f aca="false">IF(L7="","",IF(ABS(L7)&lt;=O7,"Yes","No"))</f>
        <v>Yes</v>
      </c>
      <c r="S7" s="32" t="str">
        <f aca="false">IF(L7="","",IF(ABS(L7)&lt;=1.96*O7,"Yes","No"))</f>
        <v>Yes</v>
      </c>
      <c r="T7" s="59" t="n">
        <f aca="false">IF(D7="","",ROUND(SQRT(((D7+G7)*O7/100)^2+(J7*(D7+G7)*0.05402)^2),0))</f>
        <v>55</v>
      </c>
      <c r="U7" s="32" t="s">
        <v>432</v>
      </c>
    </row>
    <row r="8" customFormat="false" ht="15" hidden="false" customHeight="false" outlineLevel="0" collapsed="false">
      <c r="A8" s="32" t="s">
        <v>159</v>
      </c>
      <c r="B8" s="32" t="s">
        <v>171</v>
      </c>
      <c r="C8" s="32" t="s">
        <v>161</v>
      </c>
      <c r="D8" s="59" t="n">
        <v>1008</v>
      </c>
      <c r="E8" s="59" t="n">
        <v>912</v>
      </c>
      <c r="F8" s="68" t="n">
        <f aca="false">IF(E8="","",D8-E8)</f>
        <v>96</v>
      </c>
      <c r="G8" s="59" t="n">
        <v>1140</v>
      </c>
      <c r="H8" s="59" t="n">
        <v>949</v>
      </c>
      <c r="I8" s="68" t="n">
        <f aca="false">IF(H8="","",G8-H8)</f>
        <v>191</v>
      </c>
      <c r="J8" s="40" t="n">
        <f aca="false">IF(OR(D8="",D8+G8=0),"",D8/(D8+G8))</f>
        <v>0.46927374301676</v>
      </c>
      <c r="K8" s="40" t="n">
        <f aca="false">IF(E8="","",E8/(E8+H8))</f>
        <v>0.490059108006448</v>
      </c>
      <c r="L8" s="69" t="n">
        <f aca="false">IF(OR(K8="",J8=""),"",(J8-K8)*100)</f>
        <v>-2.07853649896884</v>
      </c>
      <c r="M8" s="36" t="n">
        <v>2.06682372168594</v>
      </c>
      <c r="N8" s="36" t="n">
        <v>1.05134356628362</v>
      </c>
      <c r="O8" s="36" t="n">
        <f aca="false">SQRT(M8^2+N8^2)</f>
        <v>2.31885393910218</v>
      </c>
      <c r="P8" s="40" t="n">
        <f aca="false">IF(J8="","",MAX(0,J8-1.96*O8/100))</f>
        <v>0.423824205810357</v>
      </c>
      <c r="Q8" s="40" t="n">
        <f aca="false">IF(J8="","",MIN(1,J8+1.96*O8/100))</f>
        <v>0.514723280223163</v>
      </c>
      <c r="R8" s="32" t="str">
        <f aca="false">IF(L8="","",IF(ABS(L8)&lt;=O8,"Yes","No"))</f>
        <v>Yes</v>
      </c>
      <c r="S8" s="32" t="str">
        <f aca="false">IF(L8="","",IF(ABS(L8)&lt;=1.96*O8,"Yes","No"))</f>
        <v>Yes</v>
      </c>
      <c r="T8" s="59" t="n">
        <f aca="false">IF(D8="","",ROUND(SQRT(((D8+G8)*O8/100)^2+(J8*(D8+G8)*0.05402)^2),0))</f>
        <v>74</v>
      </c>
      <c r="U8" s="32" t="s">
        <v>432</v>
      </c>
    </row>
    <row r="9" customFormat="false" ht="15" hidden="false" customHeight="false" outlineLevel="0" collapsed="false">
      <c r="A9" s="32" t="s">
        <v>159</v>
      </c>
      <c r="B9" s="32" t="s">
        <v>172</v>
      </c>
      <c r="C9" s="32" t="s">
        <v>161</v>
      </c>
      <c r="D9" s="59" t="n">
        <v>281</v>
      </c>
      <c r="E9" s="59" t="n">
        <v>267</v>
      </c>
      <c r="F9" s="68" t="n">
        <f aca="false">IF(E9="","",D9-E9)</f>
        <v>14</v>
      </c>
      <c r="G9" s="59" t="n">
        <v>508</v>
      </c>
      <c r="H9" s="59" t="n">
        <v>495</v>
      </c>
      <c r="I9" s="68" t="n">
        <f aca="false">IF(H9="","",G9-H9)</f>
        <v>13</v>
      </c>
      <c r="J9" s="40" t="n">
        <f aca="false">IF(OR(D9="",D9+G9=0),"",D9/(D9+G9))</f>
        <v>0.356147021546261</v>
      </c>
      <c r="K9" s="40" t="n">
        <f aca="false">IF(E9="","",E9/(E9+H9))</f>
        <v>0.350393700787402</v>
      </c>
      <c r="L9" s="69" t="n">
        <f aca="false">IF(OR(K9="",J9=""),"",(J9-K9)*100)</f>
        <v>0.575332075885954</v>
      </c>
      <c r="M9" s="36" t="n">
        <v>3.1080248214224</v>
      </c>
      <c r="N9" s="36" t="n">
        <v>1.05134356628362</v>
      </c>
      <c r="O9" s="36" t="n">
        <f aca="false">SQRT(M9^2+N9^2)</f>
        <v>3.28102751968704</v>
      </c>
      <c r="P9" s="40" t="n">
        <f aca="false">IF(J9="","",MAX(0,J9-1.96*O9/100))</f>
        <v>0.291838882160395</v>
      </c>
      <c r="Q9" s="40" t="n">
        <f aca="false">IF(J9="","",MIN(1,J9+1.96*O9/100))</f>
        <v>0.420455160932127</v>
      </c>
      <c r="R9" s="32" t="str">
        <f aca="false">IF(L9="","",IF(ABS(L9)&lt;=O9,"Yes","No"))</f>
        <v>Yes</v>
      </c>
      <c r="S9" s="32" t="str">
        <f aca="false">IF(L9="","",IF(ABS(L9)&lt;=1.96*O9,"Yes","No"))</f>
        <v>Yes</v>
      </c>
      <c r="T9" s="59" t="n">
        <f aca="false">IF(D9="","",ROUND(SQRT(((D9+G9)*O9/100)^2+(J9*(D9+G9)*0.07067)^2),0))</f>
        <v>33</v>
      </c>
      <c r="U9" s="32" t="s">
        <v>432</v>
      </c>
    </row>
    <row r="10" customFormat="false" ht="15" hidden="false" customHeight="false" outlineLevel="0" collapsed="false">
      <c r="A10" s="32" t="s">
        <v>159</v>
      </c>
      <c r="B10" s="32" t="s">
        <v>173</v>
      </c>
      <c r="C10" s="32" t="s">
        <v>161</v>
      </c>
      <c r="D10" s="59" t="n">
        <v>492</v>
      </c>
      <c r="E10" s="59" t="n">
        <v>455</v>
      </c>
      <c r="F10" s="68" t="n">
        <f aca="false">IF(E10="","",D10-E10)</f>
        <v>37</v>
      </c>
      <c r="G10" s="59" t="n">
        <v>520</v>
      </c>
      <c r="H10" s="59" t="n">
        <v>467</v>
      </c>
      <c r="I10" s="68" t="n">
        <f aca="false">IF(H10="","",G10-H10)</f>
        <v>53</v>
      </c>
      <c r="J10" s="40" t="n">
        <f aca="false">IF(OR(D10="",D10+G10=0),"",D10/(D10+G10))</f>
        <v>0.486166007905138</v>
      </c>
      <c r="K10" s="40" t="n">
        <f aca="false">IF(E10="","",E10/(E10+H10))</f>
        <v>0.493492407809111</v>
      </c>
      <c r="L10" s="69" t="n">
        <f aca="false">IF(OR(K10="",J10=""),"",(J10-K10)*100)</f>
        <v>-0.732639990397227</v>
      </c>
      <c r="M10" s="36" t="n">
        <v>3.1080248214224</v>
      </c>
      <c r="N10" s="36" t="n">
        <v>1.05134356628362</v>
      </c>
      <c r="O10" s="36" t="n">
        <f aca="false">SQRT(M10^2+N10^2)</f>
        <v>3.28102751968704</v>
      </c>
      <c r="P10" s="40" t="n">
        <f aca="false">IF(J10="","",MAX(0,J10-1.96*O10/100))</f>
        <v>0.421857868519272</v>
      </c>
      <c r="Q10" s="40" t="n">
        <f aca="false">IF(J10="","",MIN(1,J10+1.96*O10/100))</f>
        <v>0.550474147291004</v>
      </c>
      <c r="R10" s="32" t="str">
        <f aca="false">IF(L10="","",IF(ABS(L10)&lt;=O10,"Yes","No"))</f>
        <v>Yes</v>
      </c>
      <c r="S10" s="32" t="str">
        <f aca="false">IF(L10="","",IF(ABS(L10)&lt;=1.96*O10,"Yes","No"))</f>
        <v>Yes</v>
      </c>
      <c r="T10" s="59" t="n">
        <f aca="false">IF(D10="","",ROUND(SQRT(((D10+G10)*O10/100)^2+(J10*(D10+G10)*0.07067)^2),0))</f>
        <v>48</v>
      </c>
      <c r="U10" s="32" t="s">
        <v>432</v>
      </c>
    </row>
    <row r="11" customFormat="false" ht="15" hidden="false" customHeight="false" outlineLevel="0" collapsed="false">
      <c r="A11" s="32" t="s">
        <v>159</v>
      </c>
      <c r="B11" s="32" t="s">
        <v>174</v>
      </c>
      <c r="C11" s="32" t="s">
        <v>161</v>
      </c>
      <c r="D11" s="59" t="n">
        <v>37</v>
      </c>
      <c r="E11" s="59" t="n">
        <v>29</v>
      </c>
      <c r="F11" s="68" t="n">
        <f aca="false">IF(E11="","",D11-E11)</f>
        <v>8</v>
      </c>
      <c r="G11" s="59" t="n">
        <v>74</v>
      </c>
      <c r="H11" s="59" t="n">
        <v>59</v>
      </c>
      <c r="I11" s="68" t="n">
        <f aca="false">IF(H11="","",G11-H11)</f>
        <v>15</v>
      </c>
      <c r="J11" s="40" t="n">
        <f aca="false">IF(OR(D11="",D11+G11=0),"",D11/(D11+G11))</f>
        <v>0.333333333333333</v>
      </c>
      <c r="K11" s="40" t="n">
        <f aca="false">IF(E11="","",E11/(E11+H11))</f>
        <v>0.329545454545455</v>
      </c>
      <c r="L11" s="69" t="n">
        <f aca="false">IF(OR(K11="",J11=""),"",(J11-K11)*100)</f>
        <v>0.378787878787878</v>
      </c>
      <c r="M11" s="36" t="n">
        <v>3.1080248214224</v>
      </c>
      <c r="N11" s="36" t="n">
        <v>1.05134356628362</v>
      </c>
      <c r="O11" s="36" t="n">
        <f aca="false">SQRT(M11^2+N11^2)</f>
        <v>3.28102751968704</v>
      </c>
      <c r="P11" s="40" t="n">
        <f aca="false">IF(J11="","",MAX(0,J11-1.96*O11/100))</f>
        <v>0.269025193947467</v>
      </c>
      <c r="Q11" s="40" t="n">
        <f aca="false">IF(J11="","",MIN(1,J11+1.96*O11/100))</f>
        <v>0.397641472719199</v>
      </c>
      <c r="R11" s="32" t="str">
        <f aca="false">IF(L11="","",IF(ABS(L11)&lt;=O11,"Yes","No"))</f>
        <v>Yes</v>
      </c>
      <c r="S11" s="32" t="str">
        <f aca="false">IF(L11="","",IF(ABS(L11)&lt;=1.96*O11,"Yes","No"))</f>
        <v>Yes</v>
      </c>
      <c r="T11" s="59" t="n">
        <f aca="false">IF(D11="","",ROUND(SQRT(((D11+G11)*O11/100)^2+(J11*(D11+G11)*0.07067)^2),0))</f>
        <v>4</v>
      </c>
      <c r="U11" s="32" t="s">
        <v>432</v>
      </c>
    </row>
    <row r="12" customFormat="false" ht="15" hidden="false" customHeight="false" outlineLevel="0" collapsed="false">
      <c r="A12" s="32" t="s">
        <v>159</v>
      </c>
      <c r="B12" s="32" t="s">
        <v>175</v>
      </c>
      <c r="C12" s="32" t="s">
        <v>161</v>
      </c>
      <c r="D12" s="59" t="n">
        <v>52</v>
      </c>
      <c r="E12" s="59" t="n">
        <v>41</v>
      </c>
      <c r="F12" s="68" t="n">
        <f aca="false">IF(E12="","",D12-E12)</f>
        <v>11</v>
      </c>
      <c r="G12" s="59" t="n">
        <v>195</v>
      </c>
      <c r="H12" s="59" t="n">
        <v>163</v>
      </c>
      <c r="I12" s="68" t="n">
        <f aca="false">IF(H12="","",G12-H12)</f>
        <v>32</v>
      </c>
      <c r="J12" s="40" t="n">
        <f aca="false">IF(OR(D12="",D12+G12=0),"",D12/(D12+G12))</f>
        <v>0.210526315789474</v>
      </c>
      <c r="K12" s="40" t="n">
        <f aca="false">IF(E12="","",E12/(E12+H12))</f>
        <v>0.200980392156863</v>
      </c>
      <c r="L12" s="69" t="n">
        <f aca="false">IF(OR(K12="",J12=""),"",(J12-K12)*100)</f>
        <v>0.954592363261092</v>
      </c>
      <c r="M12" s="36" t="n">
        <v>3.1080248214224</v>
      </c>
      <c r="N12" s="36" t="n">
        <v>1.05134356628362</v>
      </c>
      <c r="O12" s="36" t="n">
        <f aca="false">SQRT(M12^2+N12^2)</f>
        <v>3.28102751968704</v>
      </c>
      <c r="P12" s="40" t="n">
        <f aca="false">IF(J12="","",MAX(0,J12-1.96*O12/100))</f>
        <v>0.146218176403608</v>
      </c>
      <c r="Q12" s="40" t="n">
        <f aca="false">IF(J12="","",MIN(1,J12+1.96*O12/100))</f>
        <v>0.27483445517534</v>
      </c>
      <c r="R12" s="32" t="str">
        <f aca="false">IF(L12="","",IF(ABS(L12)&lt;=O12,"Yes","No"))</f>
        <v>Yes</v>
      </c>
      <c r="S12" s="32" t="str">
        <f aca="false">IF(L12="","",IF(ABS(L12)&lt;=1.96*O12,"Yes","No"))</f>
        <v>Yes</v>
      </c>
      <c r="T12" s="59" t="n">
        <f aca="false">IF(D12="","",ROUND(SQRT(((D12+G12)*O12/100)^2+(J12*(D12+G12)*0.07067)^2),0))</f>
        <v>9</v>
      </c>
      <c r="U12" s="32" t="s">
        <v>432</v>
      </c>
    </row>
    <row r="13" customFormat="false" ht="15" hidden="false" customHeight="false" outlineLevel="0" collapsed="false">
      <c r="A13" s="32" t="s">
        <v>159</v>
      </c>
      <c r="B13" s="32" t="s">
        <v>176</v>
      </c>
      <c r="C13" s="32" t="s">
        <v>161</v>
      </c>
      <c r="D13" s="59" t="n">
        <v>699</v>
      </c>
      <c r="E13" s="59" t="n">
        <v>668</v>
      </c>
      <c r="F13" s="68" t="n">
        <f aca="false">IF(E13="","",D13-E13)</f>
        <v>31</v>
      </c>
      <c r="G13" s="59" t="n">
        <v>920</v>
      </c>
      <c r="H13" s="59" t="n">
        <v>766</v>
      </c>
      <c r="I13" s="68" t="n">
        <f aca="false">IF(H13="","",G13-H13)</f>
        <v>154</v>
      </c>
      <c r="J13" s="40" t="n">
        <f aca="false">IF(OR(D13="",D13+G13=0),"",D13/(D13+G13))</f>
        <v>0.431747992588017</v>
      </c>
      <c r="K13" s="40" t="n">
        <f aca="false">IF(E13="","",E13/(E13+H13))</f>
        <v>0.465829846582985</v>
      </c>
      <c r="L13" s="69" t="n">
        <f aca="false">IF(OR(K13="",J13=""),"",(J13-K13)*100)</f>
        <v>-3.40818539949674</v>
      </c>
      <c r="M13" s="36" t="n">
        <v>2.06682372168594</v>
      </c>
      <c r="N13" s="36" t="n">
        <v>1.05134356628362</v>
      </c>
      <c r="O13" s="36" t="n">
        <f aca="false">SQRT(M13^2+N13^2)</f>
        <v>2.31885393910218</v>
      </c>
      <c r="P13" s="40" t="n">
        <f aca="false">IF(J13="","",MAX(0,J13-1.96*O13/100))</f>
        <v>0.386298455381615</v>
      </c>
      <c r="Q13" s="40" t="n">
        <f aca="false">IF(J13="","",MIN(1,J13+1.96*O13/100))</f>
        <v>0.47719752979442</v>
      </c>
      <c r="R13" s="32" t="str">
        <f aca="false">IF(L13="","",IF(ABS(L13)&lt;=O13,"Yes","No"))</f>
        <v>No</v>
      </c>
      <c r="S13" s="32" t="str">
        <f aca="false">IF(L13="","",IF(ABS(L13)&lt;=1.96*O13,"Yes","No"))</f>
        <v>Yes</v>
      </c>
      <c r="T13" s="59" t="n">
        <f aca="false">IF(D13="","",ROUND(SQRT(((D13+G13)*O13/100)^2+(J13*(D13+G13)*0.05402)^2),0))</f>
        <v>53</v>
      </c>
      <c r="U13" s="32" t="s">
        <v>432</v>
      </c>
    </row>
    <row r="14" customFormat="false" ht="15" hidden="false" customHeight="false" outlineLevel="0" collapsed="false">
      <c r="A14" s="32" t="s">
        <v>159</v>
      </c>
      <c r="B14" s="32" t="s">
        <v>177</v>
      </c>
      <c r="C14" s="32" t="s">
        <v>161</v>
      </c>
      <c r="D14" s="59" t="n">
        <v>447</v>
      </c>
      <c r="E14" s="59" t="n">
        <v>402</v>
      </c>
      <c r="F14" s="68" t="n">
        <f aca="false">IF(E14="","",D14-E14)</f>
        <v>45</v>
      </c>
      <c r="G14" s="59" t="n">
        <v>820</v>
      </c>
      <c r="H14" s="59" t="n">
        <v>686</v>
      </c>
      <c r="I14" s="68" t="n">
        <f aca="false">IF(H14="","",G14-H14)</f>
        <v>134</v>
      </c>
      <c r="J14" s="40" t="n">
        <f aca="false">IF(OR(D14="",D14+G14=0),"",D14/(D14+G14))</f>
        <v>0.352801894238358</v>
      </c>
      <c r="K14" s="40" t="n">
        <f aca="false">IF(E14="","",E14/(E14+H14))</f>
        <v>0.369485294117647</v>
      </c>
      <c r="L14" s="69" t="n">
        <f aca="false">IF(OR(K14="",J14=""),"",(J14-K14)*100)</f>
        <v>-1.66833998792887</v>
      </c>
      <c r="M14" s="36" t="n">
        <v>2.06682372168594</v>
      </c>
      <c r="N14" s="36" t="n">
        <v>1.05134356628362</v>
      </c>
      <c r="O14" s="36" t="n">
        <f aca="false">SQRT(M14^2+N14^2)</f>
        <v>2.31885393910218</v>
      </c>
      <c r="P14" s="40" t="n">
        <f aca="false">IF(J14="","",MAX(0,J14-1.96*O14/100))</f>
        <v>0.307352357031956</v>
      </c>
      <c r="Q14" s="40" t="n">
        <f aca="false">IF(J14="","",MIN(1,J14+1.96*O14/100))</f>
        <v>0.398251431444761</v>
      </c>
      <c r="R14" s="32" t="str">
        <f aca="false">IF(L14="","",IF(ABS(L14)&lt;=O14,"Yes","No"))</f>
        <v>Yes</v>
      </c>
      <c r="S14" s="32" t="str">
        <f aca="false">IF(L14="","",IF(ABS(L14)&lt;=1.96*O14,"Yes","No"))</f>
        <v>Yes</v>
      </c>
      <c r="T14" s="59" t="n">
        <f aca="false">IF(D14="","",ROUND(SQRT(((D14+G14)*O14/100)^2+(J14*(D14+G14)*0.05402)^2),0))</f>
        <v>38</v>
      </c>
      <c r="U14" s="32" t="s">
        <v>432</v>
      </c>
    </row>
    <row r="15" customFormat="false" ht="15" hidden="false" customHeight="false" outlineLevel="0" collapsed="false">
      <c r="A15" s="32" t="s">
        <v>159</v>
      </c>
      <c r="B15" s="32" t="s">
        <v>178</v>
      </c>
      <c r="C15" s="32" t="s">
        <v>161</v>
      </c>
      <c r="D15" s="59" t="n">
        <v>531</v>
      </c>
      <c r="E15" s="59" t="n">
        <v>510</v>
      </c>
      <c r="F15" s="68" t="n">
        <f aca="false">IF(E15="","",D15-E15)</f>
        <v>21</v>
      </c>
      <c r="G15" s="59" t="n">
        <v>1140</v>
      </c>
      <c r="H15" s="59" t="n">
        <v>960</v>
      </c>
      <c r="I15" s="68" t="n">
        <f aca="false">IF(H15="","",G15-H15)</f>
        <v>180</v>
      </c>
      <c r="J15" s="40" t="n">
        <f aca="false">IF(OR(D15="",D15+G15=0),"",D15/(D15+G15))</f>
        <v>0.317773788150808</v>
      </c>
      <c r="K15" s="40" t="n">
        <f aca="false">IF(E15="","",E15/(E15+H15))</f>
        <v>0.346938775510204</v>
      </c>
      <c r="L15" s="69" t="n">
        <f aca="false">IF(OR(K15="",J15=""),"",(J15-K15)*100)</f>
        <v>-2.91649873593962</v>
      </c>
      <c r="M15" s="36" t="n">
        <v>2.06682372168594</v>
      </c>
      <c r="N15" s="36" t="n">
        <v>1.05134356628362</v>
      </c>
      <c r="O15" s="36" t="n">
        <f aca="false">SQRT(M15^2+N15^2)</f>
        <v>2.31885393910218</v>
      </c>
      <c r="P15" s="40" t="n">
        <f aca="false">IF(J15="","",MAX(0,J15-1.96*O15/100))</f>
        <v>0.272324250944405</v>
      </c>
      <c r="Q15" s="40" t="n">
        <f aca="false">IF(J15="","",MIN(1,J15+1.96*O15/100))</f>
        <v>0.363223325357211</v>
      </c>
      <c r="R15" s="32" t="str">
        <f aca="false">IF(L15="","",IF(ABS(L15)&lt;=O15,"Yes","No"))</f>
        <v>No</v>
      </c>
      <c r="S15" s="32" t="str">
        <f aca="false">IF(L15="","",IF(ABS(L15)&lt;=1.96*O15,"Yes","No"))</f>
        <v>Yes</v>
      </c>
      <c r="T15" s="59" t="n">
        <f aca="false">IF(D15="","",ROUND(SQRT(((D15+G15)*O15/100)^2+(J15*(D15+G15)*0.05402)^2),0))</f>
        <v>48</v>
      </c>
      <c r="U15" s="32" t="s">
        <v>432</v>
      </c>
    </row>
    <row r="16" customFormat="false" ht="15" hidden="false" customHeight="false" outlineLevel="0" collapsed="false">
      <c r="A16" s="32" t="s">
        <v>159</v>
      </c>
      <c r="B16" s="32" t="s">
        <v>179</v>
      </c>
      <c r="C16" s="32" t="s">
        <v>161</v>
      </c>
      <c r="D16" s="59" t="n">
        <v>530</v>
      </c>
      <c r="E16" s="59" t="n">
        <v>500</v>
      </c>
      <c r="F16" s="68" t="n">
        <f aca="false">IF(E16="","",D16-E16)</f>
        <v>30</v>
      </c>
      <c r="G16" s="59" t="n">
        <v>691</v>
      </c>
      <c r="H16" s="59" t="n">
        <v>546</v>
      </c>
      <c r="I16" s="68" t="n">
        <f aca="false">IF(H16="","",G16-H16)</f>
        <v>145</v>
      </c>
      <c r="J16" s="40" t="n">
        <f aca="false">IF(OR(D16="",D16+G16=0),"",D16/(D16+G16))</f>
        <v>0.434070434070434</v>
      </c>
      <c r="K16" s="40" t="n">
        <f aca="false">IF(E16="","",E16/(E16+H16))</f>
        <v>0.478011472275335</v>
      </c>
      <c r="L16" s="69" t="n">
        <f aca="false">IF(OR(K16="",J16=""),"",(J16-K16)*100)</f>
        <v>-4.39410382049005</v>
      </c>
      <c r="M16" s="36" t="n">
        <v>2.06682372168594</v>
      </c>
      <c r="N16" s="36" t="n">
        <v>1.05134356628362</v>
      </c>
      <c r="O16" s="36" t="n">
        <f aca="false">SQRT(M16^2+N16^2)</f>
        <v>2.31885393910218</v>
      </c>
      <c r="P16" s="40" t="n">
        <f aca="false">IF(J16="","",MAX(0,J16-1.96*O16/100))</f>
        <v>0.388620896864031</v>
      </c>
      <c r="Q16" s="40" t="n">
        <f aca="false">IF(J16="","",MIN(1,J16+1.96*O16/100))</f>
        <v>0.479519971276837</v>
      </c>
      <c r="R16" s="32" t="str">
        <f aca="false">IF(L16="","",IF(ABS(L16)&lt;=O16,"Yes","No"))</f>
        <v>No</v>
      </c>
      <c r="S16" s="32" t="str">
        <f aca="false">IF(L16="","",IF(ABS(L16)&lt;=1.96*O16,"Yes","No"))</f>
        <v>Yes</v>
      </c>
      <c r="T16" s="59" t="n">
        <f aca="false">IF(D16="","",ROUND(SQRT(((D16+G16)*O16/100)^2+(J16*(D16+G16)*0.05402)^2),0))</f>
        <v>40</v>
      </c>
      <c r="U16" s="32" t="s">
        <v>432</v>
      </c>
    </row>
    <row r="17" customFormat="false" ht="15" hidden="false" customHeight="false" outlineLevel="0" collapsed="false">
      <c r="A17" s="32" t="s">
        <v>159</v>
      </c>
      <c r="B17" s="32" t="s">
        <v>180</v>
      </c>
      <c r="C17" s="32" t="s">
        <v>161</v>
      </c>
      <c r="D17" s="59" t="n">
        <v>114</v>
      </c>
      <c r="E17" s="59" t="n">
        <v>111</v>
      </c>
      <c r="F17" s="68" t="n">
        <f aca="false">IF(E17="","",D17-E17)</f>
        <v>3</v>
      </c>
      <c r="G17" s="59" t="n">
        <v>416</v>
      </c>
      <c r="H17" s="59" t="n">
        <v>372</v>
      </c>
      <c r="I17" s="68" t="n">
        <f aca="false">IF(H17="","",G17-H17)</f>
        <v>44</v>
      </c>
      <c r="J17" s="40" t="n">
        <f aca="false">IF(OR(D17="",D17+G17=0),"",D17/(D17+G17))</f>
        <v>0.215094339622642</v>
      </c>
      <c r="K17" s="40" t="n">
        <f aca="false">IF(E17="","",E17/(E17+H17))</f>
        <v>0.229813664596273</v>
      </c>
      <c r="L17" s="69" t="n">
        <f aca="false">IF(OR(K17="",J17=""),"",(J17-K17)*100)</f>
        <v>-1.47193249736318</v>
      </c>
      <c r="M17" s="36" t="n">
        <v>3.1080248214224</v>
      </c>
      <c r="N17" s="36" t="n">
        <v>1.05134356628362</v>
      </c>
      <c r="O17" s="36" t="n">
        <f aca="false">SQRT(M17^2+N17^2)</f>
        <v>3.28102751968704</v>
      </c>
      <c r="P17" s="40" t="n">
        <f aca="false">IF(J17="","",MAX(0,J17-1.96*O17/100))</f>
        <v>0.150786200236775</v>
      </c>
      <c r="Q17" s="40" t="n">
        <f aca="false">IF(J17="","",MIN(1,J17+1.96*O17/100))</f>
        <v>0.279402479008508</v>
      </c>
      <c r="R17" s="32" t="str">
        <f aca="false">IF(L17="","",IF(ABS(L17)&lt;=O17,"Yes","No"))</f>
        <v>Yes</v>
      </c>
      <c r="S17" s="32" t="str">
        <f aca="false">IF(L17="","",IF(ABS(L17)&lt;=1.96*O17,"Yes","No"))</f>
        <v>Yes</v>
      </c>
      <c r="T17" s="59" t="n">
        <f aca="false">IF(D17="","",ROUND(SQRT(((D17+G17)*O17/100)^2+(J17*(D17+G17)*0.07067)^2),0))</f>
        <v>19</v>
      </c>
      <c r="U17" s="32" t="s">
        <v>432</v>
      </c>
    </row>
    <row r="18" customFormat="false" ht="15" hidden="false" customHeight="false" outlineLevel="0" collapsed="false">
      <c r="A18" s="32" t="s">
        <v>159</v>
      </c>
      <c r="B18" s="32" t="s">
        <v>181</v>
      </c>
      <c r="C18" s="32" t="s">
        <v>161</v>
      </c>
      <c r="D18" s="59" t="n">
        <v>800</v>
      </c>
      <c r="E18" s="59" t="n">
        <v>687</v>
      </c>
      <c r="F18" s="68" t="n">
        <f aca="false">IF(E18="","",D18-E18)</f>
        <v>113</v>
      </c>
      <c r="G18" s="59" t="n">
        <v>1033</v>
      </c>
      <c r="H18" s="59" t="n">
        <v>978</v>
      </c>
      <c r="I18" s="68" t="n">
        <f aca="false">IF(H18="","",G18-H18)</f>
        <v>55</v>
      </c>
      <c r="J18" s="40" t="n">
        <f aca="false">IF(OR(D18="",D18+G18=0),"",D18/(D18+G18))</f>
        <v>0.436442989634479</v>
      </c>
      <c r="K18" s="40" t="n">
        <f aca="false">IF(E18="","",E18/(E18+H18))</f>
        <v>0.412612612612613</v>
      </c>
      <c r="L18" s="69" t="n">
        <f aca="false">IF(OR(K18="",J18=""),"",(J18-K18)*100)</f>
        <v>2.38303770218664</v>
      </c>
      <c r="M18" s="36" t="n">
        <v>2.06682372168594</v>
      </c>
      <c r="N18" s="36" t="n">
        <v>1.05134356628362</v>
      </c>
      <c r="O18" s="36" t="n">
        <f aca="false">SQRT(M18^2+N18^2)</f>
        <v>2.31885393910218</v>
      </c>
      <c r="P18" s="40" t="n">
        <f aca="false">IF(J18="","",MAX(0,J18-1.96*O18/100))</f>
        <v>0.390993452428076</v>
      </c>
      <c r="Q18" s="40" t="n">
        <f aca="false">IF(J18="","",MIN(1,J18+1.96*O18/100))</f>
        <v>0.481892526840882</v>
      </c>
      <c r="R18" s="32" t="str">
        <f aca="false">IF(L18="","",IF(ABS(L18)&lt;=O18,"Yes","No"))</f>
        <v>No</v>
      </c>
      <c r="S18" s="32" t="str">
        <f aca="false">IF(L18="","",IF(ABS(L18)&lt;=1.96*O18,"Yes","No"))</f>
        <v>Yes</v>
      </c>
      <c r="T18" s="59" t="n">
        <f aca="false">IF(D18="","",ROUND(SQRT(((D18+G18)*O18/100)^2+(J18*(D18+G18)*0.05402)^2),0))</f>
        <v>61</v>
      </c>
      <c r="U18" s="32" t="s">
        <v>432</v>
      </c>
    </row>
    <row r="19" customFormat="false" ht="15" hidden="false" customHeight="false" outlineLevel="0" collapsed="false">
      <c r="A19" s="32" t="s">
        <v>159</v>
      </c>
      <c r="B19" s="32" t="s">
        <v>182</v>
      </c>
      <c r="C19" s="32" t="s">
        <v>161</v>
      </c>
      <c r="D19" s="59" t="n">
        <v>68</v>
      </c>
      <c r="E19" s="59" t="n">
        <v>53</v>
      </c>
      <c r="F19" s="68" t="n">
        <f aca="false">IF(E19="","",D19-E19)</f>
        <v>15</v>
      </c>
      <c r="G19" s="59" t="n">
        <v>108</v>
      </c>
      <c r="H19" s="59" t="n">
        <v>112</v>
      </c>
      <c r="I19" s="68" t="n">
        <f aca="false">IF(H19="","",G19-H19)</f>
        <v>-4</v>
      </c>
      <c r="J19" s="40" t="n">
        <f aca="false">IF(OR(D19="",D19+G19=0),"",D19/(D19+G19))</f>
        <v>0.386363636363636</v>
      </c>
      <c r="K19" s="40" t="n">
        <f aca="false">IF(E19="","",E19/(E19+H19))</f>
        <v>0.321212121212121</v>
      </c>
      <c r="L19" s="69" t="n">
        <f aca="false">IF(OR(K19="",J19=""),"",(J19-K19)*100)</f>
        <v>6.51515151515151</v>
      </c>
      <c r="M19" s="36" t="n">
        <v>3.1080248214224</v>
      </c>
      <c r="N19" s="36" t="n">
        <v>1.05134356628362</v>
      </c>
      <c r="O19" s="36" t="n">
        <f aca="false">SQRT(M19^2+N19^2)</f>
        <v>3.28102751968704</v>
      </c>
      <c r="P19" s="40" t="n">
        <f aca="false">IF(J19="","",MAX(0,J19-1.96*O19/100))</f>
        <v>0.32205549697777</v>
      </c>
      <c r="Q19" s="40" t="n">
        <f aca="false">IF(J19="","",MIN(1,J19+1.96*O19/100))</f>
        <v>0.450671775749502</v>
      </c>
      <c r="R19" s="32" t="str">
        <f aca="false">IF(L19="","",IF(ABS(L19)&lt;=O19,"Yes","No"))</f>
        <v>No</v>
      </c>
      <c r="S19" s="32" t="str">
        <f aca="false">IF(L19="","",IF(ABS(L19)&lt;=1.96*O19,"Yes","No"))</f>
        <v>No</v>
      </c>
      <c r="T19" s="59" t="n">
        <f aca="false">IF(D19="","",ROUND(SQRT(((D19+G19)*O19/100)^2+(J19*(D19+G19)*0.07067)^2),0))</f>
        <v>8</v>
      </c>
      <c r="U19" s="32" t="s">
        <v>432</v>
      </c>
    </row>
    <row r="20" customFormat="false" ht="15" hidden="false" customHeight="false" outlineLevel="0" collapsed="false">
      <c r="A20" s="32" t="s">
        <v>159</v>
      </c>
      <c r="B20" s="32" t="s">
        <v>183</v>
      </c>
      <c r="C20" s="32" t="s">
        <v>161</v>
      </c>
      <c r="D20" s="59" t="n">
        <v>1816</v>
      </c>
      <c r="E20" s="59" t="n">
        <v>1453</v>
      </c>
      <c r="F20" s="68" t="n">
        <f aca="false">IF(E20="","",D20-E20)</f>
        <v>363</v>
      </c>
      <c r="G20" s="59" t="n">
        <v>2376</v>
      </c>
      <c r="H20" s="59" t="n">
        <v>2080</v>
      </c>
      <c r="I20" s="68" t="n">
        <f aca="false">IF(H20="","",G20-H20)</f>
        <v>296</v>
      </c>
      <c r="J20" s="40" t="n">
        <f aca="false">IF(OR(D20="",D20+G20=0),"",D20/(D20+G20))</f>
        <v>0.433206106870229</v>
      </c>
      <c r="K20" s="40" t="n">
        <f aca="false">IF(E20="","",E20/(E20+H20))</f>
        <v>0.411265213699406</v>
      </c>
      <c r="L20" s="69" t="n">
        <f aca="false">IF(OR(K20="",J20=""),"",(J20-K20)*100)</f>
        <v>2.19408931708234</v>
      </c>
      <c r="M20" s="36" t="n">
        <v>1.29884199722958</v>
      </c>
      <c r="N20" s="36" t="n">
        <v>1.05134356628362</v>
      </c>
      <c r="O20" s="36" t="n">
        <f aca="false">SQRT(M20^2+N20^2)</f>
        <v>1.67102179163927</v>
      </c>
      <c r="P20" s="40" t="n">
        <f aca="false">IF(J20="","",MAX(0,J20-1.96*O20/100))</f>
        <v>0.400454079754099</v>
      </c>
      <c r="Q20" s="40" t="n">
        <f aca="false">IF(J20="","",MIN(1,J20+1.96*O20/100))</f>
        <v>0.465958133986359</v>
      </c>
      <c r="R20" s="32" t="str">
        <f aca="false">IF(L20="","",IF(ABS(L20)&lt;=O20,"Yes","No"))</f>
        <v>No</v>
      </c>
      <c r="S20" s="32" t="str">
        <f aca="false">IF(L20="","",IF(ABS(L20)&lt;=1.96*O20,"Yes","No"))</f>
        <v>Yes</v>
      </c>
      <c r="T20" s="59" t="n">
        <f aca="false">IF(D20="","",ROUND(SQRT(((D20+G20)*O20/100)^2+(J20*(D20+G20)*0.04632)^2),0))</f>
        <v>109</v>
      </c>
      <c r="U20" s="32" t="s">
        <v>432</v>
      </c>
    </row>
    <row r="21" customFormat="false" ht="15" hidden="false" customHeight="false" outlineLevel="0" collapsed="false">
      <c r="A21" s="32" t="s">
        <v>159</v>
      </c>
      <c r="B21" s="32" t="s">
        <v>185</v>
      </c>
      <c r="C21" s="32" t="s">
        <v>161</v>
      </c>
      <c r="D21" s="59" t="n">
        <v>548</v>
      </c>
      <c r="E21" s="59" t="n">
        <v>574</v>
      </c>
      <c r="F21" s="68" t="n">
        <f aca="false">IF(E21="","",D21-E21)</f>
        <v>-26</v>
      </c>
      <c r="G21" s="59" t="n">
        <v>678</v>
      </c>
      <c r="H21" s="59" t="n">
        <v>562</v>
      </c>
      <c r="I21" s="68" t="n">
        <f aca="false">IF(H21="","",G21-H21)</f>
        <v>116</v>
      </c>
      <c r="J21" s="40" t="n">
        <f aca="false">IF(OR(D21="",D21+G21=0),"",D21/(D21+G21))</f>
        <v>0.446982055464927</v>
      </c>
      <c r="K21" s="40" t="n">
        <f aca="false">IF(E21="","",E21/(E21+H21))</f>
        <v>0.505281690140845</v>
      </c>
      <c r="L21" s="69" t="n">
        <f aca="false">IF(OR(K21="",J21=""),"",(J21-K21)*100)</f>
        <v>-5.82996346759185</v>
      </c>
      <c r="M21" s="36" t="n">
        <v>2.06682372168594</v>
      </c>
      <c r="N21" s="36" t="n">
        <v>1.05134356628362</v>
      </c>
      <c r="O21" s="36" t="n">
        <f aca="false">SQRT(M21^2+N21^2)</f>
        <v>2.31885393910218</v>
      </c>
      <c r="P21" s="40" t="n">
        <f aca="false">IF(J21="","",MAX(0,J21-1.96*O21/100))</f>
        <v>0.401532518258524</v>
      </c>
      <c r="Q21" s="40" t="n">
        <f aca="false">IF(J21="","",MIN(1,J21+1.96*O21/100))</f>
        <v>0.492431592671329</v>
      </c>
      <c r="R21" s="32" t="str">
        <f aca="false">IF(L21="","",IF(ABS(L21)&lt;=O21,"Yes","No"))</f>
        <v>No</v>
      </c>
      <c r="S21" s="32" t="str">
        <f aca="false">IF(L21="","",IF(ABS(L21)&lt;=1.96*O21,"Yes","No"))</f>
        <v>No</v>
      </c>
      <c r="T21" s="59" t="n">
        <f aca="false">IF(D21="","",ROUND(SQRT(((D21+G21)*O21/100)^2+(J21*(D21+G21)*0.05402)^2),0))</f>
        <v>41</v>
      </c>
      <c r="U21" s="32" t="s">
        <v>432</v>
      </c>
    </row>
    <row r="22" customFormat="false" ht="15" hidden="false" customHeight="false" outlineLevel="0" collapsed="false">
      <c r="A22" s="32" t="s">
        <v>159</v>
      </c>
      <c r="B22" s="32" t="s">
        <v>186</v>
      </c>
      <c r="C22" s="32" t="s">
        <v>161</v>
      </c>
      <c r="D22" s="59" t="n">
        <v>705</v>
      </c>
      <c r="E22" s="59" t="n">
        <v>613</v>
      </c>
      <c r="F22" s="68" t="n">
        <f aca="false">IF(E22="","",D22-E22)</f>
        <v>92</v>
      </c>
      <c r="G22" s="59" t="n">
        <v>1313</v>
      </c>
      <c r="H22" s="59" t="n">
        <v>1136</v>
      </c>
      <c r="I22" s="68" t="n">
        <f aca="false">IF(H22="","",G22-H22)</f>
        <v>177</v>
      </c>
      <c r="J22" s="40" t="n">
        <f aca="false">IF(OR(D22="",D22+G22=0),"",D22/(D22+G22))</f>
        <v>0.349355797819623</v>
      </c>
      <c r="K22" s="40" t="n">
        <f aca="false">IF(E22="","",E22/(E22+H22))</f>
        <v>0.350485991995426</v>
      </c>
      <c r="L22" s="69" t="n">
        <f aca="false">IF(OR(K22="",J22=""),"",(J22-K22)*100)</f>
        <v>-0.113019417580257</v>
      </c>
      <c r="M22" s="36" t="n">
        <v>2.06682372168594</v>
      </c>
      <c r="N22" s="36" t="n">
        <v>1.05134356628362</v>
      </c>
      <c r="O22" s="36" t="n">
        <f aca="false">SQRT(M22^2+N22^2)</f>
        <v>2.31885393910218</v>
      </c>
      <c r="P22" s="40" t="n">
        <f aca="false">IF(J22="","",MAX(0,J22-1.96*O22/100))</f>
        <v>0.303906260613221</v>
      </c>
      <c r="Q22" s="40" t="n">
        <f aca="false">IF(J22="","",MIN(1,J22+1.96*O22/100))</f>
        <v>0.394805335026026</v>
      </c>
      <c r="R22" s="32" t="str">
        <f aca="false">IF(L22="","",IF(ABS(L22)&lt;=O22,"Yes","No"))</f>
        <v>Yes</v>
      </c>
      <c r="S22" s="32" t="str">
        <f aca="false">IF(L22="","",IF(ABS(L22)&lt;=1.96*O22,"Yes","No"))</f>
        <v>Yes</v>
      </c>
      <c r="T22" s="59" t="n">
        <f aca="false">IF(D22="","",ROUND(SQRT(((D22+G22)*O22/100)^2+(J22*(D22+G22)*0.05402)^2),0))</f>
        <v>60</v>
      </c>
      <c r="U22" s="32" t="s">
        <v>432</v>
      </c>
    </row>
    <row r="23" customFormat="false" ht="15" hidden="false" customHeight="false" outlineLevel="0" collapsed="false">
      <c r="A23" s="32" t="s">
        <v>159</v>
      </c>
      <c r="B23" s="32" t="s">
        <v>187</v>
      </c>
      <c r="C23" s="32" t="s">
        <v>161</v>
      </c>
      <c r="D23" s="59" t="n">
        <v>308</v>
      </c>
      <c r="E23" s="59" t="n">
        <v>273</v>
      </c>
      <c r="F23" s="68" t="n">
        <f aca="false">IF(E23="","",D23-E23)</f>
        <v>35</v>
      </c>
      <c r="G23" s="59" t="n">
        <v>590</v>
      </c>
      <c r="H23" s="59" t="n">
        <v>574</v>
      </c>
      <c r="I23" s="68" t="n">
        <f aca="false">IF(H23="","",G23-H23)</f>
        <v>16</v>
      </c>
      <c r="J23" s="40" t="n">
        <f aca="false">IF(OR(D23="",D23+G23=0),"",D23/(D23+G23))</f>
        <v>0.342984409799555</v>
      </c>
      <c r="K23" s="40" t="n">
        <f aca="false">IF(E23="","",E23/(E23+H23))</f>
        <v>0.322314049586777</v>
      </c>
      <c r="L23" s="69" t="n">
        <f aca="false">IF(OR(K23="",J23=""),"",(J23-K23)*100)</f>
        <v>2.06703602127777</v>
      </c>
      <c r="M23" s="36" t="n">
        <v>3.1080248214224</v>
      </c>
      <c r="N23" s="36" t="n">
        <v>1.05134356628362</v>
      </c>
      <c r="O23" s="36" t="n">
        <f aca="false">SQRT(M23^2+N23^2)</f>
        <v>3.28102751968704</v>
      </c>
      <c r="P23" s="40" t="n">
        <f aca="false">IF(J23="","",MAX(0,J23-1.96*O23/100))</f>
        <v>0.278676270413689</v>
      </c>
      <c r="Q23" s="40" t="n">
        <f aca="false">IF(J23="","",MIN(1,J23+1.96*O23/100))</f>
        <v>0.407292549185421</v>
      </c>
      <c r="R23" s="32" t="str">
        <f aca="false">IF(L23="","",IF(ABS(L23)&lt;=O23,"Yes","No"))</f>
        <v>Yes</v>
      </c>
      <c r="S23" s="32" t="str">
        <f aca="false">IF(L23="","",IF(ABS(L23)&lt;=1.96*O23,"Yes","No"))</f>
        <v>Yes</v>
      </c>
      <c r="T23" s="59" t="n">
        <f aca="false">IF(D23="","",ROUND(SQRT(((D23+G23)*O23/100)^2+(J23*(D23+G23)*0.07067)^2),0))</f>
        <v>37</v>
      </c>
      <c r="U23" s="32" t="s">
        <v>432</v>
      </c>
    </row>
    <row r="24" customFormat="false" ht="15" hidden="false" customHeight="false" outlineLevel="0" collapsed="false">
      <c r="A24" s="32" t="s">
        <v>159</v>
      </c>
      <c r="B24" s="32" t="s">
        <v>188</v>
      </c>
      <c r="C24" s="32" t="s">
        <v>161</v>
      </c>
      <c r="D24" s="59" t="n">
        <v>45</v>
      </c>
      <c r="E24" s="59" t="n">
        <v>50</v>
      </c>
      <c r="F24" s="68" t="n">
        <f aca="false">IF(E24="","",D24-E24)</f>
        <v>-5</v>
      </c>
      <c r="G24" s="59" t="n">
        <v>61</v>
      </c>
      <c r="H24" s="59" t="n">
        <v>48</v>
      </c>
      <c r="I24" s="68" t="n">
        <f aca="false">IF(H24="","",G24-H24)</f>
        <v>13</v>
      </c>
      <c r="J24" s="40" t="n">
        <f aca="false">IF(OR(D24="",D24+G24=0),"",D24/(D24+G24))</f>
        <v>0.424528301886792</v>
      </c>
      <c r="K24" s="40" t="n">
        <f aca="false">IF(E24="","",E24/(E24+H24))</f>
        <v>0.510204081632653</v>
      </c>
      <c r="L24" s="69" t="n">
        <f aca="false">IF(OR(K24="",J24=""),"",(J24-K24)*100)</f>
        <v>-8.56757797458606</v>
      </c>
      <c r="M24" s="36" t="n">
        <v>3.1080248214224</v>
      </c>
      <c r="N24" s="36" t="n">
        <v>1.05134356628362</v>
      </c>
      <c r="O24" s="36" t="n">
        <f aca="false">SQRT(M24^2+N24^2)</f>
        <v>3.28102751968704</v>
      </c>
      <c r="P24" s="40" t="n">
        <f aca="false">IF(J24="","",MAX(0,J24-1.96*O24/100))</f>
        <v>0.360220162500926</v>
      </c>
      <c r="Q24" s="40" t="n">
        <f aca="false">IF(J24="","",MIN(1,J24+1.96*O24/100))</f>
        <v>0.488836441272659</v>
      </c>
      <c r="R24" s="32" t="str">
        <f aca="false">IF(L24="","",IF(ABS(L24)&lt;=O24,"Yes","No"))</f>
        <v>No</v>
      </c>
      <c r="S24" s="32" t="str">
        <f aca="false">IF(L24="","",IF(ABS(L24)&lt;=1.96*O24,"Yes","No"))</f>
        <v>No</v>
      </c>
      <c r="T24" s="59" t="n">
        <f aca="false">IF(D24="","",ROUND(SQRT(((D24+G24)*O24/100)^2+(J24*(D24+G24)*0.07067)^2),0))</f>
        <v>5</v>
      </c>
      <c r="U24" s="32" t="s">
        <v>432</v>
      </c>
    </row>
    <row r="25" customFormat="false" ht="15" hidden="false" customHeight="false" outlineLevel="0" collapsed="false">
      <c r="A25" s="32" t="s">
        <v>189</v>
      </c>
      <c r="B25" s="32" t="s">
        <v>190</v>
      </c>
      <c r="C25" s="32" t="s">
        <v>161</v>
      </c>
      <c r="D25" s="59" t="n">
        <v>475</v>
      </c>
      <c r="E25" s="59" t="n">
        <v>454</v>
      </c>
      <c r="F25" s="68" t="n">
        <f aca="false">IF(E25="","",D25-E25)</f>
        <v>21</v>
      </c>
      <c r="G25" s="59" t="n">
        <v>465</v>
      </c>
      <c r="H25" s="59" t="n">
        <v>406</v>
      </c>
      <c r="I25" s="68" t="n">
        <f aca="false">IF(H25="","",G25-H25)</f>
        <v>59</v>
      </c>
      <c r="J25" s="40" t="n">
        <f aca="false">IF(OR(D25="",D25+G25=0),"",D25/(D25+G25))</f>
        <v>0.50531914893617</v>
      </c>
      <c r="K25" s="40" t="n">
        <f aca="false">IF(E25="","",E25/(E25+H25))</f>
        <v>0.527906976744186</v>
      </c>
      <c r="L25" s="69" t="n">
        <f aca="false">IF(OR(K25="",J25=""),"",(J25-K25)*100)</f>
        <v>-2.25878278080158</v>
      </c>
      <c r="M25" s="36" t="n">
        <v>3.1080248214224</v>
      </c>
      <c r="N25" s="36" t="n">
        <v>1.05134356628362</v>
      </c>
      <c r="O25" s="36" t="n">
        <f aca="false">SQRT(M25^2+N25^2)</f>
        <v>3.28102751968704</v>
      </c>
      <c r="P25" s="40" t="n">
        <f aca="false">IF(J25="","",MAX(0,J25-1.96*O25/100))</f>
        <v>0.441011009550304</v>
      </c>
      <c r="Q25" s="40" t="n">
        <f aca="false">IF(J25="","",MIN(1,J25+1.96*O25/100))</f>
        <v>0.569627288322036</v>
      </c>
      <c r="R25" s="32" t="str">
        <f aca="false">IF(L25="","",IF(ABS(L25)&lt;=O25,"Yes","No"))</f>
        <v>Yes</v>
      </c>
      <c r="S25" s="32" t="str">
        <f aca="false">IF(L25="","",IF(ABS(L25)&lt;=1.96*O25,"Yes","No"))</f>
        <v>Yes</v>
      </c>
      <c r="T25" s="59" t="n">
        <f aca="false">IF(D25="","",ROUND(SQRT(((D25+G25)*O25/100)^2+(J25*(D25+G25)*0.07067)^2),0))</f>
        <v>46</v>
      </c>
      <c r="U25" s="32"/>
    </row>
    <row r="26" customFormat="false" ht="15" hidden="false" customHeight="false" outlineLevel="0" collapsed="false">
      <c r="A26" s="32" t="s">
        <v>189</v>
      </c>
      <c r="B26" s="32" t="s">
        <v>191</v>
      </c>
      <c r="C26" s="32" t="s">
        <v>161</v>
      </c>
      <c r="D26" s="59" t="n">
        <v>18353</v>
      </c>
      <c r="E26" s="59" t="n">
        <v>19919</v>
      </c>
      <c r="F26" s="68" t="n">
        <f aca="false">IF(E26="","",D26-E26)</f>
        <v>-1566</v>
      </c>
      <c r="G26" s="59" t="n">
        <v>6973</v>
      </c>
      <c r="H26" s="59" t="n">
        <v>7341</v>
      </c>
      <c r="I26" s="68" t="n">
        <f aca="false">IF(H26="","",G26-H26)</f>
        <v>-368</v>
      </c>
      <c r="J26" s="40" t="n">
        <f aca="false">IF(OR(D26="",D26+G26=0),"",D26/(D26+G26))</f>
        <v>0.724670299297165</v>
      </c>
      <c r="K26" s="40" t="n">
        <f aca="false">IF(E26="","",E26/(E26+H26))</f>
        <v>0.73070432868672</v>
      </c>
      <c r="L26" s="69" t="n">
        <f aca="false">IF(OR(K26="",J26=""),"",(J26-K26)*100)</f>
        <v>-0.603402938955544</v>
      </c>
      <c r="M26" s="36" t="n">
        <v>1.29884199722958</v>
      </c>
      <c r="N26" s="36" t="n">
        <v>1.05134356628362</v>
      </c>
      <c r="O26" s="36" t="n">
        <f aca="false">SQRT(M26^2+N26^2)</f>
        <v>1.67102179163927</v>
      </c>
      <c r="P26" s="40" t="n">
        <f aca="false">IF(J26="","",MAX(0,J26-1.96*O26/100))</f>
        <v>0.691918272181035</v>
      </c>
      <c r="Q26" s="40" t="n">
        <f aca="false">IF(J26="","",MIN(1,J26+1.96*O26/100))</f>
        <v>0.757422326413295</v>
      </c>
      <c r="R26" s="32" t="str">
        <f aca="false">IF(L26="","",IF(ABS(L26)&lt;=O26,"Yes","No"))</f>
        <v>Yes</v>
      </c>
      <c r="S26" s="32" t="str">
        <f aca="false">IF(L26="","",IF(ABS(L26)&lt;=1.96*O26,"Yes","No"))</f>
        <v>Yes</v>
      </c>
      <c r="T26" s="59" t="n">
        <f aca="false">IF(D26="","",ROUND(SQRT(((D26+G26)*O26/100)^2+(J26*(D26+G26)*0.04632)^2),0))</f>
        <v>950</v>
      </c>
      <c r="U26" s="32"/>
    </row>
    <row r="27" customFormat="false" ht="15" hidden="false" customHeight="false" outlineLevel="0" collapsed="false">
      <c r="A27" s="32" t="s">
        <v>189</v>
      </c>
      <c r="B27" s="32" t="s">
        <v>192</v>
      </c>
      <c r="C27" s="32" t="s">
        <v>161</v>
      </c>
      <c r="D27" s="59" t="n">
        <v>4967</v>
      </c>
      <c r="E27" s="59" t="n">
        <v>4700</v>
      </c>
      <c r="F27" s="68" t="n">
        <f aca="false">IF(E27="","",D27-E27)</f>
        <v>267</v>
      </c>
      <c r="G27" s="59" t="n">
        <v>2384</v>
      </c>
      <c r="H27" s="59" t="n">
        <v>2300</v>
      </c>
      <c r="I27" s="68" t="n">
        <f aca="false">IF(H27="","",G27-H27)</f>
        <v>84</v>
      </c>
      <c r="J27" s="40" t="n">
        <f aca="false">IF(OR(D27="",D27+G27=0),"",D27/(D27+G27))</f>
        <v>0.675690382260917</v>
      </c>
      <c r="K27" s="40" t="n">
        <f aca="false">IF(E27="","",E27/(E27+H27))</f>
        <v>0.671428571428571</v>
      </c>
      <c r="L27" s="69" t="n">
        <f aca="false">IF(OR(K27="",J27=""),"",(J27-K27)*100)</f>
        <v>0.426181083234556</v>
      </c>
      <c r="M27" s="36" t="n">
        <v>1.29884199722958</v>
      </c>
      <c r="N27" s="36" t="n">
        <v>1.05134356628362</v>
      </c>
      <c r="O27" s="36" t="n">
        <f aca="false">SQRT(M27^2+N27^2)</f>
        <v>1.67102179163927</v>
      </c>
      <c r="P27" s="40" t="n">
        <f aca="false">IF(J27="","",MAX(0,J27-1.96*O27/100))</f>
        <v>0.642938355144787</v>
      </c>
      <c r="Q27" s="40" t="n">
        <f aca="false">IF(J27="","",MIN(1,J27+1.96*O27/100))</f>
        <v>0.708442409377047</v>
      </c>
      <c r="R27" s="32" t="str">
        <f aca="false">IF(L27="","",IF(ABS(L27)&lt;=O27,"Yes","No"))</f>
        <v>Yes</v>
      </c>
      <c r="S27" s="32" t="str">
        <f aca="false">IF(L27="","",IF(ABS(L27)&lt;=1.96*O27,"Yes","No"))</f>
        <v>Yes</v>
      </c>
      <c r="T27" s="59" t="n">
        <f aca="false">IF(D27="","",ROUND(SQRT(((D27+G27)*O27/100)^2+(J27*(D27+G27)*0.04632)^2),0))</f>
        <v>261</v>
      </c>
      <c r="U27" s="32"/>
    </row>
    <row r="28" customFormat="false" ht="15" hidden="false" customHeight="false" outlineLevel="0" collapsed="false">
      <c r="A28" s="32" t="s">
        <v>189</v>
      </c>
      <c r="B28" s="32" t="s">
        <v>193</v>
      </c>
      <c r="C28" s="32" t="s">
        <v>161</v>
      </c>
      <c r="D28" s="59" t="n">
        <v>1102</v>
      </c>
      <c r="E28" s="59" t="n">
        <v>1137</v>
      </c>
      <c r="F28" s="68" t="n">
        <f aca="false">IF(E28="","",D28-E28)</f>
        <v>-35</v>
      </c>
      <c r="G28" s="59" t="n">
        <v>920</v>
      </c>
      <c r="H28" s="59" t="n">
        <v>821</v>
      </c>
      <c r="I28" s="68" t="n">
        <f aca="false">IF(H28="","",G28-H28)</f>
        <v>99</v>
      </c>
      <c r="J28" s="40" t="n">
        <f aca="false">IF(OR(D28="",D28+G28=0),"",D28/(D28+G28))</f>
        <v>0.545004945598417</v>
      </c>
      <c r="K28" s="40" t="n">
        <f aca="false">IF(E28="","",E28/(E28+H28))</f>
        <v>0.580694586312564</v>
      </c>
      <c r="L28" s="69" t="n">
        <f aca="false">IF(OR(K28="",J28=""),"",(J28-K28)*100)</f>
        <v>-3.56896407141465</v>
      </c>
      <c r="M28" s="36" t="n">
        <v>2.06682372168594</v>
      </c>
      <c r="N28" s="36" t="n">
        <v>1.05134356628362</v>
      </c>
      <c r="O28" s="36" t="n">
        <f aca="false">SQRT(M28^2+N28^2)</f>
        <v>2.31885393910218</v>
      </c>
      <c r="P28" s="40" t="n">
        <f aca="false">IF(J28="","",MAX(0,J28-1.96*O28/100))</f>
        <v>0.499555408392015</v>
      </c>
      <c r="Q28" s="40" t="n">
        <f aca="false">IF(J28="","",MIN(1,J28+1.96*O28/100))</f>
        <v>0.59045448280482</v>
      </c>
      <c r="R28" s="32" t="str">
        <f aca="false">IF(L28="","",IF(ABS(L28)&lt;=O28,"Yes","No"))</f>
        <v>No</v>
      </c>
      <c r="S28" s="32" t="str">
        <f aca="false">IF(L28="","",IF(ABS(L28)&lt;=1.96*O28,"Yes","No"))</f>
        <v>Yes</v>
      </c>
      <c r="T28" s="59" t="n">
        <f aca="false">IF(D28="","",ROUND(SQRT(((D28+G28)*O28/100)^2+(J28*(D28+G28)*0.05402)^2),0))</f>
        <v>76</v>
      </c>
      <c r="U28" s="32"/>
    </row>
    <row r="29" customFormat="false" ht="15" hidden="false" customHeight="false" outlineLevel="0" collapsed="false">
      <c r="A29" s="32" t="s">
        <v>189</v>
      </c>
      <c r="B29" s="32" t="s">
        <v>194</v>
      </c>
      <c r="C29" s="32" t="s">
        <v>161</v>
      </c>
      <c r="D29" s="59" t="n">
        <v>530</v>
      </c>
      <c r="E29" s="59" t="n">
        <v>513</v>
      </c>
      <c r="F29" s="68" t="n">
        <f aca="false">IF(E29="","",D29-E29)</f>
        <v>17</v>
      </c>
      <c r="G29" s="59" t="n">
        <v>546</v>
      </c>
      <c r="H29" s="59" t="n">
        <v>446</v>
      </c>
      <c r="I29" s="68" t="n">
        <f aca="false">IF(H29="","",G29-H29)</f>
        <v>100</v>
      </c>
      <c r="J29" s="40" t="n">
        <f aca="false">IF(OR(D29="",D29+G29=0),"",D29/(D29+G29))</f>
        <v>0.492565055762082</v>
      </c>
      <c r="K29" s="40" t="n">
        <f aca="false">IF(E29="","",E29/(E29+H29))</f>
        <v>0.534932221063608</v>
      </c>
      <c r="L29" s="69" t="n">
        <f aca="false">IF(OR(K29="",J29=""),"",(J29-K29)*100)</f>
        <v>-4.23671653015262</v>
      </c>
      <c r="M29" s="36" t="n">
        <v>3.1080248214224</v>
      </c>
      <c r="N29" s="36" t="n">
        <v>1.05134356628362</v>
      </c>
      <c r="O29" s="36" t="n">
        <f aca="false">SQRT(M29^2+N29^2)</f>
        <v>3.28102751968704</v>
      </c>
      <c r="P29" s="40" t="n">
        <f aca="false">IF(J29="","",MAX(0,J29-1.96*O29/100))</f>
        <v>0.428256916376216</v>
      </c>
      <c r="Q29" s="40" t="n">
        <f aca="false">IF(J29="","",MIN(1,J29+1.96*O29/100))</f>
        <v>0.556873195147948</v>
      </c>
      <c r="R29" s="32" t="str">
        <f aca="false">IF(L29="","",IF(ABS(L29)&lt;=O29,"Yes","No"))</f>
        <v>No</v>
      </c>
      <c r="S29" s="32" t="str">
        <f aca="false">IF(L29="","",IF(ABS(L29)&lt;=1.96*O29,"Yes","No"))</f>
        <v>Yes</v>
      </c>
      <c r="T29" s="59" t="n">
        <f aca="false">IF(D29="","",ROUND(SQRT(((D29+G29)*O29/100)^2+(J29*(D29+G29)*0.07067)^2),0))</f>
        <v>51</v>
      </c>
      <c r="U29" s="32"/>
    </row>
    <row r="30" customFormat="false" ht="15" hidden="false" customHeight="false" outlineLevel="0" collapsed="false">
      <c r="A30" s="32" t="s">
        <v>189</v>
      </c>
      <c r="B30" s="32" t="s">
        <v>195</v>
      </c>
      <c r="C30" s="32" t="s">
        <v>161</v>
      </c>
      <c r="D30" s="59" t="n">
        <v>687</v>
      </c>
      <c r="E30" s="59" t="n">
        <v>660</v>
      </c>
      <c r="F30" s="68" t="n">
        <f aca="false">IF(E30="","",D30-E30)</f>
        <v>27</v>
      </c>
      <c r="G30" s="59" t="n">
        <v>524</v>
      </c>
      <c r="H30" s="59" t="n">
        <v>515</v>
      </c>
      <c r="I30" s="68" t="n">
        <f aca="false">IF(H30="","",G30-H30)</f>
        <v>9</v>
      </c>
      <c r="J30" s="40" t="n">
        <f aca="false">IF(OR(D30="",D30+G30=0),"",D30/(D30+G30))</f>
        <v>0.567299752270851</v>
      </c>
      <c r="K30" s="40" t="n">
        <f aca="false">IF(E30="","",E30/(E30+H30))</f>
        <v>0.561702127659575</v>
      </c>
      <c r="L30" s="69" t="n">
        <f aca="false">IF(OR(K30="",J30=""),"",(J30-K30)*100)</f>
        <v>0.5597624611276</v>
      </c>
      <c r="M30" s="36" t="n">
        <v>2.06682372168594</v>
      </c>
      <c r="N30" s="36" t="n">
        <v>1.05134356628362</v>
      </c>
      <c r="O30" s="36" t="n">
        <f aca="false">SQRT(M30^2+N30^2)</f>
        <v>2.31885393910218</v>
      </c>
      <c r="P30" s="40" t="n">
        <f aca="false">IF(J30="","",MAX(0,J30-1.96*O30/100))</f>
        <v>0.521850215064448</v>
      </c>
      <c r="Q30" s="40" t="n">
        <f aca="false">IF(J30="","",MIN(1,J30+1.96*O30/100))</f>
        <v>0.612749289477253</v>
      </c>
      <c r="R30" s="32" t="str">
        <f aca="false">IF(L30="","",IF(ABS(L30)&lt;=O30,"Yes","No"))</f>
        <v>Yes</v>
      </c>
      <c r="S30" s="32" t="str">
        <f aca="false">IF(L30="","",IF(ABS(L30)&lt;=1.96*O30,"Yes","No"))</f>
        <v>Yes</v>
      </c>
      <c r="T30" s="59" t="n">
        <f aca="false">IF(D30="","",ROUND(SQRT(((D30+G30)*O30/100)^2+(J30*(D30+G30)*0.05402)^2),0))</f>
        <v>47</v>
      </c>
      <c r="U30" s="32"/>
    </row>
    <row r="31" customFormat="false" ht="15" hidden="false" customHeight="false" outlineLevel="0" collapsed="false">
      <c r="A31" s="32" t="s">
        <v>189</v>
      </c>
      <c r="B31" s="32" t="s">
        <v>196</v>
      </c>
      <c r="C31" s="32" t="s">
        <v>161</v>
      </c>
      <c r="D31" s="59" t="n">
        <v>2613</v>
      </c>
      <c r="E31" s="59" t="n">
        <v>2434</v>
      </c>
      <c r="F31" s="68" t="n">
        <f aca="false">IF(E31="","",D31-E31)</f>
        <v>179</v>
      </c>
      <c r="G31" s="59" t="n">
        <v>2121</v>
      </c>
      <c r="H31" s="59" t="n">
        <v>1955</v>
      </c>
      <c r="I31" s="68" t="n">
        <f aca="false">IF(H31="","",G31-H31)</f>
        <v>166</v>
      </c>
      <c r="J31" s="40" t="n">
        <f aca="false">IF(OR(D31="",D31+G31=0),"",D31/(D31+G31))</f>
        <v>0.551964512040558</v>
      </c>
      <c r="K31" s="40" t="n">
        <f aca="false">IF(E31="","",E31/(E31+H31))</f>
        <v>0.554568238778765</v>
      </c>
      <c r="L31" s="69" t="n">
        <f aca="false">IF(OR(K31="",J31=""),"",(J31-K31)*100)</f>
        <v>-0.260372673820741</v>
      </c>
      <c r="M31" s="36" t="n">
        <v>1.29884199722958</v>
      </c>
      <c r="N31" s="36" t="n">
        <v>1.05134356628362</v>
      </c>
      <c r="O31" s="36" t="n">
        <f aca="false">SQRT(M31^2+N31^2)</f>
        <v>1.67102179163927</v>
      </c>
      <c r="P31" s="40" t="n">
        <f aca="false">IF(J31="","",MAX(0,J31-1.96*O31/100))</f>
        <v>0.519212484924428</v>
      </c>
      <c r="Q31" s="40" t="n">
        <f aca="false">IF(J31="","",MIN(1,J31+1.96*O31/100))</f>
        <v>0.584716539156687</v>
      </c>
      <c r="R31" s="32" t="str">
        <f aca="false">IF(L31="","",IF(ABS(L31)&lt;=O31,"Yes","No"))</f>
        <v>Yes</v>
      </c>
      <c r="S31" s="32" t="str">
        <f aca="false">IF(L31="","",IF(ABS(L31)&lt;=1.96*O31,"Yes","No"))</f>
        <v>Yes</v>
      </c>
      <c r="T31" s="59" t="n">
        <f aca="false">IF(D31="","",ROUND(SQRT(((D31+G31)*O31/100)^2+(J31*(D31+G31)*0.04632)^2),0))</f>
        <v>145</v>
      </c>
      <c r="U31" s="32"/>
    </row>
    <row r="32" customFormat="false" ht="15" hidden="false" customHeight="false" outlineLevel="0" collapsed="false">
      <c r="A32" s="32" t="s">
        <v>189</v>
      </c>
      <c r="B32" s="32" t="s">
        <v>197</v>
      </c>
      <c r="C32" s="32" t="s">
        <v>161</v>
      </c>
      <c r="D32" s="59" t="n">
        <v>1036</v>
      </c>
      <c r="E32" s="59" t="n">
        <v>1077</v>
      </c>
      <c r="F32" s="68" t="n">
        <f aca="false">IF(E32="","",D32-E32)</f>
        <v>-41</v>
      </c>
      <c r="G32" s="59" t="n">
        <v>441</v>
      </c>
      <c r="H32" s="59" t="n">
        <v>463</v>
      </c>
      <c r="I32" s="68" t="n">
        <f aca="false">IF(H32="","",G32-H32)</f>
        <v>-22</v>
      </c>
      <c r="J32" s="40" t="n">
        <f aca="false">IF(OR(D32="",D32+G32=0),"",D32/(D32+G32))</f>
        <v>0.701421800947867</v>
      </c>
      <c r="K32" s="40" t="n">
        <f aca="false">IF(E32="","",E32/(E32+H32))</f>
        <v>0.699350649350649</v>
      </c>
      <c r="L32" s="69" t="n">
        <f aca="false">IF(OR(K32="",J32=""),"",(J32-K32)*100)</f>
        <v>0.207115159721794</v>
      </c>
      <c r="M32" s="36" t="n">
        <v>2.06682372168594</v>
      </c>
      <c r="N32" s="36" t="n">
        <v>1.05134356628362</v>
      </c>
      <c r="O32" s="36" t="n">
        <f aca="false">SQRT(M32^2+N32^2)</f>
        <v>2.31885393910218</v>
      </c>
      <c r="P32" s="40" t="n">
        <f aca="false">IF(J32="","",MAX(0,J32-1.96*O32/100))</f>
        <v>0.655972263741465</v>
      </c>
      <c r="Q32" s="40" t="n">
        <f aca="false">IF(J32="","",MIN(1,J32+1.96*O32/100))</f>
        <v>0.74687133815427</v>
      </c>
      <c r="R32" s="32" t="str">
        <f aca="false">IF(L32="","",IF(ABS(L32)&lt;=O32,"Yes","No"))</f>
        <v>Yes</v>
      </c>
      <c r="S32" s="32" t="str">
        <f aca="false">IF(L32="","",IF(ABS(L32)&lt;=1.96*O32,"Yes","No"))</f>
        <v>Yes</v>
      </c>
      <c r="T32" s="59" t="n">
        <f aca="false">IF(D32="","",ROUND(SQRT(((D32+G32)*O32/100)^2+(J32*(D32+G32)*0.05402)^2),0))</f>
        <v>66</v>
      </c>
      <c r="U32" s="32"/>
    </row>
    <row r="33" customFormat="false" ht="15" hidden="false" customHeight="false" outlineLevel="0" collapsed="false">
      <c r="A33" s="32" t="s">
        <v>189</v>
      </c>
      <c r="B33" s="32" t="s">
        <v>198</v>
      </c>
      <c r="C33" s="32" t="s">
        <v>161</v>
      </c>
      <c r="D33" s="59" t="n">
        <v>281</v>
      </c>
      <c r="E33" s="59" t="n">
        <v>294</v>
      </c>
      <c r="F33" s="68" t="n">
        <f aca="false">IF(E33="","",D33-E33)</f>
        <v>-13</v>
      </c>
      <c r="G33" s="59" t="n">
        <v>189</v>
      </c>
      <c r="H33" s="59" t="n">
        <v>198</v>
      </c>
      <c r="I33" s="68" t="n">
        <f aca="false">IF(H33="","",G33-H33)</f>
        <v>-9</v>
      </c>
      <c r="J33" s="40" t="n">
        <f aca="false">IF(OR(D33="",D33+G33=0),"",D33/(D33+G33))</f>
        <v>0.597872340425532</v>
      </c>
      <c r="K33" s="40" t="n">
        <f aca="false">IF(E33="","",E33/(E33+H33))</f>
        <v>0.597560975609756</v>
      </c>
      <c r="L33" s="69" t="n">
        <f aca="false">IF(OR(K33="",J33=""),"",(J33-K33)*100)</f>
        <v>0.0311364815775872</v>
      </c>
      <c r="M33" s="36" t="n">
        <v>3.1080248214224</v>
      </c>
      <c r="N33" s="36" t="n">
        <v>1.05134356628362</v>
      </c>
      <c r="O33" s="36" t="n">
        <f aca="false">SQRT(M33^2+N33^2)</f>
        <v>3.28102751968704</v>
      </c>
      <c r="P33" s="40" t="n">
        <f aca="false">IF(J33="","",MAX(0,J33-1.96*O33/100))</f>
        <v>0.533564201039666</v>
      </c>
      <c r="Q33" s="40" t="n">
        <f aca="false">IF(J33="","",MIN(1,J33+1.96*O33/100))</f>
        <v>0.662180479811398</v>
      </c>
      <c r="R33" s="32" t="str">
        <f aca="false">IF(L33="","",IF(ABS(L33)&lt;=O33,"Yes","No"))</f>
        <v>Yes</v>
      </c>
      <c r="S33" s="32" t="str">
        <f aca="false">IF(L33="","",IF(ABS(L33)&lt;=1.96*O33,"Yes","No"))</f>
        <v>Yes</v>
      </c>
      <c r="T33" s="59" t="n">
        <f aca="false">IF(D33="","",ROUND(SQRT(((D33+G33)*O33/100)^2+(J33*(D33+G33)*0.07067)^2),0))</f>
        <v>25</v>
      </c>
      <c r="U33" s="32"/>
    </row>
    <row r="34" customFormat="false" ht="15" hidden="false" customHeight="false" outlineLevel="0" collapsed="false">
      <c r="A34" s="32" t="s">
        <v>189</v>
      </c>
      <c r="B34" s="32" t="s">
        <v>199</v>
      </c>
      <c r="C34" s="32" t="s">
        <v>161</v>
      </c>
      <c r="D34" s="59" t="n">
        <v>501</v>
      </c>
      <c r="E34" s="59" t="n">
        <v>498</v>
      </c>
      <c r="F34" s="68" t="n">
        <f aca="false">IF(E34="","",D34-E34)</f>
        <v>3</v>
      </c>
      <c r="G34" s="59" t="n">
        <v>992</v>
      </c>
      <c r="H34" s="59" t="n">
        <v>876</v>
      </c>
      <c r="I34" s="68" t="n">
        <f aca="false">IF(H34="","",G34-H34)</f>
        <v>116</v>
      </c>
      <c r="J34" s="40" t="n">
        <f aca="false">IF(OR(D34="",D34+G34=0),"",D34/(D34+G34))</f>
        <v>0.33556597454789</v>
      </c>
      <c r="K34" s="40" t="n">
        <f aca="false">IF(E34="","",E34/(E34+H34))</f>
        <v>0.362445414847162</v>
      </c>
      <c r="L34" s="69" t="n">
        <f aca="false">IF(OR(K34="",J34=""),"",(J34-K34)*100)</f>
        <v>-2.68794402992714</v>
      </c>
      <c r="M34" s="36" t="n">
        <v>2.06682372168594</v>
      </c>
      <c r="N34" s="36" t="n">
        <v>1.05134356628362</v>
      </c>
      <c r="O34" s="36" t="n">
        <f aca="false">SQRT(M34^2+N34^2)</f>
        <v>2.31885393910218</v>
      </c>
      <c r="P34" s="40" t="n">
        <f aca="false">IF(J34="","",MAX(0,J34-1.96*O34/100))</f>
        <v>0.290116437341488</v>
      </c>
      <c r="Q34" s="40" t="n">
        <f aca="false">IF(J34="","",MIN(1,J34+1.96*O34/100))</f>
        <v>0.381015511754293</v>
      </c>
      <c r="R34" s="32" t="str">
        <f aca="false">IF(L34="","",IF(ABS(L34)&lt;=O34,"Yes","No"))</f>
        <v>No</v>
      </c>
      <c r="S34" s="32" t="str">
        <f aca="false">IF(L34="","",IF(ABS(L34)&lt;=1.96*O34,"Yes","No"))</f>
        <v>Yes</v>
      </c>
      <c r="T34" s="59" t="n">
        <f aca="false">IF(D34="","",ROUND(SQRT(((D34+G34)*O34/100)^2+(J34*(D34+G34)*0.05402)^2),0))</f>
        <v>44</v>
      </c>
      <c r="U34" s="32"/>
    </row>
    <row r="35" customFormat="false" ht="15" hidden="false" customHeight="false" outlineLevel="0" collapsed="false">
      <c r="A35" s="32" t="s">
        <v>189</v>
      </c>
      <c r="B35" s="32" t="s">
        <v>200</v>
      </c>
      <c r="C35" s="32" t="s">
        <v>161</v>
      </c>
      <c r="D35" s="59" t="n">
        <v>7689</v>
      </c>
      <c r="E35" s="59" t="n">
        <v>7236</v>
      </c>
      <c r="F35" s="68" t="n">
        <f aca="false">IF(E35="","",D35-E35)</f>
        <v>453</v>
      </c>
      <c r="G35" s="59" t="n">
        <v>7226</v>
      </c>
      <c r="H35" s="59" t="n">
        <v>6846</v>
      </c>
      <c r="I35" s="68" t="n">
        <f aca="false">IF(H35="","",G35-H35)</f>
        <v>380</v>
      </c>
      <c r="J35" s="40" t="n">
        <f aca="false">IF(OR(D35="",D35+G35=0),"",D35/(D35+G35))</f>
        <v>0.51552128729467</v>
      </c>
      <c r="K35" s="40" t="n">
        <f aca="false">IF(E35="","",E35/(E35+H35))</f>
        <v>0.513847464848743</v>
      </c>
      <c r="L35" s="69" t="n">
        <f aca="false">IF(OR(K35="",J35=""),"",(J35-K35)*100)</f>
        <v>0.167382244592673</v>
      </c>
      <c r="M35" s="36" t="n">
        <v>1.29884199722958</v>
      </c>
      <c r="N35" s="36" t="n">
        <v>1.05134356628362</v>
      </c>
      <c r="O35" s="36" t="n">
        <f aca="false">SQRT(M35^2+N35^2)</f>
        <v>1.67102179163927</v>
      </c>
      <c r="P35" s="40" t="n">
        <f aca="false">IF(J35="","",MAX(0,J35-1.96*O35/100))</f>
        <v>0.48276926017854</v>
      </c>
      <c r="Q35" s="40" t="n">
        <f aca="false">IF(J35="","",MIN(1,J35+1.96*O35/100))</f>
        <v>0.548273314410799</v>
      </c>
      <c r="R35" s="32" t="str">
        <f aca="false">IF(L35="","",IF(ABS(L35)&lt;=O35,"Yes","No"))</f>
        <v>Yes</v>
      </c>
      <c r="S35" s="32" t="str">
        <f aca="false">IF(L35="","",IF(ABS(L35)&lt;=1.96*O35,"Yes","No"))</f>
        <v>Yes</v>
      </c>
      <c r="T35" s="59" t="n">
        <f aca="false">IF(D35="","",ROUND(SQRT(((D35+G35)*O35/100)^2+(J35*(D35+G35)*0.04632)^2),0))</f>
        <v>435</v>
      </c>
      <c r="U35" s="32"/>
    </row>
    <row r="36" customFormat="false" ht="15" hidden="false" customHeight="false" outlineLevel="0" collapsed="false">
      <c r="A36" s="32" t="s">
        <v>189</v>
      </c>
      <c r="B36" s="32" t="s">
        <v>201</v>
      </c>
      <c r="C36" s="32" t="s">
        <v>161</v>
      </c>
      <c r="D36" s="59" t="n">
        <v>705</v>
      </c>
      <c r="E36" s="59" t="n">
        <v>738</v>
      </c>
      <c r="F36" s="68" t="n">
        <f aca="false">IF(E36="","",D36-E36)</f>
        <v>-33</v>
      </c>
      <c r="G36" s="59" t="n">
        <v>1284</v>
      </c>
      <c r="H36" s="59" t="n">
        <v>1114</v>
      </c>
      <c r="I36" s="68" t="n">
        <f aca="false">IF(H36="","",G36-H36)</f>
        <v>170</v>
      </c>
      <c r="J36" s="40" t="n">
        <f aca="false">IF(OR(D36="",D36+G36=0),"",D36/(D36+G36))</f>
        <v>0.354449472096531</v>
      </c>
      <c r="K36" s="40" t="n">
        <f aca="false">IF(E36="","",E36/(E36+H36))</f>
        <v>0.398488120950324</v>
      </c>
      <c r="L36" s="69" t="n">
        <f aca="false">IF(OR(K36="",J36=""),"",(J36-K36)*100)</f>
        <v>-4.4038648853793</v>
      </c>
      <c r="M36" s="36" t="n">
        <v>2.06682372168594</v>
      </c>
      <c r="N36" s="36" t="n">
        <v>1.05134356628362</v>
      </c>
      <c r="O36" s="36" t="n">
        <f aca="false">SQRT(M36^2+N36^2)</f>
        <v>2.31885393910218</v>
      </c>
      <c r="P36" s="40" t="n">
        <f aca="false">IF(J36="","",MAX(0,J36-1.96*O36/100))</f>
        <v>0.308999934890128</v>
      </c>
      <c r="Q36" s="40" t="n">
        <f aca="false">IF(J36="","",MIN(1,J36+1.96*O36/100))</f>
        <v>0.399899009302934</v>
      </c>
      <c r="R36" s="32" t="str">
        <f aca="false">IF(L36="","",IF(ABS(L36)&lt;=O36,"Yes","No"))</f>
        <v>No</v>
      </c>
      <c r="S36" s="32" t="str">
        <f aca="false">IF(L36="","",IF(ABS(L36)&lt;=1.96*O36,"Yes","No"))</f>
        <v>Yes</v>
      </c>
      <c r="T36" s="59" t="n">
        <f aca="false">IF(D36="","",ROUND(SQRT(((D36+G36)*O36/100)^2+(J36*(D36+G36)*0.05402)^2),0))</f>
        <v>60</v>
      </c>
      <c r="U36" s="32"/>
    </row>
    <row r="37" customFormat="false" ht="15" hidden="false" customHeight="false" outlineLevel="0" collapsed="false">
      <c r="A37" s="32" t="s">
        <v>189</v>
      </c>
      <c r="B37" s="32" t="s">
        <v>202</v>
      </c>
      <c r="C37" s="32" t="s">
        <v>161</v>
      </c>
      <c r="D37" s="59" t="n">
        <v>399</v>
      </c>
      <c r="E37" s="59" t="n">
        <v>411</v>
      </c>
      <c r="F37" s="68" t="n">
        <f aca="false">IF(E37="","",D37-E37)</f>
        <v>-12</v>
      </c>
      <c r="G37" s="59" t="n">
        <v>728</v>
      </c>
      <c r="H37" s="59" t="n">
        <v>680</v>
      </c>
      <c r="I37" s="68" t="n">
        <f aca="false">IF(H37="","",G37-H37)</f>
        <v>48</v>
      </c>
      <c r="J37" s="40" t="n">
        <f aca="false">IF(OR(D37="",D37+G37=0),"",D37/(D37+G37))</f>
        <v>0.354037267080745</v>
      </c>
      <c r="K37" s="40" t="n">
        <f aca="false">IF(E37="","",E37/(E37+H37))</f>
        <v>0.376718606782768</v>
      </c>
      <c r="L37" s="69" t="n">
        <f aca="false">IF(OR(K37="",J37=""),"",(J37-K37)*100)</f>
        <v>-2.26813397020227</v>
      </c>
      <c r="M37" s="36" t="n">
        <v>3.1080248214224</v>
      </c>
      <c r="N37" s="36" t="n">
        <v>1.05134356628362</v>
      </c>
      <c r="O37" s="36" t="n">
        <f aca="false">SQRT(M37^2+N37^2)</f>
        <v>3.28102751968704</v>
      </c>
      <c r="P37" s="40" t="n">
        <f aca="false">IF(J37="","",MAX(0,J37-1.96*O37/100))</f>
        <v>0.289729127694879</v>
      </c>
      <c r="Q37" s="40" t="n">
        <f aca="false">IF(J37="","",MIN(1,J37+1.96*O37/100))</f>
        <v>0.418345406466611</v>
      </c>
      <c r="R37" s="32" t="str">
        <f aca="false">IF(L37="","",IF(ABS(L37)&lt;=O37,"Yes","No"))</f>
        <v>Yes</v>
      </c>
      <c r="S37" s="32" t="str">
        <f aca="false">IF(L37="","",IF(ABS(L37)&lt;=1.96*O37,"Yes","No"))</f>
        <v>Yes</v>
      </c>
      <c r="T37" s="59" t="n">
        <f aca="false">IF(D37="","",ROUND(SQRT(((D37+G37)*O37/100)^2+(J37*(D37+G37)*0.07067)^2),0))</f>
        <v>47</v>
      </c>
      <c r="U37" s="32"/>
    </row>
    <row r="38" customFormat="false" ht="15" hidden="false" customHeight="false" outlineLevel="0" collapsed="false">
      <c r="A38" s="32" t="s">
        <v>189</v>
      </c>
      <c r="B38" s="32" t="s">
        <v>203</v>
      </c>
      <c r="C38" s="32" t="s">
        <v>161</v>
      </c>
      <c r="D38" s="59" t="n">
        <v>618</v>
      </c>
      <c r="E38" s="59" t="n">
        <v>623</v>
      </c>
      <c r="F38" s="68" t="n">
        <f aca="false">IF(E38="","",D38-E38)</f>
        <v>-5</v>
      </c>
      <c r="G38" s="59" t="n">
        <v>1388</v>
      </c>
      <c r="H38" s="59" t="n">
        <v>1233</v>
      </c>
      <c r="I38" s="68" t="n">
        <f aca="false">IF(H38="","",G38-H38)</f>
        <v>155</v>
      </c>
      <c r="J38" s="40" t="n">
        <f aca="false">IF(OR(D38="",D38+G38=0),"",D38/(D38+G38))</f>
        <v>0.308075772681954</v>
      </c>
      <c r="K38" s="40" t="n">
        <f aca="false">IF(E38="","",E38/(E38+H38))</f>
        <v>0.335668103448276</v>
      </c>
      <c r="L38" s="69" t="n">
        <f aca="false">IF(OR(K38="",J38=""),"",(J38-K38)*100)</f>
        <v>-2.75923307663217</v>
      </c>
      <c r="M38" s="36" t="n">
        <v>2.06682372168594</v>
      </c>
      <c r="N38" s="36" t="n">
        <v>1.05134356628362</v>
      </c>
      <c r="O38" s="36" t="n">
        <f aca="false">SQRT(M38^2+N38^2)</f>
        <v>2.31885393910218</v>
      </c>
      <c r="P38" s="40" t="n">
        <f aca="false">IF(J38="","",MAX(0,J38-1.96*O38/100))</f>
        <v>0.262626235475552</v>
      </c>
      <c r="Q38" s="40" t="n">
        <f aca="false">IF(J38="","",MIN(1,J38+1.96*O38/100))</f>
        <v>0.353525309888357</v>
      </c>
      <c r="R38" s="32" t="str">
        <f aca="false">IF(L38="","",IF(ABS(L38)&lt;=O38,"Yes","No"))</f>
        <v>No</v>
      </c>
      <c r="S38" s="32" t="str">
        <f aca="false">IF(L38="","",IF(ABS(L38)&lt;=1.96*O38,"Yes","No"))</f>
        <v>Yes</v>
      </c>
      <c r="T38" s="59" t="n">
        <f aca="false">IF(D38="","",ROUND(SQRT(((D38+G38)*O38/100)^2+(J38*(D38+G38)*0.05402)^2),0))</f>
        <v>57</v>
      </c>
      <c r="U38" s="32"/>
    </row>
    <row r="39" customFormat="false" ht="15" hidden="false" customHeight="false" outlineLevel="0" collapsed="false">
      <c r="A39" s="32" t="s">
        <v>189</v>
      </c>
      <c r="B39" s="32" t="s">
        <v>204</v>
      </c>
      <c r="C39" s="32" t="s">
        <v>161</v>
      </c>
      <c r="D39" s="59" t="n">
        <v>681</v>
      </c>
      <c r="E39" s="59" t="n">
        <v>691</v>
      </c>
      <c r="F39" s="68" t="n">
        <f aca="false">IF(E39="","",D39-E39)</f>
        <v>-10</v>
      </c>
      <c r="G39" s="59" t="n">
        <v>662</v>
      </c>
      <c r="H39" s="59" t="n">
        <v>584</v>
      </c>
      <c r="I39" s="68" t="n">
        <f aca="false">IF(H39="","",G39-H39)</f>
        <v>78</v>
      </c>
      <c r="J39" s="40" t="n">
        <f aca="false">IF(OR(D39="",D39+G39=0),"",D39/(D39+G39))</f>
        <v>0.507073715562174</v>
      </c>
      <c r="K39" s="40" t="n">
        <f aca="false">IF(E39="","",E39/(E39+H39))</f>
        <v>0.541960784313726</v>
      </c>
      <c r="L39" s="69" t="n">
        <f aca="false">IF(OR(K39="",J39=""),"",(J39-K39)*100)</f>
        <v>-3.48870687515512</v>
      </c>
      <c r="M39" s="36" t="n">
        <v>2.06682372168594</v>
      </c>
      <c r="N39" s="36" t="n">
        <v>1.05134356628362</v>
      </c>
      <c r="O39" s="36" t="n">
        <f aca="false">SQRT(M39^2+N39^2)</f>
        <v>2.31885393910218</v>
      </c>
      <c r="P39" s="40" t="n">
        <f aca="false">IF(J39="","",MAX(0,J39-1.96*O39/100))</f>
        <v>0.461624178355772</v>
      </c>
      <c r="Q39" s="40" t="n">
        <f aca="false">IF(J39="","",MIN(1,J39+1.96*O39/100))</f>
        <v>0.552523252768577</v>
      </c>
      <c r="R39" s="32" t="str">
        <f aca="false">IF(L39="","",IF(ABS(L39)&lt;=O39,"Yes","No"))</f>
        <v>No</v>
      </c>
      <c r="S39" s="32" t="str">
        <f aca="false">IF(L39="","",IF(ABS(L39)&lt;=1.96*O39,"Yes","No"))</f>
        <v>Yes</v>
      </c>
      <c r="T39" s="59" t="n">
        <f aca="false">IF(D39="","",ROUND(SQRT(((D39+G39)*O39/100)^2+(J39*(D39+G39)*0.05402)^2),0))</f>
        <v>48</v>
      </c>
      <c r="U39" s="32"/>
    </row>
    <row r="40" customFormat="false" ht="15" hidden="false" customHeight="false" outlineLevel="0" collapsed="false">
      <c r="A40" s="32" t="s">
        <v>189</v>
      </c>
      <c r="B40" s="32" t="s">
        <v>205</v>
      </c>
      <c r="C40" s="32" t="s">
        <v>161</v>
      </c>
      <c r="D40" s="59" t="n">
        <v>3215</v>
      </c>
      <c r="E40" s="59" t="n">
        <v>2780</v>
      </c>
      <c r="F40" s="68" t="n">
        <f aca="false">IF(E40="","",D40-E40)</f>
        <v>435</v>
      </c>
      <c r="G40" s="59" t="n">
        <v>4074</v>
      </c>
      <c r="H40" s="59" t="n">
        <v>3849</v>
      </c>
      <c r="I40" s="68" t="n">
        <f aca="false">IF(H40="","",G40-H40)</f>
        <v>225</v>
      </c>
      <c r="J40" s="40" t="n">
        <f aca="false">IF(OR(D40="",D40+G40=0),"",D40/(D40+G40))</f>
        <v>0.441075593359857</v>
      </c>
      <c r="K40" s="40" t="n">
        <f aca="false">IF(E40="","",E40/(E40+H40))</f>
        <v>0.419369437320863</v>
      </c>
      <c r="L40" s="69" t="n">
        <f aca="false">IF(OR(K40="",J40=""),"",(J40-K40)*100)</f>
        <v>2.17061560389945</v>
      </c>
      <c r="M40" s="36" t="n">
        <v>1.29884199722958</v>
      </c>
      <c r="N40" s="36" t="n">
        <v>1.05134356628362</v>
      </c>
      <c r="O40" s="36" t="n">
        <f aca="false">SQRT(M40^2+N40^2)</f>
        <v>1.67102179163927</v>
      </c>
      <c r="P40" s="40" t="n">
        <f aca="false">IF(J40="","",MAX(0,J40-1.96*O40/100))</f>
        <v>0.408323566243728</v>
      </c>
      <c r="Q40" s="40" t="n">
        <f aca="false">IF(J40="","",MIN(1,J40+1.96*O40/100))</f>
        <v>0.473827620475987</v>
      </c>
      <c r="R40" s="32" t="str">
        <f aca="false">IF(L40="","",IF(ABS(L40)&lt;=O40,"Yes","No"))</f>
        <v>No</v>
      </c>
      <c r="S40" s="32" t="str">
        <f aca="false">IF(L40="","",IF(ABS(L40)&lt;=1.96*O40,"Yes","No"))</f>
        <v>Yes</v>
      </c>
      <c r="T40" s="59" t="n">
        <f aca="false">IF(D40="","",ROUND(SQRT(((D40+G40)*O40/100)^2+(J40*(D40+G40)*0.04632)^2),0))</f>
        <v>192</v>
      </c>
      <c r="U40" s="32"/>
    </row>
    <row r="41" customFormat="false" ht="15" hidden="false" customHeight="false" outlineLevel="0" collapsed="false">
      <c r="A41" s="32" t="s">
        <v>189</v>
      </c>
      <c r="B41" s="32" t="s">
        <v>206</v>
      </c>
      <c r="C41" s="32" t="s">
        <v>161</v>
      </c>
      <c r="D41" s="59" t="n">
        <v>2888</v>
      </c>
      <c r="E41" s="59" t="n">
        <v>2945</v>
      </c>
      <c r="F41" s="68" t="n">
        <f aca="false">IF(E41="","",D41-E41)</f>
        <v>-57</v>
      </c>
      <c r="G41" s="59" t="n">
        <v>3232</v>
      </c>
      <c r="H41" s="59" t="n">
        <v>2844</v>
      </c>
      <c r="I41" s="68" t="n">
        <f aca="false">IF(H41="","",G41-H41)</f>
        <v>388</v>
      </c>
      <c r="J41" s="40" t="n">
        <f aca="false">IF(OR(D41="",D41+G41=0),"",D41/(D41+G41))</f>
        <v>0.471895424836601</v>
      </c>
      <c r="K41" s="40" t="n">
        <f aca="false">IF(E41="","",E41/(E41+H41))</f>
        <v>0.50872344100881</v>
      </c>
      <c r="L41" s="69" t="n">
        <f aca="false">IF(OR(K41="",J41=""),"",(J41-K41)*100)</f>
        <v>-3.68280161722085</v>
      </c>
      <c r="M41" s="36" t="n">
        <v>1.29884199722958</v>
      </c>
      <c r="N41" s="36" t="n">
        <v>1.05134356628362</v>
      </c>
      <c r="O41" s="36" t="n">
        <f aca="false">SQRT(M41^2+N41^2)</f>
        <v>1.67102179163927</v>
      </c>
      <c r="P41" s="40" t="n">
        <f aca="false">IF(J41="","",MAX(0,J41-1.96*O41/100))</f>
        <v>0.439143397720472</v>
      </c>
      <c r="Q41" s="40" t="n">
        <f aca="false">IF(J41="","",MIN(1,J41+1.96*O41/100))</f>
        <v>0.504647451952731</v>
      </c>
      <c r="R41" s="32" t="str">
        <f aca="false">IF(L41="","",IF(ABS(L41)&lt;=O41,"Yes","No"))</f>
        <v>No</v>
      </c>
      <c r="S41" s="32" t="str">
        <f aca="false">IF(L41="","",IF(ABS(L41)&lt;=1.96*O41,"Yes","No"))</f>
        <v>No</v>
      </c>
      <c r="T41" s="59" t="n">
        <f aca="false">IF(D41="","",ROUND(SQRT(((D41+G41)*O41/100)^2+(J41*(D41+G41)*0.04632)^2),0))</f>
        <v>168</v>
      </c>
      <c r="U41" s="32"/>
    </row>
    <row r="42" customFormat="false" ht="15" hidden="false" customHeight="false" outlineLevel="0" collapsed="false">
      <c r="A42" s="32" t="s">
        <v>189</v>
      </c>
      <c r="B42" s="32" t="s">
        <v>207</v>
      </c>
      <c r="C42" s="32" t="s">
        <v>161</v>
      </c>
      <c r="D42" s="59" t="n">
        <v>561</v>
      </c>
      <c r="E42" s="59" t="n">
        <v>537</v>
      </c>
      <c r="F42" s="68" t="n">
        <f aca="false">IF(E42="","",D42-E42)</f>
        <v>24</v>
      </c>
      <c r="G42" s="59" t="n">
        <v>636</v>
      </c>
      <c r="H42" s="59" t="n">
        <v>626</v>
      </c>
      <c r="I42" s="68" t="n">
        <f aca="false">IF(H42="","",G42-H42)</f>
        <v>10</v>
      </c>
      <c r="J42" s="40" t="n">
        <f aca="false">IF(OR(D42="",D42+G42=0),"",D42/(D42+G42))</f>
        <v>0.468671679197995</v>
      </c>
      <c r="K42" s="40" t="n">
        <f aca="false">IF(E42="","",E42/(E42+H42))</f>
        <v>0.461736887360275</v>
      </c>
      <c r="L42" s="69" t="n">
        <f aca="false">IF(OR(K42="",J42=""),"",(J42-K42)*100)</f>
        <v>0.693479183771983</v>
      </c>
      <c r="M42" s="36" t="n">
        <v>2.06682372168594</v>
      </c>
      <c r="N42" s="36" t="n">
        <v>1.05134356628362</v>
      </c>
      <c r="O42" s="36" t="n">
        <f aca="false">SQRT(M42^2+N42^2)</f>
        <v>2.31885393910218</v>
      </c>
      <c r="P42" s="40" t="n">
        <f aca="false">IF(J42="","",MAX(0,J42-1.96*O42/100))</f>
        <v>0.423222141991592</v>
      </c>
      <c r="Q42" s="40" t="n">
        <f aca="false">IF(J42="","",MIN(1,J42+1.96*O42/100))</f>
        <v>0.514121216404398</v>
      </c>
      <c r="R42" s="32" t="str">
        <f aca="false">IF(L42="","",IF(ABS(L42)&lt;=O42,"Yes","No"))</f>
        <v>Yes</v>
      </c>
      <c r="S42" s="32" t="str">
        <f aca="false">IF(L42="","",IF(ABS(L42)&lt;=1.96*O42,"Yes","No"))</f>
        <v>Yes</v>
      </c>
      <c r="T42" s="59" t="n">
        <f aca="false">IF(D42="","",ROUND(SQRT(((D42+G42)*O42/100)^2+(J42*(D42+G42)*0.05402)^2),0))</f>
        <v>41</v>
      </c>
      <c r="U42" s="32"/>
    </row>
    <row r="43" customFormat="false" ht="15" hidden="false" customHeight="false" outlineLevel="0" collapsed="false">
      <c r="A43" s="32" t="s">
        <v>189</v>
      </c>
      <c r="B43" s="32" t="s">
        <v>208</v>
      </c>
      <c r="C43" s="32" t="s">
        <v>161</v>
      </c>
      <c r="D43" s="59" t="n">
        <v>4834</v>
      </c>
      <c r="E43" s="59" t="n">
        <v>5009</v>
      </c>
      <c r="F43" s="68" t="n">
        <f aca="false">IF(E43="","",D43-E43)</f>
        <v>-175</v>
      </c>
      <c r="G43" s="59" t="n">
        <v>4436</v>
      </c>
      <c r="H43" s="59" t="n">
        <v>3839</v>
      </c>
      <c r="I43" s="68" t="n">
        <f aca="false">IF(H43="","",G43-H43)</f>
        <v>597</v>
      </c>
      <c r="J43" s="40" t="n">
        <f aca="false">IF(OR(D43="",D43+G43=0),"",D43/(D43+G43))</f>
        <v>0.521467098166127</v>
      </c>
      <c r="K43" s="40" t="n">
        <f aca="false">IF(E43="","",E43/(E43+H43))</f>
        <v>0.566116636528029</v>
      </c>
      <c r="L43" s="69" t="n">
        <f aca="false">IF(OR(K43="",J43=""),"",(J43-K43)*100)</f>
        <v>-4.46495383619017</v>
      </c>
      <c r="M43" s="36" t="n">
        <v>1.29884199722958</v>
      </c>
      <c r="N43" s="36" t="n">
        <v>1.05134356628362</v>
      </c>
      <c r="O43" s="36" t="n">
        <f aca="false">SQRT(M43^2+N43^2)</f>
        <v>1.67102179163927</v>
      </c>
      <c r="P43" s="40" t="n">
        <f aca="false">IF(J43="","",MAX(0,J43-1.96*O43/100))</f>
        <v>0.488715071049998</v>
      </c>
      <c r="Q43" s="40" t="n">
        <f aca="false">IF(J43="","",MIN(1,J43+1.96*O43/100))</f>
        <v>0.554219125282257</v>
      </c>
      <c r="R43" s="32" t="str">
        <f aca="false">IF(L43="","",IF(ABS(L43)&lt;=O43,"Yes","No"))</f>
        <v>No</v>
      </c>
      <c r="S43" s="32" t="str">
        <f aca="false">IF(L43="","",IF(ABS(L43)&lt;=1.96*O43,"Yes","No"))</f>
        <v>No</v>
      </c>
      <c r="T43" s="59" t="n">
        <f aca="false">IF(D43="","",ROUND(SQRT(((D43+G43)*O43/100)^2+(J43*(D43+G43)*0.04632)^2),0))</f>
        <v>272</v>
      </c>
      <c r="U43" s="32"/>
    </row>
    <row r="44" customFormat="false" ht="15" hidden="false" customHeight="false" outlineLevel="0" collapsed="false">
      <c r="A44" s="32" t="s">
        <v>189</v>
      </c>
      <c r="B44" s="32" t="s">
        <v>209</v>
      </c>
      <c r="C44" s="32" t="s">
        <v>161</v>
      </c>
      <c r="D44" s="59" t="n">
        <v>5227</v>
      </c>
      <c r="E44" s="59" t="n">
        <v>5137</v>
      </c>
      <c r="F44" s="68" t="n">
        <f aca="false">IF(E44="","",D44-E44)</f>
        <v>90</v>
      </c>
      <c r="G44" s="59" t="n">
        <v>4820</v>
      </c>
      <c r="H44" s="59" t="n">
        <v>4495</v>
      </c>
      <c r="I44" s="68" t="n">
        <f aca="false">IF(H44="","",G44-H44)</f>
        <v>325</v>
      </c>
      <c r="J44" s="40" t="n">
        <f aca="false">IF(OR(D44="",D44+G44=0),"",D44/(D44+G44))</f>
        <v>0.520254802428586</v>
      </c>
      <c r="K44" s="40" t="n">
        <f aca="false">IF(E44="","",E44/(E44+H44))</f>
        <v>0.533326411960133</v>
      </c>
      <c r="L44" s="69" t="n">
        <f aca="false">IF(OR(K44="",J44=""),"",(J44-K44)*100)</f>
        <v>-1.30716095315472</v>
      </c>
      <c r="M44" s="36" t="n">
        <v>1.29884199722958</v>
      </c>
      <c r="N44" s="36" t="n">
        <v>1.05134356628362</v>
      </c>
      <c r="O44" s="36" t="n">
        <f aca="false">SQRT(M44^2+N44^2)</f>
        <v>1.67102179163927</v>
      </c>
      <c r="P44" s="40" t="n">
        <f aca="false">IF(J44="","",MAX(0,J44-1.96*O44/100))</f>
        <v>0.487502775312456</v>
      </c>
      <c r="Q44" s="40" t="n">
        <f aca="false">IF(J44="","",MIN(1,J44+1.96*O44/100))</f>
        <v>0.553006829544715</v>
      </c>
      <c r="R44" s="32" t="str">
        <f aca="false">IF(L44="","",IF(ABS(L44)&lt;=O44,"Yes","No"))</f>
        <v>Yes</v>
      </c>
      <c r="S44" s="32" t="str">
        <f aca="false">IF(L44="","",IF(ABS(L44)&lt;=1.96*O44,"Yes","No"))</f>
        <v>Yes</v>
      </c>
      <c r="T44" s="59" t="n">
        <f aca="false">IF(D44="","",ROUND(SQRT(((D44+G44)*O44/100)^2+(J44*(D44+G44)*0.04632)^2),0))</f>
        <v>295</v>
      </c>
      <c r="U44" s="32"/>
    </row>
    <row r="45" customFormat="false" ht="15" hidden="false" customHeight="false" outlineLevel="0" collapsed="false">
      <c r="A45" s="32" t="s">
        <v>189</v>
      </c>
      <c r="B45" s="32" t="s">
        <v>210</v>
      </c>
      <c r="C45" s="32" t="s">
        <v>161</v>
      </c>
      <c r="D45" s="59" t="n">
        <v>1710</v>
      </c>
      <c r="E45" s="59" t="n">
        <v>1663</v>
      </c>
      <c r="F45" s="68" t="n">
        <f aca="false">IF(E45="","",D45-E45)</f>
        <v>47</v>
      </c>
      <c r="G45" s="59" t="n">
        <v>2231</v>
      </c>
      <c r="H45" s="59" t="n">
        <v>1974</v>
      </c>
      <c r="I45" s="68" t="n">
        <f aca="false">IF(H45="","",G45-H45)</f>
        <v>257</v>
      </c>
      <c r="J45" s="40" t="n">
        <f aca="false">IF(OR(D45="",D45+G45=0),"",D45/(D45+G45))</f>
        <v>0.43390002537427</v>
      </c>
      <c r="K45" s="40" t="n">
        <f aca="false">IF(E45="","",E45/(E45+H45))</f>
        <v>0.457244982128128</v>
      </c>
      <c r="L45" s="69" t="n">
        <f aca="false">IF(OR(K45="",J45=""),"",(J45-K45)*100)</f>
        <v>-2.33449567538571</v>
      </c>
      <c r="M45" s="36" t="n">
        <v>1.29884199722958</v>
      </c>
      <c r="N45" s="36" t="n">
        <v>1.05134356628362</v>
      </c>
      <c r="O45" s="36" t="n">
        <f aca="false">SQRT(M45^2+N45^2)</f>
        <v>1.67102179163927</v>
      </c>
      <c r="P45" s="40" t="n">
        <f aca="false">IF(J45="","",MAX(0,J45-1.96*O45/100))</f>
        <v>0.401147998258141</v>
      </c>
      <c r="Q45" s="40" t="n">
        <f aca="false">IF(J45="","",MIN(1,J45+1.96*O45/100))</f>
        <v>0.4666520524904</v>
      </c>
      <c r="R45" s="32" t="str">
        <f aca="false">IF(L45="","",IF(ABS(L45)&lt;=O45,"Yes","No"))</f>
        <v>No</v>
      </c>
      <c r="S45" s="32" t="str">
        <f aca="false">IF(L45="","",IF(ABS(L45)&lt;=1.96*O45,"Yes","No"))</f>
        <v>Yes</v>
      </c>
      <c r="T45" s="59" t="n">
        <f aca="false">IF(D45="","",ROUND(SQRT(((D45+G45)*O45/100)^2+(J45*(D45+G45)*0.04632)^2),0))</f>
        <v>103</v>
      </c>
      <c r="U45" s="32"/>
    </row>
    <row r="46" customFormat="false" ht="15" hidden="false" customHeight="false" outlineLevel="0" collapsed="false">
      <c r="A46" s="32" t="s">
        <v>189</v>
      </c>
      <c r="B46" s="32" t="s">
        <v>211</v>
      </c>
      <c r="C46" s="32" t="s">
        <v>161</v>
      </c>
      <c r="D46" s="59" t="n">
        <v>3691</v>
      </c>
      <c r="E46" s="59" t="n">
        <v>3652</v>
      </c>
      <c r="F46" s="68" t="n">
        <f aca="false">IF(E46="","",D46-E46)</f>
        <v>39</v>
      </c>
      <c r="G46" s="59" t="n">
        <v>4358</v>
      </c>
      <c r="H46" s="59" t="n">
        <v>3768</v>
      </c>
      <c r="I46" s="68" t="n">
        <f aca="false">IF(H46="","",G46-H46)</f>
        <v>590</v>
      </c>
      <c r="J46" s="40" t="n">
        <f aca="false">IF(OR(D46="",D46+G46=0),"",D46/(D46+G46))</f>
        <v>0.458566281525655</v>
      </c>
      <c r="K46" s="40" t="n">
        <f aca="false">IF(E46="","",E46/(E46+H46))</f>
        <v>0.492183288409704</v>
      </c>
      <c r="L46" s="69" t="n">
        <f aca="false">IF(OR(K46="",J46=""),"",(J46-K46)*100)</f>
        <v>-3.36170068840481</v>
      </c>
      <c r="M46" s="36" t="n">
        <v>1.29884199722958</v>
      </c>
      <c r="N46" s="36" t="n">
        <v>1.05134356628362</v>
      </c>
      <c r="O46" s="36" t="n">
        <f aca="false">SQRT(M46^2+N46^2)</f>
        <v>1.67102179163927</v>
      </c>
      <c r="P46" s="40" t="n">
        <f aca="false">IF(J46="","",MAX(0,J46-1.96*O46/100))</f>
        <v>0.425814254409526</v>
      </c>
      <c r="Q46" s="40" t="n">
        <f aca="false">IF(J46="","",MIN(1,J46+1.96*O46/100))</f>
        <v>0.491318308641785</v>
      </c>
      <c r="R46" s="32" t="str">
        <f aca="false">IF(L46="","",IF(ABS(L46)&lt;=O46,"Yes","No"))</f>
        <v>No</v>
      </c>
      <c r="S46" s="32" t="str">
        <f aca="false">IF(L46="","",IF(ABS(L46)&lt;=1.96*O46,"Yes","No"))</f>
        <v>No</v>
      </c>
      <c r="T46" s="59" t="n">
        <f aca="false">IF(D46="","",ROUND(SQRT(((D46+G46)*O46/100)^2+(J46*(D46+G46)*0.04632)^2),0))</f>
        <v>218</v>
      </c>
      <c r="U46" s="32"/>
    </row>
    <row r="47" customFormat="false" ht="15" hidden="false" customHeight="false" outlineLevel="0" collapsed="false">
      <c r="A47" s="32" t="s">
        <v>189</v>
      </c>
      <c r="B47" s="32" t="s">
        <v>212</v>
      </c>
      <c r="C47" s="32" t="s">
        <v>161</v>
      </c>
      <c r="D47" s="59" t="n">
        <v>985</v>
      </c>
      <c r="E47" s="59" t="n">
        <v>875</v>
      </c>
      <c r="F47" s="68" t="n">
        <f aca="false">IF(E47="","",D47-E47)</f>
        <v>110</v>
      </c>
      <c r="G47" s="59" t="n">
        <v>1810</v>
      </c>
      <c r="H47" s="59" t="n">
        <v>1592</v>
      </c>
      <c r="I47" s="68" t="n">
        <f aca="false">IF(H47="","",G47-H47)</f>
        <v>218</v>
      </c>
      <c r="J47" s="40" t="n">
        <f aca="false">IF(OR(D47="",D47+G47=0),"",D47/(D47+G47))</f>
        <v>0.352415026833631</v>
      </c>
      <c r="K47" s="40" t="n">
        <f aca="false">IF(E47="","",E47/(E47+H47))</f>
        <v>0.35468179975679</v>
      </c>
      <c r="L47" s="69" t="n">
        <f aca="false">IF(OR(K47="",J47=""),"",(J47-K47)*100)</f>
        <v>-0.226677292315819</v>
      </c>
      <c r="M47" s="36" t="n">
        <v>1.29884199722958</v>
      </c>
      <c r="N47" s="36" t="n">
        <v>1.05134356628362</v>
      </c>
      <c r="O47" s="36" t="n">
        <f aca="false">SQRT(M47^2+N47^2)</f>
        <v>1.67102179163927</v>
      </c>
      <c r="P47" s="40" t="n">
        <f aca="false">IF(J47="","",MAX(0,J47-1.96*O47/100))</f>
        <v>0.319662999717502</v>
      </c>
      <c r="Q47" s="40" t="n">
        <f aca="false">IF(J47="","",MIN(1,J47+1.96*O47/100))</f>
        <v>0.385167053949761</v>
      </c>
      <c r="R47" s="32" t="str">
        <f aca="false">IF(L47="","",IF(ABS(L47)&lt;=O47,"Yes","No"))</f>
        <v>Yes</v>
      </c>
      <c r="S47" s="32" t="str">
        <f aca="false">IF(L47="","",IF(ABS(L47)&lt;=1.96*O47,"Yes","No"))</f>
        <v>Yes</v>
      </c>
      <c r="T47" s="59" t="n">
        <f aca="false">IF(D47="","",ROUND(SQRT(((D47+G47)*O47/100)^2+(J47*(D47+G47)*0.04632)^2),0))</f>
        <v>65</v>
      </c>
      <c r="U47" s="32"/>
    </row>
    <row r="48" customFormat="false" ht="15" hidden="false" customHeight="false" outlineLevel="0" collapsed="false">
      <c r="A48" s="32" t="s">
        <v>189</v>
      </c>
      <c r="B48" s="32" t="s">
        <v>213</v>
      </c>
      <c r="C48" s="32" t="s">
        <v>161</v>
      </c>
      <c r="D48" s="59" t="n">
        <v>838</v>
      </c>
      <c r="E48" s="59" t="n">
        <v>822</v>
      </c>
      <c r="F48" s="68" t="n">
        <f aca="false">IF(E48="","",D48-E48)</f>
        <v>16</v>
      </c>
      <c r="G48" s="59" t="n">
        <v>1654</v>
      </c>
      <c r="H48" s="59" t="n">
        <v>1519</v>
      </c>
      <c r="I48" s="68" t="n">
        <f aca="false">IF(H48="","",G48-H48)</f>
        <v>135</v>
      </c>
      <c r="J48" s="40" t="n">
        <f aca="false">IF(OR(D48="",D48+G48=0),"",D48/(D48+G48))</f>
        <v>0.336276083467095</v>
      </c>
      <c r="K48" s="40" t="n">
        <f aca="false">IF(E48="","",E48/(E48+H48))</f>
        <v>0.351131994873986</v>
      </c>
      <c r="L48" s="69" t="n">
        <f aca="false">IF(OR(K48="",J48=""),"",(J48-K48)*100)</f>
        <v>-1.48559114068908</v>
      </c>
      <c r="M48" s="36" t="n">
        <v>2.06682372168594</v>
      </c>
      <c r="N48" s="36" t="n">
        <v>1.05134356628362</v>
      </c>
      <c r="O48" s="36" t="n">
        <f aca="false">SQRT(M48^2+N48^2)</f>
        <v>2.31885393910218</v>
      </c>
      <c r="P48" s="40" t="n">
        <f aca="false">IF(J48="","",MAX(0,J48-1.96*O48/100))</f>
        <v>0.290826546260692</v>
      </c>
      <c r="Q48" s="40" t="n">
        <f aca="false">IF(J48="","",MIN(1,J48+1.96*O48/100))</f>
        <v>0.381725620673497</v>
      </c>
      <c r="R48" s="32" t="str">
        <f aca="false">IF(L48="","",IF(ABS(L48)&lt;=O48,"Yes","No"))</f>
        <v>Yes</v>
      </c>
      <c r="S48" s="32" t="str">
        <f aca="false">IF(L48="","",IF(ABS(L48)&lt;=1.96*O48,"Yes","No"))</f>
        <v>Yes</v>
      </c>
      <c r="T48" s="59" t="n">
        <f aca="false">IF(D48="","",ROUND(SQRT(((D48+G48)*O48/100)^2+(J48*(D48+G48)*0.05402)^2),0))</f>
        <v>73</v>
      </c>
      <c r="U48" s="32"/>
    </row>
    <row r="49" customFormat="false" ht="15" hidden="false" customHeight="false" outlineLevel="0" collapsed="false">
      <c r="A49" s="32" t="s">
        <v>189</v>
      </c>
      <c r="B49" s="32" t="s">
        <v>214</v>
      </c>
      <c r="C49" s="32" t="s">
        <v>161</v>
      </c>
      <c r="D49" s="59" t="n">
        <v>5519</v>
      </c>
      <c r="E49" s="59" t="n">
        <v>5195</v>
      </c>
      <c r="F49" s="68" t="n">
        <f aca="false">IF(E49="","",D49-E49)</f>
        <v>324</v>
      </c>
      <c r="G49" s="59" t="n">
        <v>4152</v>
      </c>
      <c r="H49" s="59" t="n">
        <v>4070</v>
      </c>
      <c r="I49" s="68" t="n">
        <f aca="false">IF(H49="","",G49-H49)</f>
        <v>82</v>
      </c>
      <c r="J49" s="40" t="n">
        <f aca="false">IF(OR(D49="",D49+G49=0),"",D49/(D49+G49))</f>
        <v>0.570675214558991</v>
      </c>
      <c r="K49" s="40" t="n">
        <f aca="false">IF(E49="","",E49/(E49+H49))</f>
        <v>0.560712358337831</v>
      </c>
      <c r="L49" s="69" t="n">
        <f aca="false">IF(OR(K49="",J49=""),"",(J49-K49)*100)</f>
        <v>0.996285622116033</v>
      </c>
      <c r="M49" s="36" t="n">
        <v>1.29884199722958</v>
      </c>
      <c r="N49" s="36" t="n">
        <v>1.05134356628362</v>
      </c>
      <c r="O49" s="36" t="n">
        <f aca="false">SQRT(M49^2+N49^2)</f>
        <v>1.67102179163927</v>
      </c>
      <c r="P49" s="40" t="n">
        <f aca="false">IF(J49="","",MAX(0,J49-1.96*O49/100))</f>
        <v>0.537923187442861</v>
      </c>
      <c r="Q49" s="40" t="n">
        <f aca="false">IF(J49="","",MIN(1,J49+1.96*O49/100))</f>
        <v>0.60342724167512</v>
      </c>
      <c r="R49" s="32" t="str">
        <f aca="false">IF(L49="","",IF(ABS(L49)&lt;=O49,"Yes","No"))</f>
        <v>Yes</v>
      </c>
      <c r="S49" s="32" t="str">
        <f aca="false">IF(L49="","",IF(ABS(L49)&lt;=1.96*O49,"Yes","No"))</f>
        <v>Yes</v>
      </c>
      <c r="T49" s="59" t="n">
        <f aca="false">IF(D49="","",ROUND(SQRT(((D49+G49)*O49/100)^2+(J49*(D49+G49)*0.04632)^2),0))</f>
        <v>302</v>
      </c>
      <c r="U49" s="32"/>
    </row>
    <row r="50" customFormat="false" ht="15" hidden="false" customHeight="false" outlineLevel="0" collapsed="false">
      <c r="A50" s="32" t="s">
        <v>215</v>
      </c>
      <c r="B50" s="32" t="s">
        <v>216</v>
      </c>
      <c r="C50" s="32" t="s">
        <v>161</v>
      </c>
      <c r="D50" s="59" t="n">
        <v>387</v>
      </c>
      <c r="E50" s="59" t="n">
        <v>330</v>
      </c>
      <c r="F50" s="68" t="n">
        <f aca="false">IF(E50="","",D50-E50)</f>
        <v>57</v>
      </c>
      <c r="G50" s="59" t="n">
        <v>701</v>
      </c>
      <c r="H50" s="59" t="n">
        <v>632</v>
      </c>
      <c r="I50" s="68" t="n">
        <f aca="false">IF(H50="","",G50-H50)</f>
        <v>69</v>
      </c>
      <c r="J50" s="40" t="n">
        <f aca="false">IF(OR(D50="",D50+G50=0),"",D50/(D50+G50))</f>
        <v>0.355698529411765</v>
      </c>
      <c r="K50" s="40" t="n">
        <f aca="false">IF(E50="","",E50/(E50+H50))</f>
        <v>0.343035343035343</v>
      </c>
      <c r="L50" s="69" t="n">
        <f aca="false">IF(OR(K50="",J50=""),"",(J50-K50)*100)</f>
        <v>1.26631863764217</v>
      </c>
      <c r="M50" s="36" t="n">
        <v>3.1080248214224</v>
      </c>
      <c r="N50" s="36" t="n">
        <v>1.05134356628362</v>
      </c>
      <c r="O50" s="36" t="n">
        <f aca="false">SQRT(M50^2+N50^2)</f>
        <v>3.28102751968704</v>
      </c>
      <c r="P50" s="40" t="n">
        <f aca="false">IF(J50="","",MAX(0,J50-1.96*O50/100))</f>
        <v>0.291390390025899</v>
      </c>
      <c r="Q50" s="40" t="n">
        <f aca="false">IF(J50="","",MIN(1,J50+1.96*O50/100))</f>
        <v>0.420006668797631</v>
      </c>
      <c r="R50" s="32" t="str">
        <f aca="false">IF(L50="","",IF(ABS(L50)&lt;=O50,"Yes","No"))</f>
        <v>Yes</v>
      </c>
      <c r="S50" s="32" t="str">
        <f aca="false">IF(L50="","",IF(ABS(L50)&lt;=1.96*O50,"Yes","No"))</f>
        <v>Yes</v>
      </c>
      <c r="T50" s="59" t="n">
        <f aca="false">IF(D50="","",ROUND(SQRT(((D50+G50)*O50/100)^2+(J50*(D50+G50)*0.07067)^2),0))</f>
        <v>45</v>
      </c>
      <c r="U50" s="32"/>
    </row>
    <row r="51" customFormat="false" ht="15" hidden="false" customHeight="false" outlineLevel="0" collapsed="false">
      <c r="A51" s="32" t="s">
        <v>215</v>
      </c>
      <c r="B51" s="32" t="s">
        <v>218</v>
      </c>
      <c r="C51" s="32" t="s">
        <v>161</v>
      </c>
      <c r="D51" s="59" t="n">
        <v>967</v>
      </c>
      <c r="E51" s="59" t="n">
        <v>1009</v>
      </c>
      <c r="F51" s="68" t="n">
        <f aca="false">IF(E51="","",D51-E51)</f>
        <v>-42</v>
      </c>
      <c r="G51" s="59" t="n">
        <v>1706</v>
      </c>
      <c r="H51" s="59" t="n">
        <v>1471</v>
      </c>
      <c r="I51" s="68" t="n">
        <f aca="false">IF(H51="","",G51-H51)</f>
        <v>235</v>
      </c>
      <c r="J51" s="40" t="n">
        <f aca="false">IF(OR(D51="",D51+G51=0),"",D51/(D51+G51))</f>
        <v>0.361765806210251</v>
      </c>
      <c r="K51" s="40" t="n">
        <f aca="false">IF(E51="","",E51/(E51+H51))</f>
        <v>0.406854838709677</v>
      </c>
      <c r="L51" s="69" t="n">
        <f aca="false">IF(OR(K51="",J51=""),"",(J51-K51)*100)</f>
        <v>-4.50890324994268</v>
      </c>
      <c r="M51" s="36" t="n">
        <v>1.29884199722958</v>
      </c>
      <c r="N51" s="36" t="n">
        <v>1.05134356628362</v>
      </c>
      <c r="O51" s="36" t="n">
        <f aca="false">SQRT(M51^2+N51^2)</f>
        <v>1.67102179163927</v>
      </c>
      <c r="P51" s="40" t="n">
        <f aca="false">IF(J51="","",MAX(0,J51-1.96*O51/100))</f>
        <v>0.329013779094121</v>
      </c>
      <c r="Q51" s="40" t="n">
        <f aca="false">IF(J51="","",MIN(1,J51+1.96*O51/100))</f>
        <v>0.39451783332638</v>
      </c>
      <c r="R51" s="32" t="str">
        <f aca="false">IF(L51="","",IF(ABS(L51)&lt;=O51,"Yes","No"))</f>
        <v>No</v>
      </c>
      <c r="S51" s="32" t="str">
        <f aca="false">IF(L51="","",IF(ABS(L51)&lt;=1.96*O51,"Yes","No"))</f>
        <v>No</v>
      </c>
      <c r="T51" s="59" t="n">
        <f aca="false">IF(D51="","",ROUND(SQRT(((D51+G51)*O51/100)^2+(J51*(D51+G51)*0.04632)^2),0))</f>
        <v>63</v>
      </c>
      <c r="U51" s="32" t="s">
        <v>433</v>
      </c>
    </row>
    <row r="52" customFormat="false" ht="15" hidden="false" customHeight="false" outlineLevel="0" collapsed="false">
      <c r="A52" s="32" t="s">
        <v>215</v>
      </c>
      <c r="B52" s="32" t="s">
        <v>219</v>
      </c>
      <c r="C52" s="32" t="s">
        <v>161</v>
      </c>
      <c r="D52" s="59" t="n">
        <v>424</v>
      </c>
      <c r="E52" s="59" t="n">
        <v>358</v>
      </c>
      <c r="F52" s="68" t="n">
        <f aca="false">IF(E52="","",D52-E52)</f>
        <v>66</v>
      </c>
      <c r="G52" s="59" t="n">
        <v>685</v>
      </c>
      <c r="H52" s="59" t="n">
        <v>503</v>
      </c>
      <c r="I52" s="68" t="n">
        <f aca="false">IF(H52="","",G52-H52)</f>
        <v>182</v>
      </c>
      <c r="J52" s="40" t="n">
        <f aca="false">IF(OR(D52="",D52+G52=0),"",D52/(D52+G52))</f>
        <v>0.382326420198377</v>
      </c>
      <c r="K52" s="40" t="n">
        <f aca="false">IF(E52="","",E52/(E52+H52))</f>
        <v>0.415795586527294</v>
      </c>
      <c r="L52" s="69" t="n">
        <f aca="false">IF(OR(K52="",J52=""),"",(J52-K52)*100)</f>
        <v>-3.34691663289169</v>
      </c>
      <c r="M52" s="36" t="n">
        <v>3.1080248214224</v>
      </c>
      <c r="N52" s="36" t="n">
        <v>1.05134356628362</v>
      </c>
      <c r="O52" s="36" t="n">
        <f aca="false">SQRT(M52^2+N52^2)</f>
        <v>3.28102751968704</v>
      </c>
      <c r="P52" s="40" t="n">
        <f aca="false">IF(J52="","",MAX(0,J52-1.96*O52/100))</f>
        <v>0.318018280812511</v>
      </c>
      <c r="Q52" s="40" t="n">
        <f aca="false">IF(J52="","",MIN(1,J52+1.96*O52/100))</f>
        <v>0.446634559584243</v>
      </c>
      <c r="R52" s="32" t="str">
        <f aca="false">IF(L52="","",IF(ABS(L52)&lt;=O52,"Yes","No"))</f>
        <v>No</v>
      </c>
      <c r="S52" s="32" t="str">
        <f aca="false">IF(L52="","",IF(ABS(L52)&lt;=1.96*O52,"Yes","No"))</f>
        <v>Yes</v>
      </c>
      <c r="T52" s="59" t="n">
        <f aca="false">IF(D52="","",ROUND(SQRT(((D52+G52)*O52/100)^2+(J52*(D52+G52)*0.07067)^2),0))</f>
        <v>47</v>
      </c>
      <c r="U52" s="32" t="s">
        <v>434</v>
      </c>
    </row>
    <row r="53" customFormat="false" ht="15" hidden="false" customHeight="false" outlineLevel="0" collapsed="false">
      <c r="A53" s="32" t="s">
        <v>220</v>
      </c>
      <c r="B53" s="32" t="s">
        <v>221</v>
      </c>
      <c r="C53" s="32" t="s">
        <v>161</v>
      </c>
      <c r="D53" s="59" t="n">
        <v>996</v>
      </c>
      <c r="E53" s="59" t="n">
        <v>908</v>
      </c>
      <c r="F53" s="68" t="n">
        <f aca="false">IF(E53="","",D53-E53)</f>
        <v>88</v>
      </c>
      <c r="G53" s="59" t="n">
        <v>1335</v>
      </c>
      <c r="H53" s="59" t="n">
        <v>1196</v>
      </c>
      <c r="I53" s="68" t="n">
        <f aca="false">IF(H53="","",G53-H53)</f>
        <v>139</v>
      </c>
      <c r="J53" s="40" t="n">
        <f aca="false">IF(OR(D53="",D53+G53=0),"",D53/(D53+G53))</f>
        <v>0.427284427284427</v>
      </c>
      <c r="K53" s="40" t="n">
        <f aca="false">IF(E53="","",E53/(E53+H53))</f>
        <v>0.431558935361217</v>
      </c>
      <c r="L53" s="69" t="n">
        <f aca="false">IF(OR(K53="",J53=""),"",(J53-K53)*100)</f>
        <v>-0.427450807678947</v>
      </c>
      <c r="M53" s="36" t="n">
        <v>2.06682372168594</v>
      </c>
      <c r="N53" s="36" t="n">
        <v>1.05134356628362</v>
      </c>
      <c r="O53" s="36" t="n">
        <f aca="false">SQRT(M53^2+N53^2)</f>
        <v>2.31885393910218</v>
      </c>
      <c r="P53" s="40" t="n">
        <f aca="false">IF(J53="","",MAX(0,J53-1.96*O53/100))</f>
        <v>0.381834890078025</v>
      </c>
      <c r="Q53" s="40" t="n">
        <f aca="false">IF(J53="","",MIN(1,J53+1.96*O53/100))</f>
        <v>0.47273396449083</v>
      </c>
      <c r="R53" s="32" t="str">
        <f aca="false">IF(L53="","",IF(ABS(L53)&lt;=O53,"Yes","No"))</f>
        <v>Yes</v>
      </c>
      <c r="S53" s="32" t="str">
        <f aca="false">IF(L53="","",IF(ABS(L53)&lt;=1.96*O53,"Yes","No"))</f>
        <v>Yes</v>
      </c>
      <c r="T53" s="59" t="n">
        <f aca="false">IF(D53="","",ROUND(SQRT(((D53+G53)*O53/100)^2+(J53*(D53+G53)*0.05402)^2),0))</f>
        <v>76</v>
      </c>
      <c r="U53" s="32"/>
    </row>
    <row r="54" customFormat="false" ht="15" hidden="false" customHeight="false" outlineLevel="0" collapsed="false">
      <c r="A54" s="32" t="s">
        <v>220</v>
      </c>
      <c r="B54" s="32" t="s">
        <v>222</v>
      </c>
      <c r="C54" s="32" t="s">
        <v>161</v>
      </c>
      <c r="D54" s="59" t="n">
        <v>698</v>
      </c>
      <c r="E54" s="59" t="n">
        <v>701</v>
      </c>
      <c r="F54" s="68" t="n">
        <f aca="false">IF(E54="","",D54-E54)</f>
        <v>-3</v>
      </c>
      <c r="G54" s="59" t="n">
        <v>861</v>
      </c>
      <c r="H54" s="59" t="n">
        <v>780</v>
      </c>
      <c r="I54" s="68" t="n">
        <f aca="false">IF(H54="","",G54-H54)</f>
        <v>81</v>
      </c>
      <c r="J54" s="40" t="n">
        <f aca="false">IF(OR(D54="",D54+G54=0),"",D54/(D54+G54))</f>
        <v>0.44772289929442</v>
      </c>
      <c r="K54" s="40" t="n">
        <f aca="false">IF(E54="","",E54/(E54+H54))</f>
        <v>0.473328831870358</v>
      </c>
      <c r="L54" s="69" t="n">
        <f aca="false">IF(OR(K54="",J54=""),"",(J54-K54)*100)</f>
        <v>-2.56059325759384</v>
      </c>
      <c r="M54" s="36" t="n">
        <v>2.06682372168594</v>
      </c>
      <c r="N54" s="36" t="n">
        <v>1.05134356628362</v>
      </c>
      <c r="O54" s="36" t="n">
        <f aca="false">SQRT(M54^2+N54^2)</f>
        <v>2.31885393910218</v>
      </c>
      <c r="P54" s="40" t="n">
        <f aca="false">IF(J54="","",MAX(0,J54-1.96*O54/100))</f>
        <v>0.402273362088017</v>
      </c>
      <c r="Q54" s="40" t="n">
        <f aca="false">IF(J54="","",MIN(1,J54+1.96*O54/100))</f>
        <v>0.493172436500822</v>
      </c>
      <c r="R54" s="32" t="str">
        <f aca="false">IF(L54="","",IF(ABS(L54)&lt;=O54,"Yes","No"))</f>
        <v>No</v>
      </c>
      <c r="S54" s="32" t="str">
        <f aca="false">IF(L54="","",IF(ABS(L54)&lt;=1.96*O54,"Yes","No"))</f>
        <v>Yes</v>
      </c>
      <c r="T54" s="59" t="n">
        <f aca="false">IF(D54="","",ROUND(SQRT(((D54+G54)*O54/100)^2+(J54*(D54+G54)*0.05402)^2),0))</f>
        <v>52</v>
      </c>
      <c r="U54" s="32"/>
    </row>
    <row r="55" customFormat="false" ht="15" hidden="false" customHeight="false" outlineLevel="0" collapsed="false">
      <c r="A55" s="32" t="s">
        <v>220</v>
      </c>
      <c r="B55" s="32" t="s">
        <v>223</v>
      </c>
      <c r="C55" s="32" t="s">
        <v>161</v>
      </c>
      <c r="D55" s="59" t="n">
        <v>422</v>
      </c>
      <c r="E55" s="59" t="n">
        <v>368</v>
      </c>
      <c r="F55" s="68" t="n">
        <f aca="false">IF(E55="","",D55-E55)</f>
        <v>54</v>
      </c>
      <c r="G55" s="59" t="n">
        <v>425</v>
      </c>
      <c r="H55" s="59" t="n">
        <v>408</v>
      </c>
      <c r="I55" s="68" t="n">
        <f aca="false">IF(H55="","",G55-H55)</f>
        <v>17</v>
      </c>
      <c r="J55" s="40" t="n">
        <f aca="false">IF(OR(D55="",D55+G55=0),"",D55/(D55+G55))</f>
        <v>0.498229043683589</v>
      </c>
      <c r="K55" s="40" t="n">
        <f aca="false">IF(E55="","",E55/(E55+H55))</f>
        <v>0.474226804123711</v>
      </c>
      <c r="L55" s="69" t="n">
        <f aca="false">IF(OR(K55="",J55=""),"",(J55-K55)*100)</f>
        <v>2.40022395598778</v>
      </c>
      <c r="M55" s="36" t="n">
        <v>3.1080248214224</v>
      </c>
      <c r="N55" s="36" t="n">
        <v>1.05134356628362</v>
      </c>
      <c r="O55" s="36" t="n">
        <f aca="false">SQRT(M55^2+N55^2)</f>
        <v>3.28102751968704</v>
      </c>
      <c r="P55" s="40" t="n">
        <f aca="false">IF(J55="","",MAX(0,J55-1.96*O55/100))</f>
        <v>0.433920904297723</v>
      </c>
      <c r="Q55" s="40" t="n">
        <f aca="false">IF(J55="","",MIN(1,J55+1.96*O55/100))</f>
        <v>0.562537183069455</v>
      </c>
      <c r="R55" s="32" t="str">
        <f aca="false">IF(L55="","",IF(ABS(L55)&lt;=O55,"Yes","No"))</f>
        <v>Yes</v>
      </c>
      <c r="S55" s="32" t="str">
        <f aca="false">IF(L55="","",IF(ABS(L55)&lt;=1.96*O55,"Yes","No"))</f>
        <v>Yes</v>
      </c>
      <c r="T55" s="59" t="n">
        <f aca="false">IF(D55="","",ROUND(SQRT(((D55+G55)*O55/100)^2+(J55*(D55+G55)*0.07067)^2),0))</f>
        <v>41</v>
      </c>
      <c r="U55" s="32"/>
    </row>
    <row r="56" customFormat="false" ht="15" hidden="false" customHeight="false" outlineLevel="0" collapsed="false">
      <c r="A56" s="32" t="s">
        <v>220</v>
      </c>
      <c r="B56" s="32" t="s">
        <v>192</v>
      </c>
      <c r="C56" s="32" t="s">
        <v>161</v>
      </c>
      <c r="D56" s="59" t="n">
        <v>12037</v>
      </c>
      <c r="E56" s="59" t="n">
        <v>12121</v>
      </c>
      <c r="F56" s="68" t="n">
        <f aca="false">IF(E56="","",D56-E56)</f>
        <v>-84</v>
      </c>
      <c r="G56" s="59" t="n">
        <v>5426</v>
      </c>
      <c r="H56" s="59" t="n">
        <v>4931</v>
      </c>
      <c r="I56" s="68" t="n">
        <f aca="false">IF(H56="","",G56-H56)</f>
        <v>495</v>
      </c>
      <c r="J56" s="40" t="n">
        <f aca="false">IF(OR(D56="",D56+G56=0),"",D56/(D56+G56))</f>
        <v>0.689285918799748</v>
      </c>
      <c r="K56" s="40" t="n">
        <f aca="false">IF(E56="","",E56/(E56+H56))</f>
        <v>0.710825709594183</v>
      </c>
      <c r="L56" s="69" t="n">
        <f aca="false">IF(OR(K56="",J56=""),"",(J56-K56)*100)</f>
        <v>-2.15397907944345</v>
      </c>
      <c r="M56" s="36" t="n">
        <v>1.29884199722958</v>
      </c>
      <c r="N56" s="36" t="n">
        <v>1.05134356628362</v>
      </c>
      <c r="O56" s="36" t="n">
        <f aca="false">SQRT(M56^2+N56^2)</f>
        <v>1.67102179163927</v>
      </c>
      <c r="P56" s="40" t="n">
        <f aca="false">IF(J56="","",MAX(0,J56-1.96*O56/100))</f>
        <v>0.656533891683618</v>
      </c>
      <c r="Q56" s="40" t="n">
        <f aca="false">IF(J56="","",MIN(1,J56+1.96*O56/100))</f>
        <v>0.722037945915878</v>
      </c>
      <c r="R56" s="32" t="str">
        <f aca="false">IF(L56="","",IF(ABS(L56)&lt;=O56,"Yes","No"))</f>
        <v>No</v>
      </c>
      <c r="S56" s="32" t="str">
        <f aca="false">IF(L56="","",IF(ABS(L56)&lt;=1.96*O56,"Yes","No"))</f>
        <v>Yes</v>
      </c>
      <c r="T56" s="59" t="n">
        <f aca="false">IF(D56="","",ROUND(SQRT(((D56+G56)*O56/100)^2+(J56*(D56+G56)*0.04632)^2),0))</f>
        <v>629</v>
      </c>
      <c r="U56" s="32"/>
    </row>
    <row r="57" customFormat="false" ht="15" hidden="false" customHeight="false" outlineLevel="0" collapsed="false">
      <c r="A57" s="32" t="s">
        <v>220</v>
      </c>
      <c r="B57" s="32" t="s">
        <v>224</v>
      </c>
      <c r="C57" s="32" t="s">
        <v>161</v>
      </c>
      <c r="D57" s="59" t="n">
        <v>6291</v>
      </c>
      <c r="E57" s="59" t="n">
        <v>5576</v>
      </c>
      <c r="F57" s="68" t="n">
        <f aca="false">IF(E57="","",D57-E57)</f>
        <v>715</v>
      </c>
      <c r="G57" s="59" t="n">
        <v>4911</v>
      </c>
      <c r="H57" s="59" t="n">
        <v>4673</v>
      </c>
      <c r="I57" s="68" t="n">
        <f aca="false">IF(H57="","",G57-H57)</f>
        <v>238</v>
      </c>
      <c r="J57" s="40" t="n">
        <f aca="false">IF(OR(D57="",D57+G57=0),"",D57/(D57+G57))</f>
        <v>0.561596143545795</v>
      </c>
      <c r="K57" s="40" t="n">
        <f aca="false">IF(E57="","",E57/(E57+H57))</f>
        <v>0.544053078349107</v>
      </c>
      <c r="L57" s="69" t="n">
        <f aca="false">IF(OR(K57="",J57=""),"",(J57-K57)*100)</f>
        <v>1.75430651966881</v>
      </c>
      <c r="M57" s="36" t="n">
        <v>1.29884199722958</v>
      </c>
      <c r="N57" s="36" t="n">
        <v>1.05134356628362</v>
      </c>
      <c r="O57" s="36" t="n">
        <f aca="false">SQRT(M57^2+N57^2)</f>
        <v>1.67102179163927</v>
      </c>
      <c r="P57" s="40" t="n">
        <f aca="false">IF(J57="","",MAX(0,J57-1.96*O57/100))</f>
        <v>0.528844116429666</v>
      </c>
      <c r="Q57" s="40" t="n">
        <f aca="false">IF(J57="","",MIN(1,J57+1.96*O57/100))</f>
        <v>0.594348170661925</v>
      </c>
      <c r="R57" s="32" t="str">
        <f aca="false">IF(L57="","",IF(ABS(L57)&lt;=O57,"Yes","No"))</f>
        <v>No</v>
      </c>
      <c r="S57" s="32" t="str">
        <f aca="false">IF(L57="","",IF(ABS(L57)&lt;=1.96*O57,"Yes","No"))</f>
        <v>Yes</v>
      </c>
      <c r="T57" s="59" t="n">
        <f aca="false">IF(D57="","",ROUND(SQRT(((D57+G57)*O57/100)^2+(J57*(D57+G57)*0.04632)^2),0))</f>
        <v>346</v>
      </c>
      <c r="U57" s="32"/>
    </row>
    <row r="58" customFormat="false" ht="15" hidden="false" customHeight="false" outlineLevel="0" collapsed="false">
      <c r="A58" s="32" t="s">
        <v>220</v>
      </c>
      <c r="B58" s="32" t="s">
        <v>225</v>
      </c>
      <c r="C58" s="32" t="s">
        <v>161</v>
      </c>
      <c r="D58" s="59" t="n">
        <v>1259</v>
      </c>
      <c r="E58" s="59" t="n">
        <v>1370</v>
      </c>
      <c r="F58" s="68" t="n">
        <f aca="false">IF(E58="","",D58-E58)</f>
        <v>-111</v>
      </c>
      <c r="G58" s="59" t="n">
        <v>2764</v>
      </c>
      <c r="H58" s="59" t="n">
        <v>2143</v>
      </c>
      <c r="I58" s="68" t="n">
        <f aca="false">IF(H58="","",G58-H58)</f>
        <v>621</v>
      </c>
      <c r="J58" s="40" t="n">
        <f aca="false">IF(OR(D58="",D58+G58=0),"",D58/(D58+G58))</f>
        <v>0.312950534427045</v>
      </c>
      <c r="K58" s="40" t="n">
        <f aca="false">IF(E58="","",E58/(E58+H58))</f>
        <v>0.389980074010817</v>
      </c>
      <c r="L58" s="69" t="n">
        <f aca="false">IF(OR(K58="",J58=""),"",(J58-K58)*100)</f>
        <v>-7.70295395837725</v>
      </c>
      <c r="M58" s="36" t="n">
        <v>1.29884199722958</v>
      </c>
      <c r="N58" s="36" t="n">
        <v>1.05134356628362</v>
      </c>
      <c r="O58" s="36" t="n">
        <f aca="false">SQRT(M58^2+N58^2)</f>
        <v>1.67102179163927</v>
      </c>
      <c r="P58" s="40" t="n">
        <f aca="false">IF(J58="","",MAX(0,J58-1.96*O58/100))</f>
        <v>0.280198507310915</v>
      </c>
      <c r="Q58" s="40" t="n">
        <f aca="false">IF(J58="","",MIN(1,J58+1.96*O58/100))</f>
        <v>0.345702561543174</v>
      </c>
      <c r="R58" s="32" t="str">
        <f aca="false">IF(L58="","",IF(ABS(L58)&lt;=O58,"Yes","No"))</f>
        <v>No</v>
      </c>
      <c r="S58" s="32" t="str">
        <f aca="false">IF(L58="","",IF(ABS(L58)&lt;=1.96*O58,"Yes","No"))</f>
        <v>No</v>
      </c>
      <c r="T58" s="59" t="n">
        <f aca="false">IF(D58="","",ROUND(SQRT(((D58+G58)*O58/100)^2+(J58*(D58+G58)*0.04632)^2),0))</f>
        <v>89</v>
      </c>
      <c r="U58" s="32"/>
    </row>
    <row r="59" customFormat="false" ht="15" hidden="false" customHeight="false" outlineLevel="0" collapsed="false">
      <c r="A59" s="32" t="s">
        <v>220</v>
      </c>
      <c r="B59" s="32" t="s">
        <v>226</v>
      </c>
      <c r="C59" s="32" t="s">
        <v>161</v>
      </c>
      <c r="D59" s="59" t="n">
        <v>30</v>
      </c>
      <c r="E59" s="59" t="n">
        <v>30</v>
      </c>
      <c r="F59" s="68" t="n">
        <f aca="false">IF(E59="","",D59-E59)</f>
        <v>0</v>
      </c>
      <c r="G59" s="59" t="n">
        <v>53</v>
      </c>
      <c r="H59" s="59" t="n">
        <v>36</v>
      </c>
      <c r="I59" s="68" t="n">
        <f aca="false">IF(H59="","",G59-H59)</f>
        <v>17</v>
      </c>
      <c r="J59" s="40" t="n">
        <f aca="false">IF(OR(D59="",D59+G59=0),"",D59/(D59+G59))</f>
        <v>0.36144578313253</v>
      </c>
      <c r="K59" s="40" t="n">
        <f aca="false">IF(E59="","",E59/(E59+H59))</f>
        <v>0.454545454545455</v>
      </c>
      <c r="L59" s="69" t="n">
        <f aca="false">IF(OR(K59="",J59=""),"",(J59-K59)*100)</f>
        <v>-9.30996714129244</v>
      </c>
      <c r="M59" s="36" t="n">
        <v>3.1080248214224</v>
      </c>
      <c r="N59" s="36" t="n">
        <v>1.05134356628362</v>
      </c>
      <c r="O59" s="36" t="n">
        <f aca="false">SQRT(M59^2+N59^2)</f>
        <v>3.28102751968704</v>
      </c>
      <c r="P59" s="40" t="n">
        <f aca="false">IF(J59="","",MAX(0,J59-1.96*O59/100))</f>
        <v>0.297137643746664</v>
      </c>
      <c r="Q59" s="40" t="n">
        <f aca="false">IF(J59="","",MIN(1,J59+1.96*O59/100))</f>
        <v>0.425753922518396</v>
      </c>
      <c r="R59" s="32" t="str">
        <f aca="false">IF(L59="","",IF(ABS(L59)&lt;=O59,"Yes","No"))</f>
        <v>No</v>
      </c>
      <c r="S59" s="32" t="str">
        <f aca="false">IF(L59="","",IF(ABS(L59)&lt;=1.96*O59,"Yes","No"))</f>
        <v>No</v>
      </c>
      <c r="T59" s="59" t="n">
        <f aca="false">IF(D59="","",ROUND(SQRT(((D59+G59)*O59/100)^2+(J59*(D59+G59)*0.07067)^2),0))</f>
        <v>3</v>
      </c>
      <c r="U59" s="32"/>
    </row>
    <row r="60" customFormat="false" ht="15" hidden="false" customHeight="false" outlineLevel="0" collapsed="false">
      <c r="A60" s="32" t="s">
        <v>220</v>
      </c>
      <c r="B60" s="32" t="s">
        <v>227</v>
      </c>
      <c r="C60" s="32" t="s">
        <v>161</v>
      </c>
      <c r="D60" s="59" t="n">
        <v>968</v>
      </c>
      <c r="E60" s="59" t="n">
        <v>840</v>
      </c>
      <c r="F60" s="68" t="n">
        <f aca="false">IF(E60="","",D60-E60)</f>
        <v>128</v>
      </c>
      <c r="G60" s="59" t="n">
        <v>1247</v>
      </c>
      <c r="H60" s="59" t="n">
        <v>1151</v>
      </c>
      <c r="I60" s="68" t="n">
        <f aca="false">IF(H60="","",G60-H60)</f>
        <v>96</v>
      </c>
      <c r="J60" s="40" t="n">
        <f aca="false">IF(OR(D60="",D60+G60=0),"",D60/(D60+G60))</f>
        <v>0.437020316027088</v>
      </c>
      <c r="K60" s="40" t="n">
        <f aca="false">IF(E60="","",E60/(E60+H60))</f>
        <v>0.421898543445505</v>
      </c>
      <c r="L60" s="69" t="n">
        <f aca="false">IF(OR(K60="",J60=""),"",(J60-K60)*100)</f>
        <v>1.51217725815833</v>
      </c>
      <c r="M60" s="36" t="n">
        <v>2.06682372168594</v>
      </c>
      <c r="N60" s="36" t="n">
        <v>1.05134356628362</v>
      </c>
      <c r="O60" s="36" t="n">
        <f aca="false">SQRT(M60^2+N60^2)</f>
        <v>2.31885393910218</v>
      </c>
      <c r="P60" s="40" t="n">
        <f aca="false">IF(J60="","",MAX(0,J60-1.96*O60/100))</f>
        <v>0.391570778820685</v>
      </c>
      <c r="Q60" s="40" t="n">
        <f aca="false">IF(J60="","",MIN(1,J60+1.96*O60/100))</f>
        <v>0.482469853233491</v>
      </c>
      <c r="R60" s="32" t="str">
        <f aca="false">IF(L60="","",IF(ABS(L60)&lt;=O60,"Yes","No"))</f>
        <v>Yes</v>
      </c>
      <c r="S60" s="32" t="str">
        <f aca="false">IF(L60="","",IF(ABS(L60)&lt;=1.96*O60,"Yes","No"))</f>
        <v>Yes</v>
      </c>
      <c r="T60" s="59" t="n">
        <f aca="false">IF(D60="","",ROUND(SQRT(((D60+G60)*O60/100)^2+(J60*(D60+G60)*0.05402)^2),0))</f>
        <v>73</v>
      </c>
      <c r="U60" s="32"/>
    </row>
    <row r="61" customFormat="false" ht="15" hidden="false" customHeight="false" outlineLevel="0" collapsed="false">
      <c r="A61" s="32" t="s">
        <v>220</v>
      </c>
      <c r="B61" s="32" t="s">
        <v>228</v>
      </c>
      <c r="C61" s="32" t="s">
        <v>161</v>
      </c>
      <c r="D61" s="59" t="n">
        <v>141</v>
      </c>
      <c r="E61" s="59" t="n">
        <v>130</v>
      </c>
      <c r="F61" s="68" t="n">
        <f aca="false">IF(E61="","",D61-E61)</f>
        <v>11</v>
      </c>
      <c r="G61" s="59" t="n">
        <v>195</v>
      </c>
      <c r="H61" s="59" t="n">
        <v>203</v>
      </c>
      <c r="I61" s="68" t="n">
        <f aca="false">IF(H61="","",G61-H61)</f>
        <v>-8</v>
      </c>
      <c r="J61" s="40" t="n">
        <f aca="false">IF(OR(D61="",D61+G61=0),"",D61/(D61+G61))</f>
        <v>0.419642857142857</v>
      </c>
      <c r="K61" s="40" t="n">
        <f aca="false">IF(E61="","",E61/(E61+H61))</f>
        <v>0.39039039039039</v>
      </c>
      <c r="L61" s="69" t="n">
        <f aca="false">IF(OR(K61="",J61=""),"",(J61-K61)*100)</f>
        <v>2.92524667524668</v>
      </c>
      <c r="M61" s="36" t="n">
        <v>3.1080248214224</v>
      </c>
      <c r="N61" s="36" t="n">
        <v>1.05134356628362</v>
      </c>
      <c r="O61" s="36" t="n">
        <f aca="false">SQRT(M61^2+N61^2)</f>
        <v>3.28102751968704</v>
      </c>
      <c r="P61" s="40" t="n">
        <f aca="false">IF(J61="","",MAX(0,J61-1.96*O61/100))</f>
        <v>0.355334717756991</v>
      </c>
      <c r="Q61" s="40" t="n">
        <f aca="false">IF(J61="","",MIN(1,J61+1.96*O61/100))</f>
        <v>0.483950996528723</v>
      </c>
      <c r="R61" s="32" t="str">
        <f aca="false">IF(L61="","",IF(ABS(L61)&lt;=O61,"Yes","No"))</f>
        <v>Yes</v>
      </c>
      <c r="S61" s="32" t="str">
        <f aca="false">IF(L61="","",IF(ABS(L61)&lt;=1.96*O61,"Yes","No"))</f>
        <v>Yes</v>
      </c>
      <c r="T61" s="59" t="n">
        <f aca="false">IF(D61="","",ROUND(SQRT(((D61+G61)*O61/100)^2+(J61*(D61+G61)*0.07067)^2),0))</f>
        <v>15</v>
      </c>
      <c r="U61" s="32"/>
    </row>
    <row r="62" customFormat="false" ht="15" hidden="false" customHeight="false" outlineLevel="0" collapsed="false">
      <c r="A62" s="32" t="s">
        <v>220</v>
      </c>
      <c r="B62" s="32" t="s">
        <v>229</v>
      </c>
      <c r="C62" s="32" t="s">
        <v>161</v>
      </c>
      <c r="D62" s="59" t="n">
        <v>4905</v>
      </c>
      <c r="E62" s="59" t="n">
        <v>5059</v>
      </c>
      <c r="F62" s="68" t="n">
        <f aca="false">IF(E62="","",D62-E62)</f>
        <v>-154</v>
      </c>
      <c r="G62" s="59" t="n">
        <v>1873</v>
      </c>
      <c r="H62" s="59" t="n">
        <v>1583</v>
      </c>
      <c r="I62" s="68" t="n">
        <f aca="false">IF(H62="","",G62-H62)</f>
        <v>290</v>
      </c>
      <c r="J62" s="40" t="n">
        <f aca="false">IF(OR(D62="",D62+G62=0),"",D62/(D62+G62))</f>
        <v>0.723664797875479</v>
      </c>
      <c r="K62" s="40" t="n">
        <f aca="false">IF(E62="","",E62/(E62+H62))</f>
        <v>0.761668172237278</v>
      </c>
      <c r="L62" s="69" t="n">
        <f aca="false">IF(OR(K62="",J62=""),"",(J62-K62)*100)</f>
        <v>-3.80033743617985</v>
      </c>
      <c r="M62" s="36" t="n">
        <v>1.29884199722958</v>
      </c>
      <c r="N62" s="36" t="n">
        <v>1.05134356628362</v>
      </c>
      <c r="O62" s="36" t="n">
        <f aca="false">SQRT(M62^2+N62^2)</f>
        <v>1.67102179163927</v>
      </c>
      <c r="P62" s="40" t="n">
        <f aca="false">IF(J62="","",MAX(0,J62-1.96*O62/100))</f>
        <v>0.69091277075935</v>
      </c>
      <c r="Q62" s="40" t="n">
        <f aca="false">IF(J62="","",MIN(1,J62+1.96*O62/100))</f>
        <v>0.756416824991609</v>
      </c>
      <c r="R62" s="32" t="str">
        <f aca="false">IF(L62="","",IF(ABS(L62)&lt;=O62,"Yes","No"))</f>
        <v>No</v>
      </c>
      <c r="S62" s="32" t="str">
        <f aca="false">IF(L62="","",IF(ABS(L62)&lt;=1.96*O62,"Yes","No"))</f>
        <v>No</v>
      </c>
      <c r="T62" s="59" t="n">
        <f aca="false">IF(D62="","",ROUND(SQRT(((D62+G62)*O62/100)^2+(J62*(D62+G62)*0.04632)^2),0))</f>
        <v>254</v>
      </c>
      <c r="U62" s="32"/>
    </row>
    <row r="63" customFormat="false" ht="15" hidden="false" customHeight="false" outlineLevel="0" collapsed="false">
      <c r="A63" s="32" t="s">
        <v>220</v>
      </c>
      <c r="B63" s="32" t="s">
        <v>230</v>
      </c>
      <c r="C63" s="32" t="s">
        <v>161</v>
      </c>
      <c r="D63" s="59" t="n">
        <v>3738</v>
      </c>
      <c r="E63" s="59" t="n">
        <v>3565</v>
      </c>
      <c r="F63" s="68" t="n">
        <f aca="false">IF(E63="","",D63-E63)</f>
        <v>173</v>
      </c>
      <c r="G63" s="59" t="n">
        <v>3465</v>
      </c>
      <c r="H63" s="59" t="n">
        <v>3017</v>
      </c>
      <c r="I63" s="68" t="n">
        <f aca="false">IF(H63="","",G63-H63)</f>
        <v>448</v>
      </c>
      <c r="J63" s="40" t="n">
        <f aca="false">IF(OR(D63="",D63+G63=0),"",D63/(D63+G63))</f>
        <v>0.518950437317784</v>
      </c>
      <c r="K63" s="40" t="n">
        <f aca="false">IF(E63="","",E63/(E63+H63))</f>
        <v>0.541628684290489</v>
      </c>
      <c r="L63" s="69" t="n">
        <f aca="false">IF(OR(K63="",J63=""),"",(J63-K63)*100)</f>
        <v>-2.26782469727049</v>
      </c>
      <c r="M63" s="36" t="n">
        <v>1.29884199722958</v>
      </c>
      <c r="N63" s="36" t="n">
        <v>1.05134356628362</v>
      </c>
      <c r="O63" s="36" t="n">
        <f aca="false">SQRT(M63^2+N63^2)</f>
        <v>1.67102179163927</v>
      </c>
      <c r="P63" s="40" t="n">
        <f aca="false">IF(J63="","",MAX(0,J63-1.96*O63/100))</f>
        <v>0.486198410201655</v>
      </c>
      <c r="Q63" s="40" t="n">
        <f aca="false">IF(J63="","",MIN(1,J63+1.96*O63/100))</f>
        <v>0.551702464433914</v>
      </c>
      <c r="R63" s="32" t="str">
        <f aca="false">IF(L63="","",IF(ABS(L63)&lt;=O63,"Yes","No"))</f>
        <v>No</v>
      </c>
      <c r="S63" s="32" t="str">
        <f aca="false">IF(L63="","",IF(ABS(L63)&lt;=1.96*O63,"Yes","No"))</f>
        <v>Yes</v>
      </c>
      <c r="T63" s="59" t="n">
        <f aca="false">IF(D63="","",ROUND(SQRT(((D63+G63)*O63/100)^2+(J63*(D63+G63)*0.04632)^2),0))</f>
        <v>211</v>
      </c>
      <c r="U63" s="32"/>
    </row>
    <row r="64" customFormat="false" ht="15" hidden="false" customHeight="false" outlineLevel="0" collapsed="false">
      <c r="A64" s="32" t="s">
        <v>220</v>
      </c>
      <c r="B64" s="32" t="s">
        <v>231</v>
      </c>
      <c r="C64" s="32" t="s">
        <v>161</v>
      </c>
      <c r="D64" s="59" t="n">
        <v>489</v>
      </c>
      <c r="E64" s="59" t="n">
        <v>497</v>
      </c>
      <c r="F64" s="68" t="n">
        <f aca="false">IF(E64="","",D64-E64)</f>
        <v>-8</v>
      </c>
      <c r="G64" s="59" t="n">
        <v>242</v>
      </c>
      <c r="H64" s="59" t="n">
        <v>253</v>
      </c>
      <c r="I64" s="68" t="n">
        <f aca="false">IF(H64="","",G64-H64)</f>
        <v>-11</v>
      </c>
      <c r="J64" s="40" t="n">
        <f aca="false">IF(OR(D64="",D64+G64=0),"",D64/(D64+G64))</f>
        <v>0.668946648426813</v>
      </c>
      <c r="K64" s="40" t="n">
        <f aca="false">IF(E64="","",E64/(E64+H64))</f>
        <v>0.662666666666667</v>
      </c>
      <c r="L64" s="69" t="n">
        <f aca="false">IF(OR(K64="",J64=""),"",(J64-K64)*100)</f>
        <v>0.627998176014599</v>
      </c>
      <c r="M64" s="36" t="n">
        <v>3.1080248214224</v>
      </c>
      <c r="N64" s="36" t="n">
        <v>1.05134356628362</v>
      </c>
      <c r="O64" s="36" t="n">
        <f aca="false">SQRT(M64^2+N64^2)</f>
        <v>3.28102751968704</v>
      </c>
      <c r="P64" s="40" t="n">
        <f aca="false">IF(J64="","",MAX(0,J64-1.96*O64/100))</f>
        <v>0.604638509040947</v>
      </c>
      <c r="Q64" s="40" t="n">
        <f aca="false">IF(J64="","",MIN(1,J64+1.96*O64/100))</f>
        <v>0.733254787812679</v>
      </c>
      <c r="R64" s="32" t="str">
        <f aca="false">IF(L64="","",IF(ABS(L64)&lt;=O64,"Yes","No"))</f>
        <v>Yes</v>
      </c>
      <c r="S64" s="32" t="str">
        <f aca="false">IF(L64="","",IF(ABS(L64)&lt;=1.96*O64,"Yes","No"))</f>
        <v>Yes</v>
      </c>
      <c r="T64" s="59" t="n">
        <f aca="false">IF(D64="","",ROUND(SQRT(((D64+G64)*O64/100)^2+(J64*(D64+G64)*0.07067)^2),0))</f>
        <v>42</v>
      </c>
      <c r="U64" s="32"/>
    </row>
    <row r="65" customFormat="false" ht="15" hidden="false" customHeight="false" outlineLevel="0" collapsed="false">
      <c r="A65" s="32" t="s">
        <v>220</v>
      </c>
      <c r="B65" s="32" t="s">
        <v>232</v>
      </c>
      <c r="C65" s="32" t="s">
        <v>161</v>
      </c>
      <c r="D65" s="59" t="n">
        <v>63</v>
      </c>
      <c r="E65" s="59" t="n">
        <v>72</v>
      </c>
      <c r="F65" s="68" t="n">
        <f aca="false">IF(E65="","",D65-E65)</f>
        <v>-9</v>
      </c>
      <c r="G65" s="59" t="n">
        <v>59</v>
      </c>
      <c r="H65" s="59" t="n">
        <v>39</v>
      </c>
      <c r="I65" s="68" t="n">
        <f aca="false">IF(H65="","",G65-H65)</f>
        <v>20</v>
      </c>
      <c r="J65" s="40" t="n">
        <f aca="false">IF(OR(D65="",D65+G65=0),"",D65/(D65+G65))</f>
        <v>0.516393442622951</v>
      </c>
      <c r="K65" s="40" t="n">
        <f aca="false">IF(E65="","",E65/(E65+H65))</f>
        <v>0.648648648648649</v>
      </c>
      <c r="L65" s="69" t="n">
        <f aca="false">IF(OR(K65="",J65=""),"",(J65-K65)*100)</f>
        <v>-13.2255206025698</v>
      </c>
      <c r="M65" s="36" t="n">
        <v>3.1080248214224</v>
      </c>
      <c r="N65" s="36" t="n">
        <v>1.05134356628362</v>
      </c>
      <c r="O65" s="36" t="n">
        <f aca="false">SQRT(M65^2+N65^2)</f>
        <v>3.28102751968704</v>
      </c>
      <c r="P65" s="40" t="n">
        <f aca="false">IF(J65="","",MAX(0,J65-1.96*O65/100))</f>
        <v>0.452085303237085</v>
      </c>
      <c r="Q65" s="40" t="n">
        <f aca="false">IF(J65="","",MIN(1,J65+1.96*O65/100))</f>
        <v>0.580701582008817</v>
      </c>
      <c r="R65" s="32" t="str">
        <f aca="false">IF(L65="","",IF(ABS(L65)&lt;=O65,"Yes","No"))</f>
        <v>No</v>
      </c>
      <c r="S65" s="32" t="str">
        <f aca="false">IF(L65="","",IF(ABS(L65)&lt;=1.96*O65,"Yes","No"))</f>
        <v>No</v>
      </c>
      <c r="T65" s="59" t="n">
        <f aca="false">IF(D65="","",ROUND(SQRT(((D65+G65)*O65/100)^2+(J65*(D65+G65)*0.07067)^2),0))</f>
        <v>6</v>
      </c>
      <c r="U65" s="32"/>
    </row>
    <row r="66" customFormat="false" ht="15" hidden="false" customHeight="false" outlineLevel="0" collapsed="false">
      <c r="A66" s="32" t="s">
        <v>220</v>
      </c>
      <c r="B66" s="32" t="s">
        <v>198</v>
      </c>
      <c r="C66" s="32" t="s">
        <v>161</v>
      </c>
      <c r="D66" s="59" t="n">
        <v>2871</v>
      </c>
      <c r="E66" s="59" t="n">
        <v>3075</v>
      </c>
      <c r="F66" s="68" t="n">
        <f aca="false">IF(E66="","",D66-E66)</f>
        <v>-204</v>
      </c>
      <c r="G66" s="59" t="n">
        <v>3239</v>
      </c>
      <c r="H66" s="59" t="n">
        <v>2610</v>
      </c>
      <c r="I66" s="68" t="n">
        <f aca="false">IF(H66="","",G66-H66)</f>
        <v>629</v>
      </c>
      <c r="J66" s="40" t="n">
        <f aca="false">IF(OR(D66="",D66+G66=0),"",D66/(D66+G66))</f>
        <v>0.469885433715221</v>
      </c>
      <c r="K66" s="40" t="n">
        <f aca="false">IF(E66="","",E66/(E66+H66))</f>
        <v>0.54089709762533</v>
      </c>
      <c r="L66" s="69" t="n">
        <f aca="false">IF(OR(K66="",J66=""),"",(J66-K66)*100)</f>
        <v>-7.10116639101088</v>
      </c>
      <c r="M66" s="36" t="n">
        <v>1.29884199722958</v>
      </c>
      <c r="N66" s="36" t="n">
        <v>1.05134356628362</v>
      </c>
      <c r="O66" s="36" t="n">
        <f aca="false">SQRT(M66^2+N66^2)</f>
        <v>1.67102179163927</v>
      </c>
      <c r="P66" s="40" t="n">
        <f aca="false">IF(J66="","",MAX(0,J66-1.96*O66/100))</f>
        <v>0.437133406599091</v>
      </c>
      <c r="Q66" s="40" t="n">
        <f aca="false">IF(J66="","",MIN(1,J66+1.96*O66/100))</f>
        <v>0.502637460831351</v>
      </c>
      <c r="R66" s="32" t="str">
        <f aca="false">IF(L66="","",IF(ABS(L66)&lt;=O66,"Yes","No"))</f>
        <v>No</v>
      </c>
      <c r="S66" s="32" t="str">
        <f aca="false">IF(L66="","",IF(ABS(L66)&lt;=1.96*O66,"Yes","No"))</f>
        <v>No</v>
      </c>
      <c r="T66" s="59" t="n">
        <f aca="false">IF(D66="","",ROUND(SQRT(((D66+G66)*O66/100)^2+(J66*(D66+G66)*0.04632)^2),0))</f>
        <v>168</v>
      </c>
      <c r="U66" s="32"/>
    </row>
    <row r="67" customFormat="false" ht="15" hidden="false" customHeight="false" outlineLevel="0" collapsed="false">
      <c r="A67" s="32" t="s">
        <v>220</v>
      </c>
      <c r="B67" s="32" t="s">
        <v>233</v>
      </c>
      <c r="C67" s="32" t="s">
        <v>161</v>
      </c>
      <c r="D67" s="59" t="n">
        <v>1325</v>
      </c>
      <c r="E67" s="59" t="n">
        <v>1246</v>
      </c>
      <c r="F67" s="68" t="n">
        <f aca="false">IF(E67="","",D67-E67)</f>
        <v>79</v>
      </c>
      <c r="G67" s="59" t="n">
        <v>1024</v>
      </c>
      <c r="H67" s="59" t="n">
        <v>966</v>
      </c>
      <c r="I67" s="68" t="n">
        <f aca="false">IF(H67="","",G67-H67)</f>
        <v>58</v>
      </c>
      <c r="J67" s="40" t="n">
        <f aca="false">IF(OR(D67="",D67+G67=0),"",D67/(D67+G67))</f>
        <v>0.56406981694338</v>
      </c>
      <c r="K67" s="40" t="n">
        <f aca="false">IF(E67="","",E67/(E67+H67))</f>
        <v>0.563291139240506</v>
      </c>
      <c r="L67" s="69" t="n">
        <f aca="false">IF(OR(K67="",J67=""),"",(J67-K67)*100)</f>
        <v>0.0778677702873876</v>
      </c>
      <c r="M67" s="36" t="n">
        <v>2.06682372168594</v>
      </c>
      <c r="N67" s="36" t="n">
        <v>1.05134356628362</v>
      </c>
      <c r="O67" s="36" t="n">
        <f aca="false">SQRT(M67^2+N67^2)</f>
        <v>2.31885393910218</v>
      </c>
      <c r="P67" s="40" t="n">
        <f aca="false">IF(J67="","",MAX(0,J67-1.96*O67/100))</f>
        <v>0.518620279736978</v>
      </c>
      <c r="Q67" s="40" t="n">
        <f aca="false">IF(J67="","",MIN(1,J67+1.96*O67/100))</f>
        <v>0.609519354149783</v>
      </c>
      <c r="R67" s="32" t="str">
        <f aca="false">IF(L67="","",IF(ABS(L67)&lt;=O67,"Yes","No"))</f>
        <v>Yes</v>
      </c>
      <c r="S67" s="32" t="str">
        <f aca="false">IF(L67="","",IF(ABS(L67)&lt;=1.96*O67,"Yes","No"))</f>
        <v>Yes</v>
      </c>
      <c r="T67" s="59" t="n">
        <f aca="false">IF(D67="","",ROUND(SQRT(((D67+G67)*O67/100)^2+(J67*(D67+G67)*0.05402)^2),0))</f>
        <v>90</v>
      </c>
      <c r="U67" s="32"/>
    </row>
    <row r="68" customFormat="false" ht="15" hidden="false" customHeight="false" outlineLevel="0" collapsed="false">
      <c r="A68" s="32" t="s">
        <v>220</v>
      </c>
      <c r="B68" s="32" t="s">
        <v>234</v>
      </c>
      <c r="C68" s="32" t="s">
        <v>161</v>
      </c>
      <c r="D68" s="59" t="n">
        <v>1873</v>
      </c>
      <c r="E68" s="59" t="n">
        <v>1543</v>
      </c>
      <c r="F68" s="68" t="n">
        <f aca="false">IF(E68="","",D68-E68)</f>
        <v>330</v>
      </c>
      <c r="G68" s="59" t="n">
        <v>2857</v>
      </c>
      <c r="H68" s="59" t="n">
        <v>2708</v>
      </c>
      <c r="I68" s="68" t="n">
        <f aca="false">IF(H68="","",G68-H68)</f>
        <v>149</v>
      </c>
      <c r="J68" s="40" t="n">
        <f aca="false">IF(OR(D68="",D68+G68=0),"",D68/(D68+G68))</f>
        <v>0.395983086680761</v>
      </c>
      <c r="K68" s="40" t="n">
        <f aca="false">IF(E68="","",E68/(E68+H68))</f>
        <v>0.36297341801929</v>
      </c>
      <c r="L68" s="69" t="n">
        <f aca="false">IF(OR(K68="",J68=""),"",(J68-K68)*100)</f>
        <v>3.30096686614715</v>
      </c>
      <c r="M68" s="36" t="n">
        <v>1.29884199722958</v>
      </c>
      <c r="N68" s="36" t="n">
        <v>1.05134356628362</v>
      </c>
      <c r="O68" s="36" t="n">
        <f aca="false">SQRT(M68^2+N68^2)</f>
        <v>1.67102179163927</v>
      </c>
      <c r="P68" s="40" t="n">
        <f aca="false">IF(J68="","",MAX(0,J68-1.96*O68/100))</f>
        <v>0.363231059564632</v>
      </c>
      <c r="Q68" s="40" t="n">
        <f aca="false">IF(J68="","",MIN(1,J68+1.96*O68/100))</f>
        <v>0.428735113796891</v>
      </c>
      <c r="R68" s="32" t="str">
        <f aca="false">IF(L68="","",IF(ABS(L68)&lt;=O68,"Yes","No"))</f>
        <v>No</v>
      </c>
      <c r="S68" s="32" t="str">
        <f aca="false">IF(L68="","",IF(ABS(L68)&lt;=1.96*O68,"Yes","No"))</f>
        <v>No</v>
      </c>
      <c r="T68" s="59" t="n">
        <f aca="false">IF(D68="","",ROUND(SQRT(((D68+G68)*O68/100)^2+(J68*(D68+G68)*0.04632)^2),0))</f>
        <v>117</v>
      </c>
      <c r="U68" s="32"/>
    </row>
    <row r="69" customFormat="false" ht="15" hidden="false" customHeight="false" outlineLevel="0" collapsed="false">
      <c r="A69" s="32" t="s">
        <v>220</v>
      </c>
      <c r="B69" s="32" t="s">
        <v>235</v>
      </c>
      <c r="C69" s="32" t="s">
        <v>161</v>
      </c>
      <c r="D69" s="59" t="n">
        <v>440</v>
      </c>
      <c r="E69" s="59" t="n">
        <v>474</v>
      </c>
      <c r="F69" s="68" t="n">
        <f aca="false">IF(E69="","",D69-E69)</f>
        <v>-34</v>
      </c>
      <c r="G69" s="59" t="n">
        <v>893</v>
      </c>
      <c r="H69" s="59" t="n">
        <v>678</v>
      </c>
      <c r="I69" s="68" t="n">
        <f aca="false">IF(H69="","",G69-H69)</f>
        <v>215</v>
      </c>
      <c r="J69" s="40" t="n">
        <f aca="false">IF(OR(D69="",D69+G69=0),"",D69/(D69+G69))</f>
        <v>0.330082520630158</v>
      </c>
      <c r="K69" s="40" t="n">
        <f aca="false">IF(E69="","",E69/(E69+H69))</f>
        <v>0.411458333333333</v>
      </c>
      <c r="L69" s="69" t="n">
        <f aca="false">IF(OR(K69="",J69=""),"",(J69-K69)*100)</f>
        <v>-8.13758127031758</v>
      </c>
      <c r="M69" s="36" t="n">
        <v>2.06682372168594</v>
      </c>
      <c r="N69" s="36" t="n">
        <v>1.05134356628362</v>
      </c>
      <c r="O69" s="36" t="n">
        <f aca="false">SQRT(M69^2+N69^2)</f>
        <v>2.31885393910218</v>
      </c>
      <c r="P69" s="40" t="n">
        <f aca="false">IF(J69="","",MAX(0,J69-1.96*O69/100))</f>
        <v>0.284632983423755</v>
      </c>
      <c r="Q69" s="40" t="n">
        <f aca="false">IF(J69="","",MIN(1,J69+1.96*O69/100))</f>
        <v>0.37553205783656</v>
      </c>
      <c r="R69" s="32" t="str">
        <f aca="false">IF(L69="","",IF(ABS(L69)&lt;=O69,"Yes","No"))</f>
        <v>No</v>
      </c>
      <c r="S69" s="32" t="str">
        <f aca="false">IF(L69="","",IF(ABS(L69)&lt;=1.96*O69,"Yes","No"))</f>
        <v>No</v>
      </c>
      <c r="T69" s="59" t="n">
        <f aca="false">IF(D69="","",ROUND(SQRT(((D69+G69)*O69/100)^2+(J69*(D69+G69)*0.05402)^2),0))</f>
        <v>39</v>
      </c>
      <c r="U69" s="32"/>
    </row>
    <row r="70" customFormat="false" ht="15" hidden="false" customHeight="false" outlineLevel="0" collapsed="false">
      <c r="A70" s="32" t="s">
        <v>220</v>
      </c>
      <c r="B70" s="32" t="s">
        <v>236</v>
      </c>
      <c r="C70" s="32" t="s">
        <v>161</v>
      </c>
      <c r="D70" s="59" t="n">
        <v>1424</v>
      </c>
      <c r="E70" s="59" t="n">
        <v>1320</v>
      </c>
      <c r="F70" s="68" t="n">
        <f aca="false">IF(E70="","",D70-E70)</f>
        <v>104</v>
      </c>
      <c r="G70" s="59" t="n">
        <v>1860</v>
      </c>
      <c r="H70" s="59" t="n">
        <v>1650</v>
      </c>
      <c r="I70" s="68" t="n">
        <f aca="false">IF(H70="","",G70-H70)</f>
        <v>210</v>
      </c>
      <c r="J70" s="40" t="n">
        <f aca="false">IF(OR(D70="",D70+G70=0),"",D70/(D70+G70))</f>
        <v>0.433617539585871</v>
      </c>
      <c r="K70" s="40" t="n">
        <f aca="false">IF(E70="","",E70/(E70+H70))</f>
        <v>0.444444444444444</v>
      </c>
      <c r="L70" s="69" t="n">
        <f aca="false">IF(OR(K70="",J70=""),"",(J70-K70)*100)</f>
        <v>-1.08269048585735</v>
      </c>
      <c r="M70" s="36" t="n">
        <v>1.29884199722958</v>
      </c>
      <c r="N70" s="36" t="n">
        <v>1.05134356628362</v>
      </c>
      <c r="O70" s="36" t="n">
        <f aca="false">SQRT(M70^2+N70^2)</f>
        <v>1.67102179163927</v>
      </c>
      <c r="P70" s="40" t="n">
        <f aca="false">IF(J70="","",MAX(0,J70-1.96*O70/100))</f>
        <v>0.400865512469741</v>
      </c>
      <c r="Q70" s="40" t="n">
        <f aca="false">IF(J70="","",MIN(1,J70+1.96*O70/100))</f>
        <v>0.466369566702</v>
      </c>
      <c r="R70" s="32" t="str">
        <f aca="false">IF(L70="","",IF(ABS(L70)&lt;=O70,"Yes","No"))</f>
        <v>Yes</v>
      </c>
      <c r="S70" s="32" t="str">
        <f aca="false">IF(L70="","",IF(ABS(L70)&lt;=1.96*O70,"Yes","No"))</f>
        <v>Yes</v>
      </c>
      <c r="T70" s="59" t="n">
        <f aca="false">IF(D70="","",ROUND(SQRT(((D70+G70)*O70/100)^2+(J70*(D70+G70)*0.04632)^2),0))</f>
        <v>86</v>
      </c>
      <c r="U70" s="32"/>
    </row>
    <row r="71" customFormat="false" ht="15" hidden="false" customHeight="false" outlineLevel="0" collapsed="false">
      <c r="A71" s="32" t="s">
        <v>220</v>
      </c>
      <c r="B71" s="32" t="s">
        <v>237</v>
      </c>
      <c r="C71" s="32" t="s">
        <v>161</v>
      </c>
      <c r="D71" s="59" t="n">
        <v>2581</v>
      </c>
      <c r="E71" s="59" t="n">
        <v>2540</v>
      </c>
      <c r="F71" s="68" t="n">
        <f aca="false">IF(E71="","",D71-E71)</f>
        <v>41</v>
      </c>
      <c r="G71" s="59" t="n">
        <v>3031</v>
      </c>
      <c r="H71" s="59" t="n">
        <v>2624</v>
      </c>
      <c r="I71" s="68" t="n">
        <f aca="false">IF(H71="","",G71-H71)</f>
        <v>407</v>
      </c>
      <c r="J71" s="40" t="n">
        <f aca="false">IF(OR(D71="",D71+G71=0),"",D71/(D71+G71))</f>
        <v>0.459907341411262</v>
      </c>
      <c r="K71" s="40" t="n">
        <f aca="false">IF(E71="","",E71/(E71+H71))</f>
        <v>0.491866769945779</v>
      </c>
      <c r="L71" s="69" t="n">
        <f aca="false">IF(OR(K71="",J71=""),"",(J71-K71)*100)</f>
        <v>-3.19594285345169</v>
      </c>
      <c r="M71" s="36" t="n">
        <v>1.29884199722958</v>
      </c>
      <c r="N71" s="36" t="n">
        <v>1.05134356628362</v>
      </c>
      <c r="O71" s="36" t="n">
        <f aca="false">SQRT(M71^2+N71^2)</f>
        <v>1.67102179163927</v>
      </c>
      <c r="P71" s="40" t="n">
        <f aca="false">IF(J71="","",MAX(0,J71-1.96*O71/100))</f>
        <v>0.427155314295132</v>
      </c>
      <c r="Q71" s="40" t="n">
        <f aca="false">IF(J71="","",MIN(1,J71+1.96*O71/100))</f>
        <v>0.492659368527391</v>
      </c>
      <c r="R71" s="32" t="str">
        <f aca="false">IF(L71="","",IF(ABS(L71)&lt;=O71,"Yes","No"))</f>
        <v>No</v>
      </c>
      <c r="S71" s="32" t="str">
        <f aca="false">IF(L71="","",IF(ABS(L71)&lt;=1.96*O71,"Yes","No"))</f>
        <v>Yes</v>
      </c>
      <c r="T71" s="59" t="n">
        <f aca="false">IF(D71="","",ROUND(SQRT(((D71+G71)*O71/100)^2+(J71*(D71+G71)*0.04632)^2),0))</f>
        <v>152</v>
      </c>
      <c r="U71" s="32"/>
    </row>
    <row r="72" customFormat="false" ht="15" hidden="false" customHeight="false" outlineLevel="0" collapsed="false">
      <c r="A72" s="32" t="s">
        <v>220</v>
      </c>
      <c r="B72" s="32" t="s">
        <v>238</v>
      </c>
      <c r="C72" s="32" t="s">
        <v>161</v>
      </c>
      <c r="D72" s="59" t="n">
        <v>1590</v>
      </c>
      <c r="E72" s="59" t="n">
        <v>1404</v>
      </c>
      <c r="F72" s="68" t="n">
        <f aca="false">IF(E72="","",D72-E72)</f>
        <v>186</v>
      </c>
      <c r="G72" s="59" t="n">
        <v>2764</v>
      </c>
      <c r="H72" s="59" t="n">
        <v>2512</v>
      </c>
      <c r="I72" s="68" t="n">
        <f aca="false">IF(H72="","",G72-H72)</f>
        <v>252</v>
      </c>
      <c r="J72" s="40" t="n">
        <f aca="false">IF(OR(D72="",D72+G72=0),"",D72/(D72+G72))</f>
        <v>0.36518144235186</v>
      </c>
      <c r="K72" s="40" t="n">
        <f aca="false">IF(E72="","",E72/(E72+H72))</f>
        <v>0.3585291113381</v>
      </c>
      <c r="L72" s="69" t="n">
        <f aca="false">IF(OR(K72="",J72=""),"",(J72-K72)*100)</f>
        <v>0.665233101376023</v>
      </c>
      <c r="M72" s="36" t="n">
        <v>1.29884199722958</v>
      </c>
      <c r="N72" s="36" t="n">
        <v>1.05134356628362</v>
      </c>
      <c r="O72" s="36" t="n">
        <f aca="false">SQRT(M72^2+N72^2)</f>
        <v>1.67102179163927</v>
      </c>
      <c r="P72" s="40" t="n">
        <f aca="false">IF(J72="","",MAX(0,J72-1.96*O72/100))</f>
        <v>0.332429415235731</v>
      </c>
      <c r="Q72" s="40" t="n">
        <f aca="false">IF(J72="","",MIN(1,J72+1.96*O72/100))</f>
        <v>0.39793346946799</v>
      </c>
      <c r="R72" s="32" t="str">
        <f aca="false">IF(L72="","",IF(ABS(L72)&lt;=O72,"Yes","No"))</f>
        <v>Yes</v>
      </c>
      <c r="S72" s="32" t="str">
        <f aca="false">IF(L72="","",IF(ABS(L72)&lt;=1.96*O72,"Yes","No"))</f>
        <v>Yes</v>
      </c>
      <c r="T72" s="59" t="n">
        <f aca="false">IF(D72="","",ROUND(SQRT(((D72+G72)*O72/100)^2+(J72*(D72+G72)*0.04632)^2),0))</f>
        <v>104</v>
      </c>
      <c r="U72" s="32"/>
    </row>
    <row r="73" customFormat="false" ht="15" hidden="false" customHeight="false" outlineLevel="0" collapsed="false">
      <c r="A73" s="32" t="s">
        <v>220</v>
      </c>
      <c r="B73" s="32" t="s">
        <v>239</v>
      </c>
      <c r="C73" s="32" t="s">
        <v>161</v>
      </c>
      <c r="D73" s="59" t="n">
        <v>1193</v>
      </c>
      <c r="E73" s="59" t="n">
        <v>1128</v>
      </c>
      <c r="F73" s="68" t="n">
        <f aca="false">IF(E73="","",D73-E73)</f>
        <v>65</v>
      </c>
      <c r="G73" s="59" t="n">
        <v>1157</v>
      </c>
      <c r="H73" s="59" t="n">
        <v>998</v>
      </c>
      <c r="I73" s="68" t="n">
        <f aca="false">IF(H73="","",G73-H73)</f>
        <v>159</v>
      </c>
      <c r="J73" s="40" t="n">
        <f aca="false">IF(OR(D73="",D73+G73=0),"",D73/(D73+G73))</f>
        <v>0.507659574468085</v>
      </c>
      <c r="K73" s="40" t="n">
        <f aca="false">IF(E73="","",E73/(E73+H73))</f>
        <v>0.530573847601129</v>
      </c>
      <c r="L73" s="69" t="n">
        <f aca="false">IF(OR(K73="",J73=""),"",(J73-K73)*100)</f>
        <v>-2.29142731330438</v>
      </c>
      <c r="M73" s="36" t="n">
        <v>2.06682372168594</v>
      </c>
      <c r="N73" s="36" t="n">
        <v>1.05134356628362</v>
      </c>
      <c r="O73" s="36" t="n">
        <f aca="false">SQRT(M73^2+N73^2)</f>
        <v>2.31885393910218</v>
      </c>
      <c r="P73" s="40" t="n">
        <f aca="false">IF(J73="","",MAX(0,J73-1.96*O73/100))</f>
        <v>0.462210037261682</v>
      </c>
      <c r="Q73" s="40" t="n">
        <f aca="false">IF(J73="","",MIN(1,J73+1.96*O73/100))</f>
        <v>0.553109111674488</v>
      </c>
      <c r="R73" s="32" t="str">
        <f aca="false">IF(L73="","",IF(ABS(L73)&lt;=O73,"Yes","No"))</f>
        <v>Yes</v>
      </c>
      <c r="S73" s="32" t="str">
        <f aca="false">IF(L73="","",IF(ABS(L73)&lt;=1.96*O73,"Yes","No"))</f>
        <v>Yes</v>
      </c>
      <c r="T73" s="59" t="n">
        <f aca="false">IF(D73="","",ROUND(SQRT(((D73+G73)*O73/100)^2+(J73*(D73+G73)*0.05402)^2),0))</f>
        <v>84</v>
      </c>
      <c r="U73" s="32"/>
    </row>
    <row r="74" customFormat="false" ht="15" hidden="false" customHeight="false" outlineLevel="0" collapsed="false">
      <c r="A74" s="32" t="s">
        <v>220</v>
      </c>
      <c r="B74" s="32" t="s">
        <v>240</v>
      </c>
      <c r="C74" s="32" t="s">
        <v>161</v>
      </c>
      <c r="D74" s="59" t="n">
        <v>562</v>
      </c>
      <c r="E74" s="59" t="n">
        <v>536</v>
      </c>
      <c r="F74" s="68" t="n">
        <f aca="false">IF(E74="","",D74-E74)</f>
        <v>26</v>
      </c>
      <c r="G74" s="59" t="n">
        <v>586</v>
      </c>
      <c r="H74" s="59" t="n">
        <v>521</v>
      </c>
      <c r="I74" s="68" t="n">
        <f aca="false">IF(H74="","",G74-H74)</f>
        <v>65</v>
      </c>
      <c r="J74" s="40" t="n">
        <f aca="false">IF(OR(D74="",D74+G74=0),"",D74/(D74+G74))</f>
        <v>0.489547038327526</v>
      </c>
      <c r="K74" s="40" t="n">
        <f aca="false">IF(E74="","",E74/(E74+H74))</f>
        <v>0.507095553453169</v>
      </c>
      <c r="L74" s="69" t="n">
        <f aca="false">IF(OR(K74="",J74=""),"",(J74-K74)*100)</f>
        <v>-1.75485151256433</v>
      </c>
      <c r="M74" s="36" t="n">
        <v>2.06682372168594</v>
      </c>
      <c r="N74" s="36" t="n">
        <v>1.05134356628362</v>
      </c>
      <c r="O74" s="36" t="n">
        <f aca="false">SQRT(M74^2+N74^2)</f>
        <v>2.31885393910218</v>
      </c>
      <c r="P74" s="40" t="n">
        <f aca="false">IF(J74="","",MAX(0,J74-1.96*O74/100))</f>
        <v>0.444097501121123</v>
      </c>
      <c r="Q74" s="40" t="n">
        <f aca="false">IF(J74="","",MIN(1,J74+1.96*O74/100))</f>
        <v>0.534996575533929</v>
      </c>
      <c r="R74" s="32" t="str">
        <f aca="false">IF(L74="","",IF(ABS(L74)&lt;=O74,"Yes","No"))</f>
        <v>Yes</v>
      </c>
      <c r="S74" s="32" t="str">
        <f aca="false">IF(L74="","",IF(ABS(L74)&lt;=1.96*O74,"Yes","No"))</f>
        <v>Yes</v>
      </c>
      <c r="T74" s="59" t="n">
        <f aca="false">IF(D74="","",ROUND(SQRT(((D74+G74)*O74/100)^2+(J74*(D74+G74)*0.05402)^2),0))</f>
        <v>40</v>
      </c>
      <c r="U74" s="32"/>
    </row>
    <row r="75" customFormat="false" ht="15" hidden="false" customHeight="false" outlineLevel="0" collapsed="false">
      <c r="A75" s="32" t="s">
        <v>220</v>
      </c>
      <c r="B75" s="32" t="s">
        <v>241</v>
      </c>
      <c r="C75" s="32" t="s">
        <v>161</v>
      </c>
      <c r="D75" s="59" t="n">
        <v>1811</v>
      </c>
      <c r="E75" s="59" t="n">
        <v>1650</v>
      </c>
      <c r="F75" s="68" t="n">
        <f aca="false">IF(E75="","",D75-E75)</f>
        <v>161</v>
      </c>
      <c r="G75" s="59" t="n">
        <v>1742</v>
      </c>
      <c r="H75" s="59" t="n">
        <v>1634</v>
      </c>
      <c r="I75" s="68" t="n">
        <f aca="false">IF(H75="","",G75-H75)</f>
        <v>108</v>
      </c>
      <c r="J75" s="40" t="n">
        <f aca="false">IF(OR(D75="",D75+G75=0),"",D75/(D75+G75))</f>
        <v>0.509710104137349</v>
      </c>
      <c r="K75" s="40" t="n">
        <f aca="false">IF(E75="","",E75/(E75+H75))</f>
        <v>0.502436053593179</v>
      </c>
      <c r="L75" s="69" t="n">
        <f aca="false">IF(OR(K75="",J75=""),"",(J75-K75)*100)</f>
        <v>0.727405054416974</v>
      </c>
      <c r="M75" s="36" t="n">
        <v>1.29884199722958</v>
      </c>
      <c r="N75" s="36" t="n">
        <v>1.05134356628362</v>
      </c>
      <c r="O75" s="36" t="n">
        <f aca="false">SQRT(M75^2+N75^2)</f>
        <v>1.67102179163927</v>
      </c>
      <c r="P75" s="40" t="n">
        <f aca="false">IF(J75="","",MAX(0,J75-1.96*O75/100))</f>
        <v>0.476958077021219</v>
      </c>
      <c r="Q75" s="40" t="n">
        <f aca="false">IF(J75="","",MIN(1,J75+1.96*O75/100))</f>
        <v>0.542462131253478</v>
      </c>
      <c r="R75" s="32" t="str">
        <f aca="false">IF(L75="","",IF(ABS(L75)&lt;=O75,"Yes","No"))</f>
        <v>Yes</v>
      </c>
      <c r="S75" s="32" t="str">
        <f aca="false">IF(L75="","",IF(ABS(L75)&lt;=1.96*O75,"Yes","No"))</f>
        <v>Yes</v>
      </c>
      <c r="T75" s="59" t="n">
        <f aca="false">IF(D75="","",ROUND(SQRT(((D75+G75)*O75/100)^2+(J75*(D75+G75)*0.04632)^2),0))</f>
        <v>103</v>
      </c>
      <c r="U75" s="32"/>
    </row>
    <row r="76" customFormat="false" ht="15" hidden="false" customHeight="false" outlineLevel="0" collapsed="false">
      <c r="A76" s="32" t="s">
        <v>220</v>
      </c>
      <c r="B76" s="32" t="s">
        <v>242</v>
      </c>
      <c r="C76" s="32" t="s">
        <v>161</v>
      </c>
      <c r="D76" s="59" t="n">
        <v>5101</v>
      </c>
      <c r="E76" s="59" t="n">
        <v>4804</v>
      </c>
      <c r="F76" s="68" t="n">
        <f aca="false">IF(E76="","",D76-E76)</f>
        <v>297</v>
      </c>
      <c r="G76" s="59" t="n">
        <v>4383</v>
      </c>
      <c r="H76" s="59" t="n">
        <v>4095</v>
      </c>
      <c r="I76" s="68" t="n">
        <f aca="false">IF(H76="","",G76-H76)</f>
        <v>288</v>
      </c>
      <c r="J76" s="40" t="n">
        <f aca="false">IF(OR(D76="",D76+G76=0),"",D76/(D76+G76))</f>
        <v>0.537853226486715</v>
      </c>
      <c r="K76" s="40" t="n">
        <f aca="false">IF(E76="","",E76/(E76+H76))</f>
        <v>0.539835936622092</v>
      </c>
      <c r="L76" s="69" t="n">
        <f aca="false">IF(OR(K76="",J76=""),"",(J76-K76)*100)</f>
        <v>-0.198271013537787</v>
      </c>
      <c r="M76" s="36" t="n">
        <v>1.29884199722958</v>
      </c>
      <c r="N76" s="36" t="n">
        <v>1.05134356628362</v>
      </c>
      <c r="O76" s="36" t="n">
        <f aca="false">SQRT(M76^2+N76^2)</f>
        <v>1.67102179163927</v>
      </c>
      <c r="P76" s="40" t="n">
        <f aca="false">IF(J76="","",MAX(0,J76-1.96*O76/100))</f>
        <v>0.505101199370585</v>
      </c>
      <c r="Q76" s="40" t="n">
        <f aca="false">IF(J76="","",MIN(1,J76+1.96*O76/100))</f>
        <v>0.570605253602844</v>
      </c>
      <c r="R76" s="32" t="str">
        <f aca="false">IF(L76="","",IF(ABS(L76)&lt;=O76,"Yes","No"))</f>
        <v>Yes</v>
      </c>
      <c r="S76" s="32" t="str">
        <f aca="false">IF(L76="","",IF(ABS(L76)&lt;=1.96*O76,"Yes","No"))</f>
        <v>Yes</v>
      </c>
      <c r="T76" s="59" t="n">
        <f aca="false">IF(D76="","",ROUND(SQRT(((D76+G76)*O76/100)^2+(J76*(D76+G76)*0.04632)^2),0))</f>
        <v>285</v>
      </c>
      <c r="U76" s="32"/>
    </row>
    <row r="77" customFormat="false" ht="15" hidden="false" customHeight="false" outlineLevel="0" collapsed="false">
      <c r="A77" s="32" t="s">
        <v>220</v>
      </c>
      <c r="B77" s="32" t="s">
        <v>243</v>
      </c>
      <c r="C77" s="32" t="s">
        <v>161</v>
      </c>
      <c r="D77" s="59" t="n">
        <v>551</v>
      </c>
      <c r="E77" s="59" t="n">
        <v>484</v>
      </c>
      <c r="F77" s="68" t="n">
        <f aca="false">IF(E77="","",D77-E77)</f>
        <v>67</v>
      </c>
      <c r="G77" s="59" t="n">
        <v>700</v>
      </c>
      <c r="H77" s="59" t="n">
        <v>685</v>
      </c>
      <c r="I77" s="68" t="n">
        <f aca="false">IF(H77="","",G77-H77)</f>
        <v>15</v>
      </c>
      <c r="J77" s="40" t="n">
        <f aca="false">IF(OR(D77="",D77+G77=0),"",D77/(D77+G77))</f>
        <v>0.440447641886491</v>
      </c>
      <c r="K77" s="40" t="n">
        <f aca="false">IF(E77="","",E77/(E77+H77))</f>
        <v>0.414029084687767</v>
      </c>
      <c r="L77" s="69" t="n">
        <f aca="false">IF(OR(K77="",J77=""),"",(J77-K77)*100)</f>
        <v>2.64185571987235</v>
      </c>
      <c r="M77" s="36" t="n">
        <v>2.06682372168594</v>
      </c>
      <c r="N77" s="36" t="n">
        <v>1.05134356628362</v>
      </c>
      <c r="O77" s="36" t="n">
        <f aca="false">SQRT(M77^2+N77^2)</f>
        <v>2.31885393910218</v>
      </c>
      <c r="P77" s="40" t="n">
        <f aca="false">IF(J77="","",MAX(0,J77-1.96*O77/100))</f>
        <v>0.394998104680088</v>
      </c>
      <c r="Q77" s="40" t="n">
        <f aca="false">IF(J77="","",MIN(1,J77+1.96*O77/100))</f>
        <v>0.485897179092894</v>
      </c>
      <c r="R77" s="32" t="str">
        <f aca="false">IF(L77="","",IF(ABS(L77)&lt;=O77,"Yes","No"))</f>
        <v>No</v>
      </c>
      <c r="S77" s="32" t="str">
        <f aca="false">IF(L77="","",IF(ABS(L77)&lt;=1.96*O77,"Yes","No"))</f>
        <v>Yes</v>
      </c>
      <c r="T77" s="59" t="n">
        <f aca="false">IF(D77="","",ROUND(SQRT(((D77+G77)*O77/100)^2+(J77*(D77+G77)*0.05402)^2),0))</f>
        <v>42</v>
      </c>
      <c r="U77" s="32"/>
    </row>
    <row r="78" customFormat="false" ht="15" hidden="false" customHeight="false" outlineLevel="0" collapsed="false">
      <c r="A78" s="32" t="s">
        <v>220</v>
      </c>
      <c r="B78" s="32" t="s">
        <v>244</v>
      </c>
      <c r="C78" s="32" t="s">
        <v>161</v>
      </c>
      <c r="D78" s="59" t="n">
        <v>1081</v>
      </c>
      <c r="E78" s="59" t="n">
        <v>1016</v>
      </c>
      <c r="F78" s="68" t="n">
        <f aca="false">IF(E78="","",D78-E78)</f>
        <v>65</v>
      </c>
      <c r="G78" s="59" t="n">
        <v>1766</v>
      </c>
      <c r="H78" s="59" t="n">
        <v>1531</v>
      </c>
      <c r="I78" s="68" t="n">
        <f aca="false">IF(H78="","",G78-H78)</f>
        <v>235</v>
      </c>
      <c r="J78" s="40" t="n">
        <f aca="false">IF(OR(D78="",D78+G78=0),"",D78/(D78+G78))</f>
        <v>0.379697927643133</v>
      </c>
      <c r="K78" s="40" t="n">
        <f aca="false">IF(E78="","",E78/(E78+H78))</f>
        <v>0.398900667451904</v>
      </c>
      <c r="L78" s="69" t="n">
        <f aca="false">IF(OR(K78="",J78=""),"",(J78-K78)*100)</f>
        <v>-1.92027398087711</v>
      </c>
      <c r="M78" s="36" t="n">
        <v>1.29884199722958</v>
      </c>
      <c r="N78" s="36" t="n">
        <v>1.05134356628362</v>
      </c>
      <c r="O78" s="36" t="n">
        <f aca="false">SQRT(M78^2+N78^2)</f>
        <v>1.67102179163927</v>
      </c>
      <c r="P78" s="40" t="n">
        <f aca="false">IF(J78="","",MAX(0,J78-1.96*O78/100))</f>
        <v>0.346945900527004</v>
      </c>
      <c r="Q78" s="40" t="n">
        <f aca="false">IF(J78="","",MIN(1,J78+1.96*O78/100))</f>
        <v>0.412449954759263</v>
      </c>
      <c r="R78" s="32" t="str">
        <f aca="false">IF(L78="","",IF(ABS(L78)&lt;=O78,"Yes","No"))</f>
        <v>No</v>
      </c>
      <c r="S78" s="32" t="str">
        <f aca="false">IF(L78="","",IF(ABS(L78)&lt;=1.96*O78,"Yes","No"))</f>
        <v>Yes</v>
      </c>
      <c r="T78" s="59" t="n">
        <f aca="false">IF(D78="","",ROUND(SQRT(((D78+G78)*O78/100)^2+(J78*(D78+G78)*0.04632)^2),0))</f>
        <v>69</v>
      </c>
      <c r="U78" s="32"/>
    </row>
    <row r="79" customFormat="false" ht="15" hidden="false" customHeight="false" outlineLevel="0" collapsed="false">
      <c r="A79" s="32" t="s">
        <v>220</v>
      </c>
      <c r="B79" s="32" t="s">
        <v>245</v>
      </c>
      <c r="C79" s="32" t="s">
        <v>161</v>
      </c>
      <c r="D79" s="59" t="n">
        <v>65</v>
      </c>
      <c r="E79" s="59" t="n">
        <v>62</v>
      </c>
      <c r="F79" s="68" t="n">
        <f aca="false">IF(E79="","",D79-E79)</f>
        <v>3</v>
      </c>
      <c r="G79" s="59" t="n">
        <v>116</v>
      </c>
      <c r="H79" s="59" t="n">
        <v>104</v>
      </c>
      <c r="I79" s="68" t="n">
        <f aca="false">IF(H79="","",G79-H79)</f>
        <v>12</v>
      </c>
      <c r="J79" s="40" t="n">
        <f aca="false">IF(OR(D79="",D79+G79=0),"",D79/(D79+G79))</f>
        <v>0.359116022099448</v>
      </c>
      <c r="K79" s="40" t="n">
        <f aca="false">IF(E79="","",E79/(E79+H79))</f>
        <v>0.373493975903614</v>
      </c>
      <c r="L79" s="69" t="n">
        <f aca="false">IF(OR(K79="",J79=""),"",(J79-K79)*100)</f>
        <v>-1.43779538041669</v>
      </c>
      <c r="M79" s="36" t="n">
        <v>3.1080248214224</v>
      </c>
      <c r="N79" s="36" t="n">
        <v>1.05134356628362</v>
      </c>
      <c r="O79" s="36" t="n">
        <f aca="false">SQRT(M79^2+N79^2)</f>
        <v>3.28102751968704</v>
      </c>
      <c r="P79" s="40" t="n">
        <f aca="false">IF(J79="","",MAX(0,J79-1.96*O79/100))</f>
        <v>0.294807882713582</v>
      </c>
      <c r="Q79" s="40" t="n">
        <f aca="false">IF(J79="","",MIN(1,J79+1.96*O79/100))</f>
        <v>0.423424161485314</v>
      </c>
      <c r="R79" s="32" t="str">
        <f aca="false">IF(L79="","",IF(ABS(L79)&lt;=O79,"Yes","No"))</f>
        <v>Yes</v>
      </c>
      <c r="S79" s="32" t="str">
        <f aca="false">IF(L79="","",IF(ABS(L79)&lt;=1.96*O79,"Yes","No"))</f>
        <v>Yes</v>
      </c>
      <c r="T79" s="59" t="n">
        <f aca="false">IF(D79="","",ROUND(SQRT(((D79+G79)*O79/100)^2+(J79*(D79+G79)*0.07067)^2),0))</f>
        <v>8</v>
      </c>
      <c r="U79" s="32"/>
    </row>
    <row r="80" customFormat="false" ht="15" hidden="false" customHeight="false" outlineLevel="0" collapsed="false">
      <c r="A80" s="32" t="s">
        <v>220</v>
      </c>
      <c r="B80" s="32" t="s">
        <v>246</v>
      </c>
      <c r="C80" s="32" t="s">
        <v>161</v>
      </c>
      <c r="D80" s="59" t="n">
        <v>268</v>
      </c>
      <c r="E80" s="59" t="n">
        <v>243</v>
      </c>
      <c r="F80" s="68" t="n">
        <f aca="false">IF(E80="","",D80-E80)</f>
        <v>25</v>
      </c>
      <c r="G80" s="59" t="n">
        <v>328</v>
      </c>
      <c r="H80" s="59" t="n">
        <v>335</v>
      </c>
      <c r="I80" s="68" t="n">
        <f aca="false">IF(H80="","",G80-H80)</f>
        <v>-7</v>
      </c>
      <c r="J80" s="40" t="n">
        <f aca="false">IF(OR(D80="",D80+G80=0),"",D80/(D80+G80))</f>
        <v>0.449664429530201</v>
      </c>
      <c r="K80" s="40" t="n">
        <f aca="false">IF(E80="","",E80/(E80+H80))</f>
        <v>0.420415224913495</v>
      </c>
      <c r="L80" s="69" t="n">
        <f aca="false">IF(OR(K80="",J80=""),"",(J80-K80)*100)</f>
        <v>2.92492046167066</v>
      </c>
      <c r="M80" s="36" t="n">
        <v>3.1080248214224</v>
      </c>
      <c r="N80" s="36" t="n">
        <v>1.05134356628362</v>
      </c>
      <c r="O80" s="36" t="n">
        <f aca="false">SQRT(M80^2+N80^2)</f>
        <v>3.28102751968704</v>
      </c>
      <c r="P80" s="40" t="n">
        <f aca="false">IF(J80="","",MAX(0,J80-1.96*O80/100))</f>
        <v>0.385356290144335</v>
      </c>
      <c r="Q80" s="40" t="n">
        <f aca="false">IF(J80="","",MIN(1,J80+1.96*O80/100))</f>
        <v>0.513972568916068</v>
      </c>
      <c r="R80" s="32" t="str">
        <f aca="false">IF(L80="","",IF(ABS(L80)&lt;=O80,"Yes","No"))</f>
        <v>Yes</v>
      </c>
      <c r="S80" s="32" t="str">
        <f aca="false">IF(L80="","",IF(ABS(L80)&lt;=1.96*O80,"Yes","No"))</f>
        <v>Yes</v>
      </c>
      <c r="T80" s="59" t="n">
        <f aca="false">IF(D80="","",ROUND(SQRT(((D80+G80)*O80/100)^2+(J80*(D80+G80)*0.07067)^2),0))</f>
        <v>27</v>
      </c>
      <c r="U80" s="32"/>
    </row>
    <row r="81" customFormat="false" ht="15" hidden="false" customHeight="false" outlineLevel="0" collapsed="false">
      <c r="A81" s="32" t="s">
        <v>220</v>
      </c>
      <c r="B81" s="32" t="s">
        <v>247</v>
      </c>
      <c r="C81" s="32" t="s">
        <v>161</v>
      </c>
      <c r="D81" s="59" t="n">
        <v>159</v>
      </c>
      <c r="E81" s="59" t="n">
        <v>142</v>
      </c>
      <c r="F81" s="68" t="n">
        <f aca="false">IF(E81="","",D81-E81)</f>
        <v>17</v>
      </c>
      <c r="G81" s="59" t="n">
        <v>204</v>
      </c>
      <c r="H81" s="59" t="n">
        <v>172</v>
      </c>
      <c r="I81" s="68" t="n">
        <f aca="false">IF(H81="","",G81-H81)</f>
        <v>32</v>
      </c>
      <c r="J81" s="40" t="n">
        <f aca="false">IF(OR(D81="",D81+G81=0),"",D81/(D81+G81))</f>
        <v>0.43801652892562</v>
      </c>
      <c r="K81" s="40" t="n">
        <f aca="false">IF(E81="","",E81/(E81+H81))</f>
        <v>0.452229299363057</v>
      </c>
      <c r="L81" s="69" t="n">
        <f aca="false">IF(OR(K81="",J81=""),"",(J81-K81)*100)</f>
        <v>-1.42127704374375</v>
      </c>
      <c r="M81" s="36" t="n">
        <v>3.1080248214224</v>
      </c>
      <c r="N81" s="36" t="n">
        <v>1.05134356628362</v>
      </c>
      <c r="O81" s="36" t="n">
        <f aca="false">SQRT(M81^2+N81^2)</f>
        <v>3.28102751968704</v>
      </c>
      <c r="P81" s="40" t="n">
        <f aca="false">IF(J81="","",MAX(0,J81-1.96*O81/100))</f>
        <v>0.373708389539754</v>
      </c>
      <c r="Q81" s="40" t="n">
        <f aca="false">IF(J81="","",MIN(1,J81+1.96*O81/100))</f>
        <v>0.502324668311486</v>
      </c>
      <c r="R81" s="32" t="str">
        <f aca="false">IF(L81="","",IF(ABS(L81)&lt;=O81,"Yes","No"))</f>
        <v>Yes</v>
      </c>
      <c r="S81" s="32" t="str">
        <f aca="false">IF(L81="","",IF(ABS(L81)&lt;=1.96*O81,"Yes","No"))</f>
        <v>Yes</v>
      </c>
      <c r="T81" s="59" t="n">
        <f aca="false">IF(D81="","",ROUND(SQRT(((D81+G81)*O81/100)^2+(J81*(D81+G81)*0.07067)^2),0))</f>
        <v>16</v>
      </c>
      <c r="U81" s="32"/>
    </row>
    <row r="82" customFormat="false" ht="15" hidden="false" customHeight="false" outlineLevel="0" collapsed="false">
      <c r="A82" s="32" t="s">
        <v>220</v>
      </c>
      <c r="B82" s="32" t="s">
        <v>248</v>
      </c>
      <c r="C82" s="32" t="s">
        <v>161</v>
      </c>
      <c r="D82" s="59" t="n">
        <v>227</v>
      </c>
      <c r="E82" s="59" t="n">
        <v>192</v>
      </c>
      <c r="F82" s="68" t="n">
        <f aca="false">IF(E82="","",D82-E82)</f>
        <v>35</v>
      </c>
      <c r="G82" s="59" t="n">
        <v>251</v>
      </c>
      <c r="H82" s="59" t="n">
        <v>253</v>
      </c>
      <c r="I82" s="68" t="n">
        <f aca="false">IF(H82="","",G82-H82)</f>
        <v>-2</v>
      </c>
      <c r="J82" s="40" t="n">
        <f aca="false">IF(OR(D82="",D82+G82=0),"",D82/(D82+G82))</f>
        <v>0.47489539748954</v>
      </c>
      <c r="K82" s="40" t="n">
        <f aca="false">IF(E82="","",E82/(E82+H82))</f>
        <v>0.431460674157303</v>
      </c>
      <c r="L82" s="69" t="n">
        <f aca="false">IF(OR(K82="",J82=""),"",(J82-K82)*100)</f>
        <v>4.34347233322364</v>
      </c>
      <c r="M82" s="36" t="n">
        <v>3.1080248214224</v>
      </c>
      <c r="N82" s="36" t="n">
        <v>1.05134356628362</v>
      </c>
      <c r="O82" s="36" t="n">
        <f aca="false">SQRT(M82^2+N82^2)</f>
        <v>3.28102751968704</v>
      </c>
      <c r="P82" s="40" t="n">
        <f aca="false">IF(J82="","",MAX(0,J82-1.96*O82/100))</f>
        <v>0.410587258103674</v>
      </c>
      <c r="Q82" s="40" t="n">
        <f aca="false">IF(J82="","",MIN(1,J82+1.96*O82/100))</f>
        <v>0.539203536875406</v>
      </c>
      <c r="R82" s="32" t="str">
        <f aca="false">IF(L82="","",IF(ABS(L82)&lt;=O82,"Yes","No"))</f>
        <v>No</v>
      </c>
      <c r="S82" s="32" t="str">
        <f aca="false">IF(L82="","",IF(ABS(L82)&lt;=1.96*O82,"Yes","No"))</f>
        <v>Yes</v>
      </c>
      <c r="T82" s="59" t="n">
        <f aca="false">IF(D82="","",ROUND(SQRT(((D82+G82)*O82/100)^2+(J82*(D82+G82)*0.07067)^2),0))</f>
        <v>22</v>
      </c>
      <c r="U82" s="32"/>
    </row>
    <row r="83" customFormat="false" ht="15" hidden="false" customHeight="false" outlineLevel="0" collapsed="false">
      <c r="A83" s="32" t="s">
        <v>220</v>
      </c>
      <c r="B83" s="32" t="s">
        <v>249</v>
      </c>
      <c r="C83" s="32" t="s">
        <v>161</v>
      </c>
      <c r="D83" s="59" t="n">
        <v>1010</v>
      </c>
      <c r="E83" s="59" t="n">
        <v>967</v>
      </c>
      <c r="F83" s="68" t="n">
        <f aca="false">IF(E83="","",D83-E83)</f>
        <v>43</v>
      </c>
      <c r="G83" s="59" t="n">
        <v>1927</v>
      </c>
      <c r="H83" s="59" t="n">
        <v>1709</v>
      </c>
      <c r="I83" s="68" t="n">
        <f aca="false">IF(H83="","",G83-H83)</f>
        <v>218</v>
      </c>
      <c r="J83" s="40" t="n">
        <f aca="false">IF(OR(D83="",D83+G83=0),"",D83/(D83+G83))</f>
        <v>0.343888321416411</v>
      </c>
      <c r="K83" s="40" t="n">
        <f aca="false">IF(E83="","",E83/(E83+H83))</f>
        <v>0.36136023916293</v>
      </c>
      <c r="L83" s="69" t="n">
        <f aca="false">IF(OR(K83="",J83=""),"",(J83-K83)*100)</f>
        <v>-1.74719177465185</v>
      </c>
      <c r="M83" s="36" t="n">
        <v>1.29884199722958</v>
      </c>
      <c r="N83" s="36" t="n">
        <v>1.05134356628362</v>
      </c>
      <c r="O83" s="36" t="n">
        <f aca="false">SQRT(M83^2+N83^2)</f>
        <v>1.67102179163927</v>
      </c>
      <c r="P83" s="40" t="n">
        <f aca="false">IF(J83="","",MAX(0,J83-1.96*O83/100))</f>
        <v>0.311136294300282</v>
      </c>
      <c r="Q83" s="40" t="n">
        <f aca="false">IF(J83="","",MIN(1,J83+1.96*O83/100))</f>
        <v>0.376640348532541</v>
      </c>
      <c r="R83" s="32" t="str">
        <f aca="false">IF(L83="","",IF(ABS(L83)&lt;=O83,"Yes","No"))</f>
        <v>No</v>
      </c>
      <c r="S83" s="32" t="str">
        <f aca="false">IF(L83="","",IF(ABS(L83)&lt;=1.96*O83,"Yes","No"))</f>
        <v>Yes</v>
      </c>
      <c r="T83" s="59" t="n">
        <f aca="false">IF(D83="","",ROUND(SQRT(((D83+G83)*O83/100)^2+(J83*(D83+G83)*0.04632)^2),0))</f>
        <v>68</v>
      </c>
      <c r="U83" s="32"/>
    </row>
    <row r="84" customFormat="false" ht="15" hidden="false" customHeight="false" outlineLevel="0" collapsed="false">
      <c r="A84" s="32" t="s">
        <v>220</v>
      </c>
      <c r="B84" s="32" t="s">
        <v>250</v>
      </c>
      <c r="C84" s="32" t="s">
        <v>161</v>
      </c>
      <c r="D84" s="59" t="n">
        <v>1441</v>
      </c>
      <c r="E84" s="59" t="n">
        <v>1261</v>
      </c>
      <c r="F84" s="68" t="n">
        <f aca="false">IF(E84="","",D84-E84)</f>
        <v>180</v>
      </c>
      <c r="G84" s="59" t="n">
        <v>1423</v>
      </c>
      <c r="H84" s="59" t="n">
        <v>1262</v>
      </c>
      <c r="I84" s="68" t="n">
        <f aca="false">IF(H84="","",G84-H84)</f>
        <v>161</v>
      </c>
      <c r="J84" s="40" t="n">
        <f aca="false">IF(OR(D84="",D84+G84=0),"",D84/(D84+G84))</f>
        <v>0.503142458100559</v>
      </c>
      <c r="K84" s="40" t="n">
        <f aca="false">IF(E84="","",E84/(E84+H84))</f>
        <v>0.499801823226318</v>
      </c>
      <c r="L84" s="69" t="n">
        <f aca="false">IF(OR(K84="",J84=""),"",(J84-K84)*100)</f>
        <v>0.33406348742408</v>
      </c>
      <c r="M84" s="36" t="n">
        <v>1.29884199722958</v>
      </c>
      <c r="N84" s="36" t="n">
        <v>1.05134356628362</v>
      </c>
      <c r="O84" s="36" t="n">
        <f aca="false">SQRT(M84^2+N84^2)</f>
        <v>1.67102179163927</v>
      </c>
      <c r="P84" s="40" t="n">
        <f aca="false">IF(J84="","",MAX(0,J84-1.96*O84/100))</f>
        <v>0.470390430984429</v>
      </c>
      <c r="Q84" s="40" t="n">
        <f aca="false">IF(J84="","",MIN(1,J84+1.96*O84/100))</f>
        <v>0.535894485216688</v>
      </c>
      <c r="R84" s="32" t="str">
        <f aca="false">IF(L84="","",IF(ABS(L84)&lt;=O84,"Yes","No"))</f>
        <v>Yes</v>
      </c>
      <c r="S84" s="32" t="str">
        <f aca="false">IF(L84="","",IF(ABS(L84)&lt;=1.96*O84,"Yes","No"))</f>
        <v>Yes</v>
      </c>
      <c r="T84" s="59" t="n">
        <f aca="false">IF(D84="","",ROUND(SQRT(((D84+G84)*O84/100)^2+(J84*(D84+G84)*0.04632)^2),0))</f>
        <v>82</v>
      </c>
      <c r="U84" s="32"/>
    </row>
    <row r="85" customFormat="false" ht="15" hidden="false" customHeight="false" outlineLevel="0" collapsed="false">
      <c r="A85" s="32" t="s">
        <v>220</v>
      </c>
      <c r="B85" s="32" t="s">
        <v>251</v>
      </c>
      <c r="C85" s="32" t="s">
        <v>161</v>
      </c>
      <c r="D85" s="59" t="n">
        <v>284</v>
      </c>
      <c r="E85" s="59" t="n">
        <v>250</v>
      </c>
      <c r="F85" s="68" t="n">
        <f aca="false">IF(E85="","",D85-E85)</f>
        <v>34</v>
      </c>
      <c r="G85" s="59" t="n">
        <v>362</v>
      </c>
      <c r="H85" s="59" t="n">
        <v>344</v>
      </c>
      <c r="I85" s="68" t="n">
        <f aca="false">IF(H85="","",G85-H85)</f>
        <v>18</v>
      </c>
      <c r="J85" s="40" t="n">
        <f aca="false">IF(OR(D85="",D85+G85=0),"",D85/(D85+G85))</f>
        <v>0.439628482972136</v>
      </c>
      <c r="K85" s="40" t="n">
        <f aca="false">IF(E85="","",E85/(E85+H85))</f>
        <v>0.420875420875421</v>
      </c>
      <c r="L85" s="69" t="n">
        <f aca="false">IF(OR(K85="",J85=""),"",(J85-K85)*100)</f>
        <v>1.87530620967153</v>
      </c>
      <c r="M85" s="36" t="n">
        <v>3.1080248214224</v>
      </c>
      <c r="N85" s="36" t="n">
        <v>1.05134356628362</v>
      </c>
      <c r="O85" s="36" t="n">
        <f aca="false">SQRT(M85^2+N85^2)</f>
        <v>3.28102751968704</v>
      </c>
      <c r="P85" s="40" t="n">
        <f aca="false">IF(J85="","",MAX(0,J85-1.96*O85/100))</f>
        <v>0.37532034358627</v>
      </c>
      <c r="Q85" s="40" t="n">
        <f aca="false">IF(J85="","",MIN(1,J85+1.96*O85/100))</f>
        <v>0.503936622358002</v>
      </c>
      <c r="R85" s="32" t="str">
        <f aca="false">IF(L85="","",IF(ABS(L85)&lt;=O85,"Yes","No"))</f>
        <v>Yes</v>
      </c>
      <c r="S85" s="32" t="str">
        <f aca="false">IF(L85="","",IF(ABS(L85)&lt;=1.96*O85,"Yes","No"))</f>
        <v>Yes</v>
      </c>
      <c r="T85" s="59" t="n">
        <f aca="false">IF(D85="","",ROUND(SQRT(((D85+G85)*O85/100)^2+(J85*(D85+G85)*0.07067)^2),0))</f>
        <v>29</v>
      </c>
      <c r="U85" s="32"/>
    </row>
    <row r="86" customFormat="false" ht="15" hidden="false" customHeight="false" outlineLevel="0" collapsed="false">
      <c r="A86" s="32" t="s">
        <v>220</v>
      </c>
      <c r="B86" s="32" t="s">
        <v>212</v>
      </c>
      <c r="C86" s="32" t="s">
        <v>161</v>
      </c>
      <c r="D86" s="59" t="n">
        <v>809</v>
      </c>
      <c r="E86" s="59" t="n">
        <v>724</v>
      </c>
      <c r="F86" s="68" t="n">
        <f aca="false">IF(E86="","",D86-E86)</f>
        <v>85</v>
      </c>
      <c r="G86" s="59" t="n">
        <v>1358</v>
      </c>
      <c r="H86" s="59" t="n">
        <v>1138</v>
      </c>
      <c r="I86" s="68" t="n">
        <f aca="false">IF(H86="","",G86-H86)</f>
        <v>220</v>
      </c>
      <c r="J86" s="40" t="n">
        <f aca="false">IF(OR(D86="",D86+G86=0),"",D86/(D86+G86))</f>
        <v>0.373327180433779</v>
      </c>
      <c r="K86" s="40" t="n">
        <f aca="false">IF(E86="","",E86/(E86+H86))</f>
        <v>0.388829215896885</v>
      </c>
      <c r="L86" s="69" t="n">
        <f aca="false">IF(OR(K86="",J86=""),"",(J86-K86)*100)</f>
        <v>-1.55020354631056</v>
      </c>
      <c r="M86" s="36" t="n">
        <v>2.06682372168594</v>
      </c>
      <c r="N86" s="36" t="n">
        <v>1.05134356628362</v>
      </c>
      <c r="O86" s="36" t="n">
        <f aca="false">SQRT(M86^2+N86^2)</f>
        <v>2.31885393910218</v>
      </c>
      <c r="P86" s="40" t="n">
        <f aca="false">IF(J86="","",MAX(0,J86-1.96*O86/100))</f>
        <v>0.327877643227377</v>
      </c>
      <c r="Q86" s="40" t="n">
        <f aca="false">IF(J86="","",MIN(1,J86+1.96*O86/100))</f>
        <v>0.418776717640182</v>
      </c>
      <c r="R86" s="32" t="str">
        <f aca="false">IF(L86="","",IF(ABS(L86)&lt;=O86,"Yes","No"))</f>
        <v>Yes</v>
      </c>
      <c r="S86" s="32" t="str">
        <f aca="false">IF(L86="","",IF(ABS(L86)&lt;=1.96*O86,"Yes","No"))</f>
        <v>Yes</v>
      </c>
      <c r="T86" s="59" t="n">
        <f aca="false">IF(D86="","",ROUND(SQRT(((D86+G86)*O86/100)^2+(J86*(D86+G86)*0.05402)^2),0))</f>
        <v>67</v>
      </c>
      <c r="U86" s="32"/>
    </row>
    <row r="87" customFormat="false" ht="15" hidden="false" customHeight="false" outlineLevel="0" collapsed="false">
      <c r="A87" s="32" t="s">
        <v>220</v>
      </c>
      <c r="B87" s="32" t="s">
        <v>252</v>
      </c>
      <c r="C87" s="32" t="s">
        <v>161</v>
      </c>
      <c r="D87" s="59" t="n">
        <v>205</v>
      </c>
      <c r="E87" s="59" t="n">
        <v>190</v>
      </c>
      <c r="F87" s="68" t="n">
        <f aca="false">IF(E87="","",D87-E87)</f>
        <v>15</v>
      </c>
      <c r="G87" s="59" t="n">
        <v>195</v>
      </c>
      <c r="H87" s="59" t="n">
        <v>165</v>
      </c>
      <c r="I87" s="68" t="n">
        <f aca="false">IF(H87="","",G87-H87)</f>
        <v>30</v>
      </c>
      <c r="J87" s="40" t="n">
        <f aca="false">IF(OR(D87="",D87+G87=0),"",D87/(D87+G87))</f>
        <v>0.5125</v>
      </c>
      <c r="K87" s="40" t="n">
        <f aca="false">IF(E87="","",E87/(E87+H87))</f>
        <v>0.535211267605634</v>
      </c>
      <c r="L87" s="69" t="n">
        <f aca="false">IF(OR(K87="",J87=""),"",(J87-K87)*100)</f>
        <v>-2.27112676056338</v>
      </c>
      <c r="M87" s="36" t="n">
        <v>3.1080248214224</v>
      </c>
      <c r="N87" s="36" t="n">
        <v>1.05134356628362</v>
      </c>
      <c r="O87" s="36" t="n">
        <f aca="false">SQRT(M87^2+N87^2)</f>
        <v>3.28102751968704</v>
      </c>
      <c r="P87" s="40" t="n">
        <f aca="false">IF(J87="","",MAX(0,J87-1.96*O87/100))</f>
        <v>0.448191860614134</v>
      </c>
      <c r="Q87" s="40" t="n">
        <f aca="false">IF(J87="","",MIN(1,J87+1.96*O87/100))</f>
        <v>0.576808139385866</v>
      </c>
      <c r="R87" s="32" t="str">
        <f aca="false">IF(L87="","",IF(ABS(L87)&lt;=O87,"Yes","No"))</f>
        <v>Yes</v>
      </c>
      <c r="S87" s="32" t="str">
        <f aca="false">IF(L87="","",IF(ABS(L87)&lt;=1.96*O87,"Yes","No"))</f>
        <v>Yes</v>
      </c>
      <c r="T87" s="59" t="n">
        <f aca="false">IF(D87="","",ROUND(SQRT(((D87+G87)*O87/100)^2+(J87*(D87+G87)*0.07067)^2),0))</f>
        <v>20</v>
      </c>
      <c r="U87" s="32"/>
    </row>
    <row r="88" customFormat="false" ht="15" hidden="false" customHeight="false" outlineLevel="0" collapsed="false">
      <c r="A88" s="32" t="s">
        <v>220</v>
      </c>
      <c r="B88" s="32" t="s">
        <v>253</v>
      </c>
      <c r="C88" s="32" t="s">
        <v>161</v>
      </c>
      <c r="D88" s="59" t="n">
        <v>1289</v>
      </c>
      <c r="E88" s="59" t="n">
        <v>1296</v>
      </c>
      <c r="F88" s="68" t="n">
        <f aca="false">IF(E88="","",D88-E88)</f>
        <v>-7</v>
      </c>
      <c r="G88" s="59" t="n">
        <v>1787</v>
      </c>
      <c r="H88" s="59" t="n">
        <v>1534</v>
      </c>
      <c r="I88" s="68" t="n">
        <f aca="false">IF(H88="","",G88-H88)</f>
        <v>253</v>
      </c>
      <c r="J88" s="40" t="n">
        <f aca="false">IF(OR(D88="",D88+G88=0),"",D88/(D88+G88))</f>
        <v>0.419050715214564</v>
      </c>
      <c r="K88" s="40" t="n">
        <f aca="false">IF(E88="","",E88/(E88+H88))</f>
        <v>0.457950530035336</v>
      </c>
      <c r="L88" s="69" t="n">
        <f aca="false">IF(OR(K88="",J88=""),"",(J88-K88)*100)</f>
        <v>-3.88998148207713</v>
      </c>
      <c r="M88" s="36" t="n">
        <v>1.29884199722958</v>
      </c>
      <c r="N88" s="36" t="n">
        <v>1.05134356628362</v>
      </c>
      <c r="O88" s="36" t="n">
        <f aca="false">SQRT(M88^2+N88^2)</f>
        <v>1.67102179163927</v>
      </c>
      <c r="P88" s="40" t="n">
        <f aca="false">IF(J88="","",MAX(0,J88-1.96*O88/100))</f>
        <v>0.386298688098435</v>
      </c>
      <c r="Q88" s="40" t="n">
        <f aca="false">IF(J88="","",MIN(1,J88+1.96*O88/100))</f>
        <v>0.451802742330694</v>
      </c>
      <c r="R88" s="32" t="str">
        <f aca="false">IF(L88="","",IF(ABS(L88)&lt;=O88,"Yes","No"))</f>
        <v>No</v>
      </c>
      <c r="S88" s="32" t="str">
        <f aca="false">IF(L88="","",IF(ABS(L88)&lt;=1.96*O88,"Yes","No"))</f>
        <v>No</v>
      </c>
      <c r="T88" s="59" t="n">
        <f aca="false">IF(D88="","",ROUND(SQRT(((D88+G88)*O88/100)^2+(J88*(D88+G88)*0.04632)^2),0))</f>
        <v>79</v>
      </c>
      <c r="U88" s="32"/>
    </row>
    <row r="89" customFormat="false" ht="15" hidden="false" customHeight="false" outlineLevel="0" collapsed="false">
      <c r="A89" s="32" t="s">
        <v>220</v>
      </c>
      <c r="B89" s="32" t="s">
        <v>254</v>
      </c>
      <c r="C89" s="32" t="s">
        <v>161</v>
      </c>
      <c r="D89" s="59" t="n">
        <v>1338</v>
      </c>
      <c r="E89" s="59" t="n">
        <v>1247</v>
      </c>
      <c r="F89" s="68" t="n">
        <f aca="false">IF(E89="","",D89-E89)</f>
        <v>91</v>
      </c>
      <c r="G89" s="59" t="n">
        <v>879</v>
      </c>
      <c r="H89" s="59" t="n">
        <v>810</v>
      </c>
      <c r="I89" s="68" t="n">
        <f aca="false">IF(H89="","",G89-H89)</f>
        <v>69</v>
      </c>
      <c r="J89" s="40" t="n">
        <f aca="false">IF(OR(D89="",D89+G89=0),"",D89/(D89+G89))</f>
        <v>0.603518267929635</v>
      </c>
      <c r="K89" s="40" t="n">
        <f aca="false">IF(E89="","",E89/(E89+H89))</f>
        <v>0.606222654350997</v>
      </c>
      <c r="L89" s="69" t="n">
        <f aca="false">IF(OR(K89="",J89=""),"",(J89-K89)*100)</f>
        <v>-0.270438642136206</v>
      </c>
      <c r="M89" s="36" t="n">
        <v>2.06682372168594</v>
      </c>
      <c r="N89" s="36" t="n">
        <v>1.05134356628362</v>
      </c>
      <c r="O89" s="36" t="n">
        <f aca="false">SQRT(M89^2+N89^2)</f>
        <v>2.31885393910218</v>
      </c>
      <c r="P89" s="40" t="n">
        <f aca="false">IF(J89="","",MAX(0,J89-1.96*O89/100))</f>
        <v>0.558068730723232</v>
      </c>
      <c r="Q89" s="40" t="n">
        <f aca="false">IF(J89="","",MIN(1,J89+1.96*O89/100))</f>
        <v>0.648967805136037</v>
      </c>
      <c r="R89" s="32" t="str">
        <f aca="false">IF(L89="","",IF(ABS(L89)&lt;=O89,"Yes","No"))</f>
        <v>Yes</v>
      </c>
      <c r="S89" s="32" t="str">
        <f aca="false">IF(L89="","",IF(ABS(L89)&lt;=1.96*O89,"Yes","No"))</f>
        <v>Yes</v>
      </c>
      <c r="T89" s="59" t="n">
        <f aca="false">IF(D89="","",ROUND(SQRT(((D89+G89)*O89/100)^2+(J89*(D89+G89)*0.05402)^2),0))</f>
        <v>89</v>
      </c>
      <c r="U89" s="32"/>
    </row>
    <row r="90" customFormat="false" ht="15" hidden="false" customHeight="false" outlineLevel="0" collapsed="false">
      <c r="A90" s="32" t="s">
        <v>220</v>
      </c>
      <c r="B90" s="32" t="s">
        <v>255</v>
      </c>
      <c r="C90" s="32" t="s">
        <v>161</v>
      </c>
      <c r="D90" s="59" t="n">
        <v>435</v>
      </c>
      <c r="E90" s="59" t="n">
        <v>362</v>
      </c>
      <c r="F90" s="68" t="n">
        <f aca="false">IF(E90="","",D90-E90)</f>
        <v>73</v>
      </c>
      <c r="G90" s="59" t="n">
        <v>469</v>
      </c>
      <c r="H90" s="59" t="n">
        <v>437</v>
      </c>
      <c r="I90" s="68" t="n">
        <f aca="false">IF(H90="","",G90-H90)</f>
        <v>32</v>
      </c>
      <c r="J90" s="40" t="n">
        <f aca="false">IF(OR(D90="",D90+G90=0),"",D90/(D90+G90))</f>
        <v>0.481194690265487</v>
      </c>
      <c r="K90" s="40" t="n">
        <f aca="false">IF(E90="","",E90/(E90+H90))</f>
        <v>0.453066332916145</v>
      </c>
      <c r="L90" s="69" t="n">
        <f aca="false">IF(OR(K90="",J90=""),"",(J90-K90)*100)</f>
        <v>2.81283573493416</v>
      </c>
      <c r="M90" s="36" t="n">
        <v>3.1080248214224</v>
      </c>
      <c r="N90" s="36" t="n">
        <v>1.05134356628362</v>
      </c>
      <c r="O90" s="36" t="n">
        <f aca="false">SQRT(M90^2+N90^2)</f>
        <v>3.28102751968704</v>
      </c>
      <c r="P90" s="40" t="n">
        <f aca="false">IF(J90="","",MAX(0,J90-1.96*O90/100))</f>
        <v>0.416886550879621</v>
      </c>
      <c r="Q90" s="40" t="n">
        <f aca="false">IF(J90="","",MIN(1,J90+1.96*O90/100))</f>
        <v>0.545502829651353</v>
      </c>
      <c r="R90" s="32" t="str">
        <f aca="false">IF(L90="","",IF(ABS(L90)&lt;=O90,"Yes","No"))</f>
        <v>Yes</v>
      </c>
      <c r="S90" s="32" t="str">
        <f aca="false">IF(L90="","",IF(ABS(L90)&lt;=1.96*O90,"Yes","No"))</f>
        <v>Yes</v>
      </c>
      <c r="T90" s="59" t="n">
        <f aca="false">IF(D90="","",ROUND(SQRT(((D90+G90)*O90/100)^2+(J90*(D90+G90)*0.07067)^2),0))</f>
        <v>43</v>
      </c>
      <c r="U90" s="32"/>
    </row>
    <row r="92" customFormat="false" ht="15" hidden="false" customHeight="false" outlineLevel="0" collapsed="false">
      <c r="A92" s="20" t="s">
        <v>383</v>
      </c>
      <c r="B92" s="70"/>
      <c r="C92" s="70"/>
      <c r="D92" s="71" t="n">
        <f aca="false">SUMIF(E2:E90,"&lt;&gt;",D2:D90)</f>
        <v>143809</v>
      </c>
      <c r="E92" s="71" t="n">
        <f aca="false">SUM(E2:E90)</f>
        <v>139992</v>
      </c>
      <c r="F92" s="72" t="n">
        <f aca="false">D92-E92</f>
        <v>3817</v>
      </c>
      <c r="G92" s="71" t="n">
        <f aca="false">SUMIF(H2:H90,"&lt;&gt;",G2:G90)</f>
        <v>134946</v>
      </c>
      <c r="H92" s="71" t="n">
        <f aca="false">SUM(H2:H90)</f>
        <v>122296</v>
      </c>
      <c r="I92" s="72" t="n">
        <f aca="false">G92-H92</f>
        <v>12650</v>
      </c>
      <c r="J92" s="73" t="n">
        <f aca="false">D92/(D92+G92)</f>
        <v>0.515897472691073</v>
      </c>
      <c r="K92" s="73" t="n">
        <f aca="false">E92/(E92+H92)</f>
        <v>0.533733910815592</v>
      </c>
      <c r="L92" s="74" t="n">
        <f aca="false">(J92-K92)*100</f>
        <v>-1.78364381245193</v>
      </c>
      <c r="M92" s="75" t="n">
        <v>0</v>
      </c>
      <c r="N92" s="75" t="n">
        <v>1.05134356628362</v>
      </c>
      <c r="O92" s="75" t="n">
        <f aca="false">SQRT(M92^2+N92^2)</f>
        <v>1.05134356628362</v>
      </c>
      <c r="P92" s="73" t="n">
        <f aca="false">J92-1.96*O92/100</f>
        <v>0.495291138791914</v>
      </c>
      <c r="Q92" s="73" t="n">
        <f aca="false">J92+1.96*O92/100</f>
        <v>0.536503806590232</v>
      </c>
      <c r="R92" s="70" t="str">
        <f aca="false">IF(ABS(L92)&lt;=O92,"Yes","No")</f>
        <v>No</v>
      </c>
      <c r="S92" s="70" t="str">
        <f aca="false">IF(ABS(L92)&lt;=1.96*O92,"Yes","No")</f>
        <v>Yes</v>
      </c>
      <c r="T92" s="71" t="n">
        <f aca="false">ROUND(SQRT(((D92+G92)*O92/100)^2+(J92*(D92+G92)*0.035)^2),0)</f>
        <v>5824</v>
      </c>
    </row>
    <row r="93" customFormat="false" ht="15" hidden="false" customHeight="false" outlineLevel="0" collapsed="false">
      <c r="A93" s="20" t="s">
        <v>384</v>
      </c>
      <c r="B93" s="70"/>
      <c r="C93" s="70"/>
      <c r="D93" s="71" t="n">
        <f aca="false">SUM(D2:D90)</f>
        <v>143809</v>
      </c>
      <c r="E93" s="71"/>
      <c r="F93" s="72"/>
      <c r="G93" s="71" t="n">
        <f aca="false">SUM(G2:G90)</f>
        <v>134946</v>
      </c>
      <c r="H93" s="71"/>
      <c r="I93" s="72"/>
      <c r="J93" s="73" t="n">
        <f aca="false">D93/(D93+G93)</f>
        <v>0.515897472691073</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102.078651685393</v>
      </c>
    </row>
    <row r="96" customFormat="false" ht="15" hidden="false" customHeight="false" outlineLevel="0" collapsed="false">
      <c r="A96" s="2" t="s">
        <v>386</v>
      </c>
      <c r="F96" s="76" t="n">
        <f aca="false">(SUMIF(I2:I90,"&gt;0")-SUMIF(I2:I90,"&lt;0"))/COUNT(I2:I90)</f>
        <v>151.820224719101</v>
      </c>
    </row>
    <row r="97" customFormat="false" ht="15" hidden="false" customHeight="false" outlineLevel="0" collapsed="false">
      <c r="A97" s="2" t="s">
        <v>387</v>
      </c>
      <c r="F97" s="77" t="n">
        <f aca="false">(SUMIF(L2:L90,"&gt;0")-SUMIF(L2:L90,"&lt;0"))/COUNT(L2:L90)</f>
        <v>2.6029682609139</v>
      </c>
    </row>
    <row r="98" customFormat="false" ht="15" hidden="false" customHeight="false" outlineLevel="0" collapsed="false">
      <c r="A98" s="5" t="s">
        <v>388</v>
      </c>
      <c r="F98" s="78" t="n">
        <f aca="false">SQRT(SUMSQ(L2:L90)/COUNT(L2:L90))</f>
        <v>3.46627065926759</v>
      </c>
    </row>
    <row r="99" customFormat="false" ht="15" hidden="false" customHeight="false" outlineLevel="0" collapsed="false">
      <c r="A99" s="5" t="s">
        <v>389</v>
      </c>
      <c r="F99" s="79" t="n">
        <f aca="false">L92</f>
        <v>-1.78364381245193</v>
      </c>
    </row>
    <row r="100" customFormat="false" ht="15" hidden="false" customHeight="false" outlineLevel="0" collapsed="false">
      <c r="A100" s="5" t="s">
        <v>390</v>
      </c>
      <c r="F100" s="78" t="n">
        <f aca="false">SQRT((SUMSQ(L2:L90)-2*L92*SUM(L2:L90)+COUNT(L2:L90)*L92^2)/COUNT(L2:L90))</f>
        <v>3.25108114380113</v>
      </c>
    </row>
    <row r="101" customFormat="false" ht="15" hidden="false" customHeight="false" outlineLevel="0" collapsed="false">
      <c r="A101" s="2" t="s">
        <v>391</v>
      </c>
      <c r="F101" s="80" t="n">
        <f aca="false">D92/E92-1</f>
        <v>0.0272658437625006</v>
      </c>
    </row>
    <row r="102" customFormat="false" ht="15" hidden="false" customHeight="false" outlineLevel="0" collapsed="false">
      <c r="A102" s="5" t="s">
        <v>392</v>
      </c>
      <c r="F102" s="81" t="n">
        <f aca="false">G92/H92-1</f>
        <v>0.103437561326617</v>
      </c>
    </row>
    <row r="103" customFormat="false" ht="15" hidden="false" customHeight="false" outlineLevel="0" collapsed="false">
      <c r="A103" s="2" t="s">
        <v>393</v>
      </c>
      <c r="F103" s="80" t="n">
        <f aca="false">(D92+G92)/(E92+H92)-1</f>
        <v>0.0627821326175806</v>
      </c>
    </row>
    <row r="104" customFormat="false" ht="15" hidden="false" customHeight="false" outlineLevel="0" collapsed="false">
      <c r="A104" s="2" t="s">
        <v>394</v>
      </c>
      <c r="F104" s="77" t="n">
        <f aca="false">AVERAGE(O2:O90)</f>
        <v>2.42481172554778</v>
      </c>
    </row>
    <row r="105" customFormat="false" ht="15" hidden="false" customHeight="false" outlineLevel="0" collapsed="false">
      <c r="A105" s="5" t="s">
        <v>395</v>
      </c>
      <c r="F105" s="82" t="n">
        <f aca="false">COUNTIF(R2:R90,"Yes")/(COUNTIF(R2:R90,"Yes")+COUNTIF(R2:R90,"No"))</f>
        <v>0.528089887640449</v>
      </c>
    </row>
    <row r="106" customFormat="false" ht="15" hidden="false" customHeight="false" outlineLevel="0" collapsed="false">
      <c r="A106" s="5" t="s">
        <v>396</v>
      </c>
      <c r="F106" s="82" t="n">
        <f aca="false">COUNTIF(S2:S90,"Yes")/(COUNTIF(S2:S90,"Yes")+COUNTIF(S2:S90,"No"))</f>
        <v>0.831460674157303</v>
      </c>
    </row>
    <row r="107" customFormat="false" ht="15" hidden="false" customHeight="false" outlineLevel="0" collapsed="false">
      <c r="A107" s="2" t="s">
        <v>397</v>
      </c>
      <c r="F107" s="83" t="n">
        <f aca="false">COUNTIFS(L2:L90,"&gt;=-3",L2:L90,"&lt;=3")/COUNT(L2:L90)</f>
        <v>0.685393258426966</v>
      </c>
    </row>
    <row r="108" customFormat="false" ht="15" hidden="false" customHeight="false" outlineLevel="0" collapsed="false">
      <c r="A108" s="2" t="s">
        <v>448</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8788.99630940035</v>
      </c>
    </row>
    <row r="112" customFormat="false" ht="15" hidden="false" customHeight="false" outlineLevel="0" collapsed="false">
      <c r="A112" s="2" t="s">
        <v>402</v>
      </c>
      <c r="F112" s="85" t="n">
        <f aca="false">F92-((D92+G92)-(E92+H92))*K92</f>
        <v>-4971.99630940035</v>
      </c>
    </row>
    <row r="113" customFormat="false" ht="15" hidden="false" customHeight="false" outlineLevel="0" collapsed="false">
      <c r="A113" s="2" t="s">
        <v>403</v>
      </c>
      <c r="F113" s="85" t="n">
        <f aca="false">((D92+G92)-(E92+H92))*(1-K92)</f>
        <v>7678.00369059965</v>
      </c>
    </row>
    <row r="114" customFormat="false" ht="15" hidden="false" customHeight="false" outlineLevel="0" collapsed="false">
      <c r="A114" s="2" t="s">
        <v>404</v>
      </c>
      <c r="F114" s="85" t="n">
        <f aca="false">I92-((D92+G92)-(E92+H92))*(1-K92)</f>
        <v>4971.99630940035</v>
      </c>
    </row>
    <row r="115" customFormat="false" ht="15" hidden="false" customHeight="false" outlineLevel="0" collapsed="false">
      <c r="A115" s="2" t="s">
        <v>405</v>
      </c>
      <c r="F115" s="80" t="n">
        <f aca="false">(F92-((D92+G92)-(E92+H92))*K92)/E92</f>
        <v>-0.03551628885508</v>
      </c>
    </row>
    <row r="116" customFormat="false" ht="15" hidden="false" customHeight="false" outlineLevel="0" collapsed="false">
      <c r="A116" s="2" t="s">
        <v>406</v>
      </c>
      <c r="F116" s="80" t="n">
        <f aca="false">(I92-((D92+G92)-(E92+H92))*(1-K92))/H92</f>
        <v>0.0406554287090367</v>
      </c>
    </row>
    <row r="118" customFormat="false" ht="15" hidden="false" customHeight="false" outlineLevel="0" collapsed="false">
      <c r="U118" s="5" t="s">
        <v>136</v>
      </c>
    </row>
    <row r="119" customFormat="false" ht="41.75" hidden="false" customHeight="false" outlineLevel="0" collapsed="false">
      <c r="U119" s="67" t="s">
        <v>449</v>
      </c>
    </row>
    <row r="120" customFormat="false" ht="41.75" hidden="false" customHeight="false" outlineLevel="0" collapsed="false">
      <c r="U120" s="67" t="s">
        <v>450</v>
      </c>
    </row>
    <row r="121" customFormat="false" ht="28.35" hidden="false" customHeight="false" outlineLevel="0" collapsed="false">
      <c r="U121" s="67" t="s">
        <v>457</v>
      </c>
    </row>
    <row r="122" customFormat="false" ht="28.35" hidden="false" customHeight="false" outlineLevel="0" collapsed="false">
      <c r="U122" s="67" t="s">
        <v>452</v>
      </c>
    </row>
    <row r="123" customFormat="false" ht="41.75" hidden="false" customHeight="false" outlineLevel="0" collapsed="false">
      <c r="U123" s="67" t="s">
        <v>453</v>
      </c>
    </row>
    <row r="124" customFormat="false" ht="28.35" hidden="false" customHeight="false" outlineLevel="0" collapsed="false">
      <c r="U124" s="67" t="s">
        <v>454</v>
      </c>
    </row>
    <row r="125" customFormat="false" ht="28.35" hidden="false" customHeight="false" outlineLevel="0" collapsed="false">
      <c r="U125" s="67" t="s">
        <v>413</v>
      </c>
    </row>
    <row r="126" customFormat="false" ht="41.75" hidden="false" customHeight="false" outlineLevel="0" collapsed="false">
      <c r="U126" s="67" t="s">
        <v>455</v>
      </c>
    </row>
    <row r="127" customFormat="false" ht="15" hidden="false" customHeight="false" outlineLevel="0" collapsed="false">
      <c r="U127" s="67" t="s">
        <v>456</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366</v>
      </c>
      <c r="E1" s="8" t="s">
        <v>367</v>
      </c>
      <c r="F1" s="8" t="s">
        <v>368</v>
      </c>
      <c r="G1" s="8" t="s">
        <v>445</v>
      </c>
      <c r="H1" s="8" t="s">
        <v>370</v>
      </c>
      <c r="I1" s="8" t="s">
        <v>371</v>
      </c>
      <c r="J1" s="8" t="s">
        <v>372</v>
      </c>
      <c r="K1" s="8" t="s">
        <v>373</v>
      </c>
      <c r="L1" s="8" t="s">
        <v>374</v>
      </c>
      <c r="M1" s="8" t="s">
        <v>446</v>
      </c>
      <c r="N1" s="8" t="s">
        <v>447</v>
      </c>
      <c r="O1" s="8" t="s">
        <v>139</v>
      </c>
      <c r="P1" s="8" t="s">
        <v>377</v>
      </c>
      <c r="Q1" s="8" t="s">
        <v>378</v>
      </c>
      <c r="R1" s="8" t="s">
        <v>379</v>
      </c>
      <c r="S1" s="8" t="s">
        <v>380</v>
      </c>
      <c r="T1" s="8" t="s">
        <v>381</v>
      </c>
      <c r="U1" s="8" t="s">
        <v>382</v>
      </c>
    </row>
    <row r="2" customFormat="false" ht="15" hidden="false" customHeight="false" outlineLevel="0" collapsed="false">
      <c r="A2" s="32" t="s">
        <v>159</v>
      </c>
      <c r="B2" s="32" t="s">
        <v>160</v>
      </c>
      <c r="C2" s="32" t="s">
        <v>161</v>
      </c>
      <c r="D2" s="59" t="n">
        <v>177</v>
      </c>
      <c r="E2" s="59" t="n">
        <v>160</v>
      </c>
      <c r="F2" s="68" t="n">
        <f aca="false">IF(E2="","",D2-E2)</f>
        <v>17</v>
      </c>
      <c r="G2" s="59" t="n">
        <v>249</v>
      </c>
      <c r="H2" s="59" t="n">
        <v>221</v>
      </c>
      <c r="I2" s="68" t="n">
        <f aca="false">IF(H2="","",G2-H2)</f>
        <v>28</v>
      </c>
      <c r="J2" s="40" t="n">
        <f aca="false">IF(OR(D2="",D2+G2=0),"",D2/(D2+G2))</f>
        <v>0.415492957746479</v>
      </c>
      <c r="K2" s="40" t="n">
        <f aca="false">IF(E2="","",E2/(E2+H2))</f>
        <v>0.41994750656168</v>
      </c>
      <c r="L2" s="69" t="n">
        <f aca="false">IF(OR(K2="",J2=""),"",(J2-K2)*100)</f>
        <v>-0.445454881520091</v>
      </c>
      <c r="M2" s="36" t="n">
        <v>3.12234213093196</v>
      </c>
      <c r="N2" s="36" t="n">
        <v>1.05172822528353</v>
      </c>
      <c r="O2" s="36" t="n">
        <f aca="false">SQRT(M2^2+N2^2)</f>
        <v>3.29471586672519</v>
      </c>
      <c r="P2" s="40" t="n">
        <f aca="false">IF(J2="","",MAX(0,J2-1.96*O2/100))</f>
        <v>0.350916526758665</v>
      </c>
      <c r="Q2" s="40" t="n">
        <f aca="false">IF(J2="","",MIN(1,J2+1.96*O2/100))</f>
        <v>0.480069388734293</v>
      </c>
      <c r="R2" s="32" t="str">
        <f aca="false">IF(L2="","",IF(ABS(L2)&lt;=O2,"Yes","No"))</f>
        <v>Yes</v>
      </c>
      <c r="S2" s="32" t="str">
        <f aca="false">IF(L2="","",IF(ABS(L2)&lt;=1.96*O2,"Yes","No"))</f>
        <v>Yes</v>
      </c>
      <c r="T2" s="59" t="n">
        <f aca="false">IF(D2="","",ROUND(SQRT(((D2+G2)*O2/100)^2+(J2*(D2+G2)*0.07067)^2),0))</f>
        <v>19</v>
      </c>
      <c r="U2" s="32" t="s">
        <v>432</v>
      </c>
    </row>
    <row r="3" customFormat="false" ht="15" hidden="false" customHeight="false" outlineLevel="0" collapsed="false">
      <c r="A3" s="32" t="s">
        <v>159</v>
      </c>
      <c r="B3" s="32" t="s">
        <v>165</v>
      </c>
      <c r="C3" s="32" t="s">
        <v>161</v>
      </c>
      <c r="D3" s="59" t="n">
        <v>100</v>
      </c>
      <c r="E3" s="59" t="n">
        <v>95</v>
      </c>
      <c r="F3" s="68" t="n">
        <f aca="false">IF(E3="","",D3-E3)</f>
        <v>5</v>
      </c>
      <c r="G3" s="59" t="n">
        <v>224</v>
      </c>
      <c r="H3" s="59" t="n">
        <v>192</v>
      </c>
      <c r="I3" s="68" t="n">
        <f aca="false">IF(H3="","",G3-H3)</f>
        <v>32</v>
      </c>
      <c r="J3" s="40" t="n">
        <f aca="false">IF(OR(D3="",D3+G3=0),"",D3/(D3+G3))</f>
        <v>0.308641975308642</v>
      </c>
      <c r="K3" s="40" t="n">
        <f aca="false">IF(E3="","",E3/(E3+H3))</f>
        <v>0.331010452961673</v>
      </c>
      <c r="L3" s="69" t="n">
        <f aca="false">IF(OR(K3="",J3=""),"",(J3-K3)*100)</f>
        <v>-2.23684776530305</v>
      </c>
      <c r="M3" s="36" t="n">
        <v>3.12234213093196</v>
      </c>
      <c r="N3" s="36" t="n">
        <v>1.05172822528353</v>
      </c>
      <c r="O3" s="36" t="n">
        <f aca="false">SQRT(M3^2+N3^2)</f>
        <v>3.29471586672519</v>
      </c>
      <c r="P3" s="40" t="n">
        <f aca="false">IF(J3="","",MAX(0,J3-1.96*O3/100))</f>
        <v>0.244065544320828</v>
      </c>
      <c r="Q3" s="40" t="n">
        <f aca="false">IF(J3="","",MIN(1,J3+1.96*O3/100))</f>
        <v>0.373218406296456</v>
      </c>
      <c r="R3" s="32" t="str">
        <f aca="false">IF(L3="","",IF(ABS(L3)&lt;=O3,"Yes","No"))</f>
        <v>Yes</v>
      </c>
      <c r="S3" s="32" t="str">
        <f aca="false">IF(L3="","",IF(ABS(L3)&lt;=1.96*O3,"Yes","No"))</f>
        <v>Yes</v>
      </c>
      <c r="T3" s="59" t="n">
        <f aca="false">IF(D3="","",ROUND(SQRT(((D3+G3)*O3/100)^2+(J3*(D3+G3)*0.07067)^2),0))</f>
        <v>13</v>
      </c>
      <c r="U3" s="32" t="s">
        <v>432</v>
      </c>
    </row>
    <row r="4" customFormat="false" ht="15" hidden="false" customHeight="false" outlineLevel="0" collapsed="false">
      <c r="A4" s="32" t="s">
        <v>159</v>
      </c>
      <c r="B4" s="32" t="s">
        <v>166</v>
      </c>
      <c r="C4" s="32" t="s">
        <v>161</v>
      </c>
      <c r="D4" s="59" t="n">
        <v>102</v>
      </c>
      <c r="E4" s="59" t="n">
        <v>110</v>
      </c>
      <c r="F4" s="68" t="n">
        <f aca="false">IF(E4="","",D4-E4)</f>
        <v>-8</v>
      </c>
      <c r="G4" s="59" t="n">
        <v>243</v>
      </c>
      <c r="H4" s="59" t="n">
        <v>175</v>
      </c>
      <c r="I4" s="68" t="n">
        <f aca="false">IF(H4="","",G4-H4)</f>
        <v>68</v>
      </c>
      <c r="J4" s="40" t="n">
        <f aca="false">IF(OR(D4="",D4+G4=0),"",D4/(D4+G4))</f>
        <v>0.295652173913044</v>
      </c>
      <c r="K4" s="40" t="n">
        <f aca="false">IF(E4="","",E4/(E4+H4))</f>
        <v>0.385964912280702</v>
      </c>
      <c r="L4" s="69" t="n">
        <f aca="false">IF(OR(K4="",J4=""),"",(J4-K4)*100)</f>
        <v>-9.03127383676582</v>
      </c>
      <c r="M4" s="36" t="n">
        <v>3.12234213093196</v>
      </c>
      <c r="N4" s="36" t="n">
        <v>1.05172822528353</v>
      </c>
      <c r="O4" s="36" t="n">
        <f aca="false">SQRT(M4^2+N4^2)</f>
        <v>3.29471586672519</v>
      </c>
      <c r="P4" s="40" t="n">
        <f aca="false">IF(J4="","",MAX(0,J4-1.96*O4/100))</f>
        <v>0.23107574292523</v>
      </c>
      <c r="Q4" s="40" t="n">
        <f aca="false">IF(J4="","",MIN(1,J4+1.96*O4/100))</f>
        <v>0.360228604900857</v>
      </c>
      <c r="R4" s="32" t="str">
        <f aca="false">IF(L4="","",IF(ABS(L4)&lt;=O4,"Yes","No"))</f>
        <v>No</v>
      </c>
      <c r="S4" s="32" t="str">
        <f aca="false">IF(L4="","",IF(ABS(L4)&lt;=1.96*O4,"Yes","No"))</f>
        <v>No</v>
      </c>
      <c r="T4" s="59" t="n">
        <f aca="false">IF(D4="","",ROUND(SQRT(((D4+G4)*O4/100)^2+(J4*(D4+G4)*0.07067)^2),0))</f>
        <v>13</v>
      </c>
      <c r="U4" s="32" t="s">
        <v>432</v>
      </c>
    </row>
    <row r="5" customFormat="false" ht="15" hidden="false" customHeight="false" outlineLevel="0" collapsed="false">
      <c r="A5" s="32" t="s">
        <v>159</v>
      </c>
      <c r="B5" s="32" t="s">
        <v>167</v>
      </c>
      <c r="C5" s="32" t="s">
        <v>161</v>
      </c>
      <c r="D5" s="59" t="n">
        <v>351</v>
      </c>
      <c r="E5" s="59" t="n">
        <v>369</v>
      </c>
      <c r="F5" s="68" t="n">
        <f aca="false">IF(E5="","",D5-E5)</f>
        <v>-18</v>
      </c>
      <c r="G5" s="59" t="n">
        <v>923</v>
      </c>
      <c r="H5" s="59" t="n">
        <v>742</v>
      </c>
      <c r="I5" s="68" t="n">
        <f aca="false">IF(H5="","",G5-H5)</f>
        <v>181</v>
      </c>
      <c r="J5" s="40" t="n">
        <f aca="false">IF(OR(D5="",D5+G5=0),"",D5/(D5+G5))</f>
        <v>0.275510204081633</v>
      </c>
      <c r="K5" s="40" t="n">
        <f aca="false">IF(E5="","",E5/(E5+H5))</f>
        <v>0.332133213321332</v>
      </c>
      <c r="L5" s="69" t="n">
        <f aca="false">IF(OR(K5="",J5=""),"",(J5-K5)*100)</f>
        <v>-5.66230092396995</v>
      </c>
      <c r="M5" s="36" t="n">
        <v>2.04164931371995</v>
      </c>
      <c r="N5" s="36" t="n">
        <v>1.05172822528353</v>
      </c>
      <c r="O5" s="36" t="n">
        <f aca="false">SQRT(M5^2+N5^2)</f>
        <v>2.29662016451811</v>
      </c>
      <c r="P5" s="40" t="n">
        <f aca="false">IF(J5="","",MAX(0,J5-1.96*O5/100))</f>
        <v>0.230496448857078</v>
      </c>
      <c r="Q5" s="40" t="n">
        <f aca="false">IF(J5="","",MIN(1,J5+1.96*O5/100))</f>
        <v>0.320523959306188</v>
      </c>
      <c r="R5" s="32" t="str">
        <f aca="false">IF(L5="","",IF(ABS(L5)&lt;=O5,"Yes","No"))</f>
        <v>No</v>
      </c>
      <c r="S5" s="32" t="str">
        <f aca="false">IF(L5="","",IF(ABS(L5)&lt;=1.96*O5,"Yes","No"))</f>
        <v>No</v>
      </c>
      <c r="T5" s="59" t="n">
        <f aca="false">IF(D5="","",ROUND(SQRT(((D5+G5)*O5/100)^2+(J5*(D5+G5)*0.05402)^2),0))</f>
        <v>35</v>
      </c>
      <c r="U5" s="32" t="s">
        <v>432</v>
      </c>
    </row>
    <row r="6" customFormat="false" ht="15" hidden="false" customHeight="false" outlineLevel="0" collapsed="false">
      <c r="A6" s="32" t="s">
        <v>159</v>
      </c>
      <c r="B6" s="32" t="s">
        <v>169</v>
      </c>
      <c r="C6" s="32" t="s">
        <v>161</v>
      </c>
      <c r="D6" s="59" t="n">
        <v>39</v>
      </c>
      <c r="E6" s="59" t="n">
        <v>34</v>
      </c>
      <c r="F6" s="68" t="n">
        <f aca="false">IF(E6="","",D6-E6)</f>
        <v>5</v>
      </c>
      <c r="G6" s="59" t="n">
        <v>57</v>
      </c>
      <c r="H6" s="59" t="n">
        <v>43</v>
      </c>
      <c r="I6" s="68" t="n">
        <f aca="false">IF(H6="","",G6-H6)</f>
        <v>14</v>
      </c>
      <c r="J6" s="40" t="n">
        <f aca="false">IF(OR(D6="",D6+G6=0),"",D6/(D6+G6))</f>
        <v>0.40625</v>
      </c>
      <c r="K6" s="40" t="n">
        <f aca="false">IF(E6="","",E6/(E6+H6))</f>
        <v>0.441558441558442</v>
      </c>
      <c r="L6" s="69" t="n">
        <f aca="false">IF(OR(K6="",J6=""),"",(J6-K6)*100)</f>
        <v>-3.53084415584415</v>
      </c>
      <c r="M6" s="36" t="n">
        <v>3.12234213093196</v>
      </c>
      <c r="N6" s="36" t="n">
        <v>1.05172822528353</v>
      </c>
      <c r="O6" s="36" t="n">
        <f aca="false">SQRT(M6^2+N6^2)</f>
        <v>3.29471586672519</v>
      </c>
      <c r="P6" s="40" t="n">
        <f aca="false">IF(J6="","",MAX(0,J6-1.96*O6/100))</f>
        <v>0.341673569012186</v>
      </c>
      <c r="Q6" s="40" t="n">
        <f aca="false">IF(J6="","",MIN(1,J6+1.96*O6/100))</f>
        <v>0.470826430987814</v>
      </c>
      <c r="R6" s="32" t="str">
        <f aca="false">IF(L6="","",IF(ABS(L6)&lt;=O6,"Yes","No"))</f>
        <v>No</v>
      </c>
      <c r="S6" s="32" t="str">
        <f aca="false">IF(L6="","",IF(ABS(L6)&lt;=1.96*O6,"Yes","No"))</f>
        <v>Yes</v>
      </c>
      <c r="T6" s="59" t="n">
        <f aca="false">IF(D6="","",ROUND(SQRT(((D6+G6)*O6/100)^2+(J6*(D6+G6)*0.07067)^2),0))</f>
        <v>4</v>
      </c>
      <c r="U6" s="32" t="s">
        <v>432</v>
      </c>
    </row>
    <row r="7" customFormat="false" ht="15" hidden="false" customHeight="false" outlineLevel="0" collapsed="false">
      <c r="A7" s="32" t="s">
        <v>159</v>
      </c>
      <c r="B7" s="32" t="s">
        <v>170</v>
      </c>
      <c r="C7" s="32" t="s">
        <v>161</v>
      </c>
      <c r="D7" s="59" t="n">
        <v>531</v>
      </c>
      <c r="E7" s="59" t="n">
        <v>536</v>
      </c>
      <c r="F7" s="68" t="n">
        <f aca="false">IF(E7="","",D7-E7)</f>
        <v>-5</v>
      </c>
      <c r="G7" s="59" t="n">
        <v>1347</v>
      </c>
      <c r="H7" s="59" t="n">
        <v>1122</v>
      </c>
      <c r="I7" s="68" t="n">
        <f aca="false">IF(H7="","",G7-H7)</f>
        <v>225</v>
      </c>
      <c r="J7" s="40" t="n">
        <f aca="false">IF(OR(D7="",D7+G7=0),"",D7/(D7+G7))</f>
        <v>0.282747603833866</v>
      </c>
      <c r="K7" s="40" t="n">
        <f aca="false">IF(E7="","",E7/(E7+H7))</f>
        <v>0.323281061519904</v>
      </c>
      <c r="L7" s="69" t="n">
        <f aca="false">IF(OR(K7="",J7=""),"",(J7-K7)*100)</f>
        <v>-4.05334576860377</v>
      </c>
      <c r="M7" s="36" t="n">
        <v>2.04164931371995</v>
      </c>
      <c r="N7" s="36" t="n">
        <v>1.05172822528353</v>
      </c>
      <c r="O7" s="36" t="n">
        <f aca="false">SQRT(M7^2+N7^2)</f>
        <v>2.29662016451811</v>
      </c>
      <c r="P7" s="40" t="n">
        <f aca="false">IF(J7="","",MAX(0,J7-1.96*O7/100))</f>
        <v>0.237733848609311</v>
      </c>
      <c r="Q7" s="40" t="n">
        <f aca="false">IF(J7="","",MIN(1,J7+1.96*O7/100))</f>
        <v>0.327761359058421</v>
      </c>
      <c r="R7" s="32" t="str">
        <f aca="false">IF(L7="","",IF(ABS(L7)&lt;=O7,"Yes","No"))</f>
        <v>No</v>
      </c>
      <c r="S7" s="32" t="str">
        <f aca="false">IF(L7="","",IF(ABS(L7)&lt;=1.96*O7,"Yes","No"))</f>
        <v>Yes</v>
      </c>
      <c r="T7" s="59" t="n">
        <f aca="false">IF(D7="","",ROUND(SQRT(((D7+G7)*O7/100)^2+(J7*(D7+G7)*0.05402)^2),0))</f>
        <v>52</v>
      </c>
      <c r="U7" s="32" t="s">
        <v>432</v>
      </c>
    </row>
    <row r="8" customFormat="false" ht="15" hidden="false" customHeight="false" outlineLevel="0" collapsed="false">
      <c r="A8" s="32" t="s">
        <v>159</v>
      </c>
      <c r="B8" s="32" t="s">
        <v>171</v>
      </c>
      <c r="C8" s="32" t="s">
        <v>161</v>
      </c>
      <c r="D8" s="59" t="n">
        <v>931</v>
      </c>
      <c r="E8" s="59" t="n">
        <v>912</v>
      </c>
      <c r="F8" s="68" t="n">
        <f aca="false">IF(E8="","",D8-E8)</f>
        <v>19</v>
      </c>
      <c r="G8" s="59" t="n">
        <v>1217</v>
      </c>
      <c r="H8" s="59" t="n">
        <v>949</v>
      </c>
      <c r="I8" s="68" t="n">
        <f aca="false">IF(H8="","",G8-H8)</f>
        <v>268</v>
      </c>
      <c r="J8" s="40" t="n">
        <f aca="false">IF(OR(D8="",D8+G8=0),"",D8/(D8+G8))</f>
        <v>0.43342644320298</v>
      </c>
      <c r="K8" s="40" t="n">
        <f aca="false">IF(E8="","",E8/(E8+H8))</f>
        <v>0.490059108006448</v>
      </c>
      <c r="L8" s="69" t="n">
        <f aca="false">IF(OR(K8="",J8=""),"",(J8-K8)*100)</f>
        <v>-5.66326648034686</v>
      </c>
      <c r="M8" s="36" t="n">
        <v>2.04164931371995</v>
      </c>
      <c r="N8" s="36" t="n">
        <v>1.05172822528353</v>
      </c>
      <c r="O8" s="36" t="n">
        <f aca="false">SQRT(M8^2+N8^2)</f>
        <v>2.29662016451811</v>
      </c>
      <c r="P8" s="40" t="n">
        <f aca="false">IF(J8="","",MAX(0,J8-1.96*O8/100))</f>
        <v>0.388412687978425</v>
      </c>
      <c r="Q8" s="40" t="n">
        <f aca="false">IF(J8="","",MIN(1,J8+1.96*O8/100))</f>
        <v>0.478440198427534</v>
      </c>
      <c r="R8" s="32" t="str">
        <f aca="false">IF(L8="","",IF(ABS(L8)&lt;=O8,"Yes","No"))</f>
        <v>No</v>
      </c>
      <c r="S8" s="32" t="str">
        <f aca="false">IF(L8="","",IF(ABS(L8)&lt;=1.96*O8,"Yes","No"))</f>
        <v>No</v>
      </c>
      <c r="T8" s="59" t="n">
        <f aca="false">IF(D8="","",ROUND(SQRT(((D8+G8)*O8/100)^2+(J8*(D8+G8)*0.05402)^2),0))</f>
        <v>70</v>
      </c>
      <c r="U8" s="32" t="s">
        <v>432</v>
      </c>
    </row>
    <row r="9" customFormat="false" ht="15" hidden="false" customHeight="false" outlineLevel="0" collapsed="false">
      <c r="A9" s="32" t="s">
        <v>159</v>
      </c>
      <c r="B9" s="32" t="s">
        <v>172</v>
      </c>
      <c r="C9" s="32" t="s">
        <v>161</v>
      </c>
      <c r="D9" s="59" t="n">
        <v>247</v>
      </c>
      <c r="E9" s="59" t="n">
        <v>267</v>
      </c>
      <c r="F9" s="68" t="n">
        <f aca="false">IF(E9="","",D9-E9)</f>
        <v>-20</v>
      </c>
      <c r="G9" s="59" t="n">
        <v>542</v>
      </c>
      <c r="H9" s="59" t="n">
        <v>495</v>
      </c>
      <c r="I9" s="68" t="n">
        <f aca="false">IF(H9="","",G9-H9)</f>
        <v>47</v>
      </c>
      <c r="J9" s="40" t="n">
        <f aca="false">IF(OR(D9="",D9+G9=0),"",D9/(D9+G9))</f>
        <v>0.313054499366286</v>
      </c>
      <c r="K9" s="40" t="n">
        <f aca="false">IF(E9="","",E9/(E9+H9))</f>
        <v>0.350393700787402</v>
      </c>
      <c r="L9" s="69" t="n">
        <f aca="false">IF(OR(K9="",J9=""),"",(J9-K9)*100)</f>
        <v>-3.73392014211151</v>
      </c>
      <c r="M9" s="36" t="n">
        <v>3.12234213093196</v>
      </c>
      <c r="N9" s="36" t="n">
        <v>1.05172822528353</v>
      </c>
      <c r="O9" s="36" t="n">
        <f aca="false">SQRT(M9^2+N9^2)</f>
        <v>3.29471586672519</v>
      </c>
      <c r="P9" s="40" t="n">
        <f aca="false">IF(J9="","",MAX(0,J9-1.96*O9/100))</f>
        <v>0.248478068378473</v>
      </c>
      <c r="Q9" s="40" t="n">
        <f aca="false">IF(J9="","",MIN(1,J9+1.96*O9/100))</f>
        <v>0.3776309303541</v>
      </c>
      <c r="R9" s="32" t="str">
        <f aca="false">IF(L9="","",IF(ABS(L9)&lt;=O9,"Yes","No"))</f>
        <v>No</v>
      </c>
      <c r="S9" s="32" t="str">
        <f aca="false">IF(L9="","",IF(ABS(L9)&lt;=1.96*O9,"Yes","No"))</f>
        <v>Yes</v>
      </c>
      <c r="T9" s="59" t="n">
        <f aca="false">IF(D9="","",ROUND(SQRT(((D9+G9)*O9/100)^2+(J9*(D9+G9)*0.07067)^2),0))</f>
        <v>31</v>
      </c>
      <c r="U9" s="32" t="s">
        <v>432</v>
      </c>
    </row>
    <row r="10" customFormat="false" ht="15" hidden="false" customHeight="false" outlineLevel="0" collapsed="false">
      <c r="A10" s="32" t="s">
        <v>159</v>
      </c>
      <c r="B10" s="32" t="s">
        <v>173</v>
      </c>
      <c r="C10" s="32" t="s">
        <v>161</v>
      </c>
      <c r="D10" s="59" t="n">
        <v>508</v>
      </c>
      <c r="E10" s="59" t="n">
        <v>455</v>
      </c>
      <c r="F10" s="68" t="n">
        <f aca="false">IF(E10="","",D10-E10)</f>
        <v>53</v>
      </c>
      <c r="G10" s="59" t="n">
        <v>504</v>
      </c>
      <c r="H10" s="59" t="n">
        <v>467</v>
      </c>
      <c r="I10" s="68" t="n">
        <f aca="false">IF(H10="","",G10-H10)</f>
        <v>37</v>
      </c>
      <c r="J10" s="40" t="n">
        <f aca="false">IF(OR(D10="",D10+G10=0),"",D10/(D10+G10))</f>
        <v>0.50197628458498</v>
      </c>
      <c r="K10" s="40" t="n">
        <f aca="false">IF(E10="","",E10/(E10+H10))</f>
        <v>0.493492407809111</v>
      </c>
      <c r="L10" s="69" t="n">
        <f aca="false">IF(OR(K10="",J10=""),"",(J10-K10)*100)</f>
        <v>0.848387677586959</v>
      </c>
      <c r="M10" s="36" t="n">
        <v>3.12234213093196</v>
      </c>
      <c r="N10" s="36" t="n">
        <v>1.05172822528353</v>
      </c>
      <c r="O10" s="36" t="n">
        <f aca="false">SQRT(M10^2+N10^2)</f>
        <v>3.29471586672519</v>
      </c>
      <c r="P10" s="40" t="n">
        <f aca="false">IF(J10="","",MAX(0,J10-1.96*O10/100))</f>
        <v>0.437399853597166</v>
      </c>
      <c r="Q10" s="40" t="n">
        <f aca="false">IF(J10="","",MIN(1,J10+1.96*O10/100))</f>
        <v>0.566552715572794</v>
      </c>
      <c r="R10" s="32" t="str">
        <f aca="false">IF(L10="","",IF(ABS(L10)&lt;=O10,"Yes","No"))</f>
        <v>Yes</v>
      </c>
      <c r="S10" s="32" t="str">
        <f aca="false">IF(L10="","",IF(ABS(L10)&lt;=1.96*O10,"Yes","No"))</f>
        <v>Yes</v>
      </c>
      <c r="T10" s="59" t="n">
        <f aca="false">IF(D10="","",ROUND(SQRT(((D10+G10)*O10/100)^2+(J10*(D10+G10)*0.07067)^2),0))</f>
        <v>49</v>
      </c>
      <c r="U10" s="32" t="s">
        <v>432</v>
      </c>
    </row>
    <row r="11" customFormat="false" ht="15" hidden="false" customHeight="false" outlineLevel="0" collapsed="false">
      <c r="A11" s="32" t="s">
        <v>159</v>
      </c>
      <c r="B11" s="32" t="s">
        <v>174</v>
      </c>
      <c r="C11" s="32" t="s">
        <v>161</v>
      </c>
      <c r="D11" s="59" t="n">
        <v>28</v>
      </c>
      <c r="E11" s="59" t="n">
        <v>29</v>
      </c>
      <c r="F11" s="68" t="n">
        <f aca="false">IF(E11="","",D11-E11)</f>
        <v>-1</v>
      </c>
      <c r="G11" s="59" t="n">
        <v>83</v>
      </c>
      <c r="H11" s="59" t="n">
        <v>59</v>
      </c>
      <c r="I11" s="68" t="n">
        <f aca="false">IF(H11="","",G11-H11)</f>
        <v>24</v>
      </c>
      <c r="J11" s="40" t="n">
        <f aca="false">IF(OR(D11="",D11+G11=0),"",D11/(D11+G11))</f>
        <v>0.252252252252252</v>
      </c>
      <c r="K11" s="40" t="n">
        <f aca="false">IF(E11="","",E11/(E11+H11))</f>
        <v>0.329545454545455</v>
      </c>
      <c r="L11" s="69" t="n">
        <f aca="false">IF(OR(K11="",J11=""),"",(J11-K11)*100)</f>
        <v>-7.72932022932023</v>
      </c>
      <c r="M11" s="36" t="n">
        <v>3.12234213093196</v>
      </c>
      <c r="N11" s="36" t="n">
        <v>1.05172822528353</v>
      </c>
      <c r="O11" s="36" t="n">
        <f aca="false">SQRT(M11^2+N11^2)</f>
        <v>3.29471586672519</v>
      </c>
      <c r="P11" s="40" t="n">
        <f aca="false">IF(J11="","",MAX(0,J11-1.96*O11/100))</f>
        <v>0.187675821264438</v>
      </c>
      <c r="Q11" s="40" t="n">
        <f aca="false">IF(J11="","",MIN(1,J11+1.96*O11/100))</f>
        <v>0.316828683240066</v>
      </c>
      <c r="R11" s="32" t="str">
        <f aca="false">IF(L11="","",IF(ABS(L11)&lt;=O11,"Yes","No"))</f>
        <v>No</v>
      </c>
      <c r="S11" s="32" t="str">
        <f aca="false">IF(L11="","",IF(ABS(L11)&lt;=1.96*O11,"Yes","No"))</f>
        <v>No</v>
      </c>
      <c r="T11" s="59" t="n">
        <f aca="false">IF(D11="","",ROUND(SQRT(((D11+G11)*O11/100)^2+(J11*(D11+G11)*0.07067)^2),0))</f>
        <v>4</v>
      </c>
      <c r="U11" s="32" t="s">
        <v>432</v>
      </c>
    </row>
    <row r="12" customFormat="false" ht="15" hidden="false" customHeight="false" outlineLevel="0" collapsed="false">
      <c r="A12" s="32" t="s">
        <v>159</v>
      </c>
      <c r="B12" s="32" t="s">
        <v>175</v>
      </c>
      <c r="C12" s="32" t="s">
        <v>161</v>
      </c>
      <c r="D12" s="59" t="n">
        <v>51</v>
      </c>
      <c r="E12" s="59" t="n">
        <v>41</v>
      </c>
      <c r="F12" s="68" t="n">
        <f aca="false">IF(E12="","",D12-E12)</f>
        <v>10</v>
      </c>
      <c r="G12" s="59" t="n">
        <v>196</v>
      </c>
      <c r="H12" s="59" t="n">
        <v>163</v>
      </c>
      <c r="I12" s="68" t="n">
        <f aca="false">IF(H12="","",G12-H12)</f>
        <v>33</v>
      </c>
      <c r="J12" s="40" t="n">
        <f aca="false">IF(OR(D12="",D12+G12=0),"",D12/(D12+G12))</f>
        <v>0.206477732793522</v>
      </c>
      <c r="K12" s="40" t="n">
        <f aca="false">IF(E12="","",E12/(E12+H12))</f>
        <v>0.200980392156863</v>
      </c>
      <c r="L12" s="69" t="n">
        <f aca="false">IF(OR(K12="",J12=""),"",(J12-K12)*100)</f>
        <v>0.549734063665952</v>
      </c>
      <c r="M12" s="36" t="n">
        <v>3.12234213093196</v>
      </c>
      <c r="N12" s="36" t="n">
        <v>1.05172822528353</v>
      </c>
      <c r="O12" s="36" t="n">
        <f aca="false">SQRT(M12^2+N12^2)</f>
        <v>3.29471586672519</v>
      </c>
      <c r="P12" s="40" t="n">
        <f aca="false">IF(J12="","",MAX(0,J12-1.96*O12/100))</f>
        <v>0.141901301805708</v>
      </c>
      <c r="Q12" s="40" t="n">
        <f aca="false">IF(J12="","",MIN(1,J12+1.96*O12/100))</f>
        <v>0.271054163781336</v>
      </c>
      <c r="R12" s="32" t="str">
        <f aca="false">IF(L12="","",IF(ABS(L12)&lt;=O12,"Yes","No"))</f>
        <v>Yes</v>
      </c>
      <c r="S12" s="32" t="str">
        <f aca="false">IF(L12="","",IF(ABS(L12)&lt;=1.96*O12,"Yes","No"))</f>
        <v>Yes</v>
      </c>
      <c r="T12" s="59" t="n">
        <f aca="false">IF(D12="","",ROUND(SQRT(((D12+G12)*O12/100)^2+(J12*(D12+G12)*0.07067)^2),0))</f>
        <v>9</v>
      </c>
      <c r="U12" s="32" t="s">
        <v>432</v>
      </c>
    </row>
    <row r="13" customFormat="false" ht="15" hidden="false" customHeight="false" outlineLevel="0" collapsed="false">
      <c r="A13" s="32" t="s">
        <v>159</v>
      </c>
      <c r="B13" s="32" t="s">
        <v>176</v>
      </c>
      <c r="C13" s="32" t="s">
        <v>161</v>
      </c>
      <c r="D13" s="59" t="n">
        <v>665</v>
      </c>
      <c r="E13" s="59" t="n">
        <v>668</v>
      </c>
      <c r="F13" s="68" t="n">
        <f aca="false">IF(E13="","",D13-E13)</f>
        <v>-3</v>
      </c>
      <c r="G13" s="59" t="n">
        <v>954</v>
      </c>
      <c r="H13" s="59" t="n">
        <v>766</v>
      </c>
      <c r="I13" s="68" t="n">
        <f aca="false">IF(H13="","",G13-H13)</f>
        <v>188</v>
      </c>
      <c r="J13" s="40" t="n">
        <f aca="false">IF(OR(D13="",D13+G13=0),"",D13/(D13+G13))</f>
        <v>0.410747374922792</v>
      </c>
      <c r="K13" s="40" t="n">
        <f aca="false">IF(E13="","",E13/(E13+H13))</f>
        <v>0.465829846582985</v>
      </c>
      <c r="L13" s="69" t="n">
        <f aca="false">IF(OR(K13="",J13=""),"",(J13-K13)*100)</f>
        <v>-5.50824716601928</v>
      </c>
      <c r="M13" s="36" t="n">
        <v>2.04164931371995</v>
      </c>
      <c r="N13" s="36" t="n">
        <v>1.05172822528353</v>
      </c>
      <c r="O13" s="36" t="n">
        <f aca="false">SQRT(M13^2+N13^2)</f>
        <v>2.29662016451811</v>
      </c>
      <c r="P13" s="40" t="n">
        <f aca="false">IF(J13="","",MAX(0,J13-1.96*O13/100))</f>
        <v>0.365733619698237</v>
      </c>
      <c r="Q13" s="40" t="n">
        <f aca="false">IF(J13="","",MIN(1,J13+1.96*O13/100))</f>
        <v>0.455761130147347</v>
      </c>
      <c r="R13" s="32" t="str">
        <f aca="false">IF(L13="","",IF(ABS(L13)&lt;=O13,"Yes","No"))</f>
        <v>No</v>
      </c>
      <c r="S13" s="32" t="str">
        <f aca="false">IF(L13="","",IF(ABS(L13)&lt;=1.96*O13,"Yes","No"))</f>
        <v>No</v>
      </c>
      <c r="T13" s="59" t="n">
        <f aca="false">IF(D13="","",ROUND(SQRT(((D13+G13)*O13/100)^2+(J13*(D13+G13)*0.05402)^2),0))</f>
        <v>52</v>
      </c>
      <c r="U13" s="32" t="s">
        <v>432</v>
      </c>
    </row>
    <row r="14" customFormat="false" ht="15" hidden="false" customHeight="false" outlineLevel="0" collapsed="false">
      <c r="A14" s="32" t="s">
        <v>159</v>
      </c>
      <c r="B14" s="32" t="s">
        <v>177</v>
      </c>
      <c r="C14" s="32" t="s">
        <v>161</v>
      </c>
      <c r="D14" s="59" t="n">
        <v>432</v>
      </c>
      <c r="E14" s="59" t="n">
        <v>402</v>
      </c>
      <c r="F14" s="68" t="n">
        <f aca="false">IF(E14="","",D14-E14)</f>
        <v>30</v>
      </c>
      <c r="G14" s="59" t="n">
        <v>835</v>
      </c>
      <c r="H14" s="59" t="n">
        <v>686</v>
      </c>
      <c r="I14" s="68" t="n">
        <f aca="false">IF(H14="","",G14-H14)</f>
        <v>149</v>
      </c>
      <c r="J14" s="40" t="n">
        <f aca="false">IF(OR(D14="",D14+G14=0),"",D14/(D14+G14))</f>
        <v>0.340962904498816</v>
      </c>
      <c r="K14" s="40" t="n">
        <f aca="false">IF(E14="","",E14/(E14+H14))</f>
        <v>0.369485294117647</v>
      </c>
      <c r="L14" s="69" t="n">
        <f aca="false">IF(OR(K14="",J14=""),"",(J14-K14)*100)</f>
        <v>-2.8522389618831</v>
      </c>
      <c r="M14" s="36" t="n">
        <v>2.04164931371995</v>
      </c>
      <c r="N14" s="36" t="n">
        <v>1.05172822528353</v>
      </c>
      <c r="O14" s="36" t="n">
        <f aca="false">SQRT(M14^2+N14^2)</f>
        <v>2.29662016451811</v>
      </c>
      <c r="P14" s="40" t="n">
        <f aca="false">IF(J14="","",MAX(0,J14-1.96*O14/100))</f>
        <v>0.295949149274261</v>
      </c>
      <c r="Q14" s="40" t="n">
        <f aca="false">IF(J14="","",MIN(1,J14+1.96*O14/100))</f>
        <v>0.385976659723371</v>
      </c>
      <c r="R14" s="32" t="str">
        <f aca="false">IF(L14="","",IF(ABS(L14)&lt;=O14,"Yes","No"))</f>
        <v>No</v>
      </c>
      <c r="S14" s="32" t="str">
        <f aca="false">IF(L14="","",IF(ABS(L14)&lt;=1.96*O14,"Yes","No"))</f>
        <v>Yes</v>
      </c>
      <c r="T14" s="59" t="n">
        <f aca="false">IF(D14="","",ROUND(SQRT(((D14+G14)*O14/100)^2+(J14*(D14+G14)*0.05402)^2),0))</f>
        <v>37</v>
      </c>
      <c r="U14" s="32" t="s">
        <v>432</v>
      </c>
    </row>
    <row r="15" customFormat="false" ht="15" hidden="false" customHeight="false" outlineLevel="0" collapsed="false">
      <c r="A15" s="32" t="s">
        <v>159</v>
      </c>
      <c r="B15" s="32" t="s">
        <v>178</v>
      </c>
      <c r="C15" s="32" t="s">
        <v>161</v>
      </c>
      <c r="D15" s="59" t="n">
        <v>464</v>
      </c>
      <c r="E15" s="59" t="n">
        <v>510</v>
      </c>
      <c r="F15" s="68" t="n">
        <f aca="false">IF(E15="","",D15-E15)</f>
        <v>-46</v>
      </c>
      <c r="G15" s="59" t="n">
        <v>1207</v>
      </c>
      <c r="H15" s="59" t="n">
        <v>960</v>
      </c>
      <c r="I15" s="68" t="n">
        <f aca="false">IF(H15="","",G15-H15)</f>
        <v>247</v>
      </c>
      <c r="J15" s="40" t="n">
        <f aca="false">IF(OR(D15="",D15+G15=0),"",D15/(D15+G15))</f>
        <v>0.277678037103531</v>
      </c>
      <c r="K15" s="40" t="n">
        <f aca="false">IF(E15="","",E15/(E15+H15))</f>
        <v>0.346938775510204</v>
      </c>
      <c r="L15" s="69" t="n">
        <f aca="false">IF(OR(K15="",J15=""),"",(J15-K15)*100)</f>
        <v>-6.92607384066732</v>
      </c>
      <c r="M15" s="36" t="n">
        <v>2.04164931371995</v>
      </c>
      <c r="N15" s="36" t="n">
        <v>1.05172822528353</v>
      </c>
      <c r="O15" s="36" t="n">
        <f aca="false">SQRT(M15^2+N15^2)</f>
        <v>2.29662016451811</v>
      </c>
      <c r="P15" s="40" t="n">
        <f aca="false">IF(J15="","",MAX(0,J15-1.96*O15/100))</f>
        <v>0.232664281878976</v>
      </c>
      <c r="Q15" s="40" t="n">
        <f aca="false">IF(J15="","",MIN(1,J15+1.96*O15/100))</f>
        <v>0.322691792328086</v>
      </c>
      <c r="R15" s="32" t="str">
        <f aca="false">IF(L15="","",IF(ABS(L15)&lt;=O15,"Yes","No"))</f>
        <v>No</v>
      </c>
      <c r="S15" s="32" t="str">
        <f aca="false">IF(L15="","",IF(ABS(L15)&lt;=1.96*O15,"Yes","No"))</f>
        <v>No</v>
      </c>
      <c r="T15" s="59" t="n">
        <f aca="false">IF(D15="","",ROUND(SQRT(((D15+G15)*O15/100)^2+(J15*(D15+G15)*0.05402)^2),0))</f>
        <v>46</v>
      </c>
      <c r="U15" s="32" t="s">
        <v>432</v>
      </c>
    </row>
    <row r="16" customFormat="false" ht="15" hidden="false" customHeight="false" outlineLevel="0" collapsed="false">
      <c r="A16" s="32" t="s">
        <v>159</v>
      </c>
      <c r="B16" s="32" t="s">
        <v>179</v>
      </c>
      <c r="C16" s="32" t="s">
        <v>161</v>
      </c>
      <c r="D16" s="59" t="n">
        <v>506</v>
      </c>
      <c r="E16" s="59" t="n">
        <v>500</v>
      </c>
      <c r="F16" s="68" t="n">
        <f aca="false">IF(E16="","",D16-E16)</f>
        <v>6</v>
      </c>
      <c r="G16" s="59" t="n">
        <v>715</v>
      </c>
      <c r="H16" s="59" t="n">
        <v>546</v>
      </c>
      <c r="I16" s="68" t="n">
        <f aca="false">IF(H16="","",G16-H16)</f>
        <v>169</v>
      </c>
      <c r="J16" s="40" t="n">
        <f aca="false">IF(OR(D16="",D16+G16=0),"",D16/(D16+G16))</f>
        <v>0.414414414414414</v>
      </c>
      <c r="K16" s="40" t="n">
        <f aca="false">IF(E16="","",E16/(E16+H16))</f>
        <v>0.478011472275335</v>
      </c>
      <c r="L16" s="69" t="n">
        <f aca="false">IF(OR(K16="",J16=""),"",(J16-K16)*100)</f>
        <v>-6.35970578609202</v>
      </c>
      <c r="M16" s="36" t="n">
        <v>2.04164931371995</v>
      </c>
      <c r="N16" s="36" t="n">
        <v>1.05172822528353</v>
      </c>
      <c r="O16" s="36" t="n">
        <f aca="false">SQRT(M16^2+N16^2)</f>
        <v>2.29662016451811</v>
      </c>
      <c r="P16" s="40" t="n">
        <f aca="false">IF(J16="","",MAX(0,J16-1.96*O16/100))</f>
        <v>0.36940065918986</v>
      </c>
      <c r="Q16" s="40" t="n">
        <f aca="false">IF(J16="","",MIN(1,J16+1.96*O16/100))</f>
        <v>0.459428169638969</v>
      </c>
      <c r="R16" s="32" t="str">
        <f aca="false">IF(L16="","",IF(ABS(L16)&lt;=O16,"Yes","No"))</f>
        <v>No</v>
      </c>
      <c r="S16" s="32" t="str">
        <f aca="false">IF(L16="","",IF(ABS(L16)&lt;=1.96*O16,"Yes","No"))</f>
        <v>No</v>
      </c>
      <c r="T16" s="59" t="n">
        <f aca="false">IF(D16="","",ROUND(SQRT(((D16+G16)*O16/100)^2+(J16*(D16+G16)*0.05402)^2),0))</f>
        <v>39</v>
      </c>
      <c r="U16" s="32" t="s">
        <v>432</v>
      </c>
    </row>
    <row r="17" customFormat="false" ht="15" hidden="false" customHeight="false" outlineLevel="0" collapsed="false">
      <c r="A17" s="32" t="s">
        <v>159</v>
      </c>
      <c r="B17" s="32" t="s">
        <v>180</v>
      </c>
      <c r="C17" s="32" t="s">
        <v>161</v>
      </c>
      <c r="D17" s="59" t="n">
        <v>99</v>
      </c>
      <c r="E17" s="59" t="n">
        <v>111</v>
      </c>
      <c r="F17" s="68" t="n">
        <f aca="false">IF(E17="","",D17-E17)</f>
        <v>-12</v>
      </c>
      <c r="G17" s="59" t="n">
        <v>431</v>
      </c>
      <c r="H17" s="59" t="n">
        <v>372</v>
      </c>
      <c r="I17" s="68" t="n">
        <f aca="false">IF(H17="","",G17-H17)</f>
        <v>59</v>
      </c>
      <c r="J17" s="40" t="n">
        <f aca="false">IF(OR(D17="",D17+G17=0),"",D17/(D17+G17))</f>
        <v>0.186792452830189</v>
      </c>
      <c r="K17" s="40" t="n">
        <f aca="false">IF(E17="","",E17/(E17+H17))</f>
        <v>0.229813664596273</v>
      </c>
      <c r="L17" s="69" t="n">
        <f aca="false">IF(OR(K17="",J17=""),"",(J17-K17)*100)</f>
        <v>-4.30212117660846</v>
      </c>
      <c r="M17" s="36" t="n">
        <v>3.12234213093196</v>
      </c>
      <c r="N17" s="36" t="n">
        <v>1.05172822528353</v>
      </c>
      <c r="O17" s="36" t="n">
        <f aca="false">SQRT(M17^2+N17^2)</f>
        <v>3.29471586672519</v>
      </c>
      <c r="P17" s="40" t="n">
        <f aca="false">IF(J17="","",MAX(0,J17-1.96*O17/100))</f>
        <v>0.122216021842375</v>
      </c>
      <c r="Q17" s="40" t="n">
        <f aca="false">IF(J17="","",MIN(1,J17+1.96*O17/100))</f>
        <v>0.251368883818003</v>
      </c>
      <c r="R17" s="32" t="str">
        <f aca="false">IF(L17="","",IF(ABS(L17)&lt;=O17,"Yes","No"))</f>
        <v>No</v>
      </c>
      <c r="S17" s="32" t="str">
        <f aca="false">IF(L17="","",IF(ABS(L17)&lt;=1.96*O17,"Yes","No"))</f>
        <v>Yes</v>
      </c>
      <c r="T17" s="59" t="n">
        <f aca="false">IF(D17="","",ROUND(SQRT(((D17+G17)*O17/100)^2+(J17*(D17+G17)*0.07067)^2),0))</f>
        <v>19</v>
      </c>
      <c r="U17" s="32" t="s">
        <v>432</v>
      </c>
    </row>
    <row r="18" customFormat="false" ht="15" hidden="false" customHeight="false" outlineLevel="0" collapsed="false">
      <c r="A18" s="32" t="s">
        <v>159</v>
      </c>
      <c r="B18" s="32" t="s">
        <v>181</v>
      </c>
      <c r="C18" s="32" t="s">
        <v>161</v>
      </c>
      <c r="D18" s="59" t="n">
        <v>765</v>
      </c>
      <c r="E18" s="59" t="n">
        <v>687</v>
      </c>
      <c r="F18" s="68" t="n">
        <f aca="false">IF(E18="","",D18-E18)</f>
        <v>78</v>
      </c>
      <c r="G18" s="59" t="n">
        <v>1068</v>
      </c>
      <c r="H18" s="59" t="n">
        <v>978</v>
      </c>
      <c r="I18" s="68" t="n">
        <f aca="false">IF(H18="","",G18-H18)</f>
        <v>90</v>
      </c>
      <c r="J18" s="40" t="n">
        <f aca="false">IF(OR(D18="",D18+G18=0),"",D18/(D18+G18))</f>
        <v>0.417348608837971</v>
      </c>
      <c r="K18" s="40" t="n">
        <f aca="false">IF(E18="","",E18/(E18+H18))</f>
        <v>0.412612612612613</v>
      </c>
      <c r="L18" s="69" t="n">
        <f aca="false">IF(OR(K18="",J18=""),"",(J18-K18)*100)</f>
        <v>0.473599622535792</v>
      </c>
      <c r="M18" s="36" t="n">
        <v>2.04164931371995</v>
      </c>
      <c r="N18" s="36" t="n">
        <v>1.05172822528353</v>
      </c>
      <c r="O18" s="36" t="n">
        <f aca="false">SQRT(M18^2+N18^2)</f>
        <v>2.29662016451811</v>
      </c>
      <c r="P18" s="40" t="n">
        <f aca="false">IF(J18="","",MAX(0,J18-1.96*O18/100))</f>
        <v>0.372334853613416</v>
      </c>
      <c r="Q18" s="40" t="n">
        <f aca="false">IF(J18="","",MIN(1,J18+1.96*O18/100))</f>
        <v>0.462362364062525</v>
      </c>
      <c r="R18" s="32" t="str">
        <f aca="false">IF(L18="","",IF(ABS(L18)&lt;=O18,"Yes","No"))</f>
        <v>Yes</v>
      </c>
      <c r="S18" s="32" t="str">
        <f aca="false">IF(L18="","",IF(ABS(L18)&lt;=1.96*O18,"Yes","No"))</f>
        <v>Yes</v>
      </c>
      <c r="T18" s="59" t="n">
        <f aca="false">IF(D18="","",ROUND(SQRT(((D18+G18)*O18/100)^2+(J18*(D18+G18)*0.05402)^2),0))</f>
        <v>59</v>
      </c>
      <c r="U18" s="32" t="s">
        <v>432</v>
      </c>
    </row>
    <row r="19" customFormat="false" ht="15" hidden="false" customHeight="false" outlineLevel="0" collapsed="false">
      <c r="A19" s="32" t="s">
        <v>159</v>
      </c>
      <c r="B19" s="32" t="s">
        <v>182</v>
      </c>
      <c r="C19" s="32" t="s">
        <v>161</v>
      </c>
      <c r="D19" s="59" t="n">
        <v>58</v>
      </c>
      <c r="E19" s="59" t="n">
        <v>53</v>
      </c>
      <c r="F19" s="68" t="n">
        <f aca="false">IF(E19="","",D19-E19)</f>
        <v>5</v>
      </c>
      <c r="G19" s="59" t="n">
        <v>118</v>
      </c>
      <c r="H19" s="59" t="n">
        <v>112</v>
      </c>
      <c r="I19" s="68" t="n">
        <f aca="false">IF(H19="","",G19-H19)</f>
        <v>6</v>
      </c>
      <c r="J19" s="40" t="n">
        <f aca="false">IF(OR(D19="",D19+G19=0),"",D19/(D19+G19))</f>
        <v>0.329545454545455</v>
      </c>
      <c r="K19" s="40" t="n">
        <f aca="false">IF(E19="","",E19/(E19+H19))</f>
        <v>0.321212121212121</v>
      </c>
      <c r="L19" s="69" t="n">
        <f aca="false">IF(OR(K19="",J19=""),"",(J19-K19)*100)</f>
        <v>0.83333333333333</v>
      </c>
      <c r="M19" s="36" t="n">
        <v>3.12234213093196</v>
      </c>
      <c r="N19" s="36" t="n">
        <v>1.05172822528353</v>
      </c>
      <c r="O19" s="36" t="n">
        <f aca="false">SQRT(M19^2+N19^2)</f>
        <v>3.29471586672519</v>
      </c>
      <c r="P19" s="40" t="n">
        <f aca="false">IF(J19="","",MAX(0,J19-1.96*O19/100))</f>
        <v>0.264969023557641</v>
      </c>
      <c r="Q19" s="40" t="n">
        <f aca="false">IF(J19="","",MIN(1,J19+1.96*O19/100))</f>
        <v>0.394121885533268</v>
      </c>
      <c r="R19" s="32" t="str">
        <f aca="false">IF(L19="","",IF(ABS(L19)&lt;=O19,"Yes","No"))</f>
        <v>Yes</v>
      </c>
      <c r="S19" s="32" t="str">
        <f aca="false">IF(L19="","",IF(ABS(L19)&lt;=1.96*O19,"Yes","No"))</f>
        <v>Yes</v>
      </c>
      <c r="T19" s="59" t="n">
        <f aca="false">IF(D19="","",ROUND(SQRT(((D19+G19)*O19/100)^2+(J19*(D19+G19)*0.07067)^2),0))</f>
        <v>7</v>
      </c>
      <c r="U19" s="32" t="s">
        <v>432</v>
      </c>
    </row>
    <row r="20" customFormat="false" ht="15" hidden="false" customHeight="false" outlineLevel="0" collapsed="false">
      <c r="A20" s="32" t="s">
        <v>159</v>
      </c>
      <c r="B20" s="32" t="s">
        <v>183</v>
      </c>
      <c r="C20" s="32" t="s">
        <v>161</v>
      </c>
      <c r="D20" s="59" t="n">
        <v>1676</v>
      </c>
      <c r="E20" s="59" t="n">
        <v>1453</v>
      </c>
      <c r="F20" s="68" t="n">
        <f aca="false">IF(E20="","",D20-E20)</f>
        <v>223</v>
      </c>
      <c r="G20" s="59" t="n">
        <v>2516</v>
      </c>
      <c r="H20" s="59" t="n">
        <v>2080</v>
      </c>
      <c r="I20" s="68" t="n">
        <f aca="false">IF(H20="","",G20-H20)</f>
        <v>436</v>
      </c>
      <c r="J20" s="40" t="n">
        <f aca="false">IF(OR(D20="",D20+G20=0),"",D20/(D20+G20))</f>
        <v>0.399809160305344</v>
      </c>
      <c r="K20" s="40" t="n">
        <f aca="false">IF(E20="","",E20/(E20+H20))</f>
        <v>0.411265213699406</v>
      </c>
      <c r="L20" s="69" t="n">
        <f aca="false">IF(OR(K20="",J20=""),"",(J20-K20)*100)</f>
        <v>-1.14560533940621</v>
      </c>
      <c r="M20" s="36" t="n">
        <v>1.49093417024967</v>
      </c>
      <c r="N20" s="36" t="n">
        <v>1.05172822528353</v>
      </c>
      <c r="O20" s="36" t="n">
        <f aca="false">SQRT(M20^2+N20^2)</f>
        <v>1.82455938787317</v>
      </c>
      <c r="P20" s="40" t="n">
        <f aca="false">IF(J20="","",MAX(0,J20-1.96*O20/100))</f>
        <v>0.364047796303029</v>
      </c>
      <c r="Q20" s="40" t="n">
        <f aca="false">IF(J20="","",MIN(1,J20+1.96*O20/100))</f>
        <v>0.435570524307658</v>
      </c>
      <c r="R20" s="32" t="str">
        <f aca="false">IF(L20="","",IF(ABS(L20)&lt;=O20,"Yes","No"))</f>
        <v>Yes</v>
      </c>
      <c r="S20" s="32" t="str">
        <f aca="false">IF(L20="","",IF(ABS(L20)&lt;=1.96*O20,"Yes","No"))</f>
        <v>Yes</v>
      </c>
      <c r="T20" s="59" t="n">
        <f aca="false">IF(D20="","",ROUND(SQRT(((D20+G20)*O20/100)^2+(J20*(D20+G20)*0.04632)^2),0))</f>
        <v>109</v>
      </c>
      <c r="U20" s="32" t="s">
        <v>432</v>
      </c>
    </row>
    <row r="21" customFormat="false" ht="15" hidden="false" customHeight="false" outlineLevel="0" collapsed="false">
      <c r="A21" s="32" t="s">
        <v>159</v>
      </c>
      <c r="B21" s="32" t="s">
        <v>185</v>
      </c>
      <c r="C21" s="32" t="s">
        <v>161</v>
      </c>
      <c r="D21" s="59" t="n">
        <v>541</v>
      </c>
      <c r="E21" s="59" t="n">
        <v>574</v>
      </c>
      <c r="F21" s="68" t="n">
        <f aca="false">IF(E21="","",D21-E21)</f>
        <v>-33</v>
      </c>
      <c r="G21" s="59" t="n">
        <v>685</v>
      </c>
      <c r="H21" s="59" t="n">
        <v>562</v>
      </c>
      <c r="I21" s="68" t="n">
        <f aca="false">IF(H21="","",G21-H21)</f>
        <v>123</v>
      </c>
      <c r="J21" s="40" t="n">
        <f aca="false">IF(OR(D21="",D21+G21=0),"",D21/(D21+G21))</f>
        <v>0.441272430668842</v>
      </c>
      <c r="K21" s="40" t="n">
        <f aca="false">IF(E21="","",E21/(E21+H21))</f>
        <v>0.505281690140845</v>
      </c>
      <c r="L21" s="69" t="n">
        <f aca="false">IF(OR(K21="",J21=""),"",(J21-K21)*100)</f>
        <v>-6.40092594720034</v>
      </c>
      <c r="M21" s="36" t="n">
        <v>2.04164931371995</v>
      </c>
      <c r="N21" s="36" t="n">
        <v>1.05172822528353</v>
      </c>
      <c r="O21" s="36" t="n">
        <f aca="false">SQRT(M21^2+N21^2)</f>
        <v>2.29662016451811</v>
      </c>
      <c r="P21" s="40" t="n">
        <f aca="false">IF(J21="","",MAX(0,J21-1.96*O21/100))</f>
        <v>0.396258675444287</v>
      </c>
      <c r="Q21" s="40" t="n">
        <f aca="false">IF(J21="","",MIN(1,J21+1.96*O21/100))</f>
        <v>0.486286185893397</v>
      </c>
      <c r="R21" s="32" t="str">
        <f aca="false">IF(L21="","",IF(ABS(L21)&lt;=O21,"Yes","No"))</f>
        <v>No</v>
      </c>
      <c r="S21" s="32" t="str">
        <f aca="false">IF(L21="","",IF(ABS(L21)&lt;=1.96*O21,"Yes","No"))</f>
        <v>No</v>
      </c>
      <c r="T21" s="59" t="n">
        <f aca="false">IF(D21="","",ROUND(SQRT(((D21+G21)*O21/100)^2+(J21*(D21+G21)*0.05402)^2),0))</f>
        <v>41</v>
      </c>
      <c r="U21" s="32" t="s">
        <v>432</v>
      </c>
    </row>
    <row r="22" customFormat="false" ht="15" hidden="false" customHeight="false" outlineLevel="0" collapsed="false">
      <c r="A22" s="32" t="s">
        <v>159</v>
      </c>
      <c r="B22" s="32" t="s">
        <v>186</v>
      </c>
      <c r="C22" s="32" t="s">
        <v>161</v>
      </c>
      <c r="D22" s="59" t="n">
        <v>649</v>
      </c>
      <c r="E22" s="59" t="n">
        <v>613</v>
      </c>
      <c r="F22" s="68" t="n">
        <f aca="false">IF(E22="","",D22-E22)</f>
        <v>36</v>
      </c>
      <c r="G22" s="59" t="n">
        <v>1369</v>
      </c>
      <c r="H22" s="59" t="n">
        <v>1136</v>
      </c>
      <c r="I22" s="68" t="n">
        <f aca="false">IF(H22="","",G22-H22)</f>
        <v>233</v>
      </c>
      <c r="J22" s="40" t="n">
        <f aca="false">IF(OR(D22="",D22+G22=0),"",D22/(D22+G22))</f>
        <v>0.321605550049554</v>
      </c>
      <c r="K22" s="40" t="n">
        <f aca="false">IF(E22="","",E22/(E22+H22))</f>
        <v>0.350485991995426</v>
      </c>
      <c r="L22" s="69" t="n">
        <f aca="false">IF(OR(K22="",J22=""),"",(J22-K22)*100)</f>
        <v>-2.8880441945872</v>
      </c>
      <c r="M22" s="36" t="n">
        <v>2.04164931371995</v>
      </c>
      <c r="N22" s="36" t="n">
        <v>1.05172822528353</v>
      </c>
      <c r="O22" s="36" t="n">
        <f aca="false">SQRT(M22^2+N22^2)</f>
        <v>2.29662016451811</v>
      </c>
      <c r="P22" s="40" t="n">
        <f aca="false">IF(J22="","",MAX(0,J22-1.96*O22/100))</f>
        <v>0.276591794824999</v>
      </c>
      <c r="Q22" s="40" t="n">
        <f aca="false">IF(J22="","",MIN(1,J22+1.96*O22/100))</f>
        <v>0.366619305274109</v>
      </c>
      <c r="R22" s="32" t="str">
        <f aca="false">IF(L22="","",IF(ABS(L22)&lt;=O22,"Yes","No"))</f>
        <v>No</v>
      </c>
      <c r="S22" s="32" t="str">
        <f aca="false">IF(L22="","",IF(ABS(L22)&lt;=1.96*O22,"Yes","No"))</f>
        <v>Yes</v>
      </c>
      <c r="T22" s="59" t="n">
        <f aca="false">IF(D22="","",ROUND(SQRT(((D22+G22)*O22/100)^2+(J22*(D22+G22)*0.05402)^2),0))</f>
        <v>58</v>
      </c>
      <c r="U22" s="32" t="s">
        <v>432</v>
      </c>
    </row>
    <row r="23" customFormat="false" ht="15" hidden="false" customHeight="false" outlineLevel="0" collapsed="false">
      <c r="A23" s="32" t="s">
        <v>159</v>
      </c>
      <c r="B23" s="32" t="s">
        <v>187</v>
      </c>
      <c r="C23" s="32" t="s">
        <v>161</v>
      </c>
      <c r="D23" s="59" t="n">
        <v>269</v>
      </c>
      <c r="E23" s="59" t="n">
        <v>273</v>
      </c>
      <c r="F23" s="68" t="n">
        <f aca="false">IF(E23="","",D23-E23)</f>
        <v>-4</v>
      </c>
      <c r="G23" s="59" t="n">
        <v>629</v>
      </c>
      <c r="H23" s="59" t="n">
        <v>574</v>
      </c>
      <c r="I23" s="68" t="n">
        <f aca="false">IF(H23="","",G23-H23)</f>
        <v>55</v>
      </c>
      <c r="J23" s="40" t="n">
        <f aca="false">IF(OR(D23="",D23+G23=0),"",D23/(D23+G23))</f>
        <v>0.299554565701559</v>
      </c>
      <c r="K23" s="40" t="n">
        <f aca="false">IF(E23="","",E23/(E23+H23))</f>
        <v>0.322314049586777</v>
      </c>
      <c r="L23" s="69" t="n">
        <f aca="false">IF(OR(K23="",J23=""),"",(J23-K23)*100)</f>
        <v>-2.27594838852178</v>
      </c>
      <c r="M23" s="36" t="n">
        <v>3.12234213093196</v>
      </c>
      <c r="N23" s="36" t="n">
        <v>1.05172822528353</v>
      </c>
      <c r="O23" s="36" t="n">
        <f aca="false">SQRT(M23^2+N23^2)</f>
        <v>3.29471586672519</v>
      </c>
      <c r="P23" s="40" t="n">
        <f aca="false">IF(J23="","",MAX(0,J23-1.96*O23/100))</f>
        <v>0.234978134713745</v>
      </c>
      <c r="Q23" s="40" t="n">
        <f aca="false">IF(J23="","",MIN(1,J23+1.96*O23/100))</f>
        <v>0.364130996689373</v>
      </c>
      <c r="R23" s="32" t="str">
        <f aca="false">IF(L23="","",IF(ABS(L23)&lt;=O23,"Yes","No"))</f>
        <v>Yes</v>
      </c>
      <c r="S23" s="32" t="str">
        <f aca="false">IF(L23="","",IF(ABS(L23)&lt;=1.96*O23,"Yes","No"))</f>
        <v>Yes</v>
      </c>
      <c r="T23" s="59" t="n">
        <f aca="false">IF(D23="","",ROUND(SQRT(((D23+G23)*O23/100)^2+(J23*(D23+G23)*0.07067)^2),0))</f>
        <v>35</v>
      </c>
      <c r="U23" s="32" t="s">
        <v>432</v>
      </c>
    </row>
    <row r="24" customFormat="false" ht="15" hidden="false" customHeight="false" outlineLevel="0" collapsed="false">
      <c r="A24" s="32" t="s">
        <v>159</v>
      </c>
      <c r="B24" s="32" t="s">
        <v>188</v>
      </c>
      <c r="C24" s="32" t="s">
        <v>161</v>
      </c>
      <c r="D24" s="59" t="n">
        <v>44</v>
      </c>
      <c r="E24" s="59" t="n">
        <v>50</v>
      </c>
      <c r="F24" s="68" t="n">
        <f aca="false">IF(E24="","",D24-E24)</f>
        <v>-6</v>
      </c>
      <c r="G24" s="59" t="n">
        <v>62</v>
      </c>
      <c r="H24" s="59" t="n">
        <v>48</v>
      </c>
      <c r="I24" s="68" t="n">
        <f aca="false">IF(H24="","",G24-H24)</f>
        <v>14</v>
      </c>
      <c r="J24" s="40" t="n">
        <f aca="false">IF(OR(D24="",D24+G24=0),"",D24/(D24+G24))</f>
        <v>0.415094339622642</v>
      </c>
      <c r="K24" s="40" t="n">
        <f aca="false">IF(E24="","",E24/(E24+H24))</f>
        <v>0.510204081632653</v>
      </c>
      <c r="L24" s="69" t="n">
        <f aca="false">IF(OR(K24="",J24=""),"",(J24-K24)*100)</f>
        <v>-9.51097420100115</v>
      </c>
      <c r="M24" s="36" t="n">
        <v>3.12234213093196</v>
      </c>
      <c r="N24" s="36" t="n">
        <v>1.05172822528353</v>
      </c>
      <c r="O24" s="36" t="n">
        <f aca="false">SQRT(M24^2+N24^2)</f>
        <v>3.29471586672519</v>
      </c>
      <c r="P24" s="40" t="n">
        <f aca="false">IF(J24="","",MAX(0,J24-1.96*O24/100))</f>
        <v>0.350517908634828</v>
      </c>
      <c r="Q24" s="40" t="n">
        <f aca="false">IF(J24="","",MIN(1,J24+1.96*O24/100))</f>
        <v>0.479670770610455</v>
      </c>
      <c r="R24" s="32" t="str">
        <f aca="false">IF(L24="","",IF(ABS(L24)&lt;=O24,"Yes","No"))</f>
        <v>No</v>
      </c>
      <c r="S24" s="32" t="str">
        <f aca="false">IF(L24="","",IF(ABS(L24)&lt;=1.96*O24,"Yes","No"))</f>
        <v>No</v>
      </c>
      <c r="T24" s="59" t="n">
        <f aca="false">IF(D24="","",ROUND(SQRT(((D24+G24)*O24/100)^2+(J24*(D24+G24)*0.07067)^2),0))</f>
        <v>5</v>
      </c>
      <c r="U24" s="32" t="s">
        <v>432</v>
      </c>
    </row>
    <row r="25" customFormat="false" ht="15" hidden="false" customHeight="false" outlineLevel="0" collapsed="false">
      <c r="A25" s="32" t="s">
        <v>189</v>
      </c>
      <c r="B25" s="32" t="s">
        <v>190</v>
      </c>
      <c r="C25" s="32" t="s">
        <v>161</v>
      </c>
      <c r="D25" s="59" t="n">
        <v>471</v>
      </c>
      <c r="E25" s="59" t="n">
        <v>454</v>
      </c>
      <c r="F25" s="68" t="n">
        <f aca="false">IF(E25="","",D25-E25)</f>
        <v>17</v>
      </c>
      <c r="G25" s="59" t="n">
        <v>469</v>
      </c>
      <c r="H25" s="59" t="n">
        <v>406</v>
      </c>
      <c r="I25" s="68" t="n">
        <f aca="false">IF(H25="","",G25-H25)</f>
        <v>63</v>
      </c>
      <c r="J25" s="40" t="n">
        <f aca="false">IF(OR(D25="",D25+G25=0),"",D25/(D25+G25))</f>
        <v>0.501063829787234</v>
      </c>
      <c r="K25" s="40" t="n">
        <f aca="false">IF(E25="","",E25/(E25+H25))</f>
        <v>0.527906976744186</v>
      </c>
      <c r="L25" s="69" t="n">
        <f aca="false">IF(OR(K25="",J25=""),"",(J25-K25)*100)</f>
        <v>-2.6843146956952</v>
      </c>
      <c r="M25" s="36" t="n">
        <v>3.12234213093196</v>
      </c>
      <c r="N25" s="36" t="n">
        <v>1.05172822528353</v>
      </c>
      <c r="O25" s="36" t="n">
        <f aca="false">SQRT(M25^2+N25^2)</f>
        <v>3.29471586672519</v>
      </c>
      <c r="P25" s="40" t="n">
        <f aca="false">IF(J25="","",MAX(0,J25-1.96*O25/100))</f>
        <v>0.43648739879942</v>
      </c>
      <c r="Q25" s="40" t="n">
        <f aca="false">IF(J25="","",MIN(1,J25+1.96*O25/100))</f>
        <v>0.565640260775048</v>
      </c>
      <c r="R25" s="32" t="str">
        <f aca="false">IF(L25="","",IF(ABS(L25)&lt;=O25,"Yes","No"))</f>
        <v>Yes</v>
      </c>
      <c r="S25" s="32" t="str">
        <f aca="false">IF(L25="","",IF(ABS(L25)&lt;=1.96*O25,"Yes","No"))</f>
        <v>Yes</v>
      </c>
      <c r="T25" s="59" t="n">
        <f aca="false">IF(D25="","",ROUND(SQRT(((D25+G25)*O25/100)^2+(J25*(D25+G25)*0.07067)^2),0))</f>
        <v>45</v>
      </c>
      <c r="U25" s="32"/>
    </row>
    <row r="26" customFormat="false" ht="15" hidden="false" customHeight="false" outlineLevel="0" collapsed="false">
      <c r="A26" s="32" t="s">
        <v>189</v>
      </c>
      <c r="B26" s="32" t="s">
        <v>191</v>
      </c>
      <c r="C26" s="32" t="s">
        <v>161</v>
      </c>
      <c r="D26" s="59" t="n">
        <v>18233</v>
      </c>
      <c r="E26" s="59" t="n">
        <v>19919</v>
      </c>
      <c r="F26" s="68" t="n">
        <f aca="false">IF(E26="","",D26-E26)</f>
        <v>-1686</v>
      </c>
      <c r="G26" s="59" t="n">
        <v>7093</v>
      </c>
      <c r="H26" s="59" t="n">
        <v>7341</v>
      </c>
      <c r="I26" s="68" t="n">
        <f aca="false">IF(H26="","",G26-H26)</f>
        <v>-248</v>
      </c>
      <c r="J26" s="40" t="n">
        <f aca="false">IF(OR(D26="",D26+G26=0),"",D26/(D26+G26))</f>
        <v>0.719932085603727</v>
      </c>
      <c r="K26" s="40" t="n">
        <f aca="false">IF(E26="","",E26/(E26+H26))</f>
        <v>0.73070432868672</v>
      </c>
      <c r="L26" s="69" t="n">
        <f aca="false">IF(OR(K26="",J26=""),"",(J26-K26)*100)</f>
        <v>-1.07722430829931</v>
      </c>
      <c r="M26" s="36" t="n">
        <v>1.49093417024967</v>
      </c>
      <c r="N26" s="36" t="n">
        <v>1.05172822528353</v>
      </c>
      <c r="O26" s="36" t="n">
        <f aca="false">SQRT(M26^2+N26^2)</f>
        <v>1.82455938787317</v>
      </c>
      <c r="P26" s="40" t="n">
        <f aca="false">IF(J26="","",MAX(0,J26-1.96*O26/100))</f>
        <v>0.684170721601413</v>
      </c>
      <c r="Q26" s="40" t="n">
        <f aca="false">IF(J26="","",MIN(1,J26+1.96*O26/100))</f>
        <v>0.755693449606042</v>
      </c>
      <c r="R26" s="32" t="str">
        <f aca="false">IF(L26="","",IF(ABS(L26)&lt;=O26,"Yes","No"))</f>
        <v>Yes</v>
      </c>
      <c r="S26" s="32" t="str">
        <f aca="false">IF(L26="","",IF(ABS(L26)&lt;=1.96*O26,"Yes","No"))</f>
        <v>Yes</v>
      </c>
      <c r="T26" s="59" t="n">
        <f aca="false">IF(D26="","",ROUND(SQRT(((D26+G26)*O26/100)^2+(J26*(D26+G26)*0.04632)^2),0))</f>
        <v>963</v>
      </c>
      <c r="U26" s="32"/>
    </row>
    <row r="27" customFormat="false" ht="15" hidden="false" customHeight="false" outlineLevel="0" collapsed="false">
      <c r="A27" s="32" t="s">
        <v>189</v>
      </c>
      <c r="B27" s="32" t="s">
        <v>192</v>
      </c>
      <c r="C27" s="32" t="s">
        <v>161</v>
      </c>
      <c r="D27" s="59" t="n">
        <v>4872</v>
      </c>
      <c r="E27" s="59" t="n">
        <v>4700</v>
      </c>
      <c r="F27" s="68" t="n">
        <f aca="false">IF(E27="","",D27-E27)</f>
        <v>172</v>
      </c>
      <c r="G27" s="59" t="n">
        <v>2479</v>
      </c>
      <c r="H27" s="59" t="n">
        <v>2300</v>
      </c>
      <c r="I27" s="68" t="n">
        <f aca="false">IF(H27="","",G27-H27)</f>
        <v>179</v>
      </c>
      <c r="J27" s="40" t="n">
        <f aca="false">IF(OR(D27="",D27+G27=0),"",D27/(D27+G27))</f>
        <v>0.662766970480207</v>
      </c>
      <c r="K27" s="40" t="n">
        <f aca="false">IF(E27="","",E27/(E27+H27))</f>
        <v>0.671428571428571</v>
      </c>
      <c r="L27" s="69" t="n">
        <f aca="false">IF(OR(K27="",J27=""),"",(J27-K27)*100)</f>
        <v>-0.866160094836455</v>
      </c>
      <c r="M27" s="36" t="n">
        <v>1.49093417024967</v>
      </c>
      <c r="N27" s="36" t="n">
        <v>1.05172822528353</v>
      </c>
      <c r="O27" s="36" t="n">
        <f aca="false">SQRT(M27^2+N27^2)</f>
        <v>1.82455938787317</v>
      </c>
      <c r="P27" s="40" t="n">
        <f aca="false">IF(J27="","",MAX(0,J27-1.96*O27/100))</f>
        <v>0.627005606477893</v>
      </c>
      <c r="Q27" s="40" t="n">
        <f aca="false">IF(J27="","",MIN(1,J27+1.96*O27/100))</f>
        <v>0.698528334482521</v>
      </c>
      <c r="R27" s="32" t="str">
        <f aca="false">IF(L27="","",IF(ABS(L27)&lt;=O27,"Yes","No"))</f>
        <v>Yes</v>
      </c>
      <c r="S27" s="32" t="str">
        <f aca="false">IF(L27="","",IF(ABS(L27)&lt;=1.96*O27,"Yes","No"))</f>
        <v>Yes</v>
      </c>
      <c r="T27" s="59" t="n">
        <f aca="false">IF(D27="","",ROUND(SQRT(((D27+G27)*O27/100)^2+(J27*(D27+G27)*0.04632)^2),0))</f>
        <v>263</v>
      </c>
      <c r="U27" s="32"/>
    </row>
    <row r="28" customFormat="false" ht="15" hidden="false" customHeight="false" outlineLevel="0" collapsed="false">
      <c r="A28" s="32" t="s">
        <v>189</v>
      </c>
      <c r="B28" s="32" t="s">
        <v>193</v>
      </c>
      <c r="C28" s="32" t="s">
        <v>161</v>
      </c>
      <c r="D28" s="59" t="n">
        <v>1139</v>
      </c>
      <c r="E28" s="59" t="n">
        <v>1137</v>
      </c>
      <c r="F28" s="68" t="n">
        <f aca="false">IF(E28="","",D28-E28)</f>
        <v>2</v>
      </c>
      <c r="G28" s="59" t="n">
        <v>883</v>
      </c>
      <c r="H28" s="59" t="n">
        <v>821</v>
      </c>
      <c r="I28" s="68" t="n">
        <f aca="false">IF(H28="","",G28-H28)</f>
        <v>62</v>
      </c>
      <c r="J28" s="40" t="n">
        <f aca="false">IF(OR(D28="",D28+G28=0),"",D28/(D28+G28))</f>
        <v>0.563303659742829</v>
      </c>
      <c r="K28" s="40" t="n">
        <f aca="false">IF(E28="","",E28/(E28+H28))</f>
        <v>0.580694586312564</v>
      </c>
      <c r="L28" s="69" t="n">
        <f aca="false">IF(OR(K28="",J28=""),"",(J28-K28)*100)</f>
        <v>-1.7390926569735</v>
      </c>
      <c r="M28" s="36" t="n">
        <v>2.04164931371995</v>
      </c>
      <c r="N28" s="36" t="n">
        <v>1.05172822528353</v>
      </c>
      <c r="O28" s="36" t="n">
        <f aca="false">SQRT(M28^2+N28^2)</f>
        <v>2.29662016451811</v>
      </c>
      <c r="P28" s="40" t="n">
        <f aca="false">IF(J28="","",MAX(0,J28-1.96*O28/100))</f>
        <v>0.518289904518274</v>
      </c>
      <c r="Q28" s="40" t="n">
        <f aca="false">IF(J28="","",MIN(1,J28+1.96*O28/100))</f>
        <v>0.608317414967384</v>
      </c>
      <c r="R28" s="32" t="str">
        <f aca="false">IF(L28="","",IF(ABS(L28)&lt;=O28,"Yes","No"))</f>
        <v>Yes</v>
      </c>
      <c r="S28" s="32" t="str">
        <f aca="false">IF(L28="","",IF(ABS(L28)&lt;=1.96*O28,"Yes","No"))</f>
        <v>Yes</v>
      </c>
      <c r="T28" s="59" t="n">
        <f aca="false">IF(D28="","",ROUND(SQRT(((D28+G28)*O28/100)^2+(J28*(D28+G28)*0.05402)^2),0))</f>
        <v>77</v>
      </c>
      <c r="U28" s="32"/>
    </row>
    <row r="29" customFormat="false" ht="15" hidden="false" customHeight="false" outlineLevel="0" collapsed="false">
      <c r="A29" s="32" t="s">
        <v>189</v>
      </c>
      <c r="B29" s="32" t="s">
        <v>194</v>
      </c>
      <c r="C29" s="32" t="s">
        <v>161</v>
      </c>
      <c r="D29" s="59" t="n">
        <v>490</v>
      </c>
      <c r="E29" s="59" t="n">
        <v>513</v>
      </c>
      <c r="F29" s="68" t="n">
        <f aca="false">IF(E29="","",D29-E29)</f>
        <v>-23</v>
      </c>
      <c r="G29" s="59" t="n">
        <v>586</v>
      </c>
      <c r="H29" s="59" t="n">
        <v>446</v>
      </c>
      <c r="I29" s="68" t="n">
        <f aca="false">IF(H29="","",G29-H29)</f>
        <v>140</v>
      </c>
      <c r="J29" s="40" t="n">
        <f aca="false">IF(OR(D29="",D29+G29=0),"",D29/(D29+G29))</f>
        <v>0.455390334572491</v>
      </c>
      <c r="K29" s="40" t="n">
        <f aca="false">IF(E29="","",E29/(E29+H29))</f>
        <v>0.534932221063608</v>
      </c>
      <c r="L29" s="69" t="n">
        <f aca="false">IF(OR(K29="",J29=""),"",(J29-K29)*100)</f>
        <v>-7.95418864911172</v>
      </c>
      <c r="M29" s="36" t="n">
        <v>3.12234213093196</v>
      </c>
      <c r="N29" s="36" t="n">
        <v>1.05172822528353</v>
      </c>
      <c r="O29" s="36" t="n">
        <f aca="false">SQRT(M29^2+N29^2)</f>
        <v>3.29471586672519</v>
      </c>
      <c r="P29" s="40" t="n">
        <f aca="false">IF(J29="","",MAX(0,J29-1.96*O29/100))</f>
        <v>0.390813903584677</v>
      </c>
      <c r="Q29" s="40" t="n">
        <f aca="false">IF(J29="","",MIN(1,J29+1.96*O29/100))</f>
        <v>0.519966765560305</v>
      </c>
      <c r="R29" s="32" t="str">
        <f aca="false">IF(L29="","",IF(ABS(L29)&lt;=O29,"Yes","No"))</f>
        <v>No</v>
      </c>
      <c r="S29" s="32" t="str">
        <f aca="false">IF(L29="","",IF(ABS(L29)&lt;=1.96*O29,"Yes","No"))</f>
        <v>No</v>
      </c>
      <c r="T29" s="59" t="n">
        <f aca="false">IF(D29="","",ROUND(SQRT(((D29+G29)*O29/100)^2+(J29*(D29+G29)*0.07067)^2),0))</f>
        <v>50</v>
      </c>
      <c r="U29" s="32"/>
    </row>
    <row r="30" customFormat="false" ht="15" hidden="false" customHeight="false" outlineLevel="0" collapsed="false">
      <c r="A30" s="32" t="s">
        <v>189</v>
      </c>
      <c r="B30" s="32" t="s">
        <v>195</v>
      </c>
      <c r="C30" s="32" t="s">
        <v>161</v>
      </c>
      <c r="D30" s="59" t="n">
        <v>671</v>
      </c>
      <c r="E30" s="59" t="n">
        <v>660</v>
      </c>
      <c r="F30" s="68" t="n">
        <f aca="false">IF(E30="","",D30-E30)</f>
        <v>11</v>
      </c>
      <c r="G30" s="59" t="n">
        <v>540</v>
      </c>
      <c r="H30" s="59" t="n">
        <v>515</v>
      </c>
      <c r="I30" s="68" t="n">
        <f aca="false">IF(H30="","",G30-H30)</f>
        <v>25</v>
      </c>
      <c r="J30" s="40" t="n">
        <f aca="false">IF(OR(D30="",D30+G30=0),"",D30/(D30+G30))</f>
        <v>0.554087530966144</v>
      </c>
      <c r="K30" s="40" t="n">
        <f aca="false">IF(E30="","",E30/(E30+H30))</f>
        <v>0.561702127659575</v>
      </c>
      <c r="L30" s="69" t="n">
        <f aca="false">IF(OR(K30="",J30=""),"",(J30-K30)*100)</f>
        <v>-0.761459669343079</v>
      </c>
      <c r="M30" s="36" t="n">
        <v>2.04164931371995</v>
      </c>
      <c r="N30" s="36" t="n">
        <v>1.05172822528353</v>
      </c>
      <c r="O30" s="36" t="n">
        <f aca="false">SQRT(M30^2+N30^2)</f>
        <v>2.29662016451811</v>
      </c>
      <c r="P30" s="40" t="n">
        <f aca="false">IF(J30="","",MAX(0,J30-1.96*O30/100))</f>
        <v>0.509073775741589</v>
      </c>
      <c r="Q30" s="40" t="n">
        <f aca="false">IF(J30="","",MIN(1,J30+1.96*O30/100))</f>
        <v>0.599101286190699</v>
      </c>
      <c r="R30" s="32" t="str">
        <f aca="false">IF(L30="","",IF(ABS(L30)&lt;=O30,"Yes","No"))</f>
        <v>Yes</v>
      </c>
      <c r="S30" s="32" t="str">
        <f aca="false">IF(L30="","",IF(ABS(L30)&lt;=1.96*O30,"Yes","No"))</f>
        <v>Yes</v>
      </c>
      <c r="T30" s="59" t="n">
        <f aca="false">IF(D30="","",ROUND(SQRT(((D30+G30)*O30/100)^2+(J30*(D30+G30)*0.05402)^2),0))</f>
        <v>46</v>
      </c>
      <c r="U30" s="32"/>
    </row>
    <row r="31" customFormat="false" ht="15" hidden="false" customHeight="false" outlineLevel="0" collapsed="false">
      <c r="A31" s="32" t="s">
        <v>189</v>
      </c>
      <c r="B31" s="32" t="s">
        <v>196</v>
      </c>
      <c r="C31" s="32" t="s">
        <v>161</v>
      </c>
      <c r="D31" s="59" t="n">
        <v>2647</v>
      </c>
      <c r="E31" s="59" t="n">
        <v>2434</v>
      </c>
      <c r="F31" s="68" t="n">
        <f aca="false">IF(E31="","",D31-E31)</f>
        <v>213</v>
      </c>
      <c r="G31" s="59" t="n">
        <v>2087</v>
      </c>
      <c r="H31" s="59" t="n">
        <v>1955</v>
      </c>
      <c r="I31" s="68" t="n">
        <f aca="false">IF(H31="","",G31-H31)</f>
        <v>132</v>
      </c>
      <c r="J31" s="40" t="n">
        <f aca="false">IF(OR(D31="",D31+G31=0),"",D31/(D31+G31))</f>
        <v>0.559146599070553</v>
      </c>
      <c r="K31" s="40" t="n">
        <f aca="false">IF(E31="","",E31/(E31+H31))</f>
        <v>0.554568238778765</v>
      </c>
      <c r="L31" s="69" t="n">
        <f aca="false">IF(OR(K31="",J31=""),"",(J31-K31)*100)</f>
        <v>0.457836029178838</v>
      </c>
      <c r="M31" s="36" t="n">
        <v>1.49093417024967</v>
      </c>
      <c r="N31" s="36" t="n">
        <v>1.05172822528353</v>
      </c>
      <c r="O31" s="36" t="n">
        <f aca="false">SQRT(M31^2+N31^2)</f>
        <v>1.82455938787317</v>
      </c>
      <c r="P31" s="40" t="n">
        <f aca="false">IF(J31="","",MAX(0,J31-1.96*O31/100))</f>
        <v>0.523385235068239</v>
      </c>
      <c r="Q31" s="40" t="n">
        <f aca="false">IF(J31="","",MIN(1,J31+1.96*O31/100))</f>
        <v>0.594907963072868</v>
      </c>
      <c r="R31" s="32" t="str">
        <f aca="false">IF(L31="","",IF(ABS(L31)&lt;=O31,"Yes","No"))</f>
        <v>Yes</v>
      </c>
      <c r="S31" s="32" t="str">
        <f aca="false">IF(L31="","",IF(ABS(L31)&lt;=1.96*O31,"Yes","No"))</f>
        <v>Yes</v>
      </c>
      <c r="T31" s="59" t="n">
        <f aca="false">IF(D31="","",ROUND(SQRT(((D31+G31)*O31/100)^2+(J31*(D31+G31)*0.04632)^2),0))</f>
        <v>150</v>
      </c>
      <c r="U31" s="32"/>
    </row>
    <row r="32" customFormat="false" ht="15" hidden="false" customHeight="false" outlineLevel="0" collapsed="false">
      <c r="A32" s="32" t="s">
        <v>189</v>
      </c>
      <c r="B32" s="32" t="s">
        <v>197</v>
      </c>
      <c r="C32" s="32" t="s">
        <v>161</v>
      </c>
      <c r="D32" s="59" t="n">
        <v>971</v>
      </c>
      <c r="E32" s="59" t="n">
        <v>1077</v>
      </c>
      <c r="F32" s="68" t="n">
        <f aca="false">IF(E32="","",D32-E32)</f>
        <v>-106</v>
      </c>
      <c r="G32" s="59" t="n">
        <v>506</v>
      </c>
      <c r="H32" s="59" t="n">
        <v>463</v>
      </c>
      <c r="I32" s="68" t="n">
        <f aca="false">IF(H32="","",G32-H32)</f>
        <v>43</v>
      </c>
      <c r="J32" s="40" t="n">
        <f aca="false">IF(OR(D32="",D32+G32=0),"",D32/(D32+G32))</f>
        <v>0.657413676371022</v>
      </c>
      <c r="K32" s="40" t="n">
        <f aca="false">IF(E32="","",E32/(E32+H32))</f>
        <v>0.699350649350649</v>
      </c>
      <c r="L32" s="69" t="n">
        <f aca="false">IF(OR(K32="",J32=""),"",(J32-K32)*100)</f>
        <v>-4.19369729796271</v>
      </c>
      <c r="M32" s="36" t="n">
        <v>2.04164931371995</v>
      </c>
      <c r="N32" s="36" t="n">
        <v>1.05172822528353</v>
      </c>
      <c r="O32" s="36" t="n">
        <f aca="false">SQRT(M32^2+N32^2)</f>
        <v>2.29662016451811</v>
      </c>
      <c r="P32" s="40" t="n">
        <f aca="false">IF(J32="","",MAX(0,J32-1.96*O32/100))</f>
        <v>0.612399921146468</v>
      </c>
      <c r="Q32" s="40" t="n">
        <f aca="false">IF(J32="","",MIN(1,J32+1.96*O32/100))</f>
        <v>0.702427431595577</v>
      </c>
      <c r="R32" s="32" t="str">
        <f aca="false">IF(L32="","",IF(ABS(L32)&lt;=O32,"Yes","No"))</f>
        <v>No</v>
      </c>
      <c r="S32" s="32" t="str">
        <f aca="false">IF(L32="","",IF(ABS(L32)&lt;=1.96*O32,"Yes","No"))</f>
        <v>Yes</v>
      </c>
      <c r="T32" s="59" t="n">
        <f aca="false">IF(D32="","",ROUND(SQRT(((D32+G32)*O32/100)^2+(J32*(D32+G32)*0.05402)^2),0))</f>
        <v>62</v>
      </c>
      <c r="U32" s="32"/>
    </row>
    <row r="33" customFormat="false" ht="15" hidden="false" customHeight="false" outlineLevel="0" collapsed="false">
      <c r="A33" s="32" t="s">
        <v>189</v>
      </c>
      <c r="B33" s="32" t="s">
        <v>198</v>
      </c>
      <c r="C33" s="32" t="s">
        <v>161</v>
      </c>
      <c r="D33" s="59" t="n">
        <v>280</v>
      </c>
      <c r="E33" s="59" t="n">
        <v>294</v>
      </c>
      <c r="F33" s="68" t="n">
        <f aca="false">IF(E33="","",D33-E33)</f>
        <v>-14</v>
      </c>
      <c r="G33" s="59" t="n">
        <v>190</v>
      </c>
      <c r="H33" s="59" t="n">
        <v>198</v>
      </c>
      <c r="I33" s="68" t="n">
        <f aca="false">IF(H33="","",G33-H33)</f>
        <v>-8</v>
      </c>
      <c r="J33" s="40" t="n">
        <f aca="false">IF(OR(D33="",D33+G33=0),"",D33/(D33+G33))</f>
        <v>0.595744680851064</v>
      </c>
      <c r="K33" s="40" t="n">
        <f aca="false">IF(E33="","",E33/(E33+H33))</f>
        <v>0.597560975609756</v>
      </c>
      <c r="L33" s="69" t="n">
        <f aca="false">IF(OR(K33="",J33=""),"",(J33-K33)*100)</f>
        <v>-0.181629475869227</v>
      </c>
      <c r="M33" s="36" t="n">
        <v>3.12234213093196</v>
      </c>
      <c r="N33" s="36" t="n">
        <v>1.05172822528353</v>
      </c>
      <c r="O33" s="36" t="n">
        <f aca="false">SQRT(M33^2+N33^2)</f>
        <v>3.29471586672519</v>
      </c>
      <c r="P33" s="40" t="n">
        <f aca="false">IF(J33="","",MAX(0,J33-1.96*O33/100))</f>
        <v>0.53116824986325</v>
      </c>
      <c r="Q33" s="40" t="n">
        <f aca="false">IF(J33="","",MIN(1,J33+1.96*O33/100))</f>
        <v>0.660321111838878</v>
      </c>
      <c r="R33" s="32" t="str">
        <f aca="false">IF(L33="","",IF(ABS(L33)&lt;=O33,"Yes","No"))</f>
        <v>Yes</v>
      </c>
      <c r="S33" s="32" t="str">
        <f aca="false">IF(L33="","",IF(ABS(L33)&lt;=1.96*O33,"Yes","No"))</f>
        <v>Yes</v>
      </c>
      <c r="T33" s="59" t="n">
        <f aca="false">IF(D33="","",ROUND(SQRT(((D33+G33)*O33/100)^2+(J33*(D33+G33)*0.07067)^2),0))</f>
        <v>25</v>
      </c>
      <c r="U33" s="32"/>
    </row>
    <row r="34" customFormat="false" ht="15" hidden="false" customHeight="false" outlineLevel="0" collapsed="false">
      <c r="A34" s="32" t="s">
        <v>189</v>
      </c>
      <c r="B34" s="32" t="s">
        <v>199</v>
      </c>
      <c r="C34" s="32" t="s">
        <v>161</v>
      </c>
      <c r="D34" s="59" t="n">
        <v>440</v>
      </c>
      <c r="E34" s="59" t="n">
        <v>498</v>
      </c>
      <c r="F34" s="68" t="n">
        <f aca="false">IF(E34="","",D34-E34)</f>
        <v>-58</v>
      </c>
      <c r="G34" s="59" t="n">
        <v>1053</v>
      </c>
      <c r="H34" s="59" t="n">
        <v>876</v>
      </c>
      <c r="I34" s="68" t="n">
        <f aca="false">IF(H34="","",G34-H34)</f>
        <v>177</v>
      </c>
      <c r="J34" s="40" t="n">
        <f aca="false">IF(OR(D34="",D34+G34=0),"",D34/(D34+G34))</f>
        <v>0.2947086403215</v>
      </c>
      <c r="K34" s="40" t="n">
        <f aca="false">IF(E34="","",E34/(E34+H34))</f>
        <v>0.362445414847162</v>
      </c>
      <c r="L34" s="69" t="n">
        <f aca="false">IF(OR(K34="",J34=""),"",(J34-K34)*100)</f>
        <v>-6.77367745256612</v>
      </c>
      <c r="M34" s="36" t="n">
        <v>2.04164931371995</v>
      </c>
      <c r="N34" s="36" t="n">
        <v>1.05172822528353</v>
      </c>
      <c r="O34" s="36" t="n">
        <f aca="false">SQRT(M34^2+N34^2)</f>
        <v>2.29662016451811</v>
      </c>
      <c r="P34" s="40" t="n">
        <f aca="false">IF(J34="","",MAX(0,J34-1.96*O34/100))</f>
        <v>0.249694885096945</v>
      </c>
      <c r="Q34" s="40" t="n">
        <f aca="false">IF(J34="","",MIN(1,J34+1.96*O34/100))</f>
        <v>0.339722395546055</v>
      </c>
      <c r="R34" s="32" t="str">
        <f aca="false">IF(L34="","",IF(ABS(L34)&lt;=O34,"Yes","No"))</f>
        <v>No</v>
      </c>
      <c r="S34" s="32" t="str">
        <f aca="false">IF(L34="","",IF(ABS(L34)&lt;=1.96*O34,"Yes","No"))</f>
        <v>No</v>
      </c>
      <c r="T34" s="59" t="n">
        <f aca="false">IF(D34="","",ROUND(SQRT(((D34+G34)*O34/100)^2+(J34*(D34+G34)*0.05402)^2),0))</f>
        <v>42</v>
      </c>
      <c r="U34" s="32"/>
    </row>
    <row r="35" customFormat="false" ht="15" hidden="false" customHeight="false" outlineLevel="0" collapsed="false">
      <c r="A35" s="32" t="s">
        <v>189</v>
      </c>
      <c r="B35" s="32" t="s">
        <v>200</v>
      </c>
      <c r="C35" s="32" t="s">
        <v>161</v>
      </c>
      <c r="D35" s="59" t="n">
        <v>7930</v>
      </c>
      <c r="E35" s="59" t="n">
        <v>7236</v>
      </c>
      <c r="F35" s="68" t="n">
        <f aca="false">IF(E35="","",D35-E35)</f>
        <v>694</v>
      </c>
      <c r="G35" s="59" t="n">
        <v>6985</v>
      </c>
      <c r="H35" s="59" t="n">
        <v>6846</v>
      </c>
      <c r="I35" s="68" t="n">
        <f aca="false">IF(H35="","",G35-H35)</f>
        <v>139</v>
      </c>
      <c r="J35" s="40" t="n">
        <f aca="false">IF(OR(D35="",D35+G35=0),"",D35/(D35+G35))</f>
        <v>0.531679517264499</v>
      </c>
      <c r="K35" s="40" t="n">
        <f aca="false">IF(E35="","",E35/(E35+H35))</f>
        <v>0.513847464848743</v>
      </c>
      <c r="L35" s="69" t="n">
        <f aca="false">IF(OR(K35="",J35=""),"",(J35-K35)*100)</f>
        <v>1.78320524157557</v>
      </c>
      <c r="M35" s="36" t="n">
        <v>1.49093417024967</v>
      </c>
      <c r="N35" s="36" t="n">
        <v>1.05172822528353</v>
      </c>
      <c r="O35" s="36" t="n">
        <f aca="false">SQRT(M35^2+N35^2)</f>
        <v>1.82455938787317</v>
      </c>
      <c r="P35" s="40" t="n">
        <f aca="false">IF(J35="","",MAX(0,J35-1.96*O35/100))</f>
        <v>0.495918153262185</v>
      </c>
      <c r="Q35" s="40" t="n">
        <f aca="false">IF(J35="","",MIN(1,J35+1.96*O35/100))</f>
        <v>0.567440881266813</v>
      </c>
      <c r="R35" s="32" t="str">
        <f aca="false">IF(L35="","",IF(ABS(L35)&lt;=O35,"Yes","No"))</f>
        <v>Yes</v>
      </c>
      <c r="S35" s="32" t="str">
        <f aca="false">IF(L35="","",IF(ABS(L35)&lt;=1.96*O35,"Yes","No"))</f>
        <v>Yes</v>
      </c>
      <c r="T35" s="59" t="n">
        <f aca="false">IF(D35="","",ROUND(SQRT(((D35+G35)*O35/100)^2+(J35*(D35+G35)*0.04632)^2),0))</f>
        <v>457</v>
      </c>
      <c r="U35" s="32"/>
    </row>
    <row r="36" customFormat="false" ht="15" hidden="false" customHeight="false" outlineLevel="0" collapsed="false">
      <c r="A36" s="32" t="s">
        <v>189</v>
      </c>
      <c r="B36" s="32" t="s">
        <v>201</v>
      </c>
      <c r="C36" s="32" t="s">
        <v>161</v>
      </c>
      <c r="D36" s="59" t="n">
        <v>679</v>
      </c>
      <c r="E36" s="59" t="n">
        <v>738</v>
      </c>
      <c r="F36" s="68" t="n">
        <f aca="false">IF(E36="","",D36-E36)</f>
        <v>-59</v>
      </c>
      <c r="G36" s="59" t="n">
        <v>1310</v>
      </c>
      <c r="H36" s="59" t="n">
        <v>1114</v>
      </c>
      <c r="I36" s="68" t="n">
        <f aca="false">IF(H36="","",G36-H36)</f>
        <v>196</v>
      </c>
      <c r="J36" s="40" t="n">
        <f aca="false">IF(OR(D36="",D36+G36=0),"",D36/(D36+G36))</f>
        <v>0.341377576671694</v>
      </c>
      <c r="K36" s="40" t="n">
        <f aca="false">IF(E36="","",E36/(E36+H36))</f>
        <v>0.398488120950324</v>
      </c>
      <c r="L36" s="69" t="n">
        <f aca="false">IF(OR(K36="",J36=""),"",(J36-K36)*100)</f>
        <v>-5.71105442786297</v>
      </c>
      <c r="M36" s="36" t="n">
        <v>2.04164931371995</v>
      </c>
      <c r="N36" s="36" t="n">
        <v>1.05172822528353</v>
      </c>
      <c r="O36" s="36" t="n">
        <f aca="false">SQRT(M36^2+N36^2)</f>
        <v>2.29662016451811</v>
      </c>
      <c r="P36" s="40" t="n">
        <f aca="false">IF(J36="","",MAX(0,J36-1.96*O36/100))</f>
        <v>0.296363821447139</v>
      </c>
      <c r="Q36" s="40" t="n">
        <f aca="false">IF(J36="","",MIN(1,J36+1.96*O36/100))</f>
        <v>0.386391331896249</v>
      </c>
      <c r="R36" s="32" t="str">
        <f aca="false">IF(L36="","",IF(ABS(L36)&lt;=O36,"Yes","No"))</f>
        <v>No</v>
      </c>
      <c r="S36" s="32" t="str">
        <f aca="false">IF(L36="","",IF(ABS(L36)&lt;=1.96*O36,"Yes","No"))</f>
        <v>No</v>
      </c>
      <c r="T36" s="59" t="n">
        <f aca="false">IF(D36="","",ROUND(SQRT(((D36+G36)*O36/100)^2+(J36*(D36+G36)*0.05402)^2),0))</f>
        <v>59</v>
      </c>
      <c r="U36" s="32"/>
    </row>
    <row r="37" customFormat="false" ht="15" hidden="false" customHeight="false" outlineLevel="0" collapsed="false">
      <c r="A37" s="32" t="s">
        <v>189</v>
      </c>
      <c r="B37" s="32" t="s">
        <v>202</v>
      </c>
      <c r="C37" s="32" t="s">
        <v>161</v>
      </c>
      <c r="D37" s="59" t="n">
        <v>358</v>
      </c>
      <c r="E37" s="59" t="n">
        <v>411</v>
      </c>
      <c r="F37" s="68" t="n">
        <f aca="false">IF(E37="","",D37-E37)</f>
        <v>-53</v>
      </c>
      <c r="G37" s="59" t="n">
        <v>769</v>
      </c>
      <c r="H37" s="59" t="n">
        <v>680</v>
      </c>
      <c r="I37" s="68" t="n">
        <f aca="false">IF(H37="","",G37-H37)</f>
        <v>89</v>
      </c>
      <c r="J37" s="40" t="n">
        <f aca="false">IF(OR(D37="",D37+G37=0),"",D37/(D37+G37))</f>
        <v>0.317657497781721</v>
      </c>
      <c r="K37" s="40" t="n">
        <f aca="false">IF(E37="","",E37/(E37+H37))</f>
        <v>0.376718606782768</v>
      </c>
      <c r="L37" s="69" t="n">
        <f aca="false">IF(OR(K37="",J37=""),"",(J37-K37)*100)</f>
        <v>-5.90611090010467</v>
      </c>
      <c r="M37" s="36" t="n">
        <v>3.12234213093196</v>
      </c>
      <c r="N37" s="36" t="n">
        <v>1.05172822528353</v>
      </c>
      <c r="O37" s="36" t="n">
        <f aca="false">SQRT(M37^2+N37^2)</f>
        <v>3.29471586672519</v>
      </c>
      <c r="P37" s="40" t="n">
        <f aca="false">IF(J37="","",MAX(0,J37-1.96*O37/100))</f>
        <v>0.253081066793908</v>
      </c>
      <c r="Q37" s="40" t="n">
        <f aca="false">IF(J37="","",MIN(1,J37+1.96*O37/100))</f>
        <v>0.382233928769535</v>
      </c>
      <c r="R37" s="32" t="str">
        <f aca="false">IF(L37="","",IF(ABS(L37)&lt;=O37,"Yes","No"))</f>
        <v>No</v>
      </c>
      <c r="S37" s="32" t="str">
        <f aca="false">IF(L37="","",IF(ABS(L37)&lt;=1.96*O37,"Yes","No"))</f>
        <v>Yes</v>
      </c>
      <c r="T37" s="59" t="n">
        <f aca="false">IF(D37="","",ROUND(SQRT(((D37+G37)*O37/100)^2+(J37*(D37+G37)*0.07067)^2),0))</f>
        <v>45</v>
      </c>
      <c r="U37" s="32"/>
    </row>
    <row r="38" customFormat="false" ht="15" hidden="false" customHeight="false" outlineLevel="0" collapsed="false">
      <c r="A38" s="32" t="s">
        <v>189</v>
      </c>
      <c r="B38" s="32" t="s">
        <v>203</v>
      </c>
      <c r="C38" s="32" t="s">
        <v>161</v>
      </c>
      <c r="D38" s="59" t="n">
        <v>562</v>
      </c>
      <c r="E38" s="59" t="n">
        <v>623</v>
      </c>
      <c r="F38" s="68" t="n">
        <f aca="false">IF(E38="","",D38-E38)</f>
        <v>-61</v>
      </c>
      <c r="G38" s="59" t="n">
        <v>1444</v>
      </c>
      <c r="H38" s="59" t="n">
        <v>1233</v>
      </c>
      <c r="I38" s="68" t="n">
        <f aca="false">IF(H38="","",G38-H38)</f>
        <v>211</v>
      </c>
      <c r="J38" s="40" t="n">
        <f aca="false">IF(OR(D38="",D38+G38=0),"",D38/(D38+G38))</f>
        <v>0.280159521435693</v>
      </c>
      <c r="K38" s="40" t="n">
        <f aca="false">IF(E38="","",E38/(E38+H38))</f>
        <v>0.335668103448276</v>
      </c>
      <c r="L38" s="69" t="n">
        <f aca="false">IF(OR(K38="",J38=""),"",(J38-K38)*100)</f>
        <v>-5.55085820125829</v>
      </c>
      <c r="M38" s="36" t="n">
        <v>2.04164931371995</v>
      </c>
      <c r="N38" s="36" t="n">
        <v>1.05172822528353</v>
      </c>
      <c r="O38" s="36" t="n">
        <f aca="false">SQRT(M38^2+N38^2)</f>
        <v>2.29662016451811</v>
      </c>
      <c r="P38" s="40" t="n">
        <f aca="false">IF(J38="","",MAX(0,J38-1.96*O38/100))</f>
        <v>0.235145766211138</v>
      </c>
      <c r="Q38" s="40" t="n">
        <f aca="false">IF(J38="","",MIN(1,J38+1.96*O38/100))</f>
        <v>0.325173276660248</v>
      </c>
      <c r="R38" s="32" t="str">
        <f aca="false">IF(L38="","",IF(ABS(L38)&lt;=O38,"Yes","No"))</f>
        <v>No</v>
      </c>
      <c r="S38" s="32" t="str">
        <f aca="false">IF(L38="","",IF(ABS(L38)&lt;=1.96*O38,"Yes","No"))</f>
        <v>No</v>
      </c>
      <c r="T38" s="59" t="n">
        <f aca="false">IF(D38="","",ROUND(SQRT(((D38+G38)*O38/100)^2+(J38*(D38+G38)*0.05402)^2),0))</f>
        <v>55</v>
      </c>
      <c r="U38" s="32"/>
    </row>
    <row r="39" customFormat="false" ht="15" hidden="false" customHeight="false" outlineLevel="0" collapsed="false">
      <c r="A39" s="32" t="s">
        <v>189</v>
      </c>
      <c r="B39" s="32" t="s">
        <v>204</v>
      </c>
      <c r="C39" s="32" t="s">
        <v>161</v>
      </c>
      <c r="D39" s="59" t="n">
        <v>675</v>
      </c>
      <c r="E39" s="59" t="n">
        <v>691</v>
      </c>
      <c r="F39" s="68" t="n">
        <f aca="false">IF(E39="","",D39-E39)</f>
        <v>-16</v>
      </c>
      <c r="G39" s="59" t="n">
        <v>668</v>
      </c>
      <c r="H39" s="59" t="n">
        <v>584</v>
      </c>
      <c r="I39" s="68" t="n">
        <f aca="false">IF(H39="","",G39-H39)</f>
        <v>84</v>
      </c>
      <c r="J39" s="40" t="n">
        <f aca="false">IF(OR(D39="",D39+G39=0),"",D39/(D39+G39))</f>
        <v>0.502606105733433</v>
      </c>
      <c r="K39" s="40" t="n">
        <f aca="false">IF(E39="","",E39/(E39+H39))</f>
        <v>0.541960784313726</v>
      </c>
      <c r="L39" s="69" t="n">
        <f aca="false">IF(OR(K39="",J39=""),"",(J39-K39)*100)</f>
        <v>-3.9354678580293</v>
      </c>
      <c r="M39" s="36" t="n">
        <v>2.04164931371995</v>
      </c>
      <c r="N39" s="36" t="n">
        <v>1.05172822528353</v>
      </c>
      <c r="O39" s="36" t="n">
        <f aca="false">SQRT(M39^2+N39^2)</f>
        <v>2.29662016451811</v>
      </c>
      <c r="P39" s="40" t="n">
        <f aca="false">IF(J39="","",MAX(0,J39-1.96*O39/100))</f>
        <v>0.457592350508878</v>
      </c>
      <c r="Q39" s="40" t="n">
        <f aca="false">IF(J39="","",MIN(1,J39+1.96*O39/100))</f>
        <v>0.547619860957987</v>
      </c>
      <c r="R39" s="32" t="str">
        <f aca="false">IF(L39="","",IF(ABS(L39)&lt;=O39,"Yes","No"))</f>
        <v>No</v>
      </c>
      <c r="S39" s="32" t="str">
        <f aca="false">IF(L39="","",IF(ABS(L39)&lt;=1.96*O39,"Yes","No"))</f>
        <v>Yes</v>
      </c>
      <c r="T39" s="59" t="n">
        <f aca="false">IF(D39="","",ROUND(SQRT(((D39+G39)*O39/100)^2+(J39*(D39+G39)*0.05402)^2),0))</f>
        <v>48</v>
      </c>
      <c r="U39" s="32"/>
    </row>
    <row r="40" customFormat="false" ht="15" hidden="false" customHeight="false" outlineLevel="0" collapsed="false">
      <c r="A40" s="32" t="s">
        <v>189</v>
      </c>
      <c r="B40" s="32" t="s">
        <v>205</v>
      </c>
      <c r="C40" s="32" t="s">
        <v>161</v>
      </c>
      <c r="D40" s="59" t="n">
        <v>3162</v>
      </c>
      <c r="E40" s="59" t="n">
        <v>2780</v>
      </c>
      <c r="F40" s="68" t="n">
        <f aca="false">IF(E40="","",D40-E40)</f>
        <v>382</v>
      </c>
      <c r="G40" s="59" t="n">
        <v>4127</v>
      </c>
      <c r="H40" s="59" t="n">
        <v>3849</v>
      </c>
      <c r="I40" s="68" t="n">
        <f aca="false">IF(H40="","",G40-H40)</f>
        <v>278</v>
      </c>
      <c r="J40" s="40" t="n">
        <f aca="false">IF(OR(D40="",D40+G40=0),"",D40/(D40+G40))</f>
        <v>0.433804362738373</v>
      </c>
      <c r="K40" s="40" t="n">
        <f aca="false">IF(E40="","",E40/(E40+H40))</f>
        <v>0.419369437320863</v>
      </c>
      <c r="L40" s="69" t="n">
        <f aca="false">IF(OR(K40="",J40=""),"",(J40-K40)*100)</f>
        <v>1.44349254175101</v>
      </c>
      <c r="M40" s="36" t="n">
        <v>1.49093417024967</v>
      </c>
      <c r="N40" s="36" t="n">
        <v>1.05172822528353</v>
      </c>
      <c r="O40" s="36" t="n">
        <f aca="false">SQRT(M40^2+N40^2)</f>
        <v>1.82455938787317</v>
      </c>
      <c r="P40" s="40" t="n">
        <f aca="false">IF(J40="","",MAX(0,J40-1.96*O40/100))</f>
        <v>0.398042998736059</v>
      </c>
      <c r="Q40" s="40" t="n">
        <f aca="false">IF(J40="","",MIN(1,J40+1.96*O40/100))</f>
        <v>0.469565726740687</v>
      </c>
      <c r="R40" s="32" t="str">
        <f aca="false">IF(L40="","",IF(ABS(L40)&lt;=O40,"Yes","No"))</f>
        <v>Yes</v>
      </c>
      <c r="S40" s="32" t="str">
        <f aca="false">IF(L40="","",IF(ABS(L40)&lt;=1.96*O40,"Yes","No"))</f>
        <v>Yes</v>
      </c>
      <c r="T40" s="59" t="n">
        <f aca="false">IF(D40="","",ROUND(SQRT(((D40+G40)*O40/100)^2+(J40*(D40+G40)*0.04632)^2),0))</f>
        <v>198</v>
      </c>
      <c r="U40" s="32"/>
    </row>
    <row r="41" customFormat="false" ht="15" hidden="false" customHeight="false" outlineLevel="0" collapsed="false">
      <c r="A41" s="32" t="s">
        <v>189</v>
      </c>
      <c r="B41" s="32" t="s">
        <v>206</v>
      </c>
      <c r="C41" s="32" t="s">
        <v>161</v>
      </c>
      <c r="D41" s="59" t="n">
        <v>2996</v>
      </c>
      <c r="E41" s="59" t="n">
        <v>2945</v>
      </c>
      <c r="F41" s="68" t="n">
        <f aca="false">IF(E41="","",D41-E41)</f>
        <v>51</v>
      </c>
      <c r="G41" s="59" t="n">
        <v>3124</v>
      </c>
      <c r="H41" s="59" t="n">
        <v>2844</v>
      </c>
      <c r="I41" s="68" t="n">
        <f aca="false">IF(H41="","",G41-H41)</f>
        <v>280</v>
      </c>
      <c r="J41" s="40" t="n">
        <f aca="false">IF(OR(D41="",D41+G41=0),"",D41/(D41+G41))</f>
        <v>0.489542483660131</v>
      </c>
      <c r="K41" s="40" t="n">
        <f aca="false">IF(E41="","",E41/(E41+H41))</f>
        <v>0.50872344100881</v>
      </c>
      <c r="L41" s="69" t="n">
        <f aca="false">IF(OR(K41="",J41=""),"",(J41-K41)*100)</f>
        <v>-1.91809573486791</v>
      </c>
      <c r="M41" s="36" t="n">
        <v>1.49093417024967</v>
      </c>
      <c r="N41" s="36" t="n">
        <v>1.05172822528353</v>
      </c>
      <c r="O41" s="36" t="n">
        <f aca="false">SQRT(M41^2+N41^2)</f>
        <v>1.82455938787317</v>
      </c>
      <c r="P41" s="40" t="n">
        <f aca="false">IF(J41="","",MAX(0,J41-1.96*O41/100))</f>
        <v>0.453781119657817</v>
      </c>
      <c r="Q41" s="40" t="n">
        <f aca="false">IF(J41="","",MIN(1,J41+1.96*O41/100))</f>
        <v>0.525303847662445</v>
      </c>
      <c r="R41" s="32" t="str">
        <f aca="false">IF(L41="","",IF(ABS(L41)&lt;=O41,"Yes","No"))</f>
        <v>No</v>
      </c>
      <c r="S41" s="32" t="str">
        <f aca="false">IF(L41="","",IF(ABS(L41)&lt;=1.96*O41,"Yes","No"))</f>
        <v>Yes</v>
      </c>
      <c r="T41" s="59" t="n">
        <f aca="false">IF(D41="","",ROUND(SQRT(((D41+G41)*O41/100)^2+(J41*(D41+G41)*0.04632)^2),0))</f>
        <v>178</v>
      </c>
      <c r="U41" s="32"/>
    </row>
    <row r="42" customFormat="false" ht="15" hidden="false" customHeight="false" outlineLevel="0" collapsed="false">
      <c r="A42" s="32" t="s">
        <v>189</v>
      </c>
      <c r="B42" s="32" t="s">
        <v>207</v>
      </c>
      <c r="C42" s="32" t="s">
        <v>161</v>
      </c>
      <c r="D42" s="59" t="n">
        <v>564</v>
      </c>
      <c r="E42" s="59" t="n">
        <v>537</v>
      </c>
      <c r="F42" s="68" t="n">
        <f aca="false">IF(E42="","",D42-E42)</f>
        <v>27</v>
      </c>
      <c r="G42" s="59" t="n">
        <v>633</v>
      </c>
      <c r="H42" s="59" t="n">
        <v>626</v>
      </c>
      <c r="I42" s="68" t="n">
        <f aca="false">IF(H42="","",G42-H42)</f>
        <v>7</v>
      </c>
      <c r="J42" s="40" t="n">
        <f aca="false">IF(OR(D42="",D42+G42=0),"",D42/(D42+G42))</f>
        <v>0.471177944862155</v>
      </c>
      <c r="K42" s="40" t="n">
        <f aca="false">IF(E42="","",E42/(E42+H42))</f>
        <v>0.461736887360275</v>
      </c>
      <c r="L42" s="69" t="n">
        <f aca="false">IF(OR(K42="",J42=""),"",(J42-K42)*100)</f>
        <v>0.944105750188024</v>
      </c>
      <c r="M42" s="36" t="n">
        <v>2.04164931371995</v>
      </c>
      <c r="N42" s="36" t="n">
        <v>1.05172822528353</v>
      </c>
      <c r="O42" s="36" t="n">
        <f aca="false">SQRT(M42^2+N42^2)</f>
        <v>2.29662016451811</v>
      </c>
      <c r="P42" s="40" t="n">
        <f aca="false">IF(J42="","",MAX(0,J42-1.96*O42/100))</f>
        <v>0.426164189637601</v>
      </c>
      <c r="Q42" s="40" t="n">
        <f aca="false">IF(J42="","",MIN(1,J42+1.96*O42/100))</f>
        <v>0.51619170008671</v>
      </c>
      <c r="R42" s="32" t="str">
        <f aca="false">IF(L42="","",IF(ABS(L42)&lt;=O42,"Yes","No"))</f>
        <v>Yes</v>
      </c>
      <c r="S42" s="32" t="str">
        <f aca="false">IF(L42="","",IF(ABS(L42)&lt;=1.96*O42,"Yes","No"))</f>
        <v>Yes</v>
      </c>
      <c r="T42" s="59" t="n">
        <f aca="false">IF(D42="","",ROUND(SQRT(((D42+G42)*O42/100)^2+(J42*(D42+G42)*0.05402)^2),0))</f>
        <v>41</v>
      </c>
      <c r="U42" s="32"/>
    </row>
    <row r="43" customFormat="false" ht="15" hidden="false" customHeight="false" outlineLevel="0" collapsed="false">
      <c r="A43" s="32" t="s">
        <v>189</v>
      </c>
      <c r="B43" s="32" t="s">
        <v>208</v>
      </c>
      <c r="C43" s="32" t="s">
        <v>161</v>
      </c>
      <c r="D43" s="59" t="n">
        <v>4997</v>
      </c>
      <c r="E43" s="59" t="n">
        <v>5009</v>
      </c>
      <c r="F43" s="68" t="n">
        <f aca="false">IF(E43="","",D43-E43)</f>
        <v>-12</v>
      </c>
      <c r="G43" s="59" t="n">
        <v>4273</v>
      </c>
      <c r="H43" s="59" t="n">
        <v>3839</v>
      </c>
      <c r="I43" s="68" t="n">
        <f aca="false">IF(H43="","",G43-H43)</f>
        <v>434</v>
      </c>
      <c r="J43" s="40" t="n">
        <f aca="false">IF(OR(D43="",D43+G43=0),"",D43/(D43+G43))</f>
        <v>0.539050701186624</v>
      </c>
      <c r="K43" s="40" t="n">
        <f aca="false">IF(E43="","",E43/(E43+H43))</f>
        <v>0.566116636528029</v>
      </c>
      <c r="L43" s="69" t="n">
        <f aca="false">IF(OR(K43="",J43=""),"",(J43-K43)*100)</f>
        <v>-2.70659353414053</v>
      </c>
      <c r="M43" s="36" t="n">
        <v>1.49093417024967</v>
      </c>
      <c r="N43" s="36" t="n">
        <v>1.05172822528353</v>
      </c>
      <c r="O43" s="36" t="n">
        <f aca="false">SQRT(M43^2+N43^2)</f>
        <v>1.82455938787317</v>
      </c>
      <c r="P43" s="40" t="n">
        <f aca="false">IF(J43="","",MAX(0,J43-1.96*O43/100))</f>
        <v>0.50328933718431</v>
      </c>
      <c r="Q43" s="40" t="n">
        <f aca="false">IF(J43="","",MIN(1,J43+1.96*O43/100))</f>
        <v>0.574812065188938</v>
      </c>
      <c r="R43" s="32" t="str">
        <f aca="false">IF(L43="","",IF(ABS(L43)&lt;=O43,"Yes","No"))</f>
        <v>No</v>
      </c>
      <c r="S43" s="32" t="str">
        <f aca="false">IF(L43="","",IF(ABS(L43)&lt;=1.96*O43,"Yes","No"))</f>
        <v>Yes</v>
      </c>
      <c r="T43" s="59" t="n">
        <f aca="false">IF(D43="","",ROUND(SQRT(((D43+G43)*O43/100)^2+(J43*(D43+G43)*0.04632)^2),0))</f>
        <v>287</v>
      </c>
      <c r="U43" s="32"/>
    </row>
    <row r="44" customFormat="false" ht="15" hidden="false" customHeight="false" outlineLevel="0" collapsed="false">
      <c r="A44" s="32" t="s">
        <v>189</v>
      </c>
      <c r="B44" s="32" t="s">
        <v>209</v>
      </c>
      <c r="C44" s="32" t="s">
        <v>161</v>
      </c>
      <c r="D44" s="59" t="n">
        <v>5514</v>
      </c>
      <c r="E44" s="59" t="n">
        <v>5137</v>
      </c>
      <c r="F44" s="68" t="n">
        <f aca="false">IF(E44="","",D44-E44)</f>
        <v>377</v>
      </c>
      <c r="G44" s="59" t="n">
        <v>4533</v>
      </c>
      <c r="H44" s="59" t="n">
        <v>4495</v>
      </c>
      <c r="I44" s="68" t="n">
        <f aca="false">IF(H44="","",G44-H44)</f>
        <v>38</v>
      </c>
      <c r="J44" s="40" t="n">
        <f aca="false">IF(OR(D44="",D44+G44=0),"",D44/(D44+G44))</f>
        <v>0.548820543445805</v>
      </c>
      <c r="K44" s="40" t="n">
        <f aca="false">IF(E44="","",E44/(E44+H44))</f>
        <v>0.533326411960133</v>
      </c>
      <c r="L44" s="69" t="n">
        <f aca="false">IF(OR(K44="",J44=""),"",(J44-K44)*100)</f>
        <v>1.54941314856718</v>
      </c>
      <c r="M44" s="36" t="n">
        <v>1.49093417024967</v>
      </c>
      <c r="N44" s="36" t="n">
        <v>1.05172822528353</v>
      </c>
      <c r="O44" s="36" t="n">
        <f aca="false">SQRT(M44^2+N44^2)</f>
        <v>1.82455938787317</v>
      </c>
      <c r="P44" s="40" t="n">
        <f aca="false">IF(J44="","",MAX(0,J44-1.96*O44/100))</f>
        <v>0.513059179443491</v>
      </c>
      <c r="Q44" s="40" t="n">
        <f aca="false">IF(J44="","",MIN(1,J44+1.96*O44/100))</f>
        <v>0.584581907448119</v>
      </c>
      <c r="R44" s="32" t="str">
        <f aca="false">IF(L44="","",IF(ABS(L44)&lt;=O44,"Yes","No"))</f>
        <v>Yes</v>
      </c>
      <c r="S44" s="32" t="str">
        <f aca="false">IF(L44="","",IF(ABS(L44)&lt;=1.96*O44,"Yes","No"))</f>
        <v>Yes</v>
      </c>
      <c r="T44" s="59" t="n">
        <f aca="false">IF(D44="","",ROUND(SQRT(((D44+G44)*O44/100)^2+(J44*(D44+G44)*0.04632)^2),0))</f>
        <v>314</v>
      </c>
      <c r="U44" s="32"/>
    </row>
    <row r="45" customFormat="false" ht="15" hidden="false" customHeight="false" outlineLevel="0" collapsed="false">
      <c r="A45" s="32" t="s">
        <v>189</v>
      </c>
      <c r="B45" s="32" t="s">
        <v>210</v>
      </c>
      <c r="C45" s="32" t="s">
        <v>161</v>
      </c>
      <c r="D45" s="59" t="n">
        <v>1670</v>
      </c>
      <c r="E45" s="59" t="n">
        <v>1663</v>
      </c>
      <c r="F45" s="68" t="n">
        <f aca="false">IF(E45="","",D45-E45)</f>
        <v>7</v>
      </c>
      <c r="G45" s="59" t="n">
        <v>2271</v>
      </c>
      <c r="H45" s="59" t="n">
        <v>1974</v>
      </c>
      <c r="I45" s="68" t="n">
        <f aca="false">IF(H45="","",G45-H45)</f>
        <v>297</v>
      </c>
      <c r="J45" s="40" t="n">
        <f aca="false">IF(OR(D45="",D45+G45=0),"",D45/(D45+G45))</f>
        <v>0.423750317178381</v>
      </c>
      <c r="K45" s="40" t="n">
        <f aca="false">IF(E45="","",E45/(E45+H45))</f>
        <v>0.457244982128128</v>
      </c>
      <c r="L45" s="69" t="n">
        <f aca="false">IF(OR(K45="",J45=""),"",(J45-K45)*100)</f>
        <v>-3.34946649497465</v>
      </c>
      <c r="M45" s="36" t="n">
        <v>1.49093417024967</v>
      </c>
      <c r="N45" s="36" t="n">
        <v>1.05172822528353</v>
      </c>
      <c r="O45" s="36" t="n">
        <f aca="false">SQRT(M45^2+N45^2)</f>
        <v>1.82455938787317</v>
      </c>
      <c r="P45" s="40" t="n">
        <f aca="false">IF(J45="","",MAX(0,J45-1.96*O45/100))</f>
        <v>0.387988953176067</v>
      </c>
      <c r="Q45" s="40" t="n">
        <f aca="false">IF(J45="","",MIN(1,J45+1.96*O45/100))</f>
        <v>0.459511681180695</v>
      </c>
      <c r="R45" s="32" t="str">
        <f aca="false">IF(L45="","",IF(ABS(L45)&lt;=O45,"Yes","No"))</f>
        <v>No</v>
      </c>
      <c r="S45" s="32" t="str">
        <f aca="false">IF(L45="","",IF(ABS(L45)&lt;=1.96*O45,"Yes","No"))</f>
        <v>Yes</v>
      </c>
      <c r="T45" s="59" t="n">
        <f aca="false">IF(D45="","",ROUND(SQRT(((D45+G45)*O45/100)^2+(J45*(D45+G45)*0.04632)^2),0))</f>
        <v>106</v>
      </c>
      <c r="U45" s="32"/>
    </row>
    <row r="46" customFormat="false" ht="15" hidden="false" customHeight="false" outlineLevel="0" collapsed="false">
      <c r="A46" s="32" t="s">
        <v>189</v>
      </c>
      <c r="B46" s="32" t="s">
        <v>211</v>
      </c>
      <c r="C46" s="32" t="s">
        <v>161</v>
      </c>
      <c r="D46" s="59" t="n">
        <v>3901</v>
      </c>
      <c r="E46" s="59" t="n">
        <v>3652</v>
      </c>
      <c r="F46" s="68" t="n">
        <f aca="false">IF(E46="","",D46-E46)</f>
        <v>249</v>
      </c>
      <c r="G46" s="59" t="n">
        <v>4148</v>
      </c>
      <c r="H46" s="59" t="n">
        <v>3768</v>
      </c>
      <c r="I46" s="68" t="n">
        <f aca="false">IF(H46="","",G46-H46)</f>
        <v>380</v>
      </c>
      <c r="J46" s="40" t="n">
        <f aca="false">IF(OR(D46="",D46+G46=0),"",D46/(D46+G46))</f>
        <v>0.484656479065722</v>
      </c>
      <c r="K46" s="40" t="n">
        <f aca="false">IF(E46="","",E46/(E46+H46))</f>
        <v>0.492183288409704</v>
      </c>
      <c r="L46" s="69" t="n">
        <f aca="false">IF(OR(K46="",J46=""),"",(J46-K46)*100)</f>
        <v>-0.752680934398103</v>
      </c>
      <c r="M46" s="36" t="n">
        <v>1.49093417024967</v>
      </c>
      <c r="N46" s="36" t="n">
        <v>1.05172822528353</v>
      </c>
      <c r="O46" s="36" t="n">
        <f aca="false">SQRT(M46^2+N46^2)</f>
        <v>1.82455938787317</v>
      </c>
      <c r="P46" s="40" t="n">
        <f aca="false">IF(J46="","",MAX(0,J46-1.96*O46/100))</f>
        <v>0.448895115063408</v>
      </c>
      <c r="Q46" s="40" t="n">
        <f aca="false">IF(J46="","",MIN(1,J46+1.96*O46/100))</f>
        <v>0.520417843068037</v>
      </c>
      <c r="R46" s="32" t="str">
        <f aca="false">IF(L46="","",IF(ABS(L46)&lt;=O46,"Yes","No"))</f>
        <v>Yes</v>
      </c>
      <c r="S46" s="32" t="str">
        <f aca="false">IF(L46="","",IF(ABS(L46)&lt;=1.96*O46,"Yes","No"))</f>
        <v>Yes</v>
      </c>
      <c r="T46" s="59" t="n">
        <f aca="false">IF(D46="","",ROUND(SQRT(((D46+G46)*O46/100)^2+(J46*(D46+G46)*0.04632)^2),0))</f>
        <v>233</v>
      </c>
      <c r="U46" s="32"/>
    </row>
    <row r="47" customFormat="false" ht="15" hidden="false" customHeight="false" outlineLevel="0" collapsed="false">
      <c r="A47" s="32" t="s">
        <v>189</v>
      </c>
      <c r="B47" s="32" t="s">
        <v>212</v>
      </c>
      <c r="C47" s="32" t="s">
        <v>161</v>
      </c>
      <c r="D47" s="59" t="n">
        <v>893</v>
      </c>
      <c r="E47" s="59" t="n">
        <v>875</v>
      </c>
      <c r="F47" s="68" t="n">
        <f aca="false">IF(E47="","",D47-E47)</f>
        <v>18</v>
      </c>
      <c r="G47" s="59" t="n">
        <v>1902</v>
      </c>
      <c r="H47" s="59" t="n">
        <v>1592</v>
      </c>
      <c r="I47" s="68" t="n">
        <f aca="false">IF(H47="","",G47-H47)</f>
        <v>310</v>
      </c>
      <c r="J47" s="40" t="n">
        <f aca="false">IF(OR(D47="",D47+G47=0),"",D47/(D47+G47))</f>
        <v>0.319499105545617</v>
      </c>
      <c r="K47" s="40" t="n">
        <f aca="false">IF(E47="","",E47/(E47+H47))</f>
        <v>0.35468179975679</v>
      </c>
      <c r="L47" s="69" t="n">
        <f aca="false">IF(OR(K47="",J47=""),"",(J47-K47)*100)</f>
        <v>-3.51826942111725</v>
      </c>
      <c r="M47" s="36" t="n">
        <v>1.49093417024967</v>
      </c>
      <c r="N47" s="36" t="n">
        <v>1.05172822528353</v>
      </c>
      <c r="O47" s="36" t="n">
        <f aca="false">SQRT(M47^2+N47^2)</f>
        <v>1.82455938787317</v>
      </c>
      <c r="P47" s="40" t="n">
        <f aca="false">IF(J47="","",MAX(0,J47-1.96*O47/100))</f>
        <v>0.283737741543303</v>
      </c>
      <c r="Q47" s="40" t="n">
        <f aca="false">IF(J47="","",MIN(1,J47+1.96*O47/100))</f>
        <v>0.355260469547931</v>
      </c>
      <c r="R47" s="32" t="str">
        <f aca="false">IF(L47="","",IF(ABS(L47)&lt;=O47,"Yes","No"))</f>
        <v>No</v>
      </c>
      <c r="S47" s="32" t="str">
        <f aca="false">IF(L47="","",IF(ABS(L47)&lt;=1.96*O47,"Yes","No"))</f>
        <v>Yes</v>
      </c>
      <c r="T47" s="59" t="n">
        <f aca="false">IF(D47="","",ROUND(SQRT(((D47+G47)*O47/100)^2+(J47*(D47+G47)*0.04632)^2),0))</f>
        <v>66</v>
      </c>
      <c r="U47" s="32"/>
    </row>
    <row r="48" customFormat="false" ht="15" hidden="false" customHeight="false" outlineLevel="0" collapsed="false">
      <c r="A48" s="32" t="s">
        <v>189</v>
      </c>
      <c r="B48" s="32" t="s">
        <v>213</v>
      </c>
      <c r="C48" s="32" t="s">
        <v>161</v>
      </c>
      <c r="D48" s="59" t="n">
        <v>730</v>
      </c>
      <c r="E48" s="59" t="n">
        <v>822</v>
      </c>
      <c r="F48" s="68" t="n">
        <f aca="false">IF(E48="","",D48-E48)</f>
        <v>-92</v>
      </c>
      <c r="G48" s="59" t="n">
        <v>1762</v>
      </c>
      <c r="H48" s="59" t="n">
        <v>1519</v>
      </c>
      <c r="I48" s="68" t="n">
        <f aca="false">IF(H48="","",G48-H48)</f>
        <v>243</v>
      </c>
      <c r="J48" s="40" t="n">
        <f aca="false">IF(OR(D48="",D48+G48=0),"",D48/(D48+G48))</f>
        <v>0.292937399678973</v>
      </c>
      <c r="K48" s="40" t="n">
        <f aca="false">IF(E48="","",E48/(E48+H48))</f>
        <v>0.351131994873986</v>
      </c>
      <c r="L48" s="69" t="n">
        <f aca="false">IF(OR(K48="",J48=""),"",(J48-K48)*100)</f>
        <v>-5.81945951950128</v>
      </c>
      <c r="M48" s="36" t="n">
        <v>2.04164931371995</v>
      </c>
      <c r="N48" s="36" t="n">
        <v>1.05172822528353</v>
      </c>
      <c r="O48" s="36" t="n">
        <f aca="false">SQRT(M48^2+N48^2)</f>
        <v>2.29662016451811</v>
      </c>
      <c r="P48" s="40" t="n">
        <f aca="false">IF(J48="","",MAX(0,J48-1.96*O48/100))</f>
        <v>0.247923644454418</v>
      </c>
      <c r="Q48" s="40" t="n">
        <f aca="false">IF(J48="","",MIN(1,J48+1.96*O48/100))</f>
        <v>0.337951154903528</v>
      </c>
      <c r="R48" s="32" t="str">
        <f aca="false">IF(L48="","",IF(ABS(L48)&lt;=O48,"Yes","No"))</f>
        <v>No</v>
      </c>
      <c r="S48" s="32" t="str">
        <f aca="false">IF(L48="","",IF(ABS(L48)&lt;=1.96*O48,"Yes","No"))</f>
        <v>No</v>
      </c>
      <c r="T48" s="59" t="n">
        <f aca="false">IF(D48="","",ROUND(SQRT(((D48+G48)*O48/100)^2+(J48*(D48+G48)*0.05402)^2),0))</f>
        <v>70</v>
      </c>
      <c r="U48" s="32"/>
    </row>
    <row r="49" customFormat="false" ht="15" hidden="false" customHeight="false" outlineLevel="0" collapsed="false">
      <c r="A49" s="32" t="s">
        <v>189</v>
      </c>
      <c r="B49" s="32" t="s">
        <v>214</v>
      </c>
      <c r="C49" s="32" t="s">
        <v>161</v>
      </c>
      <c r="D49" s="59" t="n">
        <v>5254</v>
      </c>
      <c r="E49" s="59" t="n">
        <v>5195</v>
      </c>
      <c r="F49" s="68" t="n">
        <f aca="false">IF(E49="","",D49-E49)</f>
        <v>59</v>
      </c>
      <c r="G49" s="59" t="n">
        <v>4417</v>
      </c>
      <c r="H49" s="59" t="n">
        <v>4070</v>
      </c>
      <c r="I49" s="68" t="n">
        <f aca="false">IF(H49="","",G49-H49)</f>
        <v>347</v>
      </c>
      <c r="J49" s="40" t="n">
        <f aca="false">IF(OR(D49="",D49+G49=0),"",D49/(D49+G49))</f>
        <v>0.543273704890911</v>
      </c>
      <c r="K49" s="40" t="n">
        <f aca="false">IF(E49="","",E49/(E49+H49))</f>
        <v>0.560712358337831</v>
      </c>
      <c r="L49" s="69" t="n">
        <f aca="false">IF(OR(K49="",J49=""),"",(J49-K49)*100)</f>
        <v>-1.74386534469195</v>
      </c>
      <c r="M49" s="36" t="n">
        <v>1.49093417024967</v>
      </c>
      <c r="N49" s="36" t="n">
        <v>1.05172822528353</v>
      </c>
      <c r="O49" s="36" t="n">
        <f aca="false">SQRT(M49^2+N49^2)</f>
        <v>1.82455938787317</v>
      </c>
      <c r="P49" s="40" t="n">
        <f aca="false">IF(J49="","",MAX(0,J49-1.96*O49/100))</f>
        <v>0.507512340888597</v>
      </c>
      <c r="Q49" s="40" t="n">
        <f aca="false">IF(J49="","",MIN(1,J49+1.96*O49/100))</f>
        <v>0.579035068893225</v>
      </c>
      <c r="R49" s="32" t="str">
        <f aca="false">IF(L49="","",IF(ABS(L49)&lt;=O49,"Yes","No"))</f>
        <v>Yes</v>
      </c>
      <c r="S49" s="32" t="str">
        <f aca="false">IF(L49="","",IF(ABS(L49)&lt;=1.96*O49,"Yes","No"))</f>
        <v>Yes</v>
      </c>
      <c r="T49" s="59" t="n">
        <f aca="false">IF(D49="","",ROUND(SQRT(((D49+G49)*O49/100)^2+(J49*(D49+G49)*0.04632)^2),0))</f>
        <v>301</v>
      </c>
      <c r="U49" s="32"/>
    </row>
    <row r="50" customFormat="false" ht="15" hidden="false" customHeight="false" outlineLevel="0" collapsed="false">
      <c r="A50" s="32" t="s">
        <v>215</v>
      </c>
      <c r="B50" s="32" t="s">
        <v>216</v>
      </c>
      <c r="C50" s="32" t="s">
        <v>161</v>
      </c>
      <c r="D50" s="59" t="n">
        <v>360</v>
      </c>
      <c r="E50" s="59" t="n">
        <v>330</v>
      </c>
      <c r="F50" s="68" t="n">
        <f aca="false">IF(E50="","",D50-E50)</f>
        <v>30</v>
      </c>
      <c r="G50" s="59" t="n">
        <v>728</v>
      </c>
      <c r="H50" s="59" t="n">
        <v>632</v>
      </c>
      <c r="I50" s="68" t="n">
        <f aca="false">IF(H50="","",G50-H50)</f>
        <v>96</v>
      </c>
      <c r="J50" s="40" t="n">
        <f aca="false">IF(OR(D50="",D50+G50=0),"",D50/(D50+G50))</f>
        <v>0.330882352941176</v>
      </c>
      <c r="K50" s="40" t="n">
        <f aca="false">IF(E50="","",E50/(E50+H50))</f>
        <v>0.343035343035343</v>
      </c>
      <c r="L50" s="69" t="n">
        <f aca="false">IF(OR(K50="",J50=""),"",(J50-K50)*100)</f>
        <v>-1.21529900941666</v>
      </c>
      <c r="M50" s="36" t="n">
        <v>3.12234213093196</v>
      </c>
      <c r="N50" s="36" t="n">
        <v>1.05172822528353</v>
      </c>
      <c r="O50" s="36" t="n">
        <f aca="false">SQRT(M50^2+N50^2)</f>
        <v>3.29471586672519</v>
      </c>
      <c r="P50" s="40" t="n">
        <f aca="false">IF(J50="","",MAX(0,J50-1.96*O50/100))</f>
        <v>0.266305921953363</v>
      </c>
      <c r="Q50" s="40" t="n">
        <f aca="false">IF(J50="","",MIN(1,J50+1.96*O50/100))</f>
        <v>0.39545878392899</v>
      </c>
      <c r="R50" s="32" t="str">
        <f aca="false">IF(L50="","",IF(ABS(L50)&lt;=O50,"Yes","No"))</f>
        <v>Yes</v>
      </c>
      <c r="S50" s="32" t="str">
        <f aca="false">IF(L50="","",IF(ABS(L50)&lt;=1.96*O50,"Yes","No"))</f>
        <v>Yes</v>
      </c>
      <c r="T50" s="59" t="n">
        <f aca="false">IF(D50="","",ROUND(SQRT(((D50+G50)*O50/100)^2+(J50*(D50+G50)*0.07067)^2),0))</f>
        <v>44</v>
      </c>
      <c r="U50" s="32"/>
    </row>
    <row r="51" customFormat="false" ht="15" hidden="false" customHeight="false" outlineLevel="0" collapsed="false">
      <c r="A51" s="32" t="s">
        <v>215</v>
      </c>
      <c r="B51" s="32" t="s">
        <v>218</v>
      </c>
      <c r="C51" s="32" t="s">
        <v>161</v>
      </c>
      <c r="D51" s="59" t="n">
        <v>970</v>
      </c>
      <c r="E51" s="59" t="n">
        <v>1009</v>
      </c>
      <c r="F51" s="68" t="n">
        <f aca="false">IF(E51="","",D51-E51)</f>
        <v>-39</v>
      </c>
      <c r="G51" s="59" t="n">
        <v>1703</v>
      </c>
      <c r="H51" s="59" t="n">
        <v>1471</v>
      </c>
      <c r="I51" s="68" t="n">
        <f aca="false">IF(H51="","",G51-H51)</f>
        <v>232</v>
      </c>
      <c r="J51" s="40" t="n">
        <f aca="false">IF(OR(D51="",D51+G51=0),"",D51/(D51+G51))</f>
        <v>0.362888140665918</v>
      </c>
      <c r="K51" s="40" t="n">
        <f aca="false">IF(E51="","",E51/(E51+H51))</f>
        <v>0.406854838709677</v>
      </c>
      <c r="L51" s="69" t="n">
        <f aca="false">IF(OR(K51="",J51=""),"",(J51-K51)*100)</f>
        <v>-4.3966698043759</v>
      </c>
      <c r="M51" s="36" t="n">
        <v>1.49093417024967</v>
      </c>
      <c r="N51" s="36" t="n">
        <v>1.05172822528353</v>
      </c>
      <c r="O51" s="36" t="n">
        <f aca="false">SQRT(M51^2+N51^2)</f>
        <v>1.82455938787317</v>
      </c>
      <c r="P51" s="40" t="n">
        <f aca="false">IF(J51="","",MAX(0,J51-1.96*O51/100))</f>
        <v>0.327126776663604</v>
      </c>
      <c r="Q51" s="40" t="n">
        <f aca="false">IF(J51="","",MIN(1,J51+1.96*O51/100))</f>
        <v>0.398649504668233</v>
      </c>
      <c r="R51" s="32" t="str">
        <f aca="false">IF(L51="","",IF(ABS(L51)&lt;=O51,"Yes","No"))</f>
        <v>No</v>
      </c>
      <c r="S51" s="32" t="str">
        <f aca="false">IF(L51="","",IF(ABS(L51)&lt;=1.96*O51,"Yes","No"))</f>
        <v>No</v>
      </c>
      <c r="T51" s="59" t="n">
        <f aca="false">IF(D51="","",ROUND(SQRT(((D51+G51)*O51/100)^2+(J51*(D51+G51)*0.04632)^2),0))</f>
        <v>66</v>
      </c>
      <c r="U51" s="32" t="s">
        <v>433</v>
      </c>
    </row>
    <row r="52" customFormat="false" ht="15" hidden="false" customHeight="false" outlineLevel="0" collapsed="false">
      <c r="A52" s="32" t="s">
        <v>215</v>
      </c>
      <c r="B52" s="32" t="s">
        <v>219</v>
      </c>
      <c r="C52" s="32" t="s">
        <v>161</v>
      </c>
      <c r="D52" s="59" t="n">
        <v>387</v>
      </c>
      <c r="E52" s="59" t="n">
        <v>358</v>
      </c>
      <c r="F52" s="68" t="n">
        <f aca="false">IF(E52="","",D52-E52)</f>
        <v>29</v>
      </c>
      <c r="G52" s="59" t="n">
        <v>722</v>
      </c>
      <c r="H52" s="59" t="n">
        <v>503</v>
      </c>
      <c r="I52" s="68" t="n">
        <f aca="false">IF(H52="","",G52-H52)</f>
        <v>219</v>
      </c>
      <c r="J52" s="40" t="n">
        <f aca="false">IF(OR(D52="",D52+G52=0),"",D52/(D52+G52))</f>
        <v>0.348963029756537</v>
      </c>
      <c r="K52" s="40" t="n">
        <f aca="false">IF(E52="","",E52/(E52+H52))</f>
        <v>0.415795586527294</v>
      </c>
      <c r="L52" s="69" t="n">
        <f aca="false">IF(OR(K52="",J52=""),"",(J52-K52)*100)</f>
        <v>-6.68325567707564</v>
      </c>
      <c r="M52" s="36" t="n">
        <v>3.12234213093196</v>
      </c>
      <c r="N52" s="36" t="n">
        <v>1.05172822528353</v>
      </c>
      <c r="O52" s="36" t="n">
        <f aca="false">SQRT(M52^2+N52^2)</f>
        <v>3.29471586672519</v>
      </c>
      <c r="P52" s="40" t="n">
        <f aca="false">IF(J52="","",MAX(0,J52-1.96*O52/100))</f>
        <v>0.284386598768724</v>
      </c>
      <c r="Q52" s="40" t="n">
        <f aca="false">IF(J52="","",MIN(1,J52+1.96*O52/100))</f>
        <v>0.413539460744351</v>
      </c>
      <c r="R52" s="32" t="str">
        <f aca="false">IF(L52="","",IF(ABS(L52)&lt;=O52,"Yes","No"))</f>
        <v>No</v>
      </c>
      <c r="S52" s="32" t="str">
        <f aca="false">IF(L52="","",IF(ABS(L52)&lt;=1.96*O52,"Yes","No"))</f>
        <v>No</v>
      </c>
      <c r="T52" s="59" t="n">
        <f aca="false">IF(D52="","",ROUND(SQRT(((D52+G52)*O52/100)^2+(J52*(D52+G52)*0.07067)^2),0))</f>
        <v>46</v>
      </c>
      <c r="U52" s="32" t="s">
        <v>434</v>
      </c>
    </row>
    <row r="53" customFormat="false" ht="15" hidden="false" customHeight="false" outlineLevel="0" collapsed="false">
      <c r="A53" s="32" t="s">
        <v>220</v>
      </c>
      <c r="B53" s="32" t="s">
        <v>221</v>
      </c>
      <c r="C53" s="32" t="s">
        <v>161</v>
      </c>
      <c r="D53" s="59" t="n">
        <v>1015</v>
      </c>
      <c r="E53" s="59" t="n">
        <v>908</v>
      </c>
      <c r="F53" s="68" t="n">
        <f aca="false">IF(E53="","",D53-E53)</f>
        <v>107</v>
      </c>
      <c r="G53" s="59" t="n">
        <v>1316</v>
      </c>
      <c r="H53" s="59" t="n">
        <v>1196</v>
      </c>
      <c r="I53" s="68" t="n">
        <f aca="false">IF(H53="","",G53-H53)</f>
        <v>120</v>
      </c>
      <c r="J53" s="40" t="n">
        <f aca="false">IF(OR(D53="",D53+G53=0),"",D53/(D53+G53))</f>
        <v>0.435435435435435</v>
      </c>
      <c r="K53" s="40" t="n">
        <f aca="false">IF(E53="","",E53/(E53+H53))</f>
        <v>0.431558935361217</v>
      </c>
      <c r="L53" s="69" t="n">
        <f aca="false">IF(OR(K53="",J53=""),"",(J53-K53)*100)</f>
        <v>0.387650007421869</v>
      </c>
      <c r="M53" s="36" t="n">
        <v>2.04164931371995</v>
      </c>
      <c r="N53" s="36" t="n">
        <v>1.05172822528353</v>
      </c>
      <c r="O53" s="36" t="n">
        <f aca="false">SQRT(M53^2+N53^2)</f>
        <v>2.29662016451811</v>
      </c>
      <c r="P53" s="40" t="n">
        <f aca="false">IF(J53="","",MAX(0,J53-1.96*O53/100))</f>
        <v>0.390421680210881</v>
      </c>
      <c r="Q53" s="40" t="n">
        <f aca="false">IF(J53="","",MIN(1,J53+1.96*O53/100))</f>
        <v>0.48044919065999</v>
      </c>
      <c r="R53" s="32" t="str">
        <f aca="false">IF(L53="","",IF(ABS(L53)&lt;=O53,"Yes","No"))</f>
        <v>Yes</v>
      </c>
      <c r="S53" s="32" t="str">
        <f aca="false">IF(L53="","",IF(ABS(L53)&lt;=1.96*O53,"Yes","No"))</f>
        <v>Yes</v>
      </c>
      <c r="T53" s="59" t="n">
        <f aca="false">IF(D53="","",ROUND(SQRT(((D53+G53)*O53/100)^2+(J53*(D53+G53)*0.05402)^2),0))</f>
        <v>77</v>
      </c>
      <c r="U53" s="32"/>
    </row>
    <row r="54" customFormat="false" ht="15" hidden="false" customHeight="false" outlineLevel="0" collapsed="false">
      <c r="A54" s="32" t="s">
        <v>220</v>
      </c>
      <c r="B54" s="32" t="s">
        <v>222</v>
      </c>
      <c r="C54" s="32" t="s">
        <v>161</v>
      </c>
      <c r="D54" s="59" t="n">
        <v>688</v>
      </c>
      <c r="E54" s="59" t="n">
        <v>701</v>
      </c>
      <c r="F54" s="68" t="n">
        <f aca="false">IF(E54="","",D54-E54)</f>
        <v>-13</v>
      </c>
      <c r="G54" s="59" t="n">
        <v>871</v>
      </c>
      <c r="H54" s="59" t="n">
        <v>780</v>
      </c>
      <c r="I54" s="68" t="n">
        <f aca="false">IF(H54="","",G54-H54)</f>
        <v>91</v>
      </c>
      <c r="J54" s="40" t="n">
        <f aca="false">IF(OR(D54="",D54+G54=0),"",D54/(D54+G54))</f>
        <v>0.441308531109686</v>
      </c>
      <c r="K54" s="40" t="n">
        <f aca="false">IF(E54="","",E54/(E54+H54))</f>
        <v>0.473328831870358</v>
      </c>
      <c r="L54" s="69" t="n">
        <f aca="false">IF(OR(K54="",J54=""),"",(J54-K54)*100)</f>
        <v>-3.20203007606721</v>
      </c>
      <c r="M54" s="36" t="n">
        <v>2.04164931371995</v>
      </c>
      <c r="N54" s="36" t="n">
        <v>1.05172822528353</v>
      </c>
      <c r="O54" s="36" t="n">
        <f aca="false">SQRT(M54^2+N54^2)</f>
        <v>2.29662016451811</v>
      </c>
      <c r="P54" s="40" t="n">
        <f aca="false">IF(J54="","",MAX(0,J54-1.96*O54/100))</f>
        <v>0.396294775885131</v>
      </c>
      <c r="Q54" s="40" t="n">
        <f aca="false">IF(J54="","",MIN(1,J54+1.96*O54/100))</f>
        <v>0.486322286334241</v>
      </c>
      <c r="R54" s="32" t="str">
        <f aca="false">IF(L54="","",IF(ABS(L54)&lt;=O54,"Yes","No"))</f>
        <v>No</v>
      </c>
      <c r="S54" s="32" t="str">
        <f aca="false">IF(L54="","",IF(ABS(L54)&lt;=1.96*O54,"Yes","No"))</f>
        <v>Yes</v>
      </c>
      <c r="T54" s="59" t="n">
        <f aca="false">IF(D54="","",ROUND(SQRT(((D54+G54)*O54/100)^2+(J54*(D54+G54)*0.05402)^2),0))</f>
        <v>52</v>
      </c>
      <c r="U54" s="32"/>
    </row>
    <row r="55" customFormat="false" ht="15" hidden="false" customHeight="false" outlineLevel="0" collapsed="false">
      <c r="A55" s="32" t="s">
        <v>220</v>
      </c>
      <c r="B55" s="32" t="s">
        <v>223</v>
      </c>
      <c r="C55" s="32" t="s">
        <v>161</v>
      </c>
      <c r="D55" s="59" t="n">
        <v>430</v>
      </c>
      <c r="E55" s="59" t="n">
        <v>368</v>
      </c>
      <c r="F55" s="68" t="n">
        <f aca="false">IF(E55="","",D55-E55)</f>
        <v>62</v>
      </c>
      <c r="G55" s="59" t="n">
        <v>417</v>
      </c>
      <c r="H55" s="59" t="n">
        <v>408</v>
      </c>
      <c r="I55" s="68" t="n">
        <f aca="false">IF(H55="","",G55-H55)</f>
        <v>9</v>
      </c>
      <c r="J55" s="40" t="n">
        <f aca="false">IF(OR(D55="",D55+G55=0),"",D55/(D55+G55))</f>
        <v>0.50767414403778</v>
      </c>
      <c r="K55" s="40" t="n">
        <f aca="false">IF(E55="","",E55/(E55+H55))</f>
        <v>0.474226804123711</v>
      </c>
      <c r="L55" s="69" t="n">
        <f aca="false">IF(OR(K55="",J55=""),"",(J55-K55)*100)</f>
        <v>3.34473399140691</v>
      </c>
      <c r="M55" s="36" t="n">
        <v>3.12234213093196</v>
      </c>
      <c r="N55" s="36" t="n">
        <v>1.05172822528353</v>
      </c>
      <c r="O55" s="36" t="n">
        <f aca="false">SQRT(M55^2+N55^2)</f>
        <v>3.29471586672519</v>
      </c>
      <c r="P55" s="40" t="n">
        <f aca="false">IF(J55="","",MAX(0,J55-1.96*O55/100))</f>
        <v>0.443097713049967</v>
      </c>
      <c r="Q55" s="40" t="n">
        <f aca="false">IF(J55="","",MIN(1,J55+1.96*O55/100))</f>
        <v>0.572250575025594</v>
      </c>
      <c r="R55" s="32" t="str">
        <f aca="false">IF(L55="","",IF(ABS(L55)&lt;=O55,"Yes","No"))</f>
        <v>No</v>
      </c>
      <c r="S55" s="32" t="str">
        <f aca="false">IF(L55="","",IF(ABS(L55)&lt;=1.96*O55,"Yes","No"))</f>
        <v>Yes</v>
      </c>
      <c r="T55" s="59" t="n">
        <f aca="false">IF(D55="","",ROUND(SQRT(((D55+G55)*O55/100)^2+(J55*(D55+G55)*0.07067)^2),0))</f>
        <v>41</v>
      </c>
      <c r="U55" s="32"/>
    </row>
    <row r="56" customFormat="false" ht="15" hidden="false" customHeight="false" outlineLevel="0" collapsed="false">
      <c r="A56" s="32" t="s">
        <v>220</v>
      </c>
      <c r="B56" s="32" t="s">
        <v>192</v>
      </c>
      <c r="C56" s="32" t="s">
        <v>161</v>
      </c>
      <c r="D56" s="59" t="n">
        <v>12263</v>
      </c>
      <c r="E56" s="59" t="n">
        <v>12121</v>
      </c>
      <c r="F56" s="68" t="n">
        <f aca="false">IF(E56="","",D56-E56)</f>
        <v>142</v>
      </c>
      <c r="G56" s="59" t="n">
        <v>5200</v>
      </c>
      <c r="H56" s="59" t="n">
        <v>4931</v>
      </c>
      <c r="I56" s="68" t="n">
        <f aca="false">IF(H56="","",G56-H56)</f>
        <v>269</v>
      </c>
      <c r="J56" s="40" t="n">
        <f aca="false">IF(OR(D56="",D56+G56=0),"",D56/(D56+G56))</f>
        <v>0.702227566855638</v>
      </c>
      <c r="K56" s="40" t="n">
        <f aca="false">IF(E56="","",E56/(E56+H56))</f>
        <v>0.710825709594183</v>
      </c>
      <c r="L56" s="69" t="n">
        <f aca="false">IF(OR(K56="",J56=""),"",(J56-K56)*100)</f>
        <v>-0.859814273854487</v>
      </c>
      <c r="M56" s="36" t="n">
        <v>1.49093417024967</v>
      </c>
      <c r="N56" s="36" t="n">
        <v>1.05172822528353</v>
      </c>
      <c r="O56" s="36" t="n">
        <f aca="false">SQRT(M56^2+N56^2)</f>
        <v>1.82455938787317</v>
      </c>
      <c r="P56" s="40" t="n">
        <f aca="false">IF(J56="","",MAX(0,J56-1.96*O56/100))</f>
        <v>0.666466202853324</v>
      </c>
      <c r="Q56" s="40" t="n">
        <f aca="false">IF(J56="","",MIN(1,J56+1.96*O56/100))</f>
        <v>0.737988930857952</v>
      </c>
      <c r="R56" s="32" t="str">
        <f aca="false">IF(L56="","",IF(ABS(L56)&lt;=O56,"Yes","No"))</f>
        <v>Yes</v>
      </c>
      <c r="S56" s="32" t="str">
        <f aca="false">IF(L56="","",IF(ABS(L56)&lt;=1.96*O56,"Yes","No"))</f>
        <v>Yes</v>
      </c>
      <c r="T56" s="59" t="n">
        <f aca="false">IF(D56="","",ROUND(SQRT(((D56+G56)*O56/100)^2+(J56*(D56+G56)*0.04632)^2),0))</f>
        <v>651</v>
      </c>
      <c r="U56" s="32"/>
    </row>
    <row r="57" customFormat="false" ht="15" hidden="false" customHeight="false" outlineLevel="0" collapsed="false">
      <c r="A57" s="32" t="s">
        <v>220</v>
      </c>
      <c r="B57" s="32" t="s">
        <v>224</v>
      </c>
      <c r="C57" s="32" t="s">
        <v>161</v>
      </c>
      <c r="D57" s="59" t="n">
        <v>6488</v>
      </c>
      <c r="E57" s="59" t="n">
        <v>5576</v>
      </c>
      <c r="F57" s="68" t="n">
        <f aca="false">IF(E57="","",D57-E57)</f>
        <v>912</v>
      </c>
      <c r="G57" s="59" t="n">
        <v>4714</v>
      </c>
      <c r="H57" s="59" t="n">
        <v>4673</v>
      </c>
      <c r="I57" s="68" t="n">
        <f aca="false">IF(H57="","",G57-H57)</f>
        <v>41</v>
      </c>
      <c r="J57" s="40" t="n">
        <f aca="false">IF(OR(D57="",D57+G57=0),"",D57/(D57+G57))</f>
        <v>0.579182288876986</v>
      </c>
      <c r="K57" s="40" t="n">
        <f aca="false">IF(E57="","",E57/(E57+H57))</f>
        <v>0.544053078349107</v>
      </c>
      <c r="L57" s="69" t="n">
        <f aca="false">IF(OR(K57="",J57=""),"",(J57-K57)*100)</f>
        <v>3.51292105278791</v>
      </c>
      <c r="M57" s="36" t="n">
        <v>1.49093417024967</v>
      </c>
      <c r="N57" s="36" t="n">
        <v>1.05172822528353</v>
      </c>
      <c r="O57" s="36" t="n">
        <f aca="false">SQRT(M57^2+N57^2)</f>
        <v>1.82455938787317</v>
      </c>
      <c r="P57" s="40" t="n">
        <f aca="false">IF(J57="","",MAX(0,J57-1.96*O57/100))</f>
        <v>0.543420924874672</v>
      </c>
      <c r="Q57" s="40" t="n">
        <f aca="false">IF(J57="","",MIN(1,J57+1.96*O57/100))</f>
        <v>0.6149436528793</v>
      </c>
      <c r="R57" s="32" t="str">
        <f aca="false">IF(L57="","",IF(ABS(L57)&lt;=O57,"Yes","No"))</f>
        <v>No</v>
      </c>
      <c r="S57" s="32" t="str">
        <f aca="false">IF(L57="","",IF(ABS(L57)&lt;=1.96*O57,"Yes","No"))</f>
        <v>Yes</v>
      </c>
      <c r="T57" s="59" t="n">
        <f aca="false">IF(D57="","",ROUND(SQRT(((D57+G57)*O57/100)^2+(J57*(D57+G57)*0.04632)^2),0))</f>
        <v>363</v>
      </c>
      <c r="U57" s="32"/>
    </row>
    <row r="58" customFormat="false" ht="15" hidden="false" customHeight="false" outlineLevel="0" collapsed="false">
      <c r="A58" s="32" t="s">
        <v>220</v>
      </c>
      <c r="B58" s="32" t="s">
        <v>225</v>
      </c>
      <c r="C58" s="32" t="s">
        <v>161</v>
      </c>
      <c r="D58" s="59" t="n">
        <v>1418</v>
      </c>
      <c r="E58" s="59" t="n">
        <v>1370</v>
      </c>
      <c r="F58" s="68" t="n">
        <f aca="false">IF(E58="","",D58-E58)</f>
        <v>48</v>
      </c>
      <c r="G58" s="59" t="n">
        <v>2605</v>
      </c>
      <c r="H58" s="59" t="n">
        <v>2143</v>
      </c>
      <c r="I58" s="68" t="n">
        <f aca="false">IF(H58="","",G58-H58)</f>
        <v>462</v>
      </c>
      <c r="J58" s="40" t="n">
        <f aca="false">IF(OR(D58="",D58+G58=0),"",D58/(D58+G58))</f>
        <v>0.352473278647775</v>
      </c>
      <c r="K58" s="40" t="n">
        <f aca="false">IF(E58="","",E58/(E58+H58))</f>
        <v>0.389980074010817</v>
      </c>
      <c r="L58" s="69" t="n">
        <f aca="false">IF(OR(K58="",J58=""),"",(J58-K58)*100)</f>
        <v>-3.75067953630417</v>
      </c>
      <c r="M58" s="36" t="n">
        <v>1.49093417024967</v>
      </c>
      <c r="N58" s="36" t="n">
        <v>1.05172822528353</v>
      </c>
      <c r="O58" s="36" t="n">
        <f aca="false">SQRT(M58^2+N58^2)</f>
        <v>1.82455938787317</v>
      </c>
      <c r="P58" s="40" t="n">
        <f aca="false">IF(J58="","",MAX(0,J58-1.96*O58/100))</f>
        <v>0.316711914645461</v>
      </c>
      <c r="Q58" s="40" t="n">
        <f aca="false">IF(J58="","",MIN(1,J58+1.96*O58/100))</f>
        <v>0.388234642650089</v>
      </c>
      <c r="R58" s="32" t="str">
        <f aca="false">IF(L58="","",IF(ABS(L58)&lt;=O58,"Yes","No"))</f>
        <v>No</v>
      </c>
      <c r="S58" s="32" t="str">
        <f aca="false">IF(L58="","",IF(ABS(L58)&lt;=1.96*O58,"Yes","No"))</f>
        <v>No</v>
      </c>
      <c r="T58" s="59" t="n">
        <f aca="false">IF(D58="","",ROUND(SQRT(((D58+G58)*O58/100)^2+(J58*(D58+G58)*0.04632)^2),0))</f>
        <v>98</v>
      </c>
      <c r="U58" s="32"/>
    </row>
    <row r="59" customFormat="false" ht="15" hidden="false" customHeight="false" outlineLevel="0" collapsed="false">
      <c r="A59" s="32" t="s">
        <v>220</v>
      </c>
      <c r="B59" s="32" t="s">
        <v>226</v>
      </c>
      <c r="C59" s="32" t="s">
        <v>161</v>
      </c>
      <c r="D59" s="59" t="n">
        <v>29</v>
      </c>
      <c r="E59" s="59" t="n">
        <v>30</v>
      </c>
      <c r="F59" s="68" t="n">
        <f aca="false">IF(E59="","",D59-E59)</f>
        <v>-1</v>
      </c>
      <c r="G59" s="59" t="n">
        <v>54</v>
      </c>
      <c r="H59" s="59" t="n">
        <v>36</v>
      </c>
      <c r="I59" s="68" t="n">
        <f aca="false">IF(H59="","",G59-H59)</f>
        <v>18</v>
      </c>
      <c r="J59" s="40" t="n">
        <f aca="false">IF(OR(D59="",D59+G59=0),"",D59/(D59+G59))</f>
        <v>0.349397590361446</v>
      </c>
      <c r="K59" s="40" t="n">
        <f aca="false">IF(E59="","",E59/(E59+H59))</f>
        <v>0.454545454545455</v>
      </c>
      <c r="L59" s="69" t="n">
        <f aca="false">IF(OR(K59="",J59=""),"",(J59-K59)*100)</f>
        <v>-10.5147864184009</v>
      </c>
      <c r="M59" s="36" t="n">
        <v>3.12234213093196</v>
      </c>
      <c r="N59" s="36" t="n">
        <v>1.05172822528353</v>
      </c>
      <c r="O59" s="36" t="n">
        <f aca="false">SQRT(M59^2+N59^2)</f>
        <v>3.29471586672519</v>
      </c>
      <c r="P59" s="40" t="n">
        <f aca="false">IF(J59="","",MAX(0,J59-1.96*O59/100))</f>
        <v>0.284821159373632</v>
      </c>
      <c r="Q59" s="40" t="n">
        <f aca="false">IF(J59="","",MIN(1,J59+1.96*O59/100))</f>
        <v>0.41397402134926</v>
      </c>
      <c r="R59" s="32" t="str">
        <f aca="false">IF(L59="","",IF(ABS(L59)&lt;=O59,"Yes","No"))</f>
        <v>No</v>
      </c>
      <c r="S59" s="32" t="str">
        <f aca="false">IF(L59="","",IF(ABS(L59)&lt;=1.96*O59,"Yes","No"))</f>
        <v>No</v>
      </c>
      <c r="T59" s="59" t="n">
        <f aca="false">IF(D59="","",ROUND(SQRT(((D59+G59)*O59/100)^2+(J59*(D59+G59)*0.07067)^2),0))</f>
        <v>3</v>
      </c>
      <c r="U59" s="32"/>
    </row>
    <row r="60" customFormat="false" ht="15" hidden="false" customHeight="false" outlineLevel="0" collapsed="false">
      <c r="A60" s="32" t="s">
        <v>220</v>
      </c>
      <c r="B60" s="32" t="s">
        <v>227</v>
      </c>
      <c r="C60" s="32" t="s">
        <v>161</v>
      </c>
      <c r="D60" s="59" t="n">
        <v>935</v>
      </c>
      <c r="E60" s="59" t="n">
        <v>840</v>
      </c>
      <c r="F60" s="68" t="n">
        <f aca="false">IF(E60="","",D60-E60)</f>
        <v>95</v>
      </c>
      <c r="G60" s="59" t="n">
        <v>1280</v>
      </c>
      <c r="H60" s="59" t="n">
        <v>1151</v>
      </c>
      <c r="I60" s="68" t="n">
        <f aca="false">IF(H60="","",G60-H60)</f>
        <v>129</v>
      </c>
      <c r="J60" s="40" t="n">
        <f aca="false">IF(OR(D60="",D60+G60=0),"",D60/(D60+G60))</f>
        <v>0.422121896162528</v>
      </c>
      <c r="K60" s="40" t="n">
        <f aca="false">IF(E60="","",E60/(E60+H60))</f>
        <v>0.421898543445505</v>
      </c>
      <c r="L60" s="69" t="n">
        <f aca="false">IF(OR(K60="",J60=""),"",(J60-K60)*100)</f>
        <v>0.0223352717023451</v>
      </c>
      <c r="M60" s="36" t="n">
        <v>2.04164931371995</v>
      </c>
      <c r="N60" s="36" t="n">
        <v>1.05172822528353</v>
      </c>
      <c r="O60" s="36" t="n">
        <f aca="false">SQRT(M60^2+N60^2)</f>
        <v>2.29662016451811</v>
      </c>
      <c r="P60" s="40" t="n">
        <f aca="false">IF(J60="","",MAX(0,J60-1.96*O60/100))</f>
        <v>0.377108140937973</v>
      </c>
      <c r="Q60" s="40" t="n">
        <f aca="false">IF(J60="","",MIN(1,J60+1.96*O60/100))</f>
        <v>0.467135651387083</v>
      </c>
      <c r="R60" s="32" t="str">
        <f aca="false">IF(L60="","",IF(ABS(L60)&lt;=O60,"Yes","No"))</f>
        <v>Yes</v>
      </c>
      <c r="S60" s="32" t="str">
        <f aca="false">IF(L60="","",IF(ABS(L60)&lt;=1.96*O60,"Yes","No"))</f>
        <v>Yes</v>
      </c>
      <c r="T60" s="59" t="n">
        <f aca="false">IF(D60="","",ROUND(SQRT(((D60+G60)*O60/100)^2+(J60*(D60+G60)*0.05402)^2),0))</f>
        <v>72</v>
      </c>
      <c r="U60" s="32"/>
    </row>
    <row r="61" customFormat="false" ht="15" hidden="false" customHeight="false" outlineLevel="0" collapsed="false">
      <c r="A61" s="32" t="s">
        <v>220</v>
      </c>
      <c r="B61" s="32" t="s">
        <v>228</v>
      </c>
      <c r="C61" s="32" t="s">
        <v>161</v>
      </c>
      <c r="D61" s="59" t="n">
        <v>139</v>
      </c>
      <c r="E61" s="59" t="n">
        <v>130</v>
      </c>
      <c r="F61" s="68" t="n">
        <f aca="false">IF(E61="","",D61-E61)</f>
        <v>9</v>
      </c>
      <c r="G61" s="59" t="n">
        <v>197</v>
      </c>
      <c r="H61" s="59" t="n">
        <v>203</v>
      </c>
      <c r="I61" s="68" t="n">
        <f aca="false">IF(H61="","",G61-H61)</f>
        <v>-6</v>
      </c>
      <c r="J61" s="40" t="n">
        <f aca="false">IF(OR(D61="",D61+G61=0),"",D61/(D61+G61))</f>
        <v>0.413690476190476</v>
      </c>
      <c r="K61" s="40" t="n">
        <f aca="false">IF(E61="","",E61/(E61+H61))</f>
        <v>0.39039039039039</v>
      </c>
      <c r="L61" s="69" t="n">
        <f aca="false">IF(OR(K61="",J61=""),"",(J61-K61)*100)</f>
        <v>2.33000858000858</v>
      </c>
      <c r="M61" s="36" t="n">
        <v>3.12234213093196</v>
      </c>
      <c r="N61" s="36" t="n">
        <v>1.05172822528353</v>
      </c>
      <c r="O61" s="36" t="n">
        <f aca="false">SQRT(M61^2+N61^2)</f>
        <v>3.29471586672519</v>
      </c>
      <c r="P61" s="40" t="n">
        <f aca="false">IF(J61="","",MAX(0,J61-1.96*O61/100))</f>
        <v>0.349114045202662</v>
      </c>
      <c r="Q61" s="40" t="n">
        <f aca="false">IF(J61="","",MIN(1,J61+1.96*O61/100))</f>
        <v>0.47826690717829</v>
      </c>
      <c r="R61" s="32" t="str">
        <f aca="false">IF(L61="","",IF(ABS(L61)&lt;=O61,"Yes","No"))</f>
        <v>Yes</v>
      </c>
      <c r="S61" s="32" t="str">
        <f aca="false">IF(L61="","",IF(ABS(L61)&lt;=1.96*O61,"Yes","No"))</f>
        <v>Yes</v>
      </c>
      <c r="T61" s="59" t="n">
        <f aca="false">IF(D61="","",ROUND(SQRT(((D61+G61)*O61/100)^2+(J61*(D61+G61)*0.07067)^2),0))</f>
        <v>15</v>
      </c>
      <c r="U61" s="32"/>
    </row>
    <row r="62" customFormat="false" ht="15" hidden="false" customHeight="false" outlineLevel="0" collapsed="false">
      <c r="A62" s="32" t="s">
        <v>220</v>
      </c>
      <c r="B62" s="32" t="s">
        <v>229</v>
      </c>
      <c r="C62" s="32" t="s">
        <v>161</v>
      </c>
      <c r="D62" s="59" t="n">
        <v>4761</v>
      </c>
      <c r="E62" s="59" t="n">
        <v>5059</v>
      </c>
      <c r="F62" s="68" t="n">
        <f aca="false">IF(E62="","",D62-E62)</f>
        <v>-298</v>
      </c>
      <c r="G62" s="59" t="n">
        <v>2017</v>
      </c>
      <c r="H62" s="59" t="n">
        <v>1583</v>
      </c>
      <c r="I62" s="68" t="n">
        <f aca="false">IF(H62="","",G62-H62)</f>
        <v>434</v>
      </c>
      <c r="J62" s="40" t="n">
        <f aca="false">IF(OR(D62="",D62+G62=0),"",D62/(D62+G62))</f>
        <v>0.702419592800236</v>
      </c>
      <c r="K62" s="40" t="n">
        <f aca="false">IF(E62="","",E62/(E62+H62))</f>
        <v>0.761668172237278</v>
      </c>
      <c r="L62" s="69" t="n">
        <f aca="false">IF(OR(K62="",J62=""),"",(J62-K62)*100)</f>
        <v>-5.92485794370419</v>
      </c>
      <c r="M62" s="36" t="n">
        <v>1.49093417024967</v>
      </c>
      <c r="N62" s="36" t="n">
        <v>1.05172822528353</v>
      </c>
      <c r="O62" s="36" t="n">
        <f aca="false">SQRT(M62^2+N62^2)</f>
        <v>1.82455938787317</v>
      </c>
      <c r="P62" s="40" t="n">
        <f aca="false">IF(J62="","",MAX(0,J62-1.96*O62/100))</f>
        <v>0.666658228797922</v>
      </c>
      <c r="Q62" s="40" t="n">
        <f aca="false">IF(J62="","",MIN(1,J62+1.96*O62/100))</f>
        <v>0.73818095680255</v>
      </c>
      <c r="R62" s="32" t="str">
        <f aca="false">IF(L62="","",IF(ABS(L62)&lt;=O62,"Yes","No"))</f>
        <v>No</v>
      </c>
      <c r="S62" s="32" t="str">
        <f aca="false">IF(L62="","",IF(ABS(L62)&lt;=1.96*O62,"Yes","No"))</f>
        <v>No</v>
      </c>
      <c r="T62" s="59" t="n">
        <f aca="false">IF(D62="","",ROUND(SQRT(((D62+G62)*O62/100)^2+(J62*(D62+G62)*0.04632)^2),0))</f>
        <v>253</v>
      </c>
      <c r="U62" s="32"/>
    </row>
    <row r="63" customFormat="false" ht="15" hidden="false" customHeight="false" outlineLevel="0" collapsed="false">
      <c r="A63" s="32" t="s">
        <v>220</v>
      </c>
      <c r="B63" s="32" t="s">
        <v>230</v>
      </c>
      <c r="C63" s="32" t="s">
        <v>161</v>
      </c>
      <c r="D63" s="59" t="n">
        <v>3958</v>
      </c>
      <c r="E63" s="59" t="n">
        <v>3565</v>
      </c>
      <c r="F63" s="68" t="n">
        <f aca="false">IF(E63="","",D63-E63)</f>
        <v>393</v>
      </c>
      <c r="G63" s="59" t="n">
        <v>3245</v>
      </c>
      <c r="H63" s="59" t="n">
        <v>3017</v>
      </c>
      <c r="I63" s="68" t="n">
        <f aca="false">IF(H63="","",G63-H63)</f>
        <v>228</v>
      </c>
      <c r="J63" s="40" t="n">
        <f aca="false">IF(OR(D63="",D63+G63=0),"",D63/(D63+G63))</f>
        <v>0.549493266694433</v>
      </c>
      <c r="K63" s="40" t="n">
        <f aca="false">IF(E63="","",E63/(E63+H63))</f>
        <v>0.541628684290489</v>
      </c>
      <c r="L63" s="69" t="n">
        <f aca="false">IF(OR(K63="",J63=""),"",(J63-K63)*100)</f>
        <v>0.786458240394372</v>
      </c>
      <c r="M63" s="36" t="n">
        <v>1.49093417024967</v>
      </c>
      <c r="N63" s="36" t="n">
        <v>1.05172822528353</v>
      </c>
      <c r="O63" s="36" t="n">
        <f aca="false">SQRT(M63^2+N63^2)</f>
        <v>1.82455938787317</v>
      </c>
      <c r="P63" s="40" t="n">
        <f aca="false">IF(J63="","",MAX(0,J63-1.96*O63/100))</f>
        <v>0.513731902692119</v>
      </c>
      <c r="Q63" s="40" t="n">
        <f aca="false">IF(J63="","",MIN(1,J63+1.96*O63/100))</f>
        <v>0.585254630696747</v>
      </c>
      <c r="R63" s="32" t="str">
        <f aca="false">IF(L63="","",IF(ABS(L63)&lt;=O63,"Yes","No"))</f>
        <v>Yes</v>
      </c>
      <c r="S63" s="32" t="str">
        <f aca="false">IF(L63="","",IF(ABS(L63)&lt;=1.96*O63,"Yes","No"))</f>
        <v>Yes</v>
      </c>
      <c r="T63" s="59" t="n">
        <f aca="false">IF(D63="","",ROUND(SQRT(((D63+G63)*O63/100)^2+(J63*(D63+G63)*0.04632)^2),0))</f>
        <v>226</v>
      </c>
      <c r="U63" s="32"/>
    </row>
    <row r="64" customFormat="false" ht="15" hidden="false" customHeight="false" outlineLevel="0" collapsed="false">
      <c r="A64" s="32" t="s">
        <v>220</v>
      </c>
      <c r="B64" s="32" t="s">
        <v>231</v>
      </c>
      <c r="C64" s="32" t="s">
        <v>161</v>
      </c>
      <c r="D64" s="59" t="n">
        <v>475</v>
      </c>
      <c r="E64" s="59" t="n">
        <v>497</v>
      </c>
      <c r="F64" s="68" t="n">
        <f aca="false">IF(E64="","",D64-E64)</f>
        <v>-22</v>
      </c>
      <c r="G64" s="59" t="n">
        <v>256</v>
      </c>
      <c r="H64" s="59" t="n">
        <v>253</v>
      </c>
      <c r="I64" s="68" t="n">
        <f aca="false">IF(H64="","",G64-H64)</f>
        <v>3</v>
      </c>
      <c r="J64" s="40" t="n">
        <f aca="false">IF(OR(D64="",D64+G64=0),"",D64/(D64+G64))</f>
        <v>0.649794801641587</v>
      </c>
      <c r="K64" s="40" t="n">
        <f aca="false">IF(E64="","",E64/(E64+H64))</f>
        <v>0.662666666666667</v>
      </c>
      <c r="L64" s="69" t="n">
        <f aca="false">IF(OR(K64="",J64=""),"",(J64-K64)*100)</f>
        <v>-1.28718650250798</v>
      </c>
      <c r="M64" s="36" t="n">
        <v>3.12234213093196</v>
      </c>
      <c r="N64" s="36" t="n">
        <v>1.05172822528353</v>
      </c>
      <c r="O64" s="36" t="n">
        <f aca="false">SQRT(M64^2+N64^2)</f>
        <v>3.29471586672519</v>
      </c>
      <c r="P64" s="40" t="n">
        <f aca="false">IF(J64="","",MAX(0,J64-1.96*O64/100))</f>
        <v>0.585218370653773</v>
      </c>
      <c r="Q64" s="40" t="n">
        <f aca="false">IF(J64="","",MIN(1,J64+1.96*O64/100))</f>
        <v>0.714371232629401</v>
      </c>
      <c r="R64" s="32" t="str">
        <f aca="false">IF(L64="","",IF(ABS(L64)&lt;=O64,"Yes","No"))</f>
        <v>Yes</v>
      </c>
      <c r="S64" s="32" t="str">
        <f aca="false">IF(L64="","",IF(ABS(L64)&lt;=1.96*O64,"Yes","No"))</f>
        <v>Yes</v>
      </c>
      <c r="T64" s="59" t="n">
        <f aca="false">IF(D64="","",ROUND(SQRT(((D64+G64)*O64/100)^2+(J64*(D64+G64)*0.07067)^2),0))</f>
        <v>41</v>
      </c>
      <c r="U64" s="32"/>
    </row>
    <row r="65" customFormat="false" ht="15" hidden="false" customHeight="false" outlineLevel="0" collapsed="false">
      <c r="A65" s="32" t="s">
        <v>220</v>
      </c>
      <c r="B65" s="32" t="s">
        <v>232</v>
      </c>
      <c r="C65" s="32" t="s">
        <v>161</v>
      </c>
      <c r="D65" s="59" t="n">
        <v>62</v>
      </c>
      <c r="E65" s="59" t="n">
        <v>72</v>
      </c>
      <c r="F65" s="68" t="n">
        <f aca="false">IF(E65="","",D65-E65)</f>
        <v>-10</v>
      </c>
      <c r="G65" s="59" t="n">
        <v>60</v>
      </c>
      <c r="H65" s="59" t="n">
        <v>39</v>
      </c>
      <c r="I65" s="68" t="n">
        <f aca="false">IF(H65="","",G65-H65)</f>
        <v>21</v>
      </c>
      <c r="J65" s="40" t="n">
        <f aca="false">IF(OR(D65="",D65+G65=0),"",D65/(D65+G65))</f>
        <v>0.508196721311475</v>
      </c>
      <c r="K65" s="40" t="n">
        <f aca="false">IF(E65="","",E65/(E65+H65))</f>
        <v>0.648648648648649</v>
      </c>
      <c r="L65" s="69" t="n">
        <f aca="false">IF(OR(K65="",J65=""),"",(J65-K65)*100)</f>
        <v>-14.0451927337173</v>
      </c>
      <c r="M65" s="36" t="n">
        <v>3.12234213093196</v>
      </c>
      <c r="N65" s="36" t="n">
        <v>1.05172822528353</v>
      </c>
      <c r="O65" s="36" t="n">
        <f aca="false">SQRT(M65^2+N65^2)</f>
        <v>3.29471586672519</v>
      </c>
      <c r="P65" s="40" t="n">
        <f aca="false">IF(J65="","",MAX(0,J65-1.96*O65/100))</f>
        <v>0.443620290323662</v>
      </c>
      <c r="Q65" s="40" t="n">
        <f aca="false">IF(J65="","",MIN(1,J65+1.96*O65/100))</f>
        <v>0.572773152299289</v>
      </c>
      <c r="R65" s="32" t="str">
        <f aca="false">IF(L65="","",IF(ABS(L65)&lt;=O65,"Yes","No"))</f>
        <v>No</v>
      </c>
      <c r="S65" s="32" t="str">
        <f aca="false">IF(L65="","",IF(ABS(L65)&lt;=1.96*O65,"Yes","No"))</f>
        <v>No</v>
      </c>
      <c r="T65" s="59" t="n">
        <f aca="false">IF(D65="","",ROUND(SQRT(((D65+G65)*O65/100)^2+(J65*(D65+G65)*0.07067)^2),0))</f>
        <v>6</v>
      </c>
      <c r="U65" s="32"/>
    </row>
    <row r="66" customFormat="false" ht="15" hidden="false" customHeight="false" outlineLevel="0" collapsed="false">
      <c r="A66" s="32" t="s">
        <v>220</v>
      </c>
      <c r="B66" s="32" t="s">
        <v>198</v>
      </c>
      <c r="C66" s="32" t="s">
        <v>161</v>
      </c>
      <c r="D66" s="59" t="n">
        <v>3300</v>
      </c>
      <c r="E66" s="59" t="n">
        <v>3075</v>
      </c>
      <c r="F66" s="68" t="n">
        <f aca="false">IF(E66="","",D66-E66)</f>
        <v>225</v>
      </c>
      <c r="G66" s="59" t="n">
        <v>2810</v>
      </c>
      <c r="H66" s="59" t="n">
        <v>2610</v>
      </c>
      <c r="I66" s="68" t="n">
        <f aca="false">IF(H66="","",G66-H66)</f>
        <v>200</v>
      </c>
      <c r="J66" s="40" t="n">
        <f aca="false">IF(OR(D66="",D66+G66=0),"",D66/(D66+G66))</f>
        <v>0.540098199672668</v>
      </c>
      <c r="K66" s="40" t="n">
        <f aca="false">IF(E66="","",E66/(E66+H66))</f>
        <v>0.54089709762533</v>
      </c>
      <c r="L66" s="69" t="n">
        <f aca="false">IF(OR(K66="",J66=""),"",(J66-K66)*100)</f>
        <v>-0.079889795266197</v>
      </c>
      <c r="M66" s="36" t="n">
        <v>1.49093417024967</v>
      </c>
      <c r="N66" s="36" t="n">
        <v>1.05172822528353</v>
      </c>
      <c r="O66" s="36" t="n">
        <f aca="false">SQRT(M66^2+N66^2)</f>
        <v>1.82455938787317</v>
      </c>
      <c r="P66" s="40" t="n">
        <f aca="false">IF(J66="","",MAX(0,J66-1.96*O66/100))</f>
        <v>0.504336835670354</v>
      </c>
      <c r="Q66" s="40" t="n">
        <f aca="false">IF(J66="","",MIN(1,J66+1.96*O66/100))</f>
        <v>0.575859563674982</v>
      </c>
      <c r="R66" s="32" t="str">
        <f aca="false">IF(L66="","",IF(ABS(L66)&lt;=O66,"Yes","No"))</f>
        <v>Yes</v>
      </c>
      <c r="S66" s="32" t="str">
        <f aca="false">IF(L66="","",IF(ABS(L66)&lt;=1.96*O66,"Yes","No"))</f>
        <v>Yes</v>
      </c>
      <c r="T66" s="59" t="n">
        <f aca="false">IF(D66="","",ROUND(SQRT(((D66+G66)*O66/100)^2+(J66*(D66+G66)*0.04632)^2),0))</f>
        <v>189</v>
      </c>
      <c r="U66" s="32"/>
    </row>
    <row r="67" customFormat="false" ht="15" hidden="false" customHeight="false" outlineLevel="0" collapsed="false">
      <c r="A67" s="32" t="s">
        <v>220</v>
      </c>
      <c r="B67" s="32" t="s">
        <v>233</v>
      </c>
      <c r="C67" s="32" t="s">
        <v>161</v>
      </c>
      <c r="D67" s="59" t="n">
        <v>1287</v>
      </c>
      <c r="E67" s="59" t="n">
        <v>1246</v>
      </c>
      <c r="F67" s="68" t="n">
        <f aca="false">IF(E67="","",D67-E67)</f>
        <v>41</v>
      </c>
      <c r="G67" s="59" t="n">
        <v>1062</v>
      </c>
      <c r="H67" s="59" t="n">
        <v>966</v>
      </c>
      <c r="I67" s="68" t="n">
        <f aca="false">IF(H67="","",G67-H67)</f>
        <v>96</v>
      </c>
      <c r="J67" s="40" t="n">
        <f aca="false">IF(OR(D67="",D67+G67=0),"",D67/(D67+G67))</f>
        <v>0.547892720306513</v>
      </c>
      <c r="K67" s="40" t="n">
        <f aca="false">IF(E67="","",E67/(E67+H67))</f>
        <v>0.563291139240506</v>
      </c>
      <c r="L67" s="69" t="n">
        <f aca="false">IF(OR(K67="",J67=""),"",(J67-K67)*100)</f>
        <v>-1.5398418933993</v>
      </c>
      <c r="M67" s="36" t="n">
        <v>2.04164931371995</v>
      </c>
      <c r="N67" s="36" t="n">
        <v>1.05172822528353</v>
      </c>
      <c r="O67" s="36" t="n">
        <f aca="false">SQRT(M67^2+N67^2)</f>
        <v>2.29662016451811</v>
      </c>
      <c r="P67" s="40" t="n">
        <f aca="false">IF(J67="","",MAX(0,J67-1.96*O67/100))</f>
        <v>0.502878965081959</v>
      </c>
      <c r="Q67" s="40" t="n">
        <f aca="false">IF(J67="","",MIN(1,J67+1.96*O67/100))</f>
        <v>0.592906475531068</v>
      </c>
      <c r="R67" s="32" t="str">
        <f aca="false">IF(L67="","",IF(ABS(L67)&lt;=O67,"Yes","No"))</f>
        <v>Yes</v>
      </c>
      <c r="S67" s="32" t="str">
        <f aca="false">IF(L67="","",IF(ABS(L67)&lt;=1.96*O67,"Yes","No"))</f>
        <v>Yes</v>
      </c>
      <c r="T67" s="59" t="n">
        <f aca="false">IF(D67="","",ROUND(SQRT(((D67+G67)*O67/100)^2+(J67*(D67+G67)*0.05402)^2),0))</f>
        <v>88</v>
      </c>
      <c r="U67" s="32"/>
    </row>
    <row r="68" customFormat="false" ht="15" hidden="false" customHeight="false" outlineLevel="0" collapsed="false">
      <c r="A68" s="32" t="s">
        <v>220</v>
      </c>
      <c r="B68" s="32" t="s">
        <v>234</v>
      </c>
      <c r="C68" s="32" t="s">
        <v>161</v>
      </c>
      <c r="D68" s="59" t="n">
        <v>1790</v>
      </c>
      <c r="E68" s="59" t="n">
        <v>1543</v>
      </c>
      <c r="F68" s="68" t="n">
        <f aca="false">IF(E68="","",D68-E68)</f>
        <v>247</v>
      </c>
      <c r="G68" s="59" t="n">
        <v>2940</v>
      </c>
      <c r="H68" s="59" t="n">
        <v>2708</v>
      </c>
      <c r="I68" s="68" t="n">
        <f aca="false">IF(H68="","",G68-H68)</f>
        <v>232</v>
      </c>
      <c r="J68" s="40" t="n">
        <f aca="false">IF(OR(D68="",D68+G68=0),"",D68/(D68+G68))</f>
        <v>0.378435517970402</v>
      </c>
      <c r="K68" s="40" t="n">
        <f aca="false">IF(E68="","",E68/(E68+H68))</f>
        <v>0.36297341801929</v>
      </c>
      <c r="L68" s="69" t="n">
        <f aca="false">IF(OR(K68="",J68=""),"",(J68-K68)*100)</f>
        <v>1.54620999511121</v>
      </c>
      <c r="M68" s="36" t="n">
        <v>1.49093417024967</v>
      </c>
      <c r="N68" s="36" t="n">
        <v>1.05172822528353</v>
      </c>
      <c r="O68" s="36" t="n">
        <f aca="false">SQRT(M68^2+N68^2)</f>
        <v>1.82455938787317</v>
      </c>
      <c r="P68" s="40" t="n">
        <f aca="false">IF(J68="","",MAX(0,J68-1.96*O68/100))</f>
        <v>0.342674153968088</v>
      </c>
      <c r="Q68" s="40" t="n">
        <f aca="false">IF(J68="","",MIN(1,J68+1.96*O68/100))</f>
        <v>0.414196881972716</v>
      </c>
      <c r="R68" s="32" t="str">
        <f aca="false">IF(L68="","",IF(ABS(L68)&lt;=O68,"Yes","No"))</f>
        <v>Yes</v>
      </c>
      <c r="S68" s="32" t="str">
        <f aca="false">IF(L68="","",IF(ABS(L68)&lt;=1.96*O68,"Yes","No"))</f>
        <v>Yes</v>
      </c>
      <c r="T68" s="59" t="n">
        <f aca="false">IF(D68="","",ROUND(SQRT(((D68+G68)*O68/100)^2+(J68*(D68+G68)*0.04632)^2),0))</f>
        <v>120</v>
      </c>
      <c r="U68" s="32"/>
    </row>
    <row r="69" customFormat="false" ht="15" hidden="false" customHeight="false" outlineLevel="0" collapsed="false">
      <c r="A69" s="32" t="s">
        <v>220</v>
      </c>
      <c r="B69" s="32" t="s">
        <v>235</v>
      </c>
      <c r="C69" s="32" t="s">
        <v>161</v>
      </c>
      <c r="D69" s="59" t="n">
        <v>435</v>
      </c>
      <c r="E69" s="59" t="n">
        <v>474</v>
      </c>
      <c r="F69" s="68" t="n">
        <f aca="false">IF(E69="","",D69-E69)</f>
        <v>-39</v>
      </c>
      <c r="G69" s="59" t="n">
        <v>898</v>
      </c>
      <c r="H69" s="59" t="n">
        <v>678</v>
      </c>
      <c r="I69" s="68" t="n">
        <f aca="false">IF(H69="","",G69-H69)</f>
        <v>220</v>
      </c>
      <c r="J69" s="40" t="n">
        <f aca="false">IF(OR(D69="",D69+G69=0),"",D69/(D69+G69))</f>
        <v>0.326331582895724</v>
      </c>
      <c r="K69" s="40" t="n">
        <f aca="false">IF(E69="","",E69/(E69+H69))</f>
        <v>0.411458333333333</v>
      </c>
      <c r="L69" s="69" t="n">
        <f aca="false">IF(OR(K69="",J69=""),"",(J69-K69)*100)</f>
        <v>-8.51267504376094</v>
      </c>
      <c r="M69" s="36" t="n">
        <v>2.04164931371995</v>
      </c>
      <c r="N69" s="36" t="n">
        <v>1.05172822528353</v>
      </c>
      <c r="O69" s="36" t="n">
        <f aca="false">SQRT(M69^2+N69^2)</f>
        <v>2.29662016451811</v>
      </c>
      <c r="P69" s="40" t="n">
        <f aca="false">IF(J69="","",MAX(0,J69-1.96*O69/100))</f>
        <v>0.281317827671169</v>
      </c>
      <c r="Q69" s="40" t="n">
        <f aca="false">IF(J69="","",MIN(1,J69+1.96*O69/100))</f>
        <v>0.371345338120279</v>
      </c>
      <c r="R69" s="32" t="str">
        <f aca="false">IF(L69="","",IF(ABS(L69)&lt;=O69,"Yes","No"))</f>
        <v>No</v>
      </c>
      <c r="S69" s="32" t="str">
        <f aca="false">IF(L69="","",IF(ABS(L69)&lt;=1.96*O69,"Yes","No"))</f>
        <v>No</v>
      </c>
      <c r="T69" s="59" t="n">
        <f aca="false">IF(D69="","",ROUND(SQRT(((D69+G69)*O69/100)^2+(J69*(D69+G69)*0.05402)^2),0))</f>
        <v>39</v>
      </c>
      <c r="U69" s="32"/>
    </row>
    <row r="70" customFormat="false" ht="15" hidden="false" customHeight="false" outlineLevel="0" collapsed="false">
      <c r="A70" s="32" t="s">
        <v>220</v>
      </c>
      <c r="B70" s="32" t="s">
        <v>236</v>
      </c>
      <c r="C70" s="32" t="s">
        <v>161</v>
      </c>
      <c r="D70" s="59" t="n">
        <v>1428</v>
      </c>
      <c r="E70" s="59" t="n">
        <v>1320</v>
      </c>
      <c r="F70" s="68" t="n">
        <f aca="false">IF(E70="","",D70-E70)</f>
        <v>108</v>
      </c>
      <c r="G70" s="59" t="n">
        <v>1856</v>
      </c>
      <c r="H70" s="59" t="n">
        <v>1650</v>
      </c>
      <c r="I70" s="68" t="n">
        <f aca="false">IF(H70="","",G70-H70)</f>
        <v>206</v>
      </c>
      <c r="J70" s="40" t="n">
        <f aca="false">IF(OR(D70="",D70+G70=0),"",D70/(D70+G70))</f>
        <v>0.43483556638246</v>
      </c>
      <c r="K70" s="40" t="n">
        <f aca="false">IF(E70="","",E70/(E70+H70))</f>
        <v>0.444444444444444</v>
      </c>
      <c r="L70" s="69" t="n">
        <f aca="false">IF(OR(K70="",J70=""),"",(J70-K70)*100)</f>
        <v>-0.960887806198402</v>
      </c>
      <c r="M70" s="36" t="n">
        <v>1.49093417024967</v>
      </c>
      <c r="N70" s="36" t="n">
        <v>1.05172822528353</v>
      </c>
      <c r="O70" s="36" t="n">
        <f aca="false">SQRT(M70^2+N70^2)</f>
        <v>1.82455938787317</v>
      </c>
      <c r="P70" s="40" t="n">
        <f aca="false">IF(J70="","",MAX(0,J70-1.96*O70/100))</f>
        <v>0.399074202380146</v>
      </c>
      <c r="Q70" s="40" t="n">
        <f aca="false">IF(J70="","",MIN(1,J70+1.96*O70/100))</f>
        <v>0.470596930384775</v>
      </c>
      <c r="R70" s="32" t="str">
        <f aca="false">IF(L70="","",IF(ABS(L70)&lt;=O70,"Yes","No"))</f>
        <v>Yes</v>
      </c>
      <c r="S70" s="32" t="str">
        <f aca="false">IF(L70="","",IF(ABS(L70)&lt;=1.96*O70,"Yes","No"))</f>
        <v>Yes</v>
      </c>
      <c r="T70" s="59" t="n">
        <f aca="false">IF(D70="","",ROUND(SQRT(((D70+G70)*O70/100)^2+(J70*(D70+G70)*0.04632)^2),0))</f>
        <v>89</v>
      </c>
      <c r="U70" s="32"/>
    </row>
    <row r="71" customFormat="false" ht="15" hidden="false" customHeight="false" outlineLevel="0" collapsed="false">
      <c r="A71" s="32" t="s">
        <v>220</v>
      </c>
      <c r="B71" s="32" t="s">
        <v>237</v>
      </c>
      <c r="C71" s="32" t="s">
        <v>161</v>
      </c>
      <c r="D71" s="59" t="n">
        <v>2562</v>
      </c>
      <c r="E71" s="59" t="n">
        <v>2540</v>
      </c>
      <c r="F71" s="68" t="n">
        <f aca="false">IF(E71="","",D71-E71)</f>
        <v>22</v>
      </c>
      <c r="G71" s="59" t="n">
        <v>3050</v>
      </c>
      <c r="H71" s="59" t="n">
        <v>2624</v>
      </c>
      <c r="I71" s="68" t="n">
        <f aca="false">IF(H71="","",G71-H71)</f>
        <v>426</v>
      </c>
      <c r="J71" s="40" t="n">
        <f aca="false">IF(OR(D71="",D71+G71=0),"",D71/(D71+G71))</f>
        <v>0.456521739130435</v>
      </c>
      <c r="K71" s="40" t="n">
        <f aca="false">IF(E71="","",E71/(E71+H71))</f>
        <v>0.491866769945779</v>
      </c>
      <c r="L71" s="69" t="n">
        <f aca="false">IF(OR(K71="",J71=""),"",(J71-K71)*100)</f>
        <v>-3.53450308153437</v>
      </c>
      <c r="M71" s="36" t="n">
        <v>1.49093417024967</v>
      </c>
      <c r="N71" s="36" t="n">
        <v>1.05172822528353</v>
      </c>
      <c r="O71" s="36" t="n">
        <f aca="false">SQRT(M71^2+N71^2)</f>
        <v>1.82455938787317</v>
      </c>
      <c r="P71" s="40" t="n">
        <f aca="false">IF(J71="","",MAX(0,J71-1.96*O71/100))</f>
        <v>0.420760375128121</v>
      </c>
      <c r="Q71" s="40" t="n">
        <f aca="false">IF(J71="","",MIN(1,J71+1.96*O71/100))</f>
        <v>0.492283103132749</v>
      </c>
      <c r="R71" s="32" t="str">
        <f aca="false">IF(L71="","",IF(ABS(L71)&lt;=O71,"Yes","No"))</f>
        <v>No</v>
      </c>
      <c r="S71" s="32" t="str">
        <f aca="false">IF(L71="","",IF(ABS(L71)&lt;=1.96*O71,"Yes","No"))</f>
        <v>Yes</v>
      </c>
      <c r="T71" s="59" t="n">
        <f aca="false">IF(D71="","",ROUND(SQRT(((D71+G71)*O71/100)^2+(J71*(D71+G71)*0.04632)^2),0))</f>
        <v>157</v>
      </c>
      <c r="U71" s="32"/>
    </row>
    <row r="72" customFormat="false" ht="15" hidden="false" customHeight="false" outlineLevel="0" collapsed="false">
      <c r="A72" s="32" t="s">
        <v>220</v>
      </c>
      <c r="B72" s="32" t="s">
        <v>238</v>
      </c>
      <c r="C72" s="32" t="s">
        <v>161</v>
      </c>
      <c r="D72" s="59" t="n">
        <v>1469</v>
      </c>
      <c r="E72" s="59" t="n">
        <v>1404</v>
      </c>
      <c r="F72" s="68" t="n">
        <f aca="false">IF(E72="","",D72-E72)</f>
        <v>65</v>
      </c>
      <c r="G72" s="59" t="n">
        <v>2885</v>
      </c>
      <c r="H72" s="59" t="n">
        <v>2512</v>
      </c>
      <c r="I72" s="68" t="n">
        <f aca="false">IF(H72="","",G72-H72)</f>
        <v>373</v>
      </c>
      <c r="J72" s="40" t="n">
        <f aca="false">IF(OR(D72="",D72+G72=0),"",D72/(D72+G72))</f>
        <v>0.337390904915021</v>
      </c>
      <c r="K72" s="40" t="n">
        <f aca="false">IF(E72="","",E72/(E72+H72))</f>
        <v>0.3585291113381</v>
      </c>
      <c r="L72" s="69" t="n">
        <f aca="false">IF(OR(K72="",J72=""),"",(J72-K72)*100)</f>
        <v>-2.11382064230795</v>
      </c>
      <c r="M72" s="36" t="n">
        <v>1.49093417024967</v>
      </c>
      <c r="N72" s="36" t="n">
        <v>1.05172822528353</v>
      </c>
      <c r="O72" s="36" t="n">
        <f aca="false">SQRT(M72^2+N72^2)</f>
        <v>1.82455938787317</v>
      </c>
      <c r="P72" s="40" t="n">
        <f aca="false">IF(J72="","",MAX(0,J72-1.96*O72/100))</f>
        <v>0.301629540912707</v>
      </c>
      <c r="Q72" s="40" t="n">
        <f aca="false">IF(J72="","",MIN(1,J72+1.96*O72/100))</f>
        <v>0.373152268917335</v>
      </c>
      <c r="R72" s="32" t="str">
        <f aca="false">IF(L72="","",IF(ABS(L72)&lt;=O72,"Yes","No"))</f>
        <v>No</v>
      </c>
      <c r="S72" s="32" t="str">
        <f aca="false">IF(L72="","",IF(ABS(L72)&lt;=1.96*O72,"Yes","No"))</f>
        <v>Yes</v>
      </c>
      <c r="T72" s="59" t="n">
        <f aca="false">IF(D72="","",ROUND(SQRT(((D72+G72)*O72/100)^2+(J72*(D72+G72)*0.04632)^2),0))</f>
        <v>105</v>
      </c>
      <c r="U72" s="32"/>
    </row>
    <row r="73" customFormat="false" ht="15" hidden="false" customHeight="false" outlineLevel="0" collapsed="false">
      <c r="A73" s="32" t="s">
        <v>220</v>
      </c>
      <c r="B73" s="32" t="s">
        <v>239</v>
      </c>
      <c r="C73" s="32" t="s">
        <v>161</v>
      </c>
      <c r="D73" s="59" t="n">
        <v>1178</v>
      </c>
      <c r="E73" s="59" t="n">
        <v>1128</v>
      </c>
      <c r="F73" s="68" t="n">
        <f aca="false">IF(E73="","",D73-E73)</f>
        <v>50</v>
      </c>
      <c r="G73" s="59" t="n">
        <v>1172</v>
      </c>
      <c r="H73" s="59" t="n">
        <v>998</v>
      </c>
      <c r="I73" s="68" t="n">
        <f aca="false">IF(H73="","",G73-H73)</f>
        <v>174</v>
      </c>
      <c r="J73" s="40" t="n">
        <f aca="false">IF(OR(D73="",D73+G73=0),"",D73/(D73+G73))</f>
        <v>0.501276595744681</v>
      </c>
      <c r="K73" s="40" t="n">
        <f aca="false">IF(E73="","",E73/(E73+H73))</f>
        <v>0.530573847601129</v>
      </c>
      <c r="L73" s="69" t="n">
        <f aca="false">IF(OR(K73="",J73=""),"",(J73-K73)*100)</f>
        <v>-2.9297251856448</v>
      </c>
      <c r="M73" s="36" t="n">
        <v>2.04164931371995</v>
      </c>
      <c r="N73" s="36" t="n">
        <v>1.05172822528353</v>
      </c>
      <c r="O73" s="36" t="n">
        <f aca="false">SQRT(M73^2+N73^2)</f>
        <v>2.29662016451811</v>
      </c>
      <c r="P73" s="40" t="n">
        <f aca="false">IF(J73="","",MAX(0,J73-1.96*O73/100))</f>
        <v>0.456262840520126</v>
      </c>
      <c r="Q73" s="40" t="n">
        <f aca="false">IF(J73="","",MIN(1,J73+1.96*O73/100))</f>
        <v>0.546290350969236</v>
      </c>
      <c r="R73" s="32" t="str">
        <f aca="false">IF(L73="","",IF(ABS(L73)&lt;=O73,"Yes","No"))</f>
        <v>No</v>
      </c>
      <c r="S73" s="32" t="str">
        <f aca="false">IF(L73="","",IF(ABS(L73)&lt;=1.96*O73,"Yes","No"))</f>
        <v>Yes</v>
      </c>
      <c r="T73" s="59" t="n">
        <f aca="false">IF(D73="","",ROUND(SQRT(((D73+G73)*O73/100)^2+(J73*(D73+G73)*0.05402)^2),0))</f>
        <v>83</v>
      </c>
      <c r="U73" s="32"/>
    </row>
    <row r="74" customFormat="false" ht="15" hidden="false" customHeight="false" outlineLevel="0" collapsed="false">
      <c r="A74" s="32" t="s">
        <v>220</v>
      </c>
      <c r="B74" s="32" t="s">
        <v>240</v>
      </c>
      <c r="C74" s="32" t="s">
        <v>161</v>
      </c>
      <c r="D74" s="59" t="n">
        <v>557</v>
      </c>
      <c r="E74" s="59" t="n">
        <v>536</v>
      </c>
      <c r="F74" s="68" t="n">
        <f aca="false">IF(E74="","",D74-E74)</f>
        <v>21</v>
      </c>
      <c r="G74" s="59" t="n">
        <v>591</v>
      </c>
      <c r="H74" s="59" t="n">
        <v>521</v>
      </c>
      <c r="I74" s="68" t="n">
        <f aca="false">IF(H74="","",G74-H74)</f>
        <v>70</v>
      </c>
      <c r="J74" s="40" t="n">
        <f aca="false">IF(OR(D74="",D74+G74=0),"",D74/(D74+G74))</f>
        <v>0.485191637630662</v>
      </c>
      <c r="K74" s="40" t="n">
        <f aca="false">IF(E74="","",E74/(E74+H74))</f>
        <v>0.507095553453169</v>
      </c>
      <c r="L74" s="69" t="n">
        <f aca="false">IF(OR(K74="",J74=""),"",(J74-K74)*100)</f>
        <v>-2.19039158225073</v>
      </c>
      <c r="M74" s="36" t="n">
        <v>2.04164931371995</v>
      </c>
      <c r="N74" s="36" t="n">
        <v>1.05172822528353</v>
      </c>
      <c r="O74" s="36" t="n">
        <f aca="false">SQRT(M74^2+N74^2)</f>
        <v>2.29662016451811</v>
      </c>
      <c r="P74" s="40" t="n">
        <f aca="false">IF(J74="","",MAX(0,J74-1.96*O74/100))</f>
        <v>0.440177882406107</v>
      </c>
      <c r="Q74" s="40" t="n">
        <f aca="false">IF(J74="","",MIN(1,J74+1.96*O74/100))</f>
        <v>0.530205392855217</v>
      </c>
      <c r="R74" s="32" t="str">
        <f aca="false">IF(L74="","",IF(ABS(L74)&lt;=O74,"Yes","No"))</f>
        <v>Yes</v>
      </c>
      <c r="S74" s="32" t="str">
        <f aca="false">IF(L74="","",IF(ABS(L74)&lt;=1.96*O74,"Yes","No"))</f>
        <v>Yes</v>
      </c>
      <c r="T74" s="59" t="n">
        <f aca="false">IF(D74="","",ROUND(SQRT(((D74+G74)*O74/100)^2+(J74*(D74+G74)*0.05402)^2),0))</f>
        <v>40</v>
      </c>
      <c r="U74" s="32"/>
    </row>
    <row r="75" customFormat="false" ht="15" hidden="false" customHeight="false" outlineLevel="0" collapsed="false">
      <c r="A75" s="32" t="s">
        <v>220</v>
      </c>
      <c r="B75" s="32" t="s">
        <v>241</v>
      </c>
      <c r="C75" s="32" t="s">
        <v>161</v>
      </c>
      <c r="D75" s="59" t="n">
        <v>1880</v>
      </c>
      <c r="E75" s="59" t="n">
        <v>1650</v>
      </c>
      <c r="F75" s="68" t="n">
        <f aca="false">IF(E75="","",D75-E75)</f>
        <v>230</v>
      </c>
      <c r="G75" s="59" t="n">
        <v>1673</v>
      </c>
      <c r="H75" s="59" t="n">
        <v>1634</v>
      </c>
      <c r="I75" s="68" t="n">
        <f aca="false">IF(H75="","",G75-H75)</f>
        <v>39</v>
      </c>
      <c r="J75" s="40" t="n">
        <f aca="false">IF(OR(D75="",D75+G75=0),"",D75/(D75+G75))</f>
        <v>0.529130312412046</v>
      </c>
      <c r="K75" s="40" t="n">
        <f aca="false">IF(E75="","",E75/(E75+H75))</f>
        <v>0.502436053593179</v>
      </c>
      <c r="L75" s="69" t="n">
        <f aca="false">IF(OR(K75="",J75=""),"",(J75-K75)*100)</f>
        <v>2.66942588188671</v>
      </c>
      <c r="M75" s="36" t="n">
        <v>1.49093417024967</v>
      </c>
      <c r="N75" s="36" t="n">
        <v>1.05172822528353</v>
      </c>
      <c r="O75" s="36" t="n">
        <f aca="false">SQRT(M75^2+N75^2)</f>
        <v>1.82455938787317</v>
      </c>
      <c r="P75" s="40" t="n">
        <f aca="false">IF(J75="","",MAX(0,J75-1.96*O75/100))</f>
        <v>0.493368948409732</v>
      </c>
      <c r="Q75" s="40" t="n">
        <f aca="false">IF(J75="","",MIN(1,J75+1.96*O75/100))</f>
        <v>0.56489167641436</v>
      </c>
      <c r="R75" s="32" t="str">
        <f aca="false">IF(L75="","",IF(ABS(L75)&lt;=O75,"Yes","No"))</f>
        <v>No</v>
      </c>
      <c r="S75" s="32" t="str">
        <f aca="false">IF(L75="","",IF(ABS(L75)&lt;=1.96*O75,"Yes","No"))</f>
        <v>Yes</v>
      </c>
      <c r="T75" s="59" t="n">
        <f aca="false">IF(D75="","",ROUND(SQRT(((D75+G75)*O75/100)^2+(J75*(D75+G75)*0.04632)^2),0))</f>
        <v>109</v>
      </c>
      <c r="U75" s="32"/>
    </row>
    <row r="76" customFormat="false" ht="15" hidden="false" customHeight="false" outlineLevel="0" collapsed="false">
      <c r="A76" s="32" t="s">
        <v>220</v>
      </c>
      <c r="B76" s="32" t="s">
        <v>242</v>
      </c>
      <c r="C76" s="32" t="s">
        <v>161</v>
      </c>
      <c r="D76" s="59" t="n">
        <v>5313</v>
      </c>
      <c r="E76" s="59" t="n">
        <v>4804</v>
      </c>
      <c r="F76" s="68" t="n">
        <f aca="false">IF(E76="","",D76-E76)</f>
        <v>509</v>
      </c>
      <c r="G76" s="59" t="n">
        <v>4171</v>
      </c>
      <c r="H76" s="59" t="n">
        <v>4095</v>
      </c>
      <c r="I76" s="68" t="n">
        <f aca="false">IF(H76="","",G76-H76)</f>
        <v>76</v>
      </c>
      <c r="J76" s="40" t="n">
        <f aca="false">IF(OR(D76="",D76+G76=0),"",D76/(D76+G76))</f>
        <v>0.560206663854914</v>
      </c>
      <c r="K76" s="40" t="n">
        <f aca="false">IF(E76="","",E76/(E76+H76))</f>
        <v>0.539835936622092</v>
      </c>
      <c r="L76" s="69" t="n">
        <f aca="false">IF(OR(K76="",J76=""),"",(J76-K76)*100)</f>
        <v>2.03707272328212</v>
      </c>
      <c r="M76" s="36" t="n">
        <v>1.49093417024967</v>
      </c>
      <c r="N76" s="36" t="n">
        <v>1.05172822528353</v>
      </c>
      <c r="O76" s="36" t="n">
        <f aca="false">SQRT(M76^2+N76^2)</f>
        <v>1.82455938787317</v>
      </c>
      <c r="P76" s="40" t="n">
        <f aca="false">IF(J76="","",MAX(0,J76-1.96*O76/100))</f>
        <v>0.5244452998526</v>
      </c>
      <c r="Q76" s="40" t="n">
        <f aca="false">IF(J76="","",MIN(1,J76+1.96*O76/100))</f>
        <v>0.595968027857228</v>
      </c>
      <c r="R76" s="32" t="str">
        <f aca="false">IF(L76="","",IF(ABS(L76)&lt;=O76,"Yes","No"))</f>
        <v>No</v>
      </c>
      <c r="S76" s="32" t="str">
        <f aca="false">IF(L76="","",IF(ABS(L76)&lt;=1.96*O76,"Yes","No"))</f>
        <v>Yes</v>
      </c>
      <c r="T76" s="59" t="n">
        <f aca="false">IF(D76="","",ROUND(SQRT(((D76+G76)*O76/100)^2+(J76*(D76+G76)*0.04632)^2),0))</f>
        <v>301</v>
      </c>
      <c r="U76" s="32"/>
    </row>
    <row r="77" customFormat="false" ht="15" hidden="false" customHeight="false" outlineLevel="0" collapsed="false">
      <c r="A77" s="32" t="s">
        <v>220</v>
      </c>
      <c r="B77" s="32" t="s">
        <v>243</v>
      </c>
      <c r="C77" s="32" t="s">
        <v>161</v>
      </c>
      <c r="D77" s="59" t="n">
        <v>509</v>
      </c>
      <c r="E77" s="59" t="n">
        <v>484</v>
      </c>
      <c r="F77" s="68" t="n">
        <f aca="false">IF(E77="","",D77-E77)</f>
        <v>25</v>
      </c>
      <c r="G77" s="59" t="n">
        <v>742</v>
      </c>
      <c r="H77" s="59" t="n">
        <v>685</v>
      </c>
      <c r="I77" s="68" t="n">
        <f aca="false">IF(H77="","",G77-H77)</f>
        <v>57</v>
      </c>
      <c r="J77" s="40" t="n">
        <f aca="false">IF(OR(D77="",D77+G77=0),"",D77/(D77+G77))</f>
        <v>0.40687450039968</v>
      </c>
      <c r="K77" s="40" t="n">
        <f aca="false">IF(E77="","",E77/(E77+H77))</f>
        <v>0.414029084687767</v>
      </c>
      <c r="L77" s="69" t="n">
        <f aca="false">IF(OR(K77="",J77=""),"",(J77-K77)*100)</f>
        <v>-0.715458428808707</v>
      </c>
      <c r="M77" s="36" t="n">
        <v>2.04164931371995</v>
      </c>
      <c r="N77" s="36" t="n">
        <v>1.05172822528353</v>
      </c>
      <c r="O77" s="36" t="n">
        <f aca="false">SQRT(M77^2+N77^2)</f>
        <v>2.29662016451811</v>
      </c>
      <c r="P77" s="40" t="n">
        <f aca="false">IF(J77="","",MAX(0,J77-1.96*O77/100))</f>
        <v>0.361860745175125</v>
      </c>
      <c r="Q77" s="40" t="n">
        <f aca="false">IF(J77="","",MIN(1,J77+1.96*O77/100))</f>
        <v>0.451888255624235</v>
      </c>
      <c r="R77" s="32" t="str">
        <f aca="false">IF(L77="","",IF(ABS(L77)&lt;=O77,"Yes","No"))</f>
        <v>Yes</v>
      </c>
      <c r="S77" s="32" t="str">
        <f aca="false">IF(L77="","",IF(ABS(L77)&lt;=1.96*O77,"Yes","No"))</f>
        <v>Yes</v>
      </c>
      <c r="T77" s="59" t="n">
        <f aca="false">IF(D77="","",ROUND(SQRT(((D77+G77)*O77/100)^2+(J77*(D77+G77)*0.05402)^2),0))</f>
        <v>40</v>
      </c>
      <c r="U77" s="32"/>
    </row>
    <row r="78" customFormat="false" ht="15" hidden="false" customHeight="false" outlineLevel="0" collapsed="false">
      <c r="A78" s="32" t="s">
        <v>220</v>
      </c>
      <c r="B78" s="32" t="s">
        <v>244</v>
      </c>
      <c r="C78" s="32" t="s">
        <v>161</v>
      </c>
      <c r="D78" s="59" t="n">
        <v>1003</v>
      </c>
      <c r="E78" s="59" t="n">
        <v>1016</v>
      </c>
      <c r="F78" s="68" t="n">
        <f aca="false">IF(E78="","",D78-E78)</f>
        <v>-13</v>
      </c>
      <c r="G78" s="59" t="n">
        <v>1844</v>
      </c>
      <c r="H78" s="59" t="n">
        <v>1531</v>
      </c>
      <c r="I78" s="68" t="n">
        <f aca="false">IF(H78="","",G78-H78)</f>
        <v>313</v>
      </c>
      <c r="J78" s="40" t="n">
        <f aca="false">IF(OR(D78="",D78+G78=0),"",D78/(D78+G78))</f>
        <v>0.352300667369161</v>
      </c>
      <c r="K78" s="40" t="n">
        <f aca="false">IF(E78="","",E78/(E78+H78))</f>
        <v>0.398900667451904</v>
      </c>
      <c r="L78" s="69" t="n">
        <f aca="false">IF(OR(K78="",J78=""),"",(J78-K78)*100)</f>
        <v>-4.66000000827437</v>
      </c>
      <c r="M78" s="36" t="n">
        <v>1.49093417024967</v>
      </c>
      <c r="N78" s="36" t="n">
        <v>1.05172822528353</v>
      </c>
      <c r="O78" s="36" t="n">
        <f aca="false">SQRT(M78^2+N78^2)</f>
        <v>1.82455938787317</v>
      </c>
      <c r="P78" s="40" t="n">
        <f aca="false">IF(J78="","",MAX(0,J78-1.96*O78/100))</f>
        <v>0.316539303366846</v>
      </c>
      <c r="Q78" s="40" t="n">
        <f aca="false">IF(J78="","",MIN(1,J78+1.96*O78/100))</f>
        <v>0.388062031371475</v>
      </c>
      <c r="R78" s="32" t="str">
        <f aca="false">IF(L78="","",IF(ABS(L78)&lt;=O78,"Yes","No"))</f>
        <v>No</v>
      </c>
      <c r="S78" s="32" t="str">
        <f aca="false">IF(L78="","",IF(ABS(L78)&lt;=1.96*O78,"Yes","No"))</f>
        <v>No</v>
      </c>
      <c r="T78" s="59" t="n">
        <f aca="false">IF(D78="","",ROUND(SQRT(((D78+G78)*O78/100)^2+(J78*(D78+G78)*0.04632)^2),0))</f>
        <v>70</v>
      </c>
      <c r="U78" s="32"/>
    </row>
    <row r="79" customFormat="false" ht="15" hidden="false" customHeight="false" outlineLevel="0" collapsed="false">
      <c r="A79" s="32" t="s">
        <v>220</v>
      </c>
      <c r="B79" s="32" t="s">
        <v>245</v>
      </c>
      <c r="C79" s="32" t="s">
        <v>161</v>
      </c>
      <c r="D79" s="59" t="n">
        <v>62</v>
      </c>
      <c r="E79" s="59" t="n">
        <v>62</v>
      </c>
      <c r="F79" s="68" t="n">
        <f aca="false">IF(E79="","",D79-E79)</f>
        <v>0</v>
      </c>
      <c r="G79" s="59" t="n">
        <v>119</v>
      </c>
      <c r="H79" s="59" t="n">
        <v>104</v>
      </c>
      <c r="I79" s="68" t="n">
        <f aca="false">IF(H79="","",G79-H79)</f>
        <v>15</v>
      </c>
      <c r="J79" s="40" t="n">
        <f aca="false">IF(OR(D79="",D79+G79=0),"",D79/(D79+G79))</f>
        <v>0.342541436464088</v>
      </c>
      <c r="K79" s="40" t="n">
        <f aca="false">IF(E79="","",E79/(E79+H79))</f>
        <v>0.373493975903614</v>
      </c>
      <c r="L79" s="69" t="n">
        <f aca="false">IF(OR(K79="",J79=""),"",(J79-K79)*100)</f>
        <v>-3.0952539439526</v>
      </c>
      <c r="M79" s="36" t="n">
        <v>3.12234213093196</v>
      </c>
      <c r="N79" s="36" t="n">
        <v>1.05172822528353</v>
      </c>
      <c r="O79" s="36" t="n">
        <f aca="false">SQRT(M79^2+N79^2)</f>
        <v>3.29471586672519</v>
      </c>
      <c r="P79" s="40" t="n">
        <f aca="false">IF(J79="","",MAX(0,J79-1.96*O79/100))</f>
        <v>0.277965005476275</v>
      </c>
      <c r="Q79" s="40" t="n">
        <f aca="false">IF(J79="","",MIN(1,J79+1.96*O79/100))</f>
        <v>0.407117867451902</v>
      </c>
      <c r="R79" s="32" t="str">
        <f aca="false">IF(L79="","",IF(ABS(L79)&lt;=O79,"Yes","No"))</f>
        <v>Yes</v>
      </c>
      <c r="S79" s="32" t="str">
        <f aca="false">IF(L79="","",IF(ABS(L79)&lt;=1.96*O79,"Yes","No"))</f>
        <v>Yes</v>
      </c>
      <c r="T79" s="59" t="n">
        <f aca="false">IF(D79="","",ROUND(SQRT(((D79+G79)*O79/100)^2+(J79*(D79+G79)*0.07067)^2),0))</f>
        <v>7</v>
      </c>
      <c r="U79" s="32"/>
    </row>
    <row r="80" customFormat="false" ht="15" hidden="false" customHeight="false" outlineLevel="0" collapsed="false">
      <c r="A80" s="32" t="s">
        <v>220</v>
      </c>
      <c r="B80" s="32" t="s">
        <v>246</v>
      </c>
      <c r="C80" s="32" t="s">
        <v>161</v>
      </c>
      <c r="D80" s="59" t="n">
        <v>257</v>
      </c>
      <c r="E80" s="59" t="n">
        <v>243</v>
      </c>
      <c r="F80" s="68" t="n">
        <f aca="false">IF(E80="","",D80-E80)</f>
        <v>14</v>
      </c>
      <c r="G80" s="59" t="n">
        <v>339</v>
      </c>
      <c r="H80" s="59" t="n">
        <v>335</v>
      </c>
      <c r="I80" s="68" t="n">
        <f aca="false">IF(H80="","",G80-H80)</f>
        <v>4</v>
      </c>
      <c r="J80" s="40" t="n">
        <f aca="false">IF(OR(D80="",D80+G80=0),"",D80/(D80+G80))</f>
        <v>0.431208053691275</v>
      </c>
      <c r="K80" s="40" t="n">
        <f aca="false">IF(E80="","",E80/(E80+H80))</f>
        <v>0.420415224913495</v>
      </c>
      <c r="L80" s="69" t="n">
        <f aca="false">IF(OR(K80="",J80=""),"",(J80-K80)*100)</f>
        <v>1.07928287777804</v>
      </c>
      <c r="M80" s="36" t="n">
        <v>3.12234213093196</v>
      </c>
      <c r="N80" s="36" t="n">
        <v>1.05172822528353</v>
      </c>
      <c r="O80" s="36" t="n">
        <f aca="false">SQRT(M80^2+N80^2)</f>
        <v>3.29471586672519</v>
      </c>
      <c r="P80" s="40" t="n">
        <f aca="false">IF(J80="","",MAX(0,J80-1.96*O80/100))</f>
        <v>0.366631622703461</v>
      </c>
      <c r="Q80" s="40" t="n">
        <f aca="false">IF(J80="","",MIN(1,J80+1.96*O80/100))</f>
        <v>0.495784484679089</v>
      </c>
      <c r="R80" s="32" t="str">
        <f aca="false">IF(L80="","",IF(ABS(L80)&lt;=O80,"Yes","No"))</f>
        <v>Yes</v>
      </c>
      <c r="S80" s="32" t="str">
        <f aca="false">IF(L80="","",IF(ABS(L80)&lt;=1.96*O80,"Yes","No"))</f>
        <v>Yes</v>
      </c>
      <c r="T80" s="59" t="n">
        <f aca="false">IF(D80="","",ROUND(SQRT(((D80+G80)*O80/100)^2+(J80*(D80+G80)*0.07067)^2),0))</f>
        <v>27</v>
      </c>
      <c r="U80" s="32"/>
    </row>
    <row r="81" customFormat="false" ht="15" hidden="false" customHeight="false" outlineLevel="0" collapsed="false">
      <c r="A81" s="32" t="s">
        <v>220</v>
      </c>
      <c r="B81" s="32" t="s">
        <v>247</v>
      </c>
      <c r="C81" s="32" t="s">
        <v>161</v>
      </c>
      <c r="D81" s="59" t="n">
        <v>153</v>
      </c>
      <c r="E81" s="59" t="n">
        <v>142</v>
      </c>
      <c r="F81" s="68" t="n">
        <f aca="false">IF(E81="","",D81-E81)</f>
        <v>11</v>
      </c>
      <c r="G81" s="59" t="n">
        <v>210</v>
      </c>
      <c r="H81" s="59" t="n">
        <v>172</v>
      </c>
      <c r="I81" s="68" t="n">
        <f aca="false">IF(H81="","",G81-H81)</f>
        <v>38</v>
      </c>
      <c r="J81" s="40" t="n">
        <f aca="false">IF(OR(D81="",D81+G81=0),"",D81/(D81+G81))</f>
        <v>0.421487603305785</v>
      </c>
      <c r="K81" s="40" t="n">
        <f aca="false">IF(E81="","",E81/(E81+H81))</f>
        <v>0.452229299363057</v>
      </c>
      <c r="L81" s="69" t="n">
        <f aca="false">IF(OR(K81="",J81=""),"",(J81-K81)*100)</f>
        <v>-3.07416960572722</v>
      </c>
      <c r="M81" s="36" t="n">
        <v>3.12234213093196</v>
      </c>
      <c r="N81" s="36" t="n">
        <v>1.05172822528353</v>
      </c>
      <c r="O81" s="36" t="n">
        <f aca="false">SQRT(M81^2+N81^2)</f>
        <v>3.29471586672519</v>
      </c>
      <c r="P81" s="40" t="n">
        <f aca="false">IF(J81="","",MAX(0,J81-1.96*O81/100))</f>
        <v>0.356911172317971</v>
      </c>
      <c r="Q81" s="40" t="n">
        <f aca="false">IF(J81="","",MIN(1,J81+1.96*O81/100))</f>
        <v>0.486064034293599</v>
      </c>
      <c r="R81" s="32" t="str">
        <f aca="false">IF(L81="","",IF(ABS(L81)&lt;=O81,"Yes","No"))</f>
        <v>Yes</v>
      </c>
      <c r="S81" s="32" t="str">
        <f aca="false">IF(L81="","",IF(ABS(L81)&lt;=1.96*O81,"Yes","No"))</f>
        <v>Yes</v>
      </c>
      <c r="T81" s="59" t="n">
        <f aca="false">IF(D81="","",ROUND(SQRT(((D81+G81)*O81/100)^2+(J81*(D81+G81)*0.07067)^2),0))</f>
        <v>16</v>
      </c>
      <c r="U81" s="32"/>
    </row>
    <row r="82" customFormat="false" ht="15" hidden="false" customHeight="false" outlineLevel="0" collapsed="false">
      <c r="A82" s="32" t="s">
        <v>220</v>
      </c>
      <c r="B82" s="32" t="s">
        <v>248</v>
      </c>
      <c r="C82" s="32" t="s">
        <v>161</v>
      </c>
      <c r="D82" s="59" t="n">
        <v>219</v>
      </c>
      <c r="E82" s="59" t="n">
        <v>192</v>
      </c>
      <c r="F82" s="68" t="n">
        <f aca="false">IF(E82="","",D82-E82)</f>
        <v>27</v>
      </c>
      <c r="G82" s="59" t="n">
        <v>259</v>
      </c>
      <c r="H82" s="59" t="n">
        <v>253</v>
      </c>
      <c r="I82" s="68" t="n">
        <f aca="false">IF(H82="","",G82-H82)</f>
        <v>6</v>
      </c>
      <c r="J82" s="40" t="n">
        <f aca="false">IF(OR(D82="",D82+G82=0),"",D82/(D82+G82))</f>
        <v>0.4581589958159</v>
      </c>
      <c r="K82" s="40" t="n">
        <f aca="false">IF(E82="","",E82/(E82+H82))</f>
        <v>0.431460674157303</v>
      </c>
      <c r="L82" s="69" t="n">
        <f aca="false">IF(OR(K82="",J82=""),"",(J82-K82)*100)</f>
        <v>2.66983216585962</v>
      </c>
      <c r="M82" s="36" t="n">
        <v>3.12234213093196</v>
      </c>
      <c r="N82" s="36" t="n">
        <v>1.05172822528353</v>
      </c>
      <c r="O82" s="36" t="n">
        <f aca="false">SQRT(M82^2+N82^2)</f>
        <v>3.29471586672519</v>
      </c>
      <c r="P82" s="40" t="n">
        <f aca="false">IF(J82="","",MAX(0,J82-1.96*O82/100))</f>
        <v>0.393582564828086</v>
      </c>
      <c r="Q82" s="40" t="n">
        <f aca="false">IF(J82="","",MIN(1,J82+1.96*O82/100))</f>
        <v>0.522735426803713</v>
      </c>
      <c r="R82" s="32" t="str">
        <f aca="false">IF(L82="","",IF(ABS(L82)&lt;=O82,"Yes","No"))</f>
        <v>Yes</v>
      </c>
      <c r="S82" s="32" t="str">
        <f aca="false">IF(L82="","",IF(ABS(L82)&lt;=1.96*O82,"Yes","No"))</f>
        <v>Yes</v>
      </c>
      <c r="T82" s="59" t="n">
        <f aca="false">IF(D82="","",ROUND(SQRT(((D82+G82)*O82/100)^2+(J82*(D82+G82)*0.07067)^2),0))</f>
        <v>22</v>
      </c>
      <c r="U82" s="32"/>
    </row>
    <row r="83" customFormat="false" ht="15" hidden="false" customHeight="false" outlineLevel="0" collapsed="false">
      <c r="A83" s="32" t="s">
        <v>220</v>
      </c>
      <c r="B83" s="32" t="s">
        <v>249</v>
      </c>
      <c r="C83" s="32" t="s">
        <v>161</v>
      </c>
      <c r="D83" s="59" t="n">
        <v>959</v>
      </c>
      <c r="E83" s="59" t="n">
        <v>967</v>
      </c>
      <c r="F83" s="68" t="n">
        <f aca="false">IF(E83="","",D83-E83)</f>
        <v>-8</v>
      </c>
      <c r="G83" s="59" t="n">
        <v>1978</v>
      </c>
      <c r="H83" s="59" t="n">
        <v>1709</v>
      </c>
      <c r="I83" s="68" t="n">
        <f aca="false">IF(H83="","",G83-H83)</f>
        <v>269</v>
      </c>
      <c r="J83" s="40" t="n">
        <f aca="false">IF(OR(D83="",D83+G83=0),"",D83/(D83+G83))</f>
        <v>0.326523663602315</v>
      </c>
      <c r="K83" s="40" t="n">
        <f aca="false">IF(E83="","",E83/(E83+H83))</f>
        <v>0.36136023916293</v>
      </c>
      <c r="L83" s="69" t="n">
        <f aca="false">IF(OR(K83="",J83=""),"",(J83-K83)*100)</f>
        <v>-3.48365755606145</v>
      </c>
      <c r="M83" s="36" t="n">
        <v>1.49093417024967</v>
      </c>
      <c r="N83" s="36" t="n">
        <v>1.05172822528353</v>
      </c>
      <c r="O83" s="36" t="n">
        <f aca="false">SQRT(M83^2+N83^2)</f>
        <v>1.82455938787317</v>
      </c>
      <c r="P83" s="40" t="n">
        <f aca="false">IF(J83="","",MAX(0,J83-1.96*O83/100))</f>
        <v>0.290762299600001</v>
      </c>
      <c r="Q83" s="40" t="n">
        <f aca="false">IF(J83="","",MIN(1,J83+1.96*O83/100))</f>
        <v>0.362285027604629</v>
      </c>
      <c r="R83" s="32" t="str">
        <f aca="false">IF(L83="","",IF(ABS(L83)&lt;=O83,"Yes","No"))</f>
        <v>No</v>
      </c>
      <c r="S83" s="32" t="str">
        <f aca="false">IF(L83="","",IF(ABS(L83)&lt;=1.96*O83,"Yes","No"))</f>
        <v>Yes</v>
      </c>
      <c r="T83" s="59" t="n">
        <f aca="false">IF(D83="","",ROUND(SQRT(((D83+G83)*O83/100)^2+(J83*(D83+G83)*0.04632)^2),0))</f>
        <v>70</v>
      </c>
      <c r="U83" s="32"/>
    </row>
    <row r="84" customFormat="false" ht="15" hidden="false" customHeight="false" outlineLevel="0" collapsed="false">
      <c r="A84" s="32" t="s">
        <v>220</v>
      </c>
      <c r="B84" s="32" t="s">
        <v>250</v>
      </c>
      <c r="C84" s="32" t="s">
        <v>161</v>
      </c>
      <c r="D84" s="59" t="n">
        <v>1400</v>
      </c>
      <c r="E84" s="59" t="n">
        <v>1261</v>
      </c>
      <c r="F84" s="68" t="n">
        <f aca="false">IF(E84="","",D84-E84)</f>
        <v>139</v>
      </c>
      <c r="G84" s="59" t="n">
        <v>1464</v>
      </c>
      <c r="H84" s="59" t="n">
        <v>1262</v>
      </c>
      <c r="I84" s="68" t="n">
        <f aca="false">IF(H84="","",G84-H84)</f>
        <v>202</v>
      </c>
      <c r="J84" s="40" t="n">
        <f aca="false">IF(OR(D84="",D84+G84=0),"",D84/(D84+G84))</f>
        <v>0.488826815642458</v>
      </c>
      <c r="K84" s="40" t="n">
        <f aca="false">IF(E84="","",E84/(E84+H84))</f>
        <v>0.499801823226318</v>
      </c>
      <c r="L84" s="69" t="n">
        <f aca="false">IF(OR(K84="",J84=""),"",(J84-K84)*100)</f>
        <v>-1.09750075838598</v>
      </c>
      <c r="M84" s="36" t="n">
        <v>1.49093417024967</v>
      </c>
      <c r="N84" s="36" t="n">
        <v>1.05172822528353</v>
      </c>
      <c r="O84" s="36" t="n">
        <f aca="false">SQRT(M84^2+N84^2)</f>
        <v>1.82455938787317</v>
      </c>
      <c r="P84" s="40" t="n">
        <f aca="false">IF(J84="","",MAX(0,J84-1.96*O84/100))</f>
        <v>0.453065451640144</v>
      </c>
      <c r="Q84" s="40" t="n">
        <f aca="false">IF(J84="","",MIN(1,J84+1.96*O84/100))</f>
        <v>0.524588179644772</v>
      </c>
      <c r="R84" s="32" t="str">
        <f aca="false">IF(L84="","",IF(ABS(L84)&lt;=O84,"Yes","No"))</f>
        <v>Yes</v>
      </c>
      <c r="S84" s="32" t="str">
        <f aca="false">IF(L84="","",IF(ABS(L84)&lt;=1.96*O84,"Yes","No"))</f>
        <v>Yes</v>
      </c>
      <c r="T84" s="59" t="n">
        <f aca="false">IF(D84="","",ROUND(SQRT(((D84+G84)*O84/100)^2+(J84*(D84+G84)*0.04632)^2),0))</f>
        <v>83</v>
      </c>
      <c r="U84" s="32"/>
    </row>
    <row r="85" customFormat="false" ht="15" hidden="false" customHeight="false" outlineLevel="0" collapsed="false">
      <c r="A85" s="32" t="s">
        <v>220</v>
      </c>
      <c r="B85" s="32" t="s">
        <v>251</v>
      </c>
      <c r="C85" s="32" t="s">
        <v>161</v>
      </c>
      <c r="D85" s="59" t="n">
        <v>269</v>
      </c>
      <c r="E85" s="59" t="n">
        <v>250</v>
      </c>
      <c r="F85" s="68" t="n">
        <f aca="false">IF(E85="","",D85-E85)</f>
        <v>19</v>
      </c>
      <c r="G85" s="59" t="n">
        <v>377</v>
      </c>
      <c r="H85" s="59" t="n">
        <v>344</v>
      </c>
      <c r="I85" s="68" t="n">
        <f aca="false">IF(H85="","",G85-H85)</f>
        <v>33</v>
      </c>
      <c r="J85" s="40" t="n">
        <f aca="false">IF(OR(D85="",D85+G85=0),"",D85/(D85+G85))</f>
        <v>0.41640866873065</v>
      </c>
      <c r="K85" s="40" t="n">
        <f aca="false">IF(E85="","",E85/(E85+H85))</f>
        <v>0.420875420875421</v>
      </c>
      <c r="L85" s="69" t="n">
        <f aca="false">IF(OR(K85="",J85=""),"",(J85-K85)*100)</f>
        <v>-0.446675214477077</v>
      </c>
      <c r="M85" s="36" t="n">
        <v>3.12234213093196</v>
      </c>
      <c r="N85" s="36" t="n">
        <v>1.05172822528353</v>
      </c>
      <c r="O85" s="36" t="n">
        <f aca="false">SQRT(M85^2+N85^2)</f>
        <v>3.29471586672519</v>
      </c>
      <c r="P85" s="40" t="n">
        <f aca="false">IF(J85="","",MAX(0,J85-1.96*O85/100))</f>
        <v>0.351832237742836</v>
      </c>
      <c r="Q85" s="40" t="n">
        <f aca="false">IF(J85="","",MIN(1,J85+1.96*O85/100))</f>
        <v>0.480985099718464</v>
      </c>
      <c r="R85" s="32" t="str">
        <f aca="false">IF(L85="","",IF(ABS(L85)&lt;=O85,"Yes","No"))</f>
        <v>Yes</v>
      </c>
      <c r="S85" s="32" t="str">
        <f aca="false">IF(L85="","",IF(ABS(L85)&lt;=1.96*O85,"Yes","No"))</f>
        <v>Yes</v>
      </c>
      <c r="T85" s="59" t="n">
        <f aca="false">IF(D85="","",ROUND(SQRT(((D85+G85)*O85/100)^2+(J85*(D85+G85)*0.07067)^2),0))</f>
        <v>29</v>
      </c>
      <c r="U85" s="32"/>
    </row>
    <row r="86" customFormat="false" ht="15" hidden="false" customHeight="false" outlineLevel="0" collapsed="false">
      <c r="A86" s="32" t="s">
        <v>220</v>
      </c>
      <c r="B86" s="32" t="s">
        <v>212</v>
      </c>
      <c r="C86" s="32" t="s">
        <v>161</v>
      </c>
      <c r="D86" s="59" t="n">
        <v>777</v>
      </c>
      <c r="E86" s="59" t="n">
        <v>724</v>
      </c>
      <c r="F86" s="68" t="n">
        <f aca="false">IF(E86="","",D86-E86)</f>
        <v>53</v>
      </c>
      <c r="G86" s="59" t="n">
        <v>1390</v>
      </c>
      <c r="H86" s="59" t="n">
        <v>1138</v>
      </c>
      <c r="I86" s="68" t="n">
        <f aca="false">IF(H86="","",G86-H86)</f>
        <v>252</v>
      </c>
      <c r="J86" s="40" t="n">
        <f aca="false">IF(OR(D86="",D86+G86=0),"",D86/(D86+G86))</f>
        <v>0.358560221504384</v>
      </c>
      <c r="K86" s="40" t="n">
        <f aca="false">IF(E86="","",E86/(E86+H86))</f>
        <v>0.388829215896885</v>
      </c>
      <c r="L86" s="69" t="n">
        <f aca="false">IF(OR(K86="",J86=""),"",(J86-K86)*100)</f>
        <v>-3.02689943925011</v>
      </c>
      <c r="M86" s="36" t="n">
        <v>2.04164931371995</v>
      </c>
      <c r="N86" s="36" t="n">
        <v>1.05172822528353</v>
      </c>
      <c r="O86" s="36" t="n">
        <f aca="false">SQRT(M86^2+N86^2)</f>
        <v>2.29662016451811</v>
      </c>
      <c r="P86" s="40" t="n">
        <f aca="false">IF(J86="","",MAX(0,J86-1.96*O86/100))</f>
        <v>0.313546466279829</v>
      </c>
      <c r="Q86" s="40" t="n">
        <f aca="false">IF(J86="","",MIN(1,J86+1.96*O86/100))</f>
        <v>0.403573976728939</v>
      </c>
      <c r="R86" s="32" t="str">
        <f aca="false">IF(L86="","",IF(ABS(L86)&lt;=O86,"Yes","No"))</f>
        <v>No</v>
      </c>
      <c r="S86" s="32" t="str">
        <f aca="false">IF(L86="","",IF(ABS(L86)&lt;=1.96*O86,"Yes","No"))</f>
        <v>Yes</v>
      </c>
      <c r="T86" s="59" t="n">
        <f aca="false">IF(D86="","",ROUND(SQRT(((D86+G86)*O86/100)^2+(J86*(D86+G86)*0.05402)^2),0))</f>
        <v>65</v>
      </c>
      <c r="U86" s="32"/>
    </row>
    <row r="87" customFormat="false" ht="15" hidden="false" customHeight="false" outlineLevel="0" collapsed="false">
      <c r="A87" s="32" t="s">
        <v>220</v>
      </c>
      <c r="B87" s="32" t="s">
        <v>252</v>
      </c>
      <c r="C87" s="32" t="s">
        <v>161</v>
      </c>
      <c r="D87" s="59" t="n">
        <v>179</v>
      </c>
      <c r="E87" s="59" t="n">
        <v>190</v>
      </c>
      <c r="F87" s="68" t="n">
        <f aca="false">IF(E87="","",D87-E87)</f>
        <v>-11</v>
      </c>
      <c r="G87" s="59" t="n">
        <v>221</v>
      </c>
      <c r="H87" s="59" t="n">
        <v>165</v>
      </c>
      <c r="I87" s="68" t="n">
        <f aca="false">IF(H87="","",G87-H87)</f>
        <v>56</v>
      </c>
      <c r="J87" s="40" t="n">
        <f aca="false">IF(OR(D87="",D87+G87=0),"",D87/(D87+G87))</f>
        <v>0.4475</v>
      </c>
      <c r="K87" s="40" t="n">
        <f aca="false">IF(E87="","",E87/(E87+H87))</f>
        <v>0.535211267605634</v>
      </c>
      <c r="L87" s="69" t="n">
        <f aca="false">IF(OR(K87="",J87=""),"",(J87-K87)*100)</f>
        <v>-8.77112676056338</v>
      </c>
      <c r="M87" s="36" t="n">
        <v>3.12234213093196</v>
      </c>
      <c r="N87" s="36" t="n">
        <v>1.05172822528353</v>
      </c>
      <c r="O87" s="36" t="n">
        <f aca="false">SQRT(M87^2+N87^2)</f>
        <v>3.29471586672519</v>
      </c>
      <c r="P87" s="40" t="n">
        <f aca="false">IF(J87="","",MAX(0,J87-1.96*O87/100))</f>
        <v>0.382923569012186</v>
      </c>
      <c r="Q87" s="40" t="n">
        <f aca="false">IF(J87="","",MIN(1,J87+1.96*O87/100))</f>
        <v>0.512076430987814</v>
      </c>
      <c r="R87" s="32" t="str">
        <f aca="false">IF(L87="","",IF(ABS(L87)&lt;=O87,"Yes","No"))</f>
        <v>No</v>
      </c>
      <c r="S87" s="32" t="str">
        <f aca="false">IF(L87="","",IF(ABS(L87)&lt;=1.96*O87,"Yes","No"))</f>
        <v>No</v>
      </c>
      <c r="T87" s="59" t="n">
        <f aca="false">IF(D87="","",ROUND(SQRT(((D87+G87)*O87/100)^2+(J87*(D87+G87)*0.07067)^2),0))</f>
        <v>18</v>
      </c>
      <c r="U87" s="32"/>
    </row>
    <row r="88" customFormat="false" ht="15" hidden="false" customHeight="false" outlineLevel="0" collapsed="false">
      <c r="A88" s="32" t="s">
        <v>220</v>
      </c>
      <c r="B88" s="32" t="s">
        <v>253</v>
      </c>
      <c r="C88" s="32" t="s">
        <v>161</v>
      </c>
      <c r="D88" s="59" t="n">
        <v>1333</v>
      </c>
      <c r="E88" s="59" t="n">
        <v>1296</v>
      </c>
      <c r="F88" s="68" t="n">
        <f aca="false">IF(E88="","",D88-E88)</f>
        <v>37</v>
      </c>
      <c r="G88" s="59" t="n">
        <v>1743</v>
      </c>
      <c r="H88" s="59" t="n">
        <v>1534</v>
      </c>
      <c r="I88" s="68" t="n">
        <f aca="false">IF(H88="","",G88-H88)</f>
        <v>209</v>
      </c>
      <c r="J88" s="40" t="n">
        <f aca="false">IF(OR(D88="",D88+G88=0),"",D88/(D88+G88))</f>
        <v>0.433355006501951</v>
      </c>
      <c r="K88" s="40" t="n">
        <f aca="false">IF(E88="","",E88/(E88+H88))</f>
        <v>0.457950530035336</v>
      </c>
      <c r="L88" s="69" t="n">
        <f aca="false">IF(OR(K88="",J88=""),"",(J88-K88)*100)</f>
        <v>-2.45955235333851</v>
      </c>
      <c r="M88" s="36" t="n">
        <v>1.49093417024967</v>
      </c>
      <c r="N88" s="36" t="n">
        <v>1.05172822528353</v>
      </c>
      <c r="O88" s="36" t="n">
        <f aca="false">SQRT(M88^2+N88^2)</f>
        <v>1.82455938787317</v>
      </c>
      <c r="P88" s="40" t="n">
        <f aca="false">IF(J88="","",MAX(0,J88-1.96*O88/100))</f>
        <v>0.397593642499636</v>
      </c>
      <c r="Q88" s="40" t="n">
        <f aca="false">IF(J88="","",MIN(1,J88+1.96*O88/100))</f>
        <v>0.469116370504265</v>
      </c>
      <c r="R88" s="32" t="str">
        <f aca="false">IF(L88="","",IF(ABS(L88)&lt;=O88,"Yes","No"))</f>
        <v>No</v>
      </c>
      <c r="S88" s="32" t="str">
        <f aca="false">IF(L88="","",IF(ABS(L88)&lt;=1.96*O88,"Yes","No"))</f>
        <v>Yes</v>
      </c>
      <c r="T88" s="59" t="n">
        <f aca="false">IF(D88="","",ROUND(SQRT(((D88+G88)*O88/100)^2+(J88*(D88+G88)*0.04632)^2),0))</f>
        <v>83</v>
      </c>
      <c r="U88" s="32"/>
    </row>
    <row r="89" customFormat="false" ht="15" hidden="false" customHeight="false" outlineLevel="0" collapsed="false">
      <c r="A89" s="32" t="s">
        <v>220</v>
      </c>
      <c r="B89" s="32" t="s">
        <v>254</v>
      </c>
      <c r="C89" s="32" t="s">
        <v>161</v>
      </c>
      <c r="D89" s="59" t="n">
        <v>1358</v>
      </c>
      <c r="E89" s="59" t="n">
        <v>1247</v>
      </c>
      <c r="F89" s="68" t="n">
        <f aca="false">IF(E89="","",D89-E89)</f>
        <v>111</v>
      </c>
      <c r="G89" s="59" t="n">
        <v>859</v>
      </c>
      <c r="H89" s="59" t="n">
        <v>810</v>
      </c>
      <c r="I89" s="68" t="n">
        <f aca="false">IF(H89="","",G89-H89)</f>
        <v>49</v>
      </c>
      <c r="J89" s="40" t="n">
        <f aca="false">IF(OR(D89="",D89+G89=0),"",D89/(D89+G89))</f>
        <v>0.612539467749211</v>
      </c>
      <c r="K89" s="40" t="n">
        <f aca="false">IF(E89="","",E89/(E89+H89))</f>
        <v>0.606222654350997</v>
      </c>
      <c r="L89" s="69" t="n">
        <f aca="false">IF(OR(K89="",J89=""),"",(J89-K89)*100)</f>
        <v>0.631681339821399</v>
      </c>
      <c r="M89" s="36" t="n">
        <v>2.04164931371995</v>
      </c>
      <c r="N89" s="36" t="n">
        <v>1.05172822528353</v>
      </c>
      <c r="O89" s="36" t="n">
        <f aca="false">SQRT(M89^2+N89^2)</f>
        <v>2.29662016451811</v>
      </c>
      <c r="P89" s="40" t="n">
        <f aca="false">IF(J89="","",MAX(0,J89-1.96*O89/100))</f>
        <v>0.567525712524656</v>
      </c>
      <c r="Q89" s="40" t="n">
        <f aca="false">IF(J89="","",MIN(1,J89+1.96*O89/100))</f>
        <v>0.657553222973766</v>
      </c>
      <c r="R89" s="32" t="str">
        <f aca="false">IF(L89="","",IF(ABS(L89)&lt;=O89,"Yes","No"))</f>
        <v>Yes</v>
      </c>
      <c r="S89" s="32" t="str">
        <f aca="false">IF(L89="","",IF(ABS(L89)&lt;=1.96*O89,"Yes","No"))</f>
        <v>Yes</v>
      </c>
      <c r="T89" s="59" t="n">
        <f aca="false">IF(D89="","",ROUND(SQRT(((D89+G89)*O89/100)^2+(J89*(D89+G89)*0.05402)^2),0))</f>
        <v>89</v>
      </c>
      <c r="U89" s="32"/>
    </row>
    <row r="90" customFormat="false" ht="15" hidden="false" customHeight="false" outlineLevel="0" collapsed="false">
      <c r="A90" s="32" t="s">
        <v>220</v>
      </c>
      <c r="B90" s="32" t="s">
        <v>255</v>
      </c>
      <c r="C90" s="32" t="s">
        <v>161</v>
      </c>
      <c r="D90" s="59" t="n">
        <v>422</v>
      </c>
      <c r="E90" s="59" t="n">
        <v>362</v>
      </c>
      <c r="F90" s="68" t="n">
        <f aca="false">IF(E90="","",D90-E90)</f>
        <v>60</v>
      </c>
      <c r="G90" s="59" t="n">
        <v>482</v>
      </c>
      <c r="H90" s="59" t="n">
        <v>437</v>
      </c>
      <c r="I90" s="68" t="n">
        <f aca="false">IF(H90="","",G90-H90)</f>
        <v>45</v>
      </c>
      <c r="J90" s="40" t="n">
        <f aca="false">IF(OR(D90="",D90+G90=0),"",D90/(D90+G90))</f>
        <v>0.466814159292035</v>
      </c>
      <c r="K90" s="40" t="n">
        <f aca="false">IF(E90="","",E90/(E90+H90))</f>
        <v>0.453066332916145</v>
      </c>
      <c r="L90" s="69" t="n">
        <f aca="false">IF(OR(K90="",J90=""),"",(J90-K90)*100)</f>
        <v>1.37478263758902</v>
      </c>
      <c r="M90" s="36" t="n">
        <v>3.12234213093196</v>
      </c>
      <c r="N90" s="36" t="n">
        <v>1.05172822528353</v>
      </c>
      <c r="O90" s="36" t="n">
        <f aca="false">SQRT(M90^2+N90^2)</f>
        <v>3.29471586672519</v>
      </c>
      <c r="P90" s="40" t="n">
        <f aca="false">IF(J90="","",MAX(0,J90-1.96*O90/100))</f>
        <v>0.402237728304222</v>
      </c>
      <c r="Q90" s="40" t="n">
        <f aca="false">IF(J90="","",MIN(1,J90+1.96*O90/100))</f>
        <v>0.531390590279849</v>
      </c>
      <c r="R90" s="32" t="str">
        <f aca="false">IF(L90="","",IF(ABS(L90)&lt;=O90,"Yes","No"))</f>
        <v>Yes</v>
      </c>
      <c r="S90" s="32" t="str">
        <f aca="false">IF(L90="","",IF(ABS(L90)&lt;=1.96*O90,"Yes","No"))</f>
        <v>Yes</v>
      </c>
      <c r="T90" s="59" t="n">
        <f aca="false">IF(D90="","",ROUND(SQRT(((D90+G90)*O90/100)^2+(J90*(D90+G90)*0.07067)^2),0))</f>
        <v>42</v>
      </c>
      <c r="U90" s="32"/>
    </row>
    <row r="92" customFormat="false" ht="15" hidden="false" customHeight="false" outlineLevel="0" collapsed="false">
      <c r="A92" s="20" t="s">
        <v>383</v>
      </c>
      <c r="B92" s="70"/>
      <c r="C92" s="70"/>
      <c r="D92" s="71" t="n">
        <f aca="false">SUMIF(E2:E90,"&lt;&gt;",D2:D90)</f>
        <v>143809</v>
      </c>
      <c r="E92" s="71" t="n">
        <f aca="false">SUM(E2:E90)</f>
        <v>139992</v>
      </c>
      <c r="F92" s="72" t="n">
        <f aca="false">D92-E92</f>
        <v>3817</v>
      </c>
      <c r="G92" s="71" t="n">
        <f aca="false">SUMIF(H2:H90,"&lt;&gt;",G2:G90)</f>
        <v>134946</v>
      </c>
      <c r="H92" s="71" t="n">
        <f aca="false">SUM(H2:H90)</f>
        <v>122296</v>
      </c>
      <c r="I92" s="72" t="n">
        <f aca="false">G92-H92</f>
        <v>12650</v>
      </c>
      <c r="J92" s="73" t="n">
        <f aca="false">D92/(D92+G92)</f>
        <v>0.515897472691073</v>
      </c>
      <c r="K92" s="73" t="n">
        <f aca="false">E92/(E92+H92)</f>
        <v>0.533733910815592</v>
      </c>
      <c r="L92" s="74" t="n">
        <f aca="false">(J92-K92)*100</f>
        <v>-1.78364381245193</v>
      </c>
      <c r="M92" s="75" t="n">
        <v>0</v>
      </c>
      <c r="N92" s="75" t="n">
        <v>1.05172822528353</v>
      </c>
      <c r="O92" s="75" t="n">
        <f aca="false">SQRT(M92^2+N92^2)</f>
        <v>1.05172822528353</v>
      </c>
      <c r="P92" s="73" t="n">
        <f aca="false">J92-1.96*O92/100</f>
        <v>0.495283599475516</v>
      </c>
      <c r="Q92" s="73" t="n">
        <f aca="false">J92+1.96*O92/100</f>
        <v>0.53651134590663</v>
      </c>
      <c r="R92" s="70" t="str">
        <f aca="false">IF(ABS(L92)&lt;=O92,"Yes","No")</f>
        <v>No</v>
      </c>
      <c r="S92" s="70" t="str">
        <f aca="false">IF(ABS(L92)&lt;=1.96*O92,"Yes","No")</f>
        <v>Yes</v>
      </c>
      <c r="T92" s="71" t="n">
        <f aca="false">ROUND(SQRT(((D92+G92)*O92/100)^2+(J92*(D92+G92)*0.035)^2),0)</f>
        <v>5825</v>
      </c>
    </row>
    <row r="93" customFormat="false" ht="15" hidden="false" customHeight="false" outlineLevel="0" collapsed="false">
      <c r="A93" s="20" t="s">
        <v>384</v>
      </c>
      <c r="B93" s="70"/>
      <c r="C93" s="70"/>
      <c r="D93" s="71" t="n">
        <f aca="false">SUM(D2:D90)</f>
        <v>143809</v>
      </c>
      <c r="E93" s="71"/>
      <c r="F93" s="72"/>
      <c r="G93" s="71" t="n">
        <f aca="false">SUM(G2:G90)</f>
        <v>134946</v>
      </c>
      <c r="H93" s="71"/>
      <c r="I93" s="72"/>
      <c r="J93" s="73" t="n">
        <f aca="false">D93/(D93+G93)</f>
        <v>0.515897472691073</v>
      </c>
      <c r="K93" s="73"/>
      <c r="L93" s="74"/>
      <c r="M93" s="75"/>
      <c r="N93" s="75"/>
      <c r="O93" s="75"/>
      <c r="P93" s="73"/>
      <c r="Q93" s="73"/>
      <c r="R93" s="70"/>
      <c r="S93" s="70"/>
      <c r="T93" s="71"/>
    </row>
    <row r="95" customFormat="false" ht="15" hidden="false" customHeight="false" outlineLevel="0" collapsed="false">
      <c r="A95" s="2" t="s">
        <v>385</v>
      </c>
      <c r="F95" s="76" t="n">
        <f aca="false">(SUMIF(F2:F90,"&gt;0")-SUMIF(F2:F90,"&lt;0"))/COUNT(F2:F90)</f>
        <v>105.584269662921</v>
      </c>
    </row>
    <row r="96" customFormat="false" ht="15" hidden="false" customHeight="false" outlineLevel="0" collapsed="false">
      <c r="A96" s="2" t="s">
        <v>386</v>
      </c>
      <c r="F96" s="76" t="n">
        <f aca="false">(SUMIF(I2:I90,"&gt;0")-SUMIF(I2:I90,"&lt;0"))/COUNT(I2:I90)</f>
        <v>148.022471910112</v>
      </c>
    </row>
    <row r="97" customFormat="false" ht="15" hidden="false" customHeight="false" outlineLevel="0" collapsed="false">
      <c r="A97" s="2" t="s">
        <v>387</v>
      </c>
      <c r="F97" s="77" t="n">
        <f aca="false">(SUMIF(L2:L90,"&gt;0")-SUMIF(L2:L90,"&lt;0"))/COUNT(L2:L90)</f>
        <v>3.29491156298243</v>
      </c>
    </row>
    <row r="98" customFormat="false" ht="15" hidden="false" customHeight="false" outlineLevel="0" collapsed="false">
      <c r="A98" s="5" t="s">
        <v>388</v>
      </c>
      <c r="F98" s="78" t="n">
        <f aca="false">SQRT(SUMSQ(L2:L90)/COUNT(L2:L90))</f>
        <v>4.27083815948522</v>
      </c>
    </row>
    <row r="99" customFormat="false" ht="15" hidden="false" customHeight="false" outlineLevel="0" collapsed="false">
      <c r="A99" s="5" t="s">
        <v>389</v>
      </c>
      <c r="F99" s="79" t="n">
        <f aca="false">L92</f>
        <v>-1.78364381245193</v>
      </c>
    </row>
    <row r="100" customFormat="false" ht="15" hidden="false" customHeight="false" outlineLevel="0" collapsed="false">
      <c r="A100" s="5" t="s">
        <v>390</v>
      </c>
      <c r="F100" s="78" t="n">
        <f aca="false">SQRT((SUMSQ(L2:L90)-2*L92*SUM(L2:L90)+COUNT(L2:L90)*L92^2)/COUNT(L2:L90))</f>
        <v>3.4892275154877</v>
      </c>
    </row>
    <row r="101" customFormat="false" ht="15" hidden="false" customHeight="false" outlineLevel="0" collapsed="false">
      <c r="A101" s="2" t="s">
        <v>391</v>
      </c>
      <c r="F101" s="80" t="n">
        <f aca="false">D92/E92-1</f>
        <v>0.0272658437625006</v>
      </c>
    </row>
    <row r="102" customFormat="false" ht="15" hidden="false" customHeight="false" outlineLevel="0" collapsed="false">
      <c r="A102" s="5" t="s">
        <v>392</v>
      </c>
      <c r="F102" s="81" t="n">
        <f aca="false">G92/H92-1</f>
        <v>0.103437561326617</v>
      </c>
    </row>
    <row r="103" customFormat="false" ht="15" hidden="false" customHeight="false" outlineLevel="0" collapsed="false">
      <c r="A103" s="2" t="s">
        <v>393</v>
      </c>
      <c r="F103" s="80" t="n">
        <f aca="false">(D92+G92)/(E92+H92)-1</f>
        <v>0.0627821326175806</v>
      </c>
    </row>
    <row r="104" customFormat="false" ht="15" hidden="false" customHeight="false" outlineLevel="0" collapsed="false">
      <c r="A104" s="2" t="s">
        <v>394</v>
      </c>
      <c r="F104" s="77" t="n">
        <f aca="false">AVERAGE(O2:O90)</f>
        <v>2.47393530796602</v>
      </c>
    </row>
    <row r="105" customFormat="false" ht="15" hidden="false" customHeight="false" outlineLevel="0" collapsed="false">
      <c r="A105" s="5" t="s">
        <v>395</v>
      </c>
      <c r="F105" s="82" t="n">
        <f aca="false">COUNTIF(R2:R90,"Yes")/(COUNTIF(R2:R90,"Yes")+COUNTIF(R2:R90,"No"))</f>
        <v>0.471910112359551</v>
      </c>
    </row>
    <row r="106" customFormat="false" ht="15" hidden="false" customHeight="false" outlineLevel="0" collapsed="false">
      <c r="A106" s="5" t="s">
        <v>396</v>
      </c>
      <c r="F106" s="82" t="n">
        <f aca="false">COUNTIF(S2:S90,"Yes")/(COUNTIF(S2:S90,"Yes")+COUNTIF(S2:S90,"No"))</f>
        <v>0.741573033707865</v>
      </c>
    </row>
    <row r="107" customFormat="false" ht="15" hidden="false" customHeight="false" outlineLevel="0" collapsed="false">
      <c r="A107" s="2" t="s">
        <v>397</v>
      </c>
      <c r="F107" s="83" t="n">
        <f aca="false">COUNTIFS(L2:L90,"&gt;=-3",L2:L90,"&lt;=3")/COUNT(L2:L90)</f>
        <v>0.550561797752809</v>
      </c>
    </row>
    <row r="108" customFormat="false" ht="15" hidden="false" customHeight="false" outlineLevel="0" collapsed="false">
      <c r="A108" s="2" t="s">
        <v>448</v>
      </c>
      <c r="F108" s="84" t="n">
        <f aca="false">COUNT(E2:E90)</f>
        <v>89</v>
      </c>
    </row>
    <row r="109" customFormat="false" ht="15" hidden="false" customHeight="false" outlineLevel="0" collapsed="false">
      <c r="A109" s="2" t="s">
        <v>399</v>
      </c>
      <c r="F109" s="84" t="n">
        <f aca="false">COUNTA(A2:A90)</f>
        <v>89</v>
      </c>
    </row>
    <row r="110" customFormat="false" ht="15" hidden="false" customHeight="false" outlineLevel="0" collapsed="false">
      <c r="A110" s="5" t="s">
        <v>400</v>
      </c>
    </row>
    <row r="111" customFormat="false" ht="15" hidden="false" customHeight="false" outlineLevel="0" collapsed="false">
      <c r="A111" s="2" t="s">
        <v>401</v>
      </c>
      <c r="F111" s="85" t="n">
        <f aca="false">((D92+G92)-(E92+H92))*K92</f>
        <v>8788.99630940035</v>
      </c>
    </row>
    <row r="112" customFormat="false" ht="15" hidden="false" customHeight="false" outlineLevel="0" collapsed="false">
      <c r="A112" s="2" t="s">
        <v>402</v>
      </c>
      <c r="F112" s="85" t="n">
        <f aca="false">F92-((D92+G92)-(E92+H92))*K92</f>
        <v>-4971.99630940035</v>
      </c>
    </row>
    <row r="113" customFormat="false" ht="15" hidden="false" customHeight="false" outlineLevel="0" collapsed="false">
      <c r="A113" s="2" t="s">
        <v>403</v>
      </c>
      <c r="F113" s="85" t="n">
        <f aca="false">((D92+G92)-(E92+H92))*(1-K92)</f>
        <v>7678.00369059965</v>
      </c>
    </row>
    <row r="114" customFormat="false" ht="15" hidden="false" customHeight="false" outlineLevel="0" collapsed="false">
      <c r="A114" s="2" t="s">
        <v>404</v>
      </c>
      <c r="F114" s="85" t="n">
        <f aca="false">I92-((D92+G92)-(E92+H92))*(1-K92)</f>
        <v>4971.99630940035</v>
      </c>
    </row>
    <row r="115" customFormat="false" ht="15" hidden="false" customHeight="false" outlineLevel="0" collapsed="false">
      <c r="A115" s="2" t="s">
        <v>405</v>
      </c>
      <c r="F115" s="80" t="n">
        <f aca="false">(F92-((D92+G92)-(E92+H92))*K92)/E92</f>
        <v>-0.03551628885508</v>
      </c>
    </row>
    <row r="116" customFormat="false" ht="15" hidden="false" customHeight="false" outlineLevel="0" collapsed="false">
      <c r="A116" s="2" t="s">
        <v>406</v>
      </c>
      <c r="F116" s="80" t="n">
        <f aca="false">(I92-((D92+G92)-(E92+H92))*(1-K92))/H92</f>
        <v>0.0406554287090367</v>
      </c>
    </row>
    <row r="118" customFormat="false" ht="15" hidden="false" customHeight="false" outlineLevel="0" collapsed="false">
      <c r="U118" s="5" t="s">
        <v>136</v>
      </c>
    </row>
    <row r="119" customFormat="false" ht="41.75" hidden="false" customHeight="false" outlineLevel="0" collapsed="false">
      <c r="U119" s="67" t="s">
        <v>449</v>
      </c>
    </row>
    <row r="120" customFormat="false" ht="41.75" hidden="false" customHeight="false" outlineLevel="0" collapsed="false">
      <c r="U120" s="67" t="s">
        <v>450</v>
      </c>
    </row>
    <row r="121" customFormat="false" ht="41.75" hidden="false" customHeight="false" outlineLevel="0" collapsed="false">
      <c r="U121" s="67" t="s">
        <v>417</v>
      </c>
    </row>
    <row r="122" customFormat="false" ht="28.35" hidden="false" customHeight="false" outlineLevel="0" collapsed="false">
      <c r="U122" s="67" t="s">
        <v>452</v>
      </c>
    </row>
    <row r="123" customFormat="false" ht="41.75" hidden="false" customHeight="false" outlineLevel="0" collapsed="false">
      <c r="U123" s="67" t="s">
        <v>453</v>
      </c>
    </row>
    <row r="124" customFormat="false" ht="28.35" hidden="false" customHeight="false" outlineLevel="0" collapsed="false">
      <c r="U124" s="67" t="s">
        <v>454</v>
      </c>
    </row>
    <row r="125" customFormat="false" ht="28.35" hidden="false" customHeight="false" outlineLevel="0" collapsed="false">
      <c r="U125" s="67" t="s">
        <v>413</v>
      </c>
    </row>
    <row r="126" customFormat="false" ht="41.75" hidden="false" customHeight="false" outlineLevel="0" collapsed="false">
      <c r="U126" s="67" t="s">
        <v>455</v>
      </c>
    </row>
    <row r="127" customFormat="false" ht="15" hidden="false" customHeight="false" outlineLevel="0" collapsed="false">
      <c r="U127" s="67" t="s">
        <v>456</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86" t="s">
        <v>458</v>
      </c>
    </row>
    <row r="2" customFormat="false" ht="82.05" hidden="false" customHeight="false" outlineLevel="0" collapsed="false">
      <c r="A2" s="67" t="s">
        <v>459</v>
      </c>
    </row>
    <row r="3" customFormat="false" ht="55.2" hidden="false" customHeight="false" outlineLevel="0" collapsed="false">
      <c r="A3" s="67" t="s">
        <v>460</v>
      </c>
    </row>
    <row r="4" customFormat="false" ht="15" hidden="false" customHeight="false" outlineLevel="0" collapsed="false">
      <c r="A4" s="67"/>
    </row>
    <row r="5" customFormat="false" ht="15" hidden="false" customHeight="false" outlineLevel="0" collapsed="false">
      <c r="A5" s="86" t="s">
        <v>461</v>
      </c>
    </row>
    <row r="6" customFormat="false" ht="28.35" hidden="false" customHeight="false" outlineLevel="0" collapsed="false">
      <c r="A6" s="67" t="s">
        <v>462</v>
      </c>
    </row>
    <row r="7" customFormat="false" ht="28.35" hidden="false" customHeight="false" outlineLevel="0" collapsed="false">
      <c r="A7" s="67" t="s">
        <v>463</v>
      </c>
    </row>
    <row r="8" customFormat="false" ht="28.35" hidden="false" customHeight="false" outlineLevel="0" collapsed="false">
      <c r="A8" s="67" t="s">
        <v>464</v>
      </c>
    </row>
    <row r="9" customFormat="false" ht="41.75" hidden="false" customHeight="false" outlineLevel="0" collapsed="false">
      <c r="A9" s="67" t="s">
        <v>465</v>
      </c>
    </row>
    <row r="10" customFormat="false" ht="28.35" hidden="false" customHeight="false" outlineLevel="0" collapsed="false">
      <c r="A10" s="67" t="s">
        <v>466</v>
      </c>
    </row>
    <row r="11" customFormat="false" ht="41.75" hidden="false" customHeight="false" outlineLevel="0" collapsed="false">
      <c r="A11" s="67" t="s">
        <v>467</v>
      </c>
    </row>
    <row r="12" customFormat="false" ht="15" hidden="false" customHeight="false" outlineLevel="0" collapsed="false">
      <c r="A12" s="67"/>
    </row>
    <row r="13" customFormat="false" ht="15" hidden="false" customHeight="false" outlineLevel="0" collapsed="false">
      <c r="A13" s="86" t="s">
        <v>468</v>
      </c>
    </row>
    <row r="14" customFormat="false" ht="41.75" hidden="false" customHeight="false" outlineLevel="0" collapsed="false">
      <c r="A14" s="67" t="s">
        <v>469</v>
      </c>
    </row>
    <row r="15" customFormat="false" ht="28.35" hidden="false" customHeight="false" outlineLevel="0" collapsed="false">
      <c r="A15" s="67" t="s">
        <v>470</v>
      </c>
    </row>
    <row r="16" customFormat="false" ht="15" hidden="false" customHeight="false" outlineLevel="0" collapsed="false">
      <c r="A16" s="67"/>
    </row>
    <row r="17" customFormat="false" ht="15" hidden="false" customHeight="false" outlineLevel="0" collapsed="false">
      <c r="A17" s="86" t="s">
        <v>471</v>
      </c>
    </row>
    <row r="18" customFormat="false" ht="28.35" hidden="false" customHeight="false" outlineLevel="0" collapsed="false">
      <c r="A18" s="67" t="s">
        <v>472</v>
      </c>
    </row>
    <row r="19" customFormat="false" ht="15" hidden="false" customHeight="false" outlineLevel="0" collapsed="false">
      <c r="A19" s="67"/>
    </row>
    <row r="20" customFormat="false" ht="15" hidden="false" customHeight="false" outlineLevel="0" collapsed="false">
      <c r="A20" s="86" t="s">
        <v>473</v>
      </c>
    </row>
    <row r="21" customFormat="false" ht="28.35" hidden="false" customHeight="false" outlineLevel="0" collapsed="false">
      <c r="A21" s="67" t="s">
        <v>474</v>
      </c>
    </row>
    <row r="22" customFormat="false" ht="28.35" hidden="false" customHeight="false" outlineLevel="0" collapsed="false">
      <c r="A22" s="67" t="s">
        <v>475</v>
      </c>
    </row>
    <row r="23" customFormat="false" ht="15" hidden="false" customHeight="false" outlineLevel="0" collapsed="false">
      <c r="A23" s="67" t="s">
        <v>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2026-10-05T22:36:58Z</dcterms:created>
  <dc:creator>openpyxl</dc:creator>
  <dc:description/>
  <dc:language>en-US</dc:language>
  <cp:lastModifiedBy/>
  <dcterms:modified xsi:type="dcterms:W3CDTF">2026-10-05T22:36:59Z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