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workbook.xml" ContentType="application/vnd.openxmlformats-officedocument.spreadsheetml.sheet.main+xml"/>
  <Override PartName="/xl/theme/theme1.xml" ContentType="application/vnd.openxmlformats-officedocument.theme+xml"/>
  <Override PartName="/xl/comments3.xml" ContentType="application/vnd.openxmlformats-officedocument.spreadsheetml.comments+xml"/>
  <Override PartName="/xl/styles.xml" ContentType="application/vnd.openxmlformats-officedocument.spreadsheetml.styles+xml"/>
  <Override PartName="/xl/worksheets/_rels/sheet2.xml.rels" ContentType="application/vnd.openxmlformats-package.relationships+xml"/>
  <Override PartName="/xl/worksheets/_rels/sheet3.xml.rels" ContentType="application/vnd.openxmlformats-package.relationships+xml"/>
  <Override PartName="/xl/worksheets/_rels/sheet4.xml.rels" ContentType="application/vnd.openxmlformats-package.relationships+xml"/>
  <Override PartName="/xl/worksheets/_rels/sheet5.xml.rels" ContentType="application/vnd.openxmlformats-package.relationships+xml"/>
  <Override PartName="/xl/worksheets/sheet11.xml" ContentType="application/vnd.openxmlformats-officedocument.spreadsheetml.worksheet+xml"/>
  <Override PartName="/xl/worksheets/sheet6.xml" ContentType="application/vnd.openxmlformats-officedocument.spreadsheetml.worksheet+xml"/>
  <Override PartName="/xl/worksheets/sheet10.xml" ContentType="application/vnd.openxmlformats-officedocument.spreadsheetml.worksheet+xml"/>
  <Override PartName="/xl/worksheets/sheet5.xml" ContentType="application/vnd.openxmlformats-officedocument.spreadsheetml.worksheet+xml"/>
  <Override PartName="/xl/worksheets/sheet18.xml" ContentType="application/vnd.openxmlformats-officedocument.spreadsheetml.worksheet+xml"/>
  <Override PartName="/xl/worksheets/sheet17.xml" ContentType="application/vnd.openxmlformats-officedocument.spreadsheetml.worksheet+xml"/>
  <Override PartName="/xl/worksheets/sheet16.xml" ContentType="application/vnd.openxmlformats-officedocument.spreadsheetml.worksheet+xml"/>
  <Override PartName="/xl/worksheets/sheet15.xml" ContentType="application/vnd.openxmlformats-officedocument.spreadsheetml.worksheet+xml"/>
  <Override PartName="/xl/worksheets/sheet4.xml" ContentType="application/vnd.openxmlformats-officedocument.spreadsheetml.worksheet+xml"/>
  <Override PartName="/xl/worksheets/sheet1.xml" ContentType="application/vnd.openxmlformats-officedocument.spreadsheetml.worksheet+xml"/>
  <Override PartName="/xl/worksheets/sheet7.xml" ContentType="application/vnd.openxmlformats-officedocument.spreadsheetml.worksheet+xml"/>
  <Override PartName="/xl/worksheets/sheet12.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9.xml" ContentType="application/vnd.openxmlformats-officedocument.spreadsheetml.worksheet+xml"/>
  <Override PartName="/xl/worksheets/sheet14.xml" ContentType="application/vnd.openxmlformats-officedocument.spreadsheetml.worksheet+xml"/>
  <Override PartName="/xl/worksheets/sheet13.xml" ContentType="application/vnd.openxmlformats-officedocument.spreadsheetml.worksheet+xml"/>
  <Override PartName="/xl/worksheets/sheet8.xml" ContentType="application/vnd.openxmlformats-officedocument.spreadsheetml.worksheet+xml"/>
  <Override PartName="/xl/sharedStrings.xml" ContentType="application/vnd.openxmlformats-officedocument.spreadsheetml.sharedStrings+xml"/>
  <Override PartName="/xl/comments2.xml" ContentType="application/vnd.openxmlformats-officedocument.spreadsheetml.comments+xml"/>
  <Override PartName="/xl/drawings/_rels/drawing1.xml.rels" ContentType="application/vnd.openxmlformats-package.relationships+xml"/>
  <Override PartName="/xl/drawings/vmlDrawing1.vml" ContentType="application/vnd.openxmlformats-officedocument.vmlDrawing"/>
  <Override PartName="/xl/drawings/vmlDrawing2.vml" ContentType="application/vnd.openxmlformats-officedocument.vmlDrawing"/>
  <Override PartName="/xl/drawings/vmlDrawing3.vml" ContentType="application/vnd.openxmlformats-officedocument.vmlDrawing"/>
  <Override PartName="/xl/drawings/drawing1.xml" ContentType="application/vnd.openxmlformats-officedocument.drawing+xml"/>
  <Override PartName="/xl/_rels/workbook.xml.rels" ContentType="application/vnd.openxmlformats-package.relationships+xml"/>
  <Override PartName="/xl/comments4.xml" ContentType="application/vnd.openxmlformats-officedocument.spreadsheetml.comments+xml"/>
  <Override PartName="/xl/media/image1.png" ContentType="image/png"/>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Scenario &amp; Comparison" sheetId="1" state="visible" r:id="rId3"/>
    <sheet name="2026 Forecast A" sheetId="2" state="visible" r:id="rId4"/>
    <sheet name="2026 Forecast B" sheetId="3" state="visible" r:id="rId5"/>
    <sheet name="2026 Forecast C" sheetId="4" state="visible" r:id="rId6"/>
    <sheet name="How Forecasts Are Weighted" sheetId="5" state="visible" r:id="rId7"/>
    <sheet name="Feature Ranking A" sheetId="6" state="visible" r:id="rId8"/>
    <sheet name="Feature Ranking B" sheetId="7" state="visible" r:id="rId9"/>
    <sheet name="Feature Ranking C" sheetId="8" state="visible" r:id="rId10"/>
    <sheet name="Backtest 2024 A" sheetId="9" state="visible" r:id="rId11"/>
    <sheet name="Backtest 2024 B" sheetId="10" state="visible" r:id="rId12"/>
    <sheet name="Backtest 2024 C" sheetId="11" state="visible" r:id="rId13"/>
    <sheet name="Backtest 2022 A" sheetId="12" state="visible" r:id="rId14"/>
    <sheet name="Backtest 2022 B" sheetId="13" state="visible" r:id="rId15"/>
    <sheet name="Backtest 2022 C" sheetId="14" state="visible" r:id="rId16"/>
    <sheet name="Backtest 2020 A" sheetId="15" state="visible" r:id="rId17"/>
    <sheet name="Backtest 2020 B" sheetId="16" state="visible" r:id="rId18"/>
    <sheet name="Backtest 2020 C" sheetId="17" state="visible" r:id="rId19"/>
    <sheet name="Method &amp; Caveats" sheetId="18" state="visible" r:id="rId20"/>
  </sheets>
  <calcPr iterateCount="100" refMode="A1" iterate="false" iterateDelta="0.0001"/>
  <extLst>
    <ext xmlns:loext="http://schemas.libreoffice.org/" uri="{7626C862-2A13-11E5-B345-FEFF819CDC9F}">
      <loext:extCalcPr stringRefSyntax="ExcelA1"/>
    </ext>
  </extLst>
</workbook>
</file>

<file path=xl/comments2.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3.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comments4.xml><?xml version="1.0" encoding="utf-8"?>
<comments xmlns="http://schemas.openxmlformats.org/spreadsheetml/2006/main" xmlns:xdr="http://schemas.openxmlformats.org/drawingml/2006/spreadsheetDrawing">
  <authors>
    <author>Unknown Author</author>
  </authors>
  <commentList>
    <comment ref="K8" authorId="0">
      <text>
        <r>
          <rPr>
            <sz val="10"/>
            <rFont val="Arial"/>
            <family val="2"/>
          </rPr>
          <t xml:space="preserve">District-wide error = root-mean-square of the district-wide Democratic-share miss in the 2020, 2022 and 2024 backtests. Place pattern errors cancel out at district level, so the district row uses only this term.</t>
        </r>
      </text>
    </comment>
    <comment ref="O8" authorId="0">
      <text>
        <r>
          <rPr>
            <sz val="10"/>
            <rFont val="Arial"/>
            <family val="2"/>
          </rPr>
          <t xml:space="preserve">Votes-cast error = root-mean-square of the district votes-cast miss of the turnout rule in the 2020, 2022 and 2024 backtests.</t>
        </r>
      </text>
    </comment>
  </commentList>
</comments>
</file>

<file path=xl/sharedStrings.xml><?xml version="1.0" encoding="utf-8"?>
<sst xmlns="http://schemas.openxmlformats.org/spreadsheetml/2006/main" count="5481" uniqueCount="499">
  <si>
    <t xml:space="preserve">PA-07 2026 House Forecast — Municipal Level: three results-only random-forest forecasts (fixed baseline)</t>
  </si>
  <si>
    <t xml:space="preserve">Candidates: Brooks | Mackenzie   |   The two yellow cells set the district-wide Brooks share and votes cast; all three forecasts update.</t>
  </si>
  <si>
    <t xml:space="preserve">A, B and C weight the same random-forest inputs differently using SHAP (see How Forecasts Are Weighted). Each is backtested on 2024, 2022 and 2020 with its own weights; those misses are the error terms.</t>
  </si>
  <si>
    <t xml:space="preserve">SCENARIO INPUTS (defaults are built from the tables below; type over them to run another scenario)</t>
  </si>
  <si>
    <t xml:space="preserve">District-wide Brooks share of the two-party vote (input)</t>
  </si>
  <si>
    <t xml:space="preserve">← default: history-rule baseline (row 21) — every election 2018–2024, midterms counted twice, adjusted for the registration shift</t>
  </si>
  <si>
    <t xml:space="preserve">Turnout multiplier (input; 1.00 = each place keeps its 2022 turnout rate)</t>
  </si>
  <si>
    <t xml:space="preserve">← votes cast = 2022 turnout rate × 2026 registered voters × this multiplier (row 27)</t>
  </si>
  <si>
    <t xml:space="preserve">HOW THE DEFAULTS ARE BUILT (today’s map applied to every year — all municipalities and precincts, as if the district had always included them)</t>
  </si>
  <si>
    <t xml:space="preserve">Election</t>
  </si>
  <si>
    <t xml:space="preserve">Democratic share</t>
  </si>
  <si>
    <t xml:space="preserve">Democratic votes</t>
  </si>
  <si>
    <t xml:space="preserve">Republican votes</t>
  </si>
  <si>
    <t xml:space="preserve">Registered (state rolls)</t>
  </si>
  <si>
    <t xml:space="preserve">Dem share of two-party registration</t>
  </si>
  <si>
    <t xml:space="preserve">2018 General</t>
  </si>
  <si>
    <t xml:space="preserve">2020 General</t>
  </si>
  <si>
    <t xml:space="preserve">2022 General</t>
  </si>
  <si>
    <t xml:space="preserve">2024 General</t>
  </si>
  <si>
    <t xml:space="preserve">2026 Primary rolls</t>
  </si>
  <si>
    <t xml:space="preserve">Source: certified precinct House returns and Department of State registration (PA07_Precinct_Data.xlsx). 2018/2020 count Carbon (then PA-09) and Polk (then PA-08) as district results and include an estimate for Ross One, so every year covers the same territory as 2026.</t>
  </si>
  <si>
    <t xml:space="preserve">History-rule Democratic share: (2 × 2018 + 2020 + 2 × 2022 + 2024) ÷ 6 — midterms count twice for a midterm</t>
  </si>
  <si>
    <t xml:space="preserve">Change in Dem share of two-party registration since those elections, same weights (pts)</t>
  </si>
  <si>
    <t xml:space="preserve">Registration-to-vote link (k), measured on precinct changes 2018→2020, 2020→2022, 2022→2024</t>
  </si>
  <si>
    <t xml:space="preserve">Within-district slope: precincts whose registration moved 1 pt toward a party moved about this many pts in vote share (national swing removed).</t>
  </si>
  <si>
    <t xml:space="preserve">History-rule baseline for 2026 = row 18 + k × row 19</t>
  </si>
  <si>
    <t xml:space="preserve">For comparison — v9 feeder rule (67% 2022 + 33% 2024, same registration adjustment)</t>
  </si>
  <si>
    <t xml:space="preserve">Type this into C6 to use the v9 feeder-rule baseline instead.</t>
  </si>
  <si>
    <t xml:space="preserve">2022 turnout in today’s district (House votes ÷ registered voters)</t>
  </si>
  <si>
    <t xml:space="preserve">2026 registered voters (state rolls, summed over municipalities)</t>
  </si>
  <si>
    <t xml:space="preserve">District check: 2022 turnout × 2026 registered</t>
  </si>
  <si>
    <t xml:space="preserve">Rule applied municipality by municipality (each place’s own 2022 turnout × its 2026 registered) and summed</t>
  </si>
  <si>
    <t xml:space="preserve">Each place uses its own 2022 turnout rate, so the summed total differs slightly from the district-level check. Registration: Department of State rolls (2026 primary).</t>
  </si>
  <si>
    <t xml:space="preserve">Votes cast used in the forecasts (row 26 × turnout multiplier)</t>
  </si>
  <si>
    <t xml:space="preserve">DISTRICT TOTALS BY FORECAST, WITH ERROR TERMS (live from each forecast tab)</t>
  </si>
  <si>
    <t xml:space="preserve">Forecast</t>
  </si>
  <si>
    <t xml:space="preserve">Weighting</t>
  </si>
  <si>
    <t xml:space="preserve">Brooks votes</t>
  </si>
  <si>
    <t xml:space="preserve">Mackenzie votes</t>
  </si>
  <si>
    <t xml:space="preserve">Total votes</t>
  </si>
  <si>
    <t xml:space="preserve">Brooks share</t>
  </si>
  <si>
    <t xml:space="preserve">Error term, share (± pts)</t>
  </si>
  <si>
    <t xml:space="preserve">Brooks share, 95% range</t>
  </si>
  <si>
    <t xml:space="preserve">Error term, votes cast (±)</t>
  </si>
  <si>
    <t xml:space="preserve">Error term, Brooks votes (±)</t>
  </si>
  <si>
    <t xml:space="preserve">Forecast A</t>
  </si>
  <si>
    <t xml:space="preserve">Full random forest</t>
  </si>
  <si>
    <t xml:space="preserve">Forecast B</t>
  </si>
  <si>
    <t xml:space="preserve">SHAP-selected forest</t>
  </si>
  <si>
    <t xml:space="preserve">Forecast C</t>
  </si>
  <si>
    <t xml:space="preserve">SHAP family-reweighted forest</t>
  </si>
  <si>
    <t xml:space="preserve">District error terms = root-mean-square of the district-wide misses in the 2020, 2022 and 2024 backtests. Place pattern error terms come from the 2022 and 2024 forward backtests.</t>
  </si>
  <si>
    <t xml:space="preserve">Most accurate in the backtests: Forecasts A and B (effectively tied) — RMS miss per row across 2020, 2022 and 2024: A 2.55, B 2.55, C 2.66 pts. All three share the same district totals by design.</t>
  </si>
  <si>
    <t xml:space="preserve">BACKTESTS FOR EVERY YEAR, WITH ERROR TERMS (same weights as the forecasts; live from each backtest tab)</t>
  </si>
  <si>
    <t xml:space="preserve">Backtest</t>
  </si>
  <si>
    <t xml:space="preserve">District Dem share miss (pts)</t>
  </si>
  <si>
    <t xml:space="preserve">Dem votes miss</t>
  </si>
  <si>
    <t xml:space="preserve">Rep votes miss</t>
  </si>
  <si>
    <t xml:space="preserve">Votes cast miss</t>
  </si>
  <si>
    <t xml:space="preserve">Pattern RMS miss per row (pts)</t>
  </si>
  <si>
    <t xml:space="preserve">RMS miss per row (pts)</t>
  </si>
  <si>
    <t xml:space="preserve">Avg error term set beforehand (± pts)</t>
  </si>
  <si>
    <t xml:space="preserve">Actual inside ±1 error term</t>
  </si>
  <si>
    <t xml:space="preserve">Actual inside 95% range</t>
  </si>
  <si>
    <t xml:space="preserve">Rows within 3 pts</t>
  </si>
  <si>
    <t xml:space="preserve">2024 — forward backtest</t>
  </si>
  <si>
    <t xml:space="preserve">2022 — forward backtest</t>
  </si>
  <si>
    <t xml:space="preserve">2020 — hold-out test</t>
  </si>
  <si>
    <t xml:space="preserve">Green = forward backtests (only earlier elections used: 2024 and 2022). 2020 is a hold-out test: it is treated as the one unknown election and uses 2018, 2022 and 2024. Each year’s error terms come from the other two backtest years.</t>
  </si>
  <si>
    <t xml:space="preserve">HOW THIS VERSION GETS THE MOST ACCURATE (HONEST) BACKTESTS</t>
  </si>
  <si>
    <t xml:space="preserve">1. History comes from every other election, not one feeder (v10).</t>
  </si>
  <si>
    <t xml:space="preserve">v9 fed 2020 only from 2018 and 2022 only from 2020 — each a single election of the opposite type — so a one-off swing (the 2018 Democratic wave) was carried straight into the next forecast. Now every history input and the district baseline average all the other elections known at the time, counting same-type elections twice. 2026 uses 2018 (×2), 2020, 2022 (×2), 2024; the 2024 backtest 2018, 2020 (×2), 2022; the 2022 backtest 2018 (×2), 2020; the 2020 hold-out 2018, 2022, 2024 (×2).</t>
  </si>
  <si>
    <t xml:space="preserve">2. 2018 trains the forests, and new inputs (v10).</t>
  </si>
  <si>
    <t xml:space="preserve">Because each row’s history comes from the other elections, 2018 rows train the forests too (the 2022 backtest now learns from a midterm and a presidential year). The forests also see House lean in same-type elections, opposite-type elections and the nearest election.</t>
  </si>
  <si>
    <t xml:space="preserve">3. Forecast B chooses its inputs by cross-validation (v11).</t>
  </si>
  <si>
    <t xml:space="preserve">Inputs are ranked by SHAP and the number kept is the one with the lowest leave-one-election-out error, instead of a fixed significance/2% cut-off that dropped registration from the precinct model.</t>
  </si>
  <si>
    <t xml:space="preserve">4. Every backtest is fully honest (v11).</t>
  </si>
  <si>
    <t xml:space="preserve">Inside each backtest, A’s forest settings, B’s input selection and C’s family weights are all refit on that backtest’s training elections only. v10’s C (and B’s input list) used weights fitted with every election, including the one being tested.</t>
  </si>
  <si>
    <t xml:space="preserve">Projected turnout.</t>
  </si>
  <si>
    <t xml:space="preserve">Each place’s votes cast = its turnout rate in the last same-type election × its registered voters now (2026: 2022 turnout × 2026 registration). This beat every alternative tested: a turnout random forest (worse in 2022, mixed in 2020), a party-mix turnout adjustment (−6.6% vs −6.0% in 2022), and voter-file registrants as the base (off by 7–14%).</t>
  </si>
  <si>
    <t xml:space="preserve">Tested and not used (no gain in the backtests).</t>
  </si>
  <si>
    <t xml:space="preserve">Log-odds (logit) swing instead of a uniform swing; forecasting log-odds lean; a wider grid of forest settings; weighting training rows by votes; recalibrating forest predictions; forecasting each place’s change from its latest result; recency-weighted history; equal-weight history; Forecast C family weights with no bounds.</t>
  </si>
  <si>
    <t xml:space="preserve">Limits.</t>
  </si>
  <si>
    <t xml:space="preserve">What is left is mostly what no input can see: the 2020 swing toward Republicans (district miss about +1.7 to +1.9 pts in the hold-out test) and the rise in 2022 midterm turnout over 2018 (votes cast about −6%). The history rule was chosen after comparing alternatives on these three backtests, so the district error term (±1.0–1.1 pts) is somewhat optimistic; v9’s ±2.1 pts is a cautious upper reference.</t>
  </si>
  <si>
    <t xml:space="preserve">Backtest accuracy: v9 (feeder rule) → v10 (history rule) → v11 (this workbook, fully honest)</t>
  </si>
  <si>
    <t xml:space="preserve">District share miss, v9 (pts)</t>
  </si>
  <si>
    <t xml:space="preserve">District share miss, v10</t>
  </si>
  <si>
    <t xml:space="preserve">District share miss, v11</t>
  </si>
  <si>
    <t xml:space="preserve">Pattern RMS per row, v9 (pts)</t>
  </si>
  <si>
    <t xml:space="preserve">Pattern RMS per row, v10</t>
  </si>
  <si>
    <t xml:space="preserve">Pattern RMS per row, v11</t>
  </si>
  <si>
    <t xml:space="preserve">RMS miss per row, v9 (pts)</t>
  </si>
  <si>
    <t xml:space="preserve">RMS miss per row, v10</t>
  </si>
  <si>
    <t xml:space="preserve">RMS miss per row, v11</t>
  </si>
  <si>
    <t xml:space="preserve">Dem votes miss, v9</t>
  </si>
  <si>
    <t xml:space="preserve">Dem votes miss, v11</t>
  </si>
  <si>
    <t xml:space="preserve">Rep votes miss, v9</t>
  </si>
  <si>
    <t xml:space="preserve">Rep votes miss, v11</t>
  </si>
  <si>
    <t xml:space="preserve">Root-mean-square, all nine</t>
  </si>
  <si>
    <t xml:space="preserve">v9: PA07_Municipal_Results_Forecasts_ABC_v9_FeederRule.xlsx; v10: PA07_Municipal_Results_Forecasts_ABC_v10_BestBacktests.xlsx (its B and C backtests used weights fitted with the tested year); v11 values are live from this workbook’s backtest tabs. Lower is better; the root-mean-square row ignores the sign.</t>
  </si>
  <si>
    <t xml:space="preserve">District baseline by election (history rule)</t>
  </si>
  <si>
    <t xml:space="preserve">History used (same type ×2)</t>
  </si>
  <si>
    <t xml:space="preserve">History-weighted share</t>
  </si>
  <si>
    <t xml:space="preserve">Registration adjustment (pts)</t>
  </si>
  <si>
    <t xml:space="preserve">Baseline used</t>
  </si>
  <si>
    <t xml:space="preserve">Actual Dem share</t>
  </si>
  <si>
    <t xml:space="preserve">Baseline miss (pts)</t>
  </si>
  <si>
    <t xml:space="preserve">Turnout rule miss</t>
  </si>
  <si>
    <t xml:space="preserve">Dem votes miss (A)</t>
  </si>
  <si>
    <t xml:space="preserve">Rep votes miss (A)</t>
  </si>
  <si>
    <t xml:space="preserve">2026</t>
  </si>
  <si>
    <t xml:space="preserve">2018 (×2), 2020, 2022 (×2), 2024</t>
  </si>
  <si>
    <t xml:space="preserve">—</t>
  </si>
  <si>
    <t xml:space="preserve">2024 (forward backtest)</t>
  </si>
  <si>
    <t xml:space="preserve">2018, 2020 (×2), 2022</t>
  </si>
  <si>
    <t xml:space="preserve">2022 (forward backtest)</t>
  </si>
  <si>
    <t xml:space="preserve">2018 (×2), 2020</t>
  </si>
  <si>
    <t xml:space="preserve">2020 (hold-out test)</t>
  </si>
  <si>
    <t xml:space="preserve">2018, 2022, 2024 (×2)</t>
  </si>
  <si>
    <t xml:space="preserve">2026 turnout scenario (Forecast A)</t>
  </si>
  <si>
    <t xml:space="preserve">Multiplier</t>
  </si>
  <si>
    <t xml:space="preserve">Votes cast</t>
  </si>
  <si>
    <t xml:space="preserve">Basis</t>
  </si>
  <si>
    <t xml:space="preserve">Lower turnout</t>
  </si>
  <si>
    <t xml:space="preserve">midterm turnout falls back by as much as it rose 2018→2022</t>
  </si>
  <si>
    <t xml:space="preserve">Central (2022 turnout rate)</t>
  </si>
  <si>
    <t xml:space="preserve">each place keeps its 2022 turnout rate (the forecast)</t>
  </si>
  <si>
    <t xml:space="preserve">Higher turnout</t>
  </si>
  <si>
    <t xml:space="preserve">midterm turnout rises again by as much as it did 2018→2022</t>
  </si>
  <si>
    <t xml:space="preserve">Turnout changes both candidates’ vote counts in the same direction but not the Brooks share; the share (and the winner) depends on the district share input in row 6.</t>
  </si>
  <si>
    <t xml:space="preserve">WHY THE WEIGHTS DIFFER BUT THE FORECASTS LOOK THE SAME</t>
  </si>
  <si>
    <t xml:space="preserve">1. District totals are identical by design.</t>
  </si>
  <si>
    <t xml:space="preserve">The district Brooks share is set by the baseline input (row 6) and votes cast by the turnout rule (row 7). Each forecast’s place-level leans are shifted so they add up to exactly that share, and every forecast uses the same votes cast. So A, B and C cannot differ in the district totals — only in how the vote is spread across municipalities.</t>
  </si>
  <si>
    <t xml:space="preserve">2. The place-level forecasts do differ, but only a little.</t>
  </si>
  <si>
    <t xml:space="preserve">Average gap between forecasts: A vs B 0.29 pts (largest 1.3), A vs C 0.05 (largest 0.3), B vs C 0.29 (largest 1.3) — against a 10.4-point spread of leans across municipalities. Correlation between forecasts ≥ 0.999.</t>
  </si>
  <si>
    <t xml:space="preserve">3. The inputs whose weights change all say the same thing.</t>
  </si>
  <si>
    <t xml:space="preserve">Past House, presidential and Senate results, party registration and last election’s Republican share of ballots are all measures of the same underlying partisanship, and are correlated at 0.9+ with each other. Moving weight from one to another (B drops weak inputs; C shifts weight between the results family and the registration family) changes the explanation — the SHAP shares — far more than the answer. Where they disagree is in places whose registration and voting history have drifted apart; those are the rows that move most between A, B and C.</t>
  </si>
  <si>
    <t xml:space="preserve">4. Where it matters.</t>
  </si>
  <si>
    <t xml:space="preserve">The forecasts differ most in close, fast-changing places, which is why the comparison table flags rows where A, B and C disagree on the winner. Those rows plus any row whose 95% range spans 50% are the real toss-ups.</t>
  </si>
  <si>
    <t xml:space="preserve">MUNICIPALITY COMPARISON (Brooks share by forecast, live)</t>
  </si>
  <si>
    <t xml:space="preserve">County</t>
  </si>
  <si>
    <t xml:space="preserve">Municipality</t>
  </si>
  <si>
    <t xml:space="preserve">Area</t>
  </si>
  <si>
    <t xml:space="preserve">Spread (max − min, pts)</t>
  </si>
  <si>
    <t xml:space="preserve">Total error term A (± pts)</t>
  </si>
  <si>
    <t xml:space="preserve">Total error term B (± pts)</t>
  </si>
  <si>
    <t xml:space="preserve">Total error term C (± pts)</t>
  </si>
  <si>
    <t xml:space="preserve">Calls agree?</t>
  </si>
  <si>
    <t xml:space="preserve">PA-07 2026 House Forecast — Municipal-Level Predictions (Forecast A: full random forest)</t>
  </si>
  <si>
    <t xml:space="preserve">Candidates: Brooks | Mackenzie   |   District totals (yellow) are formulas over the municipality rows.</t>
  </si>
  <si>
    <t xml:space="preserve">Only the results are modelled (one random forest). Votes cast in each row = its 2022 turnout rate (House votes ÷ registered voters) × its 2026 registered voters. Brooks votes = votes cast × forecast Brooks share. Error terms combine the place’s own pattern error (2022 and 2024 backtests), the district-wide error and turnout error (2020, 2022 and 2024 backtests).</t>
  </si>
  <si>
    <t xml:space="preserve">Model / scenario</t>
  </si>
  <si>
    <t xml:space="preserve">Random forest on results — Forecast A (Full random forest), municipality model; turnout = 2022 turnout rate × 2026 registered voters</t>
  </si>
  <si>
    <t xml:space="preserve">As-of date</t>
  </si>
  <si>
    <t xml:space="preserve">Prepared by</t>
  </si>
  <si>
    <t xml:space="preserve">Max</t>
  </si>
  <si>
    <t xml:space="preserve">Version</t>
  </si>
  <si>
    <t xml:space="preserve">v11.0 (most accurate honest backtests; current map)</t>
  </si>
  <si>
    <t xml:space="preserve">District Brooks share (scenario)</t>
  </si>
  <si>
    <t xml:space="preserve">Uniform shift applied</t>
  </si>
  <si>
    <t xml:space="preserve">Turnout multiplier (1.00 = 2022 turnout)</t>
  </si>
  <si>
    <t xml:space="preserve">DISTRICT TOTALS (auto-sum — do not type over)</t>
  </si>
  <si>
    <t xml:space="preserve">Geography</t>
  </si>
  <si>
    <t xml:space="preserve">(muni)</t>
  </si>
  <si>
    <t xml:space="preserve">(area)</t>
  </si>
  <si>
    <t xml:space="preserve">Mackenzie share</t>
  </si>
  <si>
    <t xml:space="preserve">Notes</t>
  </si>
  <si>
    <t xml:space="preserve">Error term: place pattern (± pts)</t>
  </si>
  <si>
    <t xml:space="preserve">Error term: district-wide (± pts)</t>
  </si>
  <si>
    <t xml:space="preserve">Error term: total (± pts)</t>
  </si>
  <si>
    <t xml:space="preserve">Brooks share, 95% low</t>
  </si>
  <si>
    <t xml:space="preserve">Brooks share, 95% high</t>
  </si>
  <si>
    <t xml:space="preserve">Error term: votes cast (± votes)</t>
  </si>
  <si>
    <t xml:space="preserve">Error term: Brooks votes (± votes)</t>
  </si>
  <si>
    <t xml:space="preserve">PA-07 District</t>
  </si>
  <si>
    <t xml:space="preserve">(all municipalities)</t>
  </si>
  <si>
    <t xml:space="preserve">Headline forecast for the briefing</t>
  </si>
  <si>
    <t xml:space="preserve">Error terms are ±1 standard error: place pattern error by place size (2022 and 2024 forward backtests) plus district-wide and turnout error (2020, 2022 and 2024 backtests). 95% low/high = Brooks share ± 1.96 × total error term.</t>
  </si>
  <si>
    <t xml:space="preserve">MUNICIPALITY DETAIL</t>
  </si>
  <si>
    <t xml:space="preserve">MODEL INPUTS (from the random forest — do not edit)</t>
  </si>
  <si>
    <t xml:space="preserve">Notes / source method</t>
  </si>
  <si>
    <t xml:space="preserve">Model lean vs district (pts)</t>
  </si>
  <si>
    <t xml:space="preserve">Votes cast = 2022 turnout × 2026 registered</t>
  </si>
  <si>
    <t xml:space="preserve">Forecast Brooks share (unrounded)</t>
  </si>
  <si>
    <t xml:space="preserve">2022 turnout (House votes ÷ registered)</t>
  </si>
  <si>
    <t xml:space="preserve">2026 registered voters</t>
  </si>
  <si>
    <t xml:space="preserve">Votes-cast error (% of votes)</t>
  </si>
  <si>
    <t xml:space="preserve">Size group (backtest error band)</t>
  </si>
  <si>
    <t xml:space="preserve">Registration source</t>
  </si>
  <si>
    <t xml:space="preserve">Carbon</t>
  </si>
  <si>
    <t xml:space="preserve">BANKS TOWNSHIP</t>
  </si>
  <si>
    <t xml:space="preserve">(whole municipality)</t>
  </si>
  <si>
    <t xml:space="preserve">random forest (results only)</t>
  </si>
  <si>
    <t xml:space="preserve">Small</t>
  </si>
  <si>
    <t xml:space="preserve">state rolls (municipality)</t>
  </si>
  <si>
    <t xml:space="preserve">BEAVER MEADOWS BOROUGH</t>
  </si>
  <si>
    <t xml:space="preserve">BOWMANSTOWN BOROUGH</t>
  </si>
  <si>
    <t xml:space="preserve">EAST PENN TOWNSHIP</t>
  </si>
  <si>
    <t xml:space="preserve">Medium</t>
  </si>
  <si>
    <t xml:space="preserve">EAST SIDE BOROUGH</t>
  </si>
  <si>
    <t xml:space="preserve">FRANKLIN TOWNSHIP</t>
  </si>
  <si>
    <t xml:space="preserve">JIM THORPE BOROUGH</t>
  </si>
  <si>
    <t xml:space="preserve">KIDDER TOWNSHIP</t>
  </si>
  <si>
    <t xml:space="preserve">LANSFORD BOROUGH</t>
  </si>
  <si>
    <t xml:space="preserve">LAUSANNE TOWNSHIP</t>
  </si>
  <si>
    <t xml:space="preserve">LEHIGH TOWNSHIP</t>
  </si>
  <si>
    <t xml:space="preserve">LEHIGHTON BOROUGH</t>
  </si>
  <si>
    <t xml:space="preserve">LOWER TOWAMENSING TOWNSHIP</t>
  </si>
  <si>
    <t xml:space="preserve">MAHONING TOWNSHIP</t>
  </si>
  <si>
    <t xml:space="preserve">NESQUEHONING BOROUGH</t>
  </si>
  <si>
    <t xml:space="preserve">PACKER TOWNSHIP</t>
  </si>
  <si>
    <t xml:space="preserve">PALMERTON BOROUGH</t>
  </si>
  <si>
    <t xml:space="preserve">PARRYVILLE BOROUGH</t>
  </si>
  <si>
    <t xml:space="preserve">PENN FOREST TOWNSHIP</t>
  </si>
  <si>
    <t xml:space="preserve">Large</t>
  </si>
  <si>
    <t xml:space="preserve">SUMMIT HILL BOROUGH</t>
  </si>
  <si>
    <t xml:space="preserve">TOWAMENSING TOWNSHIP</t>
  </si>
  <si>
    <t xml:space="preserve">WEATHERLY BOROUGH</t>
  </si>
  <si>
    <t xml:space="preserve">WEISSPORT BOROUGH</t>
  </si>
  <si>
    <t xml:space="preserve">Lehigh</t>
  </si>
  <si>
    <t xml:space="preserve">ALBURTIS</t>
  </si>
  <si>
    <t xml:space="preserve">ALLENTOWN</t>
  </si>
  <si>
    <t xml:space="preserve">BETHLEHEM</t>
  </si>
  <si>
    <t xml:space="preserve">CATASAUQUA</t>
  </si>
  <si>
    <t xml:space="preserve">COOPERSBURG</t>
  </si>
  <si>
    <t xml:space="preserve">COPLAY</t>
  </si>
  <si>
    <t xml:space="preserve">EMMAUS</t>
  </si>
  <si>
    <t xml:space="preserve">FOUNTAIN HILL</t>
  </si>
  <si>
    <t xml:space="preserve">HANOVER</t>
  </si>
  <si>
    <t xml:space="preserve">HEIDELBERG</t>
  </si>
  <si>
    <t xml:space="preserve">LOWER MACUNGIE</t>
  </si>
  <si>
    <t xml:space="preserve">LOWER MILFORD</t>
  </si>
  <si>
    <t xml:space="preserve">LOWHILL</t>
  </si>
  <si>
    <t xml:space="preserve">LYNN</t>
  </si>
  <si>
    <t xml:space="preserve">MACUNGIE</t>
  </si>
  <si>
    <t xml:space="preserve">NORTH WHITEHALL</t>
  </si>
  <si>
    <t xml:space="preserve">SALISBURY</t>
  </si>
  <si>
    <t xml:space="preserve">SLATINGTON</t>
  </si>
  <si>
    <t xml:space="preserve">SOUTH WHITEHALL</t>
  </si>
  <si>
    <t xml:space="preserve">UPPER MACUNGIE</t>
  </si>
  <si>
    <t xml:space="preserve">UPPER MILFORD</t>
  </si>
  <si>
    <t xml:space="preserve">UPPER SAUCON</t>
  </si>
  <si>
    <t xml:space="preserve">WASHINGTON</t>
  </si>
  <si>
    <t xml:space="preserve">WEISENBERG</t>
  </si>
  <si>
    <t xml:space="preserve">WHITEHALL</t>
  </si>
  <si>
    <t xml:space="preserve">Monroe</t>
  </si>
  <si>
    <t xml:space="preserve">ELDRED TOWNSHIP</t>
  </si>
  <si>
    <t xml:space="preserve">POLK TOWNSHIP</t>
  </si>
  <si>
    <t xml:space="preserve">ROSS TOWNSHIP</t>
  </si>
  <si>
    <t xml:space="preserve">Northampton</t>
  </si>
  <si>
    <t xml:space="preserve">ALLEN</t>
  </si>
  <si>
    <t xml:space="preserve">BANGOR</t>
  </si>
  <si>
    <t xml:space="preserve">BATH</t>
  </si>
  <si>
    <t xml:space="preserve">BETHLEHEM TOWNSHIP</t>
  </si>
  <si>
    <t xml:space="preserve">BUSHKILL</t>
  </si>
  <si>
    <t xml:space="preserve">CHAPMAN</t>
  </si>
  <si>
    <t xml:space="preserve">EAST ALLEN</t>
  </si>
  <si>
    <t xml:space="preserve">EAST BANGOR</t>
  </si>
  <si>
    <t xml:space="preserve">EASTON</t>
  </si>
  <si>
    <t xml:space="preserve">FORKS</t>
  </si>
  <si>
    <t xml:space="preserve">FREEMANSBURG</t>
  </si>
  <si>
    <t xml:space="preserve">GLENDON</t>
  </si>
  <si>
    <t xml:space="preserve">HELLERTOWN</t>
  </si>
  <si>
    <t xml:space="preserve">LEHIGH</t>
  </si>
  <si>
    <t xml:space="preserve">LOWER MOUNT BETHEL</t>
  </si>
  <si>
    <t xml:space="preserve">LOWER NAZARETH</t>
  </si>
  <si>
    <t xml:space="preserve">LOWER SAUCON</t>
  </si>
  <si>
    <t xml:space="preserve">MOORE</t>
  </si>
  <si>
    <t xml:space="preserve">NAZARETH</t>
  </si>
  <si>
    <t xml:space="preserve">NORTH CATASAUQUA</t>
  </si>
  <si>
    <t xml:space="preserve">NORTHAMPTON</t>
  </si>
  <si>
    <t xml:space="preserve">PALMER</t>
  </si>
  <si>
    <t xml:space="preserve">PEN ARGYL</t>
  </si>
  <si>
    <t xml:space="preserve">PLAINFIELD</t>
  </si>
  <si>
    <t xml:space="preserve">PORTLAND</t>
  </si>
  <si>
    <t xml:space="preserve">ROSETO</t>
  </si>
  <si>
    <t xml:space="preserve">STOCKERTOWN</t>
  </si>
  <si>
    <t xml:space="preserve">TATAMY</t>
  </si>
  <si>
    <t xml:space="preserve">UPPER MOUNT BETHEL</t>
  </si>
  <si>
    <t xml:space="preserve">UPPER NAZARETH</t>
  </si>
  <si>
    <t xml:space="preserve">WALNUTPORT</t>
  </si>
  <si>
    <t xml:space="preserve">WEST EASTON</t>
  </si>
  <si>
    <t xml:space="preserve">WILLIAMS TOWNSHIP</t>
  </si>
  <si>
    <t xml:space="preserve">WILSON</t>
  </si>
  <si>
    <t xml:space="preserve">WIND GAP</t>
  </si>
  <si>
    <t xml:space="preserve">PA-07 2026 House Forecast — Municipal-Level Predictions (Forecast B: shap-selected forest)</t>
  </si>
  <si>
    <t xml:space="preserve">Random forest on results — Forecast B (SHAP-selected forest), municipality model; turnout = 2022 turnout rate × 2026 registered voters</t>
  </si>
  <si>
    <t xml:space="preserve">PA-07 2026 House Forecast — Municipal-Level Predictions (Forecast C: shap family-reweighted forest)</t>
  </si>
  <si>
    <t xml:space="preserve">Random forest on results — Forecast C (SHAP family-reweighted forest), municipality model; turnout = 2022 turnout rate × 2026 registered voters</t>
  </si>
  <si>
    <t xml:space="preserve">How the three municipality-level forecasts weigh their inputs (SHAP) — results-only random forests</t>
  </si>
  <si>
    <t xml:space="preserve">Forecast A — Full random forest.</t>
  </si>
  <si>
    <t xml:space="preserve">All 23 candidate inputs go into one random forest that forecasts the Democratic share. Nothing is weighted by hand; SHAP measures what the forest learned. This is the reference.</t>
  </si>
  <si>
    <t xml:space="preserve">Forecast B — SHAP-selected forest.</t>
  </si>
  <si>
    <t xml:space="preserve">Ranks the inputs by Forecast A’s average |SHAP| and refits the forest on the top k; k is chosen by leave-one-election-out cross-validation (8 of 23 kept for 2026). Weight that was spread thinly over weak inputs is concentrated on the strong ones.</t>
  </si>
  <si>
    <t xml:space="preserve">Forecast C — SHAP family-reweighted forest.</t>
  </si>
  <si>
    <t xml:space="preserve">Keeps Forecast A’s forest but multiplies each input family’s SHAP values by a weight fitted to how well that family predicted elections the forest had not seen (leave-one-election-out, fitted within each election). Families under 3% of SHAP stay at ×1; others are limited to ×0.5–×2 because there are only four training elections.</t>
  </si>
  <si>
    <t xml:space="preserve">Backtests.</t>
  </si>
  <si>
    <t xml:space="preserve">Every backtest reruns each forecast’s whole method using only the elections known at the time (2024: 2018–2022; 2022: 2018–2020; 2020 hold-out: 2018, 2022 and 2024): A’s forest settings are tuned, B’s inputs are selected and C’s family weights are fitted on those elections alone. Nothing from the year being tested is used, so the backtests are honest out-of-sample checks.</t>
  </si>
  <si>
    <t xml:space="preserve">Turnout.</t>
  </si>
  <si>
    <t xml:space="preserve">Projected by rule, not by a forest: votes cast = each place’s 2022 turnout rate × its 2026 registered voters (backtests: the same-type election’s turnout rate one cycle earlier). A turnout random forest and a party-mix turnout adjustment were tested and were less accurate in the backtests. All differences between A, B and C come from the results model.</t>
  </si>
  <si>
    <t xml:space="preserve">Family share of SHAP value in votes, 2026 forecast rows</t>
  </si>
  <si>
    <t xml:space="preserve">Input family</t>
  </si>
  <si>
    <t xml:space="preserve">Forecast C weight (×)</t>
  </si>
  <si>
    <t xml:space="preserve">Election type</t>
  </si>
  <si>
    <t xml:space="preserve">Historical voter data</t>
  </si>
  <si>
    <t xml:space="preserve">Voter registration data</t>
  </si>
  <si>
    <t xml:space="preserve">Out-of-fold pattern error before → after Forecast C’s re-weighting: 2.12 → 2.12 points.</t>
  </si>
  <si>
    <t xml:space="preserve">Top inputs in each forecast (share of SHAP value in votes)</t>
  </si>
  <si>
    <t xml:space="preserve">#</t>
  </si>
  <si>
    <t xml:space="preserve">Share</t>
  </si>
  <si>
    <t xml:space="preserve">Senate lean, other elections</t>
  </si>
  <si>
    <t xml:space="preserve">House lean, other elections (same type ×2)</t>
  </si>
  <si>
    <t xml:space="preserve">Top-of-ticket lean, other elections</t>
  </si>
  <si>
    <t xml:space="preserve">House lean, same-type elections</t>
  </si>
  <si>
    <t xml:space="preserve">House lean, opposite-type elections</t>
  </si>
  <si>
    <t xml:space="preserve">Top-of-ticket lean, nearest election</t>
  </si>
  <si>
    <t xml:space="preserve">House lean, nearest election</t>
  </si>
  <si>
    <t xml:space="preserve">Registration: D %</t>
  </si>
  <si>
    <t xml:space="preserve">Electorate: R % of ballots, same-type elections</t>
  </si>
  <si>
    <t xml:space="preserve">Registration: R %</t>
  </si>
  <si>
    <t xml:space="preserve">Forecast B — random-column test and selection</t>
  </si>
  <si>
    <t xml:space="preserve">Input</t>
  </si>
  <si>
    <t xml:space="preserve">Beat random columns (of 20)</t>
  </si>
  <si>
    <t xml:space="preserve">Share of SHAP in A</t>
  </si>
  <si>
    <t xml:space="preserve">Kept in B?</t>
  </si>
  <si>
    <t xml:space="preserve">Yes</t>
  </si>
  <si>
    <t xml:space="preserve">No</t>
  </si>
  <si>
    <t xml:space="preserve">Registration: change in D−R margin vs. other elections</t>
  </si>
  <si>
    <t xml:space="preserve">Registered voters (log)</t>
  </si>
  <si>
    <t xml:space="preserve">Registrants: Millennial + Gen Z %</t>
  </si>
  <si>
    <t xml:space="preserve">Mail use: D voters, other elections</t>
  </si>
  <si>
    <t xml:space="preserve">Registrants: female % (known sex)</t>
  </si>
  <si>
    <t xml:space="preserve">Ticket-splitting (House − top of ticket), other elections</t>
  </si>
  <si>
    <t xml:space="preserve">Registration: unaffiliated/other %</t>
  </si>
  <si>
    <t xml:space="preserve">Turnout: unaffiliated, same-type elections</t>
  </si>
  <si>
    <t xml:space="preserve">Turnout: R registrants, same-type elections</t>
  </si>
  <si>
    <t xml:space="preserve">Turnout: D registrants, same-type elections</t>
  </si>
  <si>
    <t xml:space="preserve">Registrants: Boomer + Silent %</t>
  </si>
  <si>
    <t xml:space="preserve">Turnout (certified), same-type elections</t>
  </si>
  <si>
    <t xml:space="preserve">Midterm year (1/0)</t>
  </si>
  <si>
    <t xml:space="preserve">Forecast B — how many inputs to keep (leave-one-election-out cross-validation error, points)</t>
  </si>
  <si>
    <t xml:space="preserve">Inputs kept (top k by SHAP)</t>
  </si>
  <si>
    <t xml:space="preserve">Cross-validation error (pts)</t>
  </si>
  <si>
    <t xml:space="preserve">Chosen?</t>
  </si>
  <si>
    <t xml:space="preserve">Rank</t>
  </si>
  <si>
    <t xml:space="preserve">Feature</t>
  </si>
  <si>
    <t xml:space="preserve">Share of model</t>
  </si>
  <si>
    <t xml:space="preserve">Share within its family</t>
  </si>
  <si>
    <t xml:space="preserve">SHAP value in votes</t>
  </si>
  <si>
    <t xml:space="preserve">Used to forecast</t>
  </si>
  <si>
    <t xml:space="preserve">Significance test result</t>
  </si>
  <si>
    <t xml:space="preserve">Variable (short name)</t>
  </si>
  <si>
    <t xml:space="preserve">Status in Forecast B</t>
  </si>
  <si>
    <t xml:space="preserve">Democratic percent of the two-party U.S. Senate vote, district-relative, averaged over the other elections in the data (for 2026: 2018–2024), with elections of the same type (midterm or presidential) counted twice (elections with a Senate race)</t>
  </si>
  <si>
    <t xml:space="preserve">Democratic percent of the two-party vote</t>
  </si>
  <si>
    <t xml:space="preserve">Beat all 10 random comparison columns in 20 of 20 refits.</t>
  </si>
  <si>
    <t xml:space="preserve">Kept in B</t>
  </si>
  <si>
    <t xml:space="preserve">Democratic percent of the two-party House vote above or below the district average, averaged over the other elections in the data (for 2026: 2018–2024), with elections of the same type (midterm or presidential) counted twice</t>
  </si>
  <si>
    <t xml:space="preserve">Democratic percent of the two-party President/Governor vote, district-relative, averaged over the other elections in the data (for 2026: 2018–2024), with elections of the same type (midterm or presidential) counted twice</t>
  </si>
  <si>
    <t xml:space="preserve">Democratic House lean, averaged over the other elections of the same type (for 2026: the 2018 and 2022 midterms)</t>
  </si>
  <si>
    <t xml:space="preserve">Democratic House lean, averaged over the other elections of the opposite type (for 2026: the 2020 and 2024 presidential elections)</t>
  </si>
  <si>
    <t xml:space="preserve">Democratic House lean in the nearest other election (for 2026: 2024)</t>
  </si>
  <si>
    <t xml:space="preserve">Democratic lean for President/Governor in the nearest other election (for 2026: 2024)</t>
  </si>
  <si>
    <t xml:space="preserve">Registered Democrats as a percent of all registered voters, as of the election (voter file)</t>
  </si>
  <si>
    <t xml:space="preserve">Registered Republicans as a percent of everyone who voted, averaged over the other elections of the same type (for 2026: the 2018 and 2022 midterms)</t>
  </si>
  <si>
    <t xml:space="preserve">Dropped from B</t>
  </si>
  <si>
    <t xml:space="preserve">Registered Republicans as a percent of all registered voters, as of the election (voter file)</t>
  </si>
  <si>
    <t xml:space="preserve">Registered Democrats minus Republicans (percent) now, minus the same averaged over the other elections in the data (for 2026: 2018–2024), with elections of the same type (midterm or presidential) counted twice</t>
  </si>
  <si>
    <t xml:space="preserve">Number of registered voters, log scale (voter file)</t>
  </si>
  <si>
    <t xml:space="preserve">Beat all 10 random comparison columns in 15 of 20 refits.</t>
  </si>
  <si>
    <t xml:space="preserve">Registered voters born 1981 or later, percent of all registered</t>
  </si>
  <si>
    <t xml:space="preserve">Beat all 10 random comparison columns in 11 of 20 refits.</t>
  </si>
  <si>
    <t xml:space="preserve">House Democratic percent minus top-of-ticket Democratic percent, averaged over the other elections in the data (for 2026: 2018–2024), with elections of the same type (midterm or presidential) counted twice</t>
  </si>
  <si>
    <t xml:space="preserve">Registered voters born 1964 or earlier, percent of all registered</t>
  </si>
  <si>
    <t xml:space="preserve">Beat all 10 random comparison columns in 2 of 20 refits.</t>
  </si>
  <si>
    <t xml:space="preserve">Ballots cast as a percent of registered voters, averaged over the other elections of the same type (for 2026: the 2018 and 2022 midterms)</t>
  </si>
  <si>
    <t xml:space="preserve">Registered voters in neither major party, percent of all registered, as of the election (voter file)</t>
  </si>
  <si>
    <t xml:space="preserve">Beat all 10 random comparison columns in 6 of 20 refits.</t>
  </si>
  <si>
    <t xml:space="preserve">Percent of registered voters in neither major party who voted, averaged over the other elections of the same type (for 2026: the 2018 and 2022 midterms)</t>
  </si>
  <si>
    <t xml:space="preserve">Percent of registered Republicans who voted, averaged over the other elections of the same type (for 2026: the 2018 and 2022 midterms)</t>
  </si>
  <si>
    <t xml:space="preserve">Beat all 10 random comparison columns in 3 of 20 refits.</t>
  </si>
  <si>
    <t xml:space="preserve">Percent of Democratic voters who voted by mail, averaged over the other elections in the data (for 2026: 2018–2024), with elections of the same type (midterm or presidential) counted twice</t>
  </si>
  <si>
    <t xml:space="preserve">Beat all 10 random comparison columns in 12 of 20 refits.</t>
  </si>
  <si>
    <t xml:space="preserve">Women as a percent of registered voters whose sex is recorded</t>
  </si>
  <si>
    <t xml:space="preserve">Percent of registered Democrats who voted, averaged over the other elections of the same type (for 2026: the 2018 and 2022 midterms)</t>
  </si>
  <si>
    <t xml:space="preserve">Beat all 10 random comparison columns in 4 of 20 refits.</t>
  </si>
  <si>
    <t xml:space="preserve">Election type: 1 for a midterm year, 0 for a presidential year</t>
  </si>
  <si>
    <t xml:space="preserve">Beat all 10 random comparison columns in 0 of 20 refits.</t>
  </si>
  <si>
    <t xml:space="preserve">Historical voter data, total</t>
  </si>
  <si>
    <t xml:space="preserve">Voter registration data, total</t>
  </si>
  <si>
    <t xml:space="preserve">Election type, total</t>
  </si>
  <si>
    <t xml:space="preserve">All features, total</t>
  </si>
  <si>
    <t xml:space="preserve">How to read this table. Each row is one input that this forecast uses, ranked by SHAP value in votes on the 2026 forecast rows.</t>
  </si>
  <si>
    <t xml:space="preserve">SHAP value: for one place, the number of votes that one input added to or took away from that place’s forecast, measured from the model’s starting value (the average over the places and years it was trained on). Exact TreeSHAP over every tree.</t>
  </si>
  <si>
    <t xml:space="preserve">SHAP value in votes is the average over the 89 municipalities of the votes the input moved, ignoring direction. Brooks votes and Mackenzie votes are counted together (moving 10 votes from Mackenzie to Brooks counts as 20). Votes cast = each place’s 2022 turnout rate × its 2026 registered voters.</t>
  </si>
  <si>
    <t xml:space="preserve">Share of model = the input’s SHAP value in votes ÷ the total for all inputs. Share within its family divides by its family’s total instead.</t>
  </si>
  <si>
    <t xml:space="preserve">What the model forecasts. One random forest forecasts each place’s Democratic percent of the two-party House vote, above or below the district average for that election. Turnout is not forecast: each place’s votes cast = its 2022 turnout rate × its 2026 registered voters. Brooks share = forecast pattern + one uniform shift so the district total equals the scenario (default: registration-adjusted baseline).</t>
  </si>
  <si>
    <t xml:space="preserve">Forecast A weighting: none imposed. Each input’s weight is exactly what the full forest learned; SHAP shows it after the fact.</t>
  </si>
  <si>
    <t xml:space="preserve">Significance test (for information; Forecast B’s selection uses cross-validation). The full forest was refit 20 times with 10 extra columns of random numbers (5 that change row to row, 5 that keep one value per place). The column counts the refits in which the input’s average |SHAP| on the 2026 rows beat every random column.</t>
  </si>
  <si>
    <t xml:space="preserve">Settings: max_features=0.33, min_samples_leaf=1, 500 trees, trained on 356 municipality-elections (2018, 2020, 2022, 2024).</t>
  </si>
  <si>
    <t xml:space="preserve">Forecast B weighting: SHAP-selected. Inputs are ranked by Forecast A’s average |SHAP| on the 2026 rows and the forest is refit on the top k, with k chosen by leave-one-election-out cross-validation over the four training elections (k = 8; cross-validation error by k: 3: 2.15, 4: 2.16, 6: 2.05, 8: 2.03, 10: 2.06, 12: 2.05, 15: 2.06, 23: 2.12). Weight that was spread over weak inputs is concentrated on the strong ones.</t>
  </si>
  <si>
    <t xml:space="preserve">Forecast C weighting: SHAP family re-weighting. Forecast A’s forest is kept, but each input family’s SHAP contribution is multiplied by a weight fitted to out-of-sample accuracy: Election type ×1.00; Historical voter data ×1.00; Voter registration data ×0.88. The forecast is the forest’s starting value plus the re-weighted SHAP values, so the SHAP values here are already re-weighted.</t>
  </si>
  <si>
    <t xml:space="preserve">Predicted Democratic (Wild) votes</t>
  </si>
  <si>
    <t xml:space="preserve">Actual Democratic votes</t>
  </si>
  <si>
    <t xml:space="preserve">Error, Democratic votes (predicted minus actual)</t>
  </si>
  <si>
    <t xml:space="preserve">Predicted Republican (Mackenzie) votes</t>
  </si>
  <si>
    <t xml:space="preserve">Actual Republican votes</t>
  </si>
  <si>
    <t xml:space="preserve">Error, Republican votes (predicted minus actual)</t>
  </si>
  <si>
    <t xml:space="preserve">Predicted Democratic share of the two-party vote</t>
  </si>
  <si>
    <t xml:space="preserve">Actual Democratic share of the two-party vote</t>
  </si>
  <si>
    <t xml:space="preserve">Error in Democratic share, percentage points (predicted minus actual)</t>
  </si>
  <si>
    <t xml:space="preserve">Error term: place pattern (± pts, from 2022, 2020)</t>
  </si>
  <si>
    <t xml:space="preserve">Error term: district-wide (± pts, from 2022, 2020)</t>
  </si>
  <si>
    <t xml:space="preserve">Predicted share, 95% low</t>
  </si>
  <si>
    <t xml:space="preserve">Predicted share, 95% high</t>
  </si>
  <si>
    <t xml:space="preserve">Actual inside ±1 error term?</t>
  </si>
  <si>
    <t xml:space="preserve">Actual inside 95% range?</t>
  </si>
  <si>
    <t xml:space="preserve">Error term: Democratic votes (± votes)</t>
  </si>
  <si>
    <t xml:space="preserve">Note</t>
  </si>
  <si>
    <t xml:space="preserve">PA-07 District (municipalities compared)</t>
  </si>
  <si>
    <t xml:space="preserve">All rows (predicted only)</t>
  </si>
  <si>
    <t xml:space="preserve">Average miss per row, Democratic votes (sign removed)</t>
  </si>
  <si>
    <t xml:space="preserve">Average miss per row, Republican votes (sign removed)</t>
  </si>
  <si>
    <t xml:space="preserve">Average miss per row, Democratic share (points, sign removed)</t>
  </si>
  <si>
    <t xml:space="preserve">Root-mean-square miss per row, Democratic share (points)</t>
  </si>
  <si>
    <t xml:space="preserve">District-wide miss, Democratic share (points)</t>
  </si>
  <si>
    <t xml:space="preserve">Pattern RMS miss per row (points) — district-wide miss removed</t>
  </si>
  <si>
    <t xml:space="preserve">Democratic votes miss, district (percent)</t>
  </si>
  <si>
    <t xml:space="preserve">Republican votes miss, district (percent)</t>
  </si>
  <si>
    <t xml:space="preserve">Total votes cast miss, district (percent) — turnout rule</t>
  </si>
  <si>
    <t xml:space="preserve">Average error term per row (± pts, set from the other years)</t>
  </si>
  <si>
    <t xml:space="preserve">Rows where the actual result fell inside ±1 error term (≈68% expected)</t>
  </si>
  <si>
    <t xml:space="preserve">Rows where the actual result fell inside the 95% range (≈95% expected)</t>
  </si>
  <si>
    <t xml:space="preserve">Rows within 3 points on Democratic share</t>
  </si>
  <si>
    <t xml:space="preserve">Rows with a comparable 2024 result</t>
  </si>
  <si>
    <t xml:space="preserve">Rows in the table</t>
  </si>
  <si>
    <t xml:space="preserve">WHERE THE PARTY VOTE ERRORS COME FROM (district row):</t>
  </si>
  <si>
    <t xml:space="preserve">   Turnout part — votes cast miss × actual Democratic share (same direction for both parties)</t>
  </si>
  <si>
    <t xml:space="preserve">   Share part — votes moved to/from the Democrat by the district share miss</t>
  </si>
  <si>
    <t xml:space="preserve">   Republican: turnout part</t>
  </si>
  <si>
    <t xml:space="preserve">   Republican: share part (equal and opposite to the Democratic share part)</t>
  </si>
  <si>
    <t xml:space="preserve">   Democratic votes miss if turnout had been exact (share part only, percent)</t>
  </si>
  <si>
    <t xml:space="preserve">   Republican votes miss if turnout had been exact (share part only, percent)</t>
  </si>
  <si>
    <t xml:space="preserve">What this tab is: forward backtest for 2024 — the forecast method run without 2024’s results and compared with the actual 2024 House results (trained on 2018, 2020 and 2022 only).</t>
  </si>
  <si>
    <t xml:space="preserve">A forward backtest uses only elections before the one being forecast, like a real forecast.</t>
  </si>
  <si>
    <t xml:space="preserve">Weights: Forecast A — pure random forest on all 23 inputs. Forest settings tuned only on this test’s own training elections: max_features=0.33, min_samples_leaf=1.</t>
  </si>
  <si>
    <t xml:space="preserve">Turnout: each row’s votes cast = 2020 turnout rate × 2024 registered voters.</t>
  </si>
  <si>
    <t xml:space="preserve">District share: history rule — Democratic share averaged over 2018, 2020 (×2), 2022 (same-type elections count twice): 50.8%, + 0.58 × the change in Democratic share of two-party registration since those elections = 49.1%. Actual 2024: 49.4%.</t>
  </si>
  <si>
    <t xml:space="preserve">Error terms on this tab come only from the OTHER backtest years (2022, 2020) — never from 2024 itself — so columns R and S are an honest check of whether the error terms hold up.</t>
  </si>
  <si>
    <t xml:space="preserve">Current map, all years: Carbon (PA-09 in 2018/2020) and Polk (PA-08 in 2018/2020) results are treated as district results; Ross One’s 2018/2020 result is estimated from the whole township.</t>
  </si>
  <si>
    <t xml:space="preserve">Actual votes are the 2024 House results as given. Error = predicted minus actual. Shares are of the two-party vote. Wild was the 2024 PA-07 Democratic candidate and Mackenzie the Republican; Carbon and Polk rows in 2018/2020 had other candidates.</t>
  </si>
  <si>
    <t xml:space="preserve">Rows marked 'No comparable 2024 result' are left out of the district total and the error figures.</t>
  </si>
  <si>
    <t xml:space="preserve">Weights: Forecast B — selected inside this test from its training elections only: inputs ranked by this test’s Forecast A SHAP values, top 12 kept (k chosen by cross-validation on the training elections): Senate lean, other elections; House lean, other elections (same type ×2); Top-of-ticket lean, other elections; Top-of-ticket lean, nearest election; House lean, nearest election; House lean, opposite-type elections; House lean, same-type elections; Registration: D %; Registration: R %; Electorate: R % of ballots, same-type elections; Registration: change in D−R margin vs. other elections; Turnout: R registrants, same-type elections. Forest settings tuned only on this test’s own training elections: max_features=0.33, min_samples_leaf=3.</t>
  </si>
  <si>
    <t xml:space="preserve">Weights: Forecast C — family weights fitted inside this test on its training elections only (Election type ×1.00; Historical voter data ×0.97; Voter registration data ×1.29), applied to the SHAP values of this test’s Forecast A forest. Forest settings tuned only on this test’s own training elections: max_features=0.33, min_samples_leaf=1.</t>
  </si>
  <si>
    <t xml:space="preserve">Predicted Republican (Scheller) votes</t>
  </si>
  <si>
    <t xml:space="preserve">Error term: place pattern (± pts, from 2024, 2020)</t>
  </si>
  <si>
    <t xml:space="preserve">Error term: district-wide (± pts, from 2024, 2020)</t>
  </si>
  <si>
    <t xml:space="preserve">Rows with a comparable 2022 result</t>
  </si>
  <si>
    <t xml:space="preserve">What this tab is: forward backtest for 2022 — the forecast method run without 2022’s results and compared with the actual 2022 House results (trained on 2018 and 2020 only).</t>
  </si>
  <si>
    <t xml:space="preserve">Turnout: each row’s votes cast = 2018 turnout rate × 2022 registered voters.</t>
  </si>
  <si>
    <t xml:space="preserve">District share: history rule — Democratic share averaged over 2018 (×2), 2020 (same-type elections count twice): 52.0%, + 0.72 × the change in Democratic share of two-party registration since those elections = 50.8%. Actual 2022: 50.9%.</t>
  </si>
  <si>
    <t xml:space="preserve">Error terms on this tab come only from the OTHER backtest years (2024, 2020) — never from 2022 itself — so columns R and S are an honest check of whether the error terms hold up.</t>
  </si>
  <si>
    <t xml:space="preserve">Actual votes are the 2022 House results as given. Error = predicted minus actual. Shares are of the two-party vote. Wild was the 2022 PA-07 Democratic candidate and Scheller the Republican; Carbon and Polk rows in 2018/2020 had other candidates.</t>
  </si>
  <si>
    <t xml:space="preserve">Rows marked 'No comparable 2022 result' are left out of the district total and the error figures.</t>
  </si>
  <si>
    <t xml:space="preserve">Weights: Forecast B — selected inside this test from its training elections only: inputs ranked by this test’s Forecast A SHAP values, top 10 kept (k chosen by cross-validation on the training elections): Top-of-ticket lean, nearest election; Top-of-ticket lean, other elections; House lean, same-type elections; House lean, other elections (same type ×2); House lean, nearest election; House lean, opposite-type elections; Electorate: R % of ballots, same-type elections; Registration: R %; Registration: D %; Registration: change in D−R margin vs. other elections. Forest settings tuned only on this test’s own training elections: max_features=0.6, min_samples_leaf=1.</t>
  </si>
  <si>
    <t xml:space="preserve">Weights: Forecast C — family weights fitted inside this test on its training elections only (Election type ×1.00; Historical voter data ×1.04; Voter registration data ×1.28), applied to the SHAP values of this test’s Forecast A forest. Forest settings tuned only on this test’s own training elections: max_features=0.33, min_samples_leaf=1.</t>
  </si>
  <si>
    <t xml:space="preserve">Error term: place pattern (± pts, from 2024, 2022)</t>
  </si>
  <si>
    <t xml:space="preserve">Error term: district-wide (± pts, from 2024, 2022)</t>
  </si>
  <si>
    <t xml:space="preserve">Actual = PA-09 House race (treated as district result)</t>
  </si>
  <si>
    <t xml:space="preserve">Actual = PA-08 House race (treated as district result)</t>
  </si>
  <si>
    <t xml:space="preserve">Actual = Ross One estimate from whole-township result</t>
  </si>
  <si>
    <t xml:space="preserve">Rows with a comparable 2020 result</t>
  </si>
  <si>
    <t xml:space="preserve">What this tab is: hold-out test for 2020 — the forecast method run without 2020’s results and compared with the actual 2020 House results (trained on 2018, 2022 and 2024 — 2020 is treated as the one unknown election, since no election before 2018 is in the data).</t>
  </si>
  <si>
    <t xml:space="preserve">A hold-out test is the closest check possible for 2020: the data begin in 2018, so 2020 is treated as the one unknown election — its forest is trained on 2018, 2022 and 2024 and its history inputs are averaged over those elections. It is not a true forecast, because it learns from later elections.</t>
  </si>
  <si>
    <t xml:space="preserve">Turnout: each row’s votes cast = 2024 turnout rate × 2020 registered voters (no 2016 data — the next presidential year is used instead).</t>
  </si>
  <si>
    <t xml:space="preserve">District share: history rule — Democratic share averaged over 2018, 2022, 2024 (×2) (same-type elections count twice): 50.7%, + 0.47 × the change in Democratic share of two-party registration since those elections = 51.4%. Actual 2020: 49.6%.</t>
  </si>
  <si>
    <t xml:space="preserve">Error terms on this tab come only from the OTHER backtest years (2024, 2022) — never from 2020 itself — so columns R and S are an honest check of whether the error terms hold up.</t>
  </si>
  <si>
    <t xml:space="preserve">Actual votes are the 2020 House results as given. Error = predicted minus actual. Shares are of the two-party vote. Wild was the 2020 PA-07 Democratic candidate and Scheller the Republican; Carbon and Polk rows in 2018/2020 had other candidates.</t>
  </si>
  <si>
    <t xml:space="preserve">Rows marked 'No comparable 2020 result' are left out of the district total and the error figures.</t>
  </si>
  <si>
    <t xml:space="preserve">Weights: Forecast B — selected inside this test from its training elections only: inputs ranked by this test’s Forecast A SHAP values, top 10 kept (k chosen by cross-validation on the training elections): Senate lean, other elections; Top-of-ticket lean, other elections; House lean, nearest election; House lean, other elections (same type ×2); Top-of-ticket lean, nearest election; House lean, same-type elections; House lean, opposite-type elections; Registration: R %; Electorate: R % of ballots, same-type elections; Registration: D %. Forest settings tuned only on this test’s own training elections: max_features=0.33, min_samples_leaf=1.</t>
  </si>
  <si>
    <t xml:space="preserve">Weights: Forecast C — family weights fitted inside this test on its training elections only (Election type ×1.00; Historical voter data ×0.96; Voter registration data ×1.45), applied to the SHAP values of this test’s Forecast A forest. Forest settings tuned only on this test’s own training elections: max_features=0.33, min_samples_leaf=1.</t>
  </si>
  <si>
    <t xml:space="preserve">How this version is built (v11.0 — most accurate honest backtests; no restrictions on weighting)</t>
  </si>
  <si>
    <t xml:space="preserve">Current map in every year: all 89 municipalities and every precinct are treated as if PA-07 had always included them. Carbon (PA-09 in 2018/2020) and Polk (PA-08 in 2018/2020) count as district results; Ross One’s 2018/2020 result is estimated from the whole township.</t>
  </si>
  <si>
    <t xml:space="preserve">History rule (v10): every history input and the district baseline average all the other elections known at the time, with same-type elections (midterm/presidential) counted twice. 2026: 2018 (×2), 2020, 2022 (×2), 2024. Backtests: 2024 — 2018, 2020 (×2), 2022; 2022 — 2018 (×2), 2020; 2020 hold-out — 2018, 2022, 2024 (×2). District baseline = that weighted district result + k × the change in two-party registration since those elections (k from precinct-level changes between consecutive known elections). This replaces the v9 feeder rule (2026 = 67% 2022 + 33% 2024), which gave 2020 and 2022 a single feeder of the opposite election type; the v9 baseline is shown in Scenario row 22.</t>
  </si>
  <si>
    <t xml:space="preserve">Training: because each row’s history comes from the other elections, 2018 rows train the forests as well — 2026 forests learn from 2018–2024; the 2024 backtest from 2018–2022; the 2022 backtest from 2018–2020; the 2020 hold-out from 2018, 2022 and 2024. Each backtest forest is tuned only on its own training elections. New inputs: House lean in same-type, opposite-type and the nearest election.</t>
  </si>
  <si>
    <t xml:space="preserve">Precinct lines do not affect the municipal model.</t>
  </si>
  <si>
    <t xml:space="preserve">One random forest per forecast, on the results only (Democratic share of the two-party House vote, district-relative); separate forests for municipalities and precincts. Three weightings: A — pure random forest; B — SHAP-selected forest (top-k inputs by SHAP, k chosen by leave-one-election-out cross-validation, then refit); C — SHAP family-reweighted forest (A’s SHAP values × family weights fitted out-of-sample, bounded ×0.5–×2). In every backtest all three are refit from scratch on the training elections only.</t>
  </si>
  <si>
    <t xml:space="preserve">Turnout projection (rule chosen because it beat a turnout random forest and a party-mix adjustment in the backtests): votes cast = each place’s 2022 turnout rate (House votes ÷ registered voters) × its 2026 registered voters; district total ≈ 306,131. Backtests use the same rule one cycle earlier (2024: 2020 turnout × 2024 registered, -0.5%; 2022: 2018 × 2022, -6.0%; 2020: 2024 × 2020, +0.6%).</t>
  </si>
  <si>
    <t xml:space="preserve">Backtests: 2024 (forward, trained on 2018–2022) and 2022 (forward, trained on 2018–2020); 2020 is a hold-out test (treated as the one unknown election; trained on 2018, 2022 and 2024). Each forecast style is backtested with its own weights. Error terms: each backtest year’s from the other two years; 2026 pattern error from the 2022 and 2024 forward backtests, district and turnout error from all three.</t>
  </si>
  <si>
    <t xml:space="preserve">Data</t>
  </si>
  <si>
    <t xml:space="preserve">Source: PA07_Municipal_Data_without_Demographics.xlsx (Master Data, Muni Consolidated); registration and district baseline from PA07_Precinct_Data.xlsx (Precinct Summary). Forest training rows: 2018, 2020, 2022 and 2024 for every municipality/precinct with an observed result, including Carbon and Polk in 2018/2020 and the Ross One estimate.</t>
  </si>
  <si>
    <t xml:space="preserve">Registration: whole-municipality state rolls; Bethlehem city and Bethlehem Township (one name on the Northampton rolls) and the three Monroe areas use the state rolls of their district precincts.</t>
  </si>
  <si>
    <t xml:space="preserve">Model and error terms</t>
  </si>
  <si>
    <t xml:space="preserve">Random forest (500 trees) forecasting each place’s Democratic share above/below the district average; Brooks share = forecast + a uniform shift to the district input. SHAP: exact TreeSHAP over every tree (implemented in C; matches brute-force Shapley values).</t>
  </si>
  <si>
    <t xml:space="preserve">Caveats</t>
  </si>
  <si>
    <t xml:space="preserve">• The baseline contains no national-environment signal. Midterms under a sitting president often swing against the president’s party; the registration trend in PA-07 points the other way. The default is a starting point — override it for the environment you expect.</t>
  </si>
  <si>
    <t xml:space="preserve">• The history rule (same type ×2) was picked after comparing it with alternatives on these three backtests, so the backtest error terms are somewhat optimistic; v9’s ±2.1 points is a sensible upper reference. Turnout swings between elections of the same type (e.g. 2018→2022) cannot be predicted from this data and remain the main source of vote-count error.</t>
  </si>
  <si>
    <t xml:space="preserve">• v10 departs from the v9 feeder rule. The 2026 baseline moves from 49.33% (feeder rule) to 49.50% (history rule); type the v9 value into Scenario C6 to compare.</t>
  </si>
  <si>
    <t xml:space="preserve">• All backtests are honest: each refits A’s settings, B’s input selection and C’s family weights without the tested year. The 2026 forecasts use the same method fitted on all four elections.</t>
  </si>
</sst>
</file>

<file path=xl/styles.xml><?xml version="1.0" encoding="utf-8"?>
<styleSheet xmlns="http://schemas.openxmlformats.org/spreadsheetml/2006/main">
  <numFmts count="16">
    <numFmt numFmtId="164" formatCode="General"/>
    <numFmt numFmtId="165" formatCode="0.0%"/>
    <numFmt numFmtId="166" formatCode="0.00"/>
    <numFmt numFmtId="167" formatCode="#,##0"/>
    <numFmt numFmtId="168" formatCode="0.00%"/>
    <numFmt numFmtId="169" formatCode="\+0.00;\-0.00"/>
    <numFmt numFmtId="170" formatCode="0.000"/>
    <numFmt numFmtId="171" formatCode="\+0.0%;\-0.0%"/>
    <numFmt numFmtId="172" formatCode="0%"/>
    <numFmt numFmtId="173" formatCode="0.0"/>
    <numFmt numFmtId="174" formatCode="yyyy\-mm\-dd"/>
    <numFmt numFmtId="175" formatCode="\+0.0;\-0.0"/>
    <numFmt numFmtId="176" formatCode="\+#,##0;\-#,##0;0"/>
    <numFmt numFmtId="177" formatCode="\+#,##0;\-#,##0"/>
    <numFmt numFmtId="178" formatCode="#,##0.0"/>
    <numFmt numFmtId="179" formatCode="0"/>
  </numFmts>
  <fonts count="13">
    <font>
      <sz val="11"/>
      <color theme="1"/>
      <name val="Calibri"/>
      <family val="2"/>
      <charset val="1"/>
    </font>
    <font>
      <sz val="10"/>
      <name val="Arial"/>
      <family val="0"/>
    </font>
    <font>
      <sz val="10"/>
      <name val="Arial"/>
      <family val="0"/>
    </font>
    <font>
      <sz val="10"/>
      <name val="Arial"/>
      <family val="0"/>
    </font>
    <font>
      <b val="true"/>
      <sz val="14"/>
      <color rgb="FF1F4E79"/>
      <name val="Calibri"/>
      <family val="0"/>
      <charset val="1"/>
    </font>
    <font>
      <sz val="11"/>
      <name val="Calibri"/>
      <family val="0"/>
      <charset val="1"/>
    </font>
    <font>
      <i val="true"/>
      <sz val="10"/>
      <color rgb="FF666666"/>
      <name val="Calibri"/>
      <family val="0"/>
      <charset val="1"/>
    </font>
    <font>
      <b val="true"/>
      <sz val="11"/>
      <name val="Calibri"/>
      <family val="0"/>
      <charset val="1"/>
    </font>
    <font>
      <b val="true"/>
      <sz val="11"/>
      <color rgb="FF0000FF"/>
      <name val="Calibri"/>
      <family val="0"/>
      <charset val="1"/>
    </font>
    <font>
      <b val="true"/>
      <sz val="11"/>
      <color rgb="FFFFFFFF"/>
      <name val="Calibri"/>
      <family val="0"/>
      <charset val="1"/>
    </font>
    <font>
      <sz val="11"/>
      <color rgb="FF008000"/>
      <name val="Calibri"/>
      <family val="0"/>
      <charset val="1"/>
    </font>
    <font>
      <sz val="10"/>
      <name val="Arial"/>
      <family val="2"/>
    </font>
    <font>
      <b val="true"/>
      <sz val="11"/>
      <color rgb="FF1F4E79"/>
      <name val="Calibri"/>
      <family val="0"/>
      <charset val="1"/>
    </font>
  </fonts>
  <fills count="9">
    <fill>
      <patternFill patternType="none"/>
    </fill>
    <fill>
      <patternFill patternType="gray125"/>
    </fill>
    <fill>
      <patternFill patternType="solid">
        <fgColor rgb="FFD6E3F0"/>
        <bgColor rgb="FFE2EFDA"/>
      </patternFill>
    </fill>
    <fill>
      <patternFill patternType="solid">
        <fgColor rgb="FFFFFF00"/>
        <bgColor rgb="FFFFFF00"/>
      </patternFill>
    </fill>
    <fill>
      <patternFill patternType="solid">
        <fgColor rgb="FF1F4E79"/>
        <bgColor rgb="FF003366"/>
      </patternFill>
    </fill>
    <fill>
      <patternFill patternType="solid">
        <fgColor rgb="FFFFF2CC"/>
        <bgColor rgb="FFF2F2F2"/>
      </patternFill>
    </fill>
    <fill>
      <patternFill patternType="solid">
        <fgColor rgb="FFE2EFDA"/>
        <bgColor rgb="FFF2F2F2"/>
      </patternFill>
    </fill>
    <fill>
      <patternFill patternType="solid">
        <fgColor rgb="FFF2F2F2"/>
        <bgColor rgb="FFE2EFDA"/>
      </patternFill>
    </fill>
    <fill>
      <patternFill patternType="solid">
        <fgColor rgb="FF7F7F7F"/>
        <bgColor rgb="FF969696"/>
      </patternFill>
    </fill>
  </fills>
  <borders count="2">
    <border diagonalUp="false" diagonalDown="false">
      <left/>
      <right/>
      <top/>
      <bottom/>
      <diagonal/>
    </border>
    <border diagonalUp="false" diagonalDown="false">
      <left style="thin">
        <color rgb="FFBFBFBF"/>
      </left>
      <right style="thin">
        <color rgb="FFBFBFBF"/>
      </right>
      <top style="thin">
        <color rgb="FFBFBFBF"/>
      </top>
      <bottom style="thin">
        <color rgb="FFBFBFBF"/>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9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0" borderId="0" xfId="0" applyFont="tru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false" applyProtection="false">
      <alignment horizontal="general" vertical="bottom" textRotation="0" wrapText="false" indent="0" shrinkToFit="false"/>
      <protection locked="true" hidden="false"/>
    </xf>
    <xf numFmtId="164" fontId="6" fillId="0" borderId="0" xfId="0" applyFont="true" applyBorder="false" applyAlignment="false" applyProtection="false">
      <alignment horizontal="general" vertical="bottom" textRotation="0" wrapText="false" indent="0" shrinkToFit="false"/>
      <protection locked="true" hidden="false"/>
    </xf>
    <xf numFmtId="164" fontId="7" fillId="2" borderId="0" xfId="0" applyFont="true" applyBorder="true" applyAlignment="false" applyProtection="false">
      <alignment horizontal="general" vertical="bottom" textRotation="0" wrapText="false" indent="0" shrinkToFit="false"/>
      <protection locked="true" hidden="false"/>
    </xf>
    <xf numFmtId="164" fontId="7" fillId="0" borderId="0" xfId="0" applyFont="true" applyBorder="false" applyAlignment="false" applyProtection="false">
      <alignment horizontal="general" vertical="bottom" textRotation="0" wrapText="false" indent="0" shrinkToFit="false"/>
      <protection locked="true" hidden="false"/>
    </xf>
    <xf numFmtId="165" fontId="8" fillId="3" borderId="1" xfId="0" applyFont="true" applyBorder="true" applyAlignment="false" applyProtection="false">
      <alignment horizontal="general" vertical="bottom" textRotation="0" wrapText="false" indent="0" shrinkToFit="false"/>
      <protection locked="true" hidden="false"/>
    </xf>
    <xf numFmtId="166" fontId="8" fillId="3" borderId="1" xfId="0" applyFont="true" applyBorder="true" applyAlignment="false" applyProtection="false">
      <alignment horizontal="general" vertical="bottom" textRotation="0" wrapText="false" indent="0" shrinkToFit="false"/>
      <protection locked="true" hidden="false"/>
    </xf>
    <xf numFmtId="164" fontId="9" fillId="4" borderId="1" xfId="0" applyFont="true" applyBorder="true" applyAlignment="true" applyProtection="false">
      <alignment horizontal="center" vertical="center" textRotation="0" wrapText="true" indent="0" shrinkToFit="false"/>
      <protection locked="true" hidden="false"/>
    </xf>
    <xf numFmtId="164" fontId="0" fillId="0" borderId="1" xfId="0" applyFont="true" applyBorder="true" applyAlignment="false" applyProtection="false">
      <alignment horizontal="general" vertical="bottom" textRotation="0" wrapText="false" indent="0" shrinkToFit="false"/>
      <protection locked="true" hidden="false"/>
    </xf>
    <xf numFmtId="165" fontId="0" fillId="0" borderId="1" xfId="0" applyFont="false" applyBorder="true" applyAlignment="false" applyProtection="false">
      <alignment horizontal="general" vertical="bottom" textRotation="0" wrapText="false" indent="0" shrinkToFit="false"/>
      <protection locked="true" hidden="false"/>
    </xf>
    <xf numFmtId="167" fontId="8" fillId="0" borderId="1" xfId="0" applyFont="true" applyBorder="true" applyAlignment="false" applyProtection="false">
      <alignment horizontal="general" vertical="bottom" textRotation="0" wrapText="false" indent="0" shrinkToFit="false"/>
      <protection locked="true" hidden="false"/>
    </xf>
    <xf numFmtId="165" fontId="8" fillId="0" borderId="1" xfId="0" applyFont="true" applyBorder="true" applyAlignment="false" applyProtection="false">
      <alignment horizontal="general" vertical="bottom" textRotation="0" wrapText="false" indent="0" shrinkToFit="false"/>
      <protection locked="true" hidden="false"/>
    </xf>
    <xf numFmtId="164" fontId="6" fillId="0" borderId="0" xfId="0" applyFont="true" applyBorder="true" applyAlignment="false" applyProtection="false">
      <alignment horizontal="general" vertical="bottom" textRotation="0" wrapText="false" indent="0" shrinkToFit="false"/>
      <protection locked="true" hidden="false"/>
    </xf>
    <xf numFmtId="168" fontId="0" fillId="0" borderId="1" xfId="0" applyFont="false" applyBorder="true" applyAlignment="false" applyProtection="false">
      <alignment horizontal="general" vertical="bottom" textRotation="0" wrapText="false" indent="0" shrinkToFit="false"/>
      <protection locked="true" hidden="false"/>
    </xf>
    <xf numFmtId="169" fontId="0" fillId="0" borderId="1" xfId="0" applyFont="false" applyBorder="true" applyAlignment="false" applyProtection="false">
      <alignment horizontal="general" vertical="bottom" textRotation="0" wrapText="false" indent="0" shrinkToFit="false"/>
      <protection locked="true" hidden="false"/>
    </xf>
    <xf numFmtId="170" fontId="8" fillId="0" borderId="1" xfId="0" applyFont="true" applyBorder="true" applyAlignment="false" applyProtection="false">
      <alignment horizontal="general" vertical="bottom" textRotation="0" wrapText="false" indent="0" shrinkToFit="false"/>
      <protection locked="true" hidden="false"/>
    </xf>
    <xf numFmtId="168" fontId="7" fillId="0" borderId="1" xfId="0" applyFont="true" applyBorder="true" applyAlignment="false" applyProtection="false">
      <alignment horizontal="general" vertical="bottom" textRotation="0" wrapText="false" indent="0" shrinkToFit="false"/>
      <protection locked="true" hidden="false"/>
    </xf>
    <xf numFmtId="167" fontId="0" fillId="0" borderId="1" xfId="0" applyFont="false" applyBorder="true" applyAlignment="false" applyProtection="false">
      <alignment horizontal="general" vertical="bottom" textRotation="0" wrapText="false" indent="0" shrinkToFit="false"/>
      <protection locked="true" hidden="false"/>
    </xf>
    <xf numFmtId="167" fontId="7" fillId="0" borderId="1" xfId="0" applyFont="true" applyBorder="true" applyAlignment="false" applyProtection="false">
      <alignment horizontal="general" vertical="bottom" textRotation="0" wrapText="false" indent="0" shrinkToFit="false"/>
      <protection locked="true" hidden="false"/>
    </xf>
    <xf numFmtId="164" fontId="7" fillId="5" borderId="1" xfId="0" applyFont="true" applyBorder="true" applyAlignment="false" applyProtection="false">
      <alignment horizontal="general" vertical="bottom" textRotation="0" wrapText="false" indent="0" shrinkToFit="false"/>
      <protection locked="true" hidden="false"/>
    </xf>
    <xf numFmtId="164" fontId="5" fillId="5" borderId="1" xfId="0" applyFont="true" applyBorder="true" applyAlignment="false" applyProtection="false">
      <alignment horizontal="general" vertical="bottom" textRotation="0" wrapText="false" indent="0" shrinkToFit="false"/>
      <protection locked="true" hidden="false"/>
    </xf>
    <xf numFmtId="167" fontId="5" fillId="5" borderId="1" xfId="0" applyFont="true" applyBorder="true" applyAlignment="false" applyProtection="false">
      <alignment horizontal="general" vertical="bottom" textRotation="0" wrapText="false" indent="0" shrinkToFit="false"/>
      <protection locked="true" hidden="false"/>
    </xf>
    <xf numFmtId="165" fontId="5" fillId="5" borderId="1" xfId="0" applyFont="true" applyBorder="true" applyAlignment="false" applyProtection="false">
      <alignment horizontal="general" vertical="bottom" textRotation="0" wrapText="false" indent="0" shrinkToFit="false"/>
      <protection locked="true" hidden="false"/>
    </xf>
    <xf numFmtId="166" fontId="5" fillId="5" borderId="1" xfId="0" applyFont="true" applyBorder="true" applyAlignment="false" applyProtection="false">
      <alignment horizontal="general" vertical="bottom" textRotation="0" wrapText="false" indent="0" shrinkToFit="false"/>
      <protection locked="true" hidden="false"/>
    </xf>
    <xf numFmtId="164" fontId="5" fillId="6" borderId="1" xfId="0" applyFont="true" applyBorder="true" applyAlignment="false" applyProtection="false">
      <alignment horizontal="general" vertical="bottom" textRotation="0" wrapText="false" indent="0" shrinkToFit="false"/>
      <protection locked="true" hidden="false"/>
    </xf>
    <xf numFmtId="169" fontId="7" fillId="6" borderId="1" xfId="0" applyFont="true" applyBorder="true" applyAlignment="false" applyProtection="false">
      <alignment horizontal="general" vertical="bottom" textRotation="0" wrapText="false" indent="0" shrinkToFit="false"/>
      <protection locked="true" hidden="false"/>
    </xf>
    <xf numFmtId="171" fontId="5" fillId="6" borderId="1" xfId="0" applyFont="true" applyBorder="true" applyAlignment="false" applyProtection="false">
      <alignment horizontal="general" vertical="bottom" textRotation="0" wrapText="false" indent="0" shrinkToFit="false"/>
      <protection locked="true" hidden="false"/>
    </xf>
    <xf numFmtId="171" fontId="7" fillId="6" borderId="1" xfId="0" applyFont="true" applyBorder="true" applyAlignment="false" applyProtection="false">
      <alignment horizontal="general" vertical="bottom" textRotation="0" wrapText="false" indent="0" shrinkToFit="false"/>
      <protection locked="true" hidden="false"/>
    </xf>
    <xf numFmtId="166" fontId="5" fillId="6" borderId="1" xfId="0" applyFont="true" applyBorder="true" applyAlignment="false" applyProtection="false">
      <alignment horizontal="general" vertical="bottom" textRotation="0" wrapText="false" indent="0" shrinkToFit="false"/>
      <protection locked="true" hidden="false"/>
    </xf>
    <xf numFmtId="172" fontId="7" fillId="6" borderId="1" xfId="0" applyFont="true" applyBorder="true" applyAlignment="false" applyProtection="false">
      <alignment horizontal="general" vertical="bottom" textRotation="0" wrapText="false" indent="0" shrinkToFit="false"/>
      <protection locked="true" hidden="false"/>
    </xf>
    <xf numFmtId="172" fontId="5" fillId="6"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false" applyProtection="false">
      <alignment horizontal="general" vertical="bottom" textRotation="0" wrapText="false" indent="0" shrinkToFit="false"/>
      <protection locked="true" hidden="false"/>
    </xf>
    <xf numFmtId="169" fontId="7" fillId="0" borderId="1" xfId="0" applyFont="true" applyBorder="true" applyAlignment="false" applyProtection="false">
      <alignment horizontal="general" vertical="bottom" textRotation="0" wrapText="false" indent="0" shrinkToFit="false"/>
      <protection locked="true" hidden="false"/>
    </xf>
    <xf numFmtId="171" fontId="5" fillId="0" borderId="1" xfId="0" applyFont="true" applyBorder="true" applyAlignment="false" applyProtection="false">
      <alignment horizontal="general" vertical="bottom" textRotation="0" wrapText="false" indent="0" shrinkToFit="false"/>
      <protection locked="true" hidden="false"/>
    </xf>
    <xf numFmtId="171" fontId="7" fillId="0" borderId="1" xfId="0" applyFont="true" applyBorder="true" applyAlignment="false" applyProtection="false">
      <alignment horizontal="general" vertical="bottom" textRotation="0" wrapText="false" indent="0" shrinkToFit="false"/>
      <protection locked="true" hidden="false"/>
    </xf>
    <xf numFmtId="166" fontId="5" fillId="0" borderId="1" xfId="0" applyFont="true" applyBorder="true" applyAlignment="false" applyProtection="false">
      <alignment horizontal="general" vertical="bottom" textRotation="0" wrapText="false" indent="0" shrinkToFit="false"/>
      <protection locked="true" hidden="false"/>
    </xf>
    <xf numFmtId="172" fontId="7" fillId="0" borderId="1" xfId="0" applyFont="true" applyBorder="true" applyAlignment="false" applyProtection="false">
      <alignment horizontal="general" vertical="bottom" textRotation="0" wrapText="false" indent="0" shrinkToFit="false"/>
      <protection locked="true" hidden="false"/>
    </xf>
    <xf numFmtId="172" fontId="5" fillId="0" borderId="1" xfId="0" applyFont="true" applyBorder="true" applyAlignment="false" applyProtection="false">
      <alignment horizontal="general" vertical="bottom" textRotation="0" wrapText="false" indent="0" shrinkToFit="false"/>
      <protection locked="true" hidden="false"/>
    </xf>
    <xf numFmtId="164" fontId="5" fillId="0" borderId="0" xfId="0" applyFont="true" applyBorder="true" applyAlignment="true" applyProtection="false">
      <alignment horizontal="general" vertical="top" textRotation="0" wrapText="true" indent="0" shrinkToFit="false"/>
      <protection locked="true" hidden="false"/>
    </xf>
    <xf numFmtId="169" fontId="5" fillId="6" borderId="1" xfId="0" applyFont="true" applyBorder="true" applyAlignment="false" applyProtection="false">
      <alignment horizontal="general" vertical="bottom" textRotation="0" wrapText="false" indent="0" shrinkToFit="false"/>
      <protection locked="true" hidden="false"/>
    </xf>
    <xf numFmtId="166" fontId="7" fillId="6" borderId="1" xfId="0" applyFont="true" applyBorder="true" applyAlignment="false" applyProtection="false">
      <alignment horizontal="general" vertical="bottom" textRotation="0" wrapText="false" indent="0" shrinkToFit="false"/>
      <protection locked="true" hidden="false"/>
    </xf>
    <xf numFmtId="169" fontId="5" fillId="0" borderId="1" xfId="0" applyFont="true" applyBorder="true" applyAlignment="false" applyProtection="false">
      <alignment horizontal="general" vertical="bottom" textRotation="0" wrapText="false" indent="0" shrinkToFit="false"/>
      <protection locked="true" hidden="false"/>
    </xf>
    <xf numFmtId="166" fontId="7" fillId="0" borderId="1" xfId="0" applyFont="true" applyBorder="true" applyAlignment="false" applyProtection="false">
      <alignment horizontal="general" vertical="bottom" textRotation="0" wrapText="false" indent="0" shrinkToFit="false"/>
      <protection locked="true" hidden="false"/>
    </xf>
    <xf numFmtId="164" fontId="0" fillId="5" borderId="1" xfId="0" applyFont="false" applyBorder="true" applyAlignment="false" applyProtection="false">
      <alignment horizontal="general" vertical="bottom" textRotation="0" wrapText="false" indent="0" shrinkToFit="false"/>
      <protection locked="true" hidden="false"/>
    </xf>
    <xf numFmtId="166" fontId="0" fillId="5" borderId="1" xfId="0" applyFont="false" applyBorder="true" applyAlignment="false" applyProtection="false">
      <alignment horizontal="general" vertical="bottom" textRotation="0" wrapText="false" indent="0" shrinkToFit="false"/>
      <protection locked="true" hidden="false"/>
    </xf>
    <xf numFmtId="165" fontId="0" fillId="5" borderId="1" xfId="0" applyFont="false" applyBorder="true" applyAlignment="false" applyProtection="false">
      <alignment horizontal="general" vertical="bottom" textRotation="0" wrapText="false" indent="0" shrinkToFit="false"/>
      <protection locked="true" hidden="false"/>
    </xf>
    <xf numFmtId="165" fontId="5" fillId="0" borderId="1" xfId="0" applyFont="true" applyBorder="true" applyAlignment="false" applyProtection="false">
      <alignment horizontal="general" vertical="bottom" textRotation="0" wrapText="false" indent="0" shrinkToFit="false"/>
      <protection locked="true" hidden="false"/>
    </xf>
    <xf numFmtId="165" fontId="7" fillId="0" borderId="1" xfId="0" applyFont="true" applyBorder="true" applyAlignment="false" applyProtection="false">
      <alignment horizontal="general" vertical="bottom" textRotation="0" wrapText="false" indent="0" shrinkToFit="false"/>
      <protection locked="true" hidden="false"/>
    </xf>
    <xf numFmtId="164" fontId="7" fillId="0" borderId="1" xfId="0" applyFont="true" applyBorder="true" applyAlignment="false" applyProtection="false">
      <alignment horizontal="general" vertical="bottom" textRotation="0" wrapText="false" indent="0" shrinkToFit="false"/>
      <protection locked="true" hidden="false"/>
    </xf>
    <xf numFmtId="170" fontId="0" fillId="0" borderId="1" xfId="0" applyFont="false" applyBorder="true" applyAlignment="false" applyProtection="false">
      <alignment horizontal="general" vertical="bottom" textRotation="0" wrapText="false" indent="0" shrinkToFit="false"/>
      <protection locked="true" hidden="false"/>
    </xf>
    <xf numFmtId="164" fontId="6" fillId="0" borderId="1" xfId="0" applyFont="true" applyBorder="true" applyAlignment="false" applyProtection="false">
      <alignment horizontal="general" vertical="bottom" textRotation="0" wrapText="false" indent="0" shrinkToFit="false"/>
      <protection locked="true" hidden="false"/>
    </xf>
    <xf numFmtId="173" fontId="0" fillId="0" borderId="1" xfId="0" applyFont="false" applyBorder="true" applyAlignment="false" applyProtection="false">
      <alignment horizontal="general" vertical="bottom" textRotation="0" wrapText="false" indent="0" shrinkToFit="false"/>
      <protection locked="true" hidden="false"/>
    </xf>
    <xf numFmtId="166" fontId="0" fillId="0" borderId="1" xfId="0" applyFont="false" applyBorder="true" applyAlignment="false" applyProtection="false">
      <alignment horizontal="general" vertical="bottom" textRotation="0" wrapText="false" indent="0" shrinkToFit="false"/>
      <protection locked="true" hidden="false"/>
    </xf>
    <xf numFmtId="164" fontId="0" fillId="0" borderId="1" xfId="0" applyFont="false" applyBorder="true" applyAlignment="false" applyProtection="false">
      <alignment horizontal="general" vertical="bottom" textRotation="0" wrapText="false" indent="0" shrinkToFit="false"/>
      <protection locked="true" hidden="false"/>
    </xf>
    <xf numFmtId="174" fontId="0" fillId="0" borderId="0" xfId="0" applyFont="false" applyBorder="false" applyAlignment="false" applyProtection="false">
      <alignment horizontal="general" vertical="bottom" textRotation="0" wrapText="false" indent="0" shrinkToFit="false"/>
      <protection locked="true" hidden="false"/>
    </xf>
    <xf numFmtId="164" fontId="0" fillId="0" borderId="0" xfId="0" applyFont="true" applyBorder="false" applyAlignment="false" applyProtection="false">
      <alignment horizontal="general" vertical="bottom" textRotation="0" wrapText="false" indent="0" shrinkToFit="false"/>
      <protection locked="true" hidden="false"/>
    </xf>
    <xf numFmtId="165" fontId="10" fillId="0" borderId="0" xfId="0" applyFont="true" applyBorder="false" applyAlignment="false" applyProtection="false">
      <alignment horizontal="general" vertical="bottom" textRotation="0" wrapText="false" indent="0" shrinkToFit="false"/>
      <protection locked="true" hidden="false"/>
    </xf>
    <xf numFmtId="171" fontId="0" fillId="0" borderId="0" xfId="0" applyFont="false" applyBorder="false" applyAlignment="false" applyProtection="false">
      <alignment horizontal="general" vertical="bottom" textRotation="0" wrapText="false" indent="0" shrinkToFit="false"/>
      <protection locked="true" hidden="false"/>
    </xf>
    <xf numFmtId="166" fontId="10" fillId="0" borderId="0" xfId="0" applyFont="true" applyBorder="false" applyAlignment="false" applyProtection="false">
      <alignment horizontal="general" vertical="bottom" textRotation="0" wrapText="false" indent="0" shrinkToFit="false"/>
      <protection locked="true" hidden="false"/>
    </xf>
    <xf numFmtId="167" fontId="7" fillId="5" borderId="1" xfId="0" applyFont="true" applyBorder="true" applyAlignment="false" applyProtection="false">
      <alignment horizontal="general" vertical="bottom" textRotation="0" wrapText="false" indent="0" shrinkToFit="false"/>
      <protection locked="true" hidden="false"/>
    </xf>
    <xf numFmtId="165" fontId="7" fillId="5" borderId="1" xfId="0" applyFont="true" applyBorder="true" applyAlignment="false" applyProtection="false">
      <alignment horizontal="general" vertical="bottom" textRotation="0" wrapText="false" indent="0" shrinkToFit="false"/>
      <protection locked="true" hidden="false"/>
    </xf>
    <xf numFmtId="166" fontId="7" fillId="5" borderId="1" xfId="0" applyFont="true" applyBorder="true" applyAlignment="false" applyProtection="false">
      <alignment horizontal="general" vertical="bottom" textRotation="0" wrapText="false" indent="0" shrinkToFit="false"/>
      <protection locked="true" hidden="false"/>
    </xf>
    <xf numFmtId="164" fontId="7" fillId="7" borderId="0" xfId="0" applyFont="true" applyBorder="false" applyAlignment="false" applyProtection="false">
      <alignment horizontal="general" vertical="bottom" textRotation="0" wrapText="false" indent="0" shrinkToFit="false"/>
      <protection locked="true" hidden="false"/>
    </xf>
    <xf numFmtId="164" fontId="0" fillId="7" borderId="0" xfId="0" applyFont="false" applyBorder="false" applyAlignment="false" applyProtection="false">
      <alignment horizontal="general" vertical="bottom" textRotation="0" wrapText="false" indent="0" shrinkToFit="false"/>
      <protection locked="true" hidden="false"/>
    </xf>
    <xf numFmtId="164" fontId="9" fillId="8" borderId="1" xfId="0" applyFont="true" applyBorder="true" applyAlignment="true" applyProtection="false">
      <alignment horizontal="center" vertical="center" textRotation="0" wrapText="true" indent="0" shrinkToFit="false"/>
      <protection locked="true" hidden="false"/>
    </xf>
    <xf numFmtId="167" fontId="5" fillId="0" borderId="1" xfId="0" applyFont="true" applyBorder="true" applyAlignment="false" applyProtection="false">
      <alignment horizontal="general" vertical="bottom" textRotation="0" wrapText="false" indent="0" shrinkToFit="false"/>
      <protection locked="true" hidden="false"/>
    </xf>
    <xf numFmtId="175" fontId="5" fillId="7" borderId="0" xfId="0" applyFont="true" applyBorder="false" applyAlignment="false" applyProtection="false">
      <alignment horizontal="general" vertical="bottom" textRotation="0" wrapText="false" indent="0" shrinkToFit="false"/>
      <protection locked="true" hidden="false"/>
    </xf>
    <xf numFmtId="167" fontId="5" fillId="7" borderId="0" xfId="0" applyFont="true" applyBorder="false" applyAlignment="false" applyProtection="false">
      <alignment horizontal="general" vertical="bottom" textRotation="0" wrapText="false" indent="0" shrinkToFit="false"/>
      <protection locked="true" hidden="false"/>
    </xf>
    <xf numFmtId="165" fontId="5" fillId="7" borderId="0" xfId="0" applyFont="true" applyBorder="false" applyAlignment="false" applyProtection="false">
      <alignment horizontal="general" vertical="bottom" textRotation="0" wrapText="false" indent="0" shrinkToFit="false"/>
      <protection locked="true" hidden="false"/>
    </xf>
    <xf numFmtId="164" fontId="5" fillId="7" borderId="0" xfId="0" applyFont="true" applyBorder="false" applyAlignment="false" applyProtection="false">
      <alignment horizontal="general" vertical="bottom" textRotation="0" wrapText="false" indent="0" shrinkToFit="false"/>
      <protection locked="true" hidden="false"/>
    </xf>
    <xf numFmtId="170" fontId="5" fillId="0" borderId="1" xfId="0" applyFont="true" applyBorder="true" applyAlignment="false" applyProtection="false">
      <alignment horizontal="general" vertical="bottom" textRotation="0" wrapText="false" indent="0" shrinkToFit="false"/>
      <protection locked="true" hidden="false"/>
    </xf>
    <xf numFmtId="170" fontId="7" fillId="0" borderId="1" xfId="0" applyFont="true" applyBorder="true" applyAlignment="false" applyProtection="false">
      <alignment horizontal="general" vertical="bottom" textRotation="0" wrapText="false" indent="0" shrinkToFit="false"/>
      <protection locked="true" hidden="false"/>
    </xf>
    <xf numFmtId="164" fontId="5" fillId="0" borderId="1" xfId="0" applyFont="true" applyBorder="true" applyAlignment="true" applyProtection="false">
      <alignment horizontal="general" vertical="top" textRotation="0" wrapText="true" indent="0" shrinkToFit="false"/>
      <protection locked="true" hidden="false"/>
    </xf>
    <xf numFmtId="165" fontId="0" fillId="0" borderId="0" xfId="0" applyFont="false" applyBorder="false" applyAlignment="false" applyProtection="false">
      <alignment horizontal="general" vertical="bottom" textRotation="0" wrapText="false" indent="0" shrinkToFit="false"/>
      <protection locked="true" hidden="false"/>
    </xf>
    <xf numFmtId="167" fontId="0" fillId="0" borderId="0" xfId="0" applyFont="false" applyBorder="false" applyAlignment="false" applyProtection="false">
      <alignment horizontal="general" vertical="bottom" textRotation="0" wrapText="fals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xf numFmtId="176" fontId="5" fillId="0" borderId="1" xfId="0" applyFont="true" applyBorder="true" applyAlignment="false" applyProtection="false">
      <alignment horizontal="general" vertical="bottom" textRotation="0" wrapText="false" indent="0" shrinkToFit="false"/>
      <protection locked="true" hidden="false"/>
    </xf>
    <xf numFmtId="175" fontId="5" fillId="0" borderId="1" xfId="0" applyFont="true" applyBorder="true" applyAlignment="false" applyProtection="false">
      <alignment horizontal="general" vertical="bottom" textRotation="0" wrapText="false" indent="0" shrinkToFit="false"/>
      <protection locked="true" hidden="false"/>
    </xf>
    <xf numFmtId="167" fontId="0" fillId="5" borderId="1" xfId="0" applyFont="false" applyBorder="true" applyAlignment="false" applyProtection="false">
      <alignment horizontal="general" vertical="bottom" textRotation="0" wrapText="false" indent="0" shrinkToFit="false"/>
      <protection locked="true" hidden="false"/>
    </xf>
    <xf numFmtId="177" fontId="0" fillId="5" borderId="1" xfId="0" applyFont="false" applyBorder="true" applyAlignment="false" applyProtection="false">
      <alignment horizontal="general" vertical="bottom" textRotation="0" wrapText="false" indent="0" shrinkToFit="false"/>
      <protection locked="true" hidden="false"/>
    </xf>
    <xf numFmtId="175" fontId="0" fillId="5" borderId="1" xfId="0" applyFont="false" applyBorder="true" applyAlignment="false" applyProtection="false">
      <alignment horizontal="general" vertical="bottom" textRotation="0" wrapText="false" indent="0" shrinkToFit="false"/>
      <protection locked="true" hidden="false"/>
    </xf>
    <xf numFmtId="178" fontId="5" fillId="0" borderId="0" xfId="0" applyFont="true" applyBorder="false" applyAlignment="false" applyProtection="false">
      <alignment horizontal="general" vertical="bottom" textRotation="0" wrapText="false" indent="0" shrinkToFit="false"/>
      <protection locked="true" hidden="false"/>
    </xf>
    <xf numFmtId="166" fontId="5" fillId="0" borderId="0" xfId="0" applyFont="true" applyBorder="false" applyAlignment="false" applyProtection="false">
      <alignment horizontal="general" vertical="bottom" textRotation="0" wrapText="false" indent="0" shrinkToFit="false"/>
      <protection locked="true" hidden="false"/>
    </xf>
    <xf numFmtId="166" fontId="7" fillId="0" borderId="0" xfId="0" applyFont="true" applyBorder="false" applyAlignment="false" applyProtection="false">
      <alignment horizontal="general" vertical="bottom" textRotation="0" wrapText="false" indent="0" shrinkToFit="false"/>
      <protection locked="true" hidden="false"/>
    </xf>
    <xf numFmtId="169" fontId="7" fillId="0" borderId="0" xfId="0" applyFont="true" applyBorder="false" applyAlignment="false" applyProtection="false">
      <alignment horizontal="general" vertical="bottom" textRotation="0" wrapText="false" indent="0" shrinkToFit="false"/>
      <protection locked="true" hidden="false"/>
    </xf>
    <xf numFmtId="171" fontId="5" fillId="0" borderId="0" xfId="0" applyFont="true" applyBorder="false" applyAlignment="false" applyProtection="false">
      <alignment horizontal="general" vertical="bottom" textRotation="0" wrapText="false" indent="0" shrinkToFit="false"/>
      <protection locked="true" hidden="false"/>
    </xf>
    <xf numFmtId="171" fontId="7" fillId="0" borderId="0" xfId="0" applyFont="true" applyBorder="false" applyAlignment="false" applyProtection="false">
      <alignment horizontal="general" vertical="bottom" textRotation="0" wrapText="false" indent="0" shrinkToFit="false"/>
      <protection locked="true" hidden="false"/>
    </xf>
    <xf numFmtId="172" fontId="7" fillId="0" borderId="0" xfId="0" applyFont="true" applyBorder="false" applyAlignment="false" applyProtection="false">
      <alignment horizontal="general" vertical="bottom" textRotation="0" wrapText="false" indent="0" shrinkToFit="false"/>
      <protection locked="true" hidden="false"/>
    </xf>
    <xf numFmtId="172" fontId="5" fillId="0" borderId="0" xfId="0" applyFont="true" applyBorder="false" applyAlignment="false" applyProtection="false">
      <alignment horizontal="general" vertical="bottom" textRotation="0" wrapText="false" indent="0" shrinkToFit="false"/>
      <protection locked="true" hidden="false"/>
    </xf>
    <xf numFmtId="179" fontId="5" fillId="0" borderId="0" xfId="0" applyFont="true" applyBorder="false" applyAlignment="false" applyProtection="false">
      <alignment horizontal="general" vertical="bottom" textRotation="0" wrapText="false" indent="0" shrinkToFit="false"/>
      <protection locked="true" hidden="false"/>
    </xf>
    <xf numFmtId="177" fontId="5" fillId="0" borderId="0" xfId="0" applyFont="true" applyBorder="false" applyAlignment="false" applyProtection="false">
      <alignment horizontal="general" vertical="bottom" textRotation="0" wrapText="false" indent="0" shrinkToFit="false"/>
      <protection locked="true" hidden="false"/>
    </xf>
    <xf numFmtId="164" fontId="12"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dxfs count="3">
    <dxf>
      <fill>
        <patternFill>
          <bgColor rgb="FFFFEB9C"/>
        </patternFill>
      </fill>
    </dxf>
    <dxf>
      <fill>
        <patternFill>
          <bgColor rgb="FFC6EFCE"/>
        </patternFill>
      </fill>
    </dxf>
    <dxf>
      <fill>
        <patternFill>
          <bgColor rgb="FFF8CBAD"/>
        </patternFill>
      </fill>
    </dxf>
  </dxf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BFBFBF"/>
      <rgbColor rgb="FF7F7F7F"/>
      <rgbColor rgb="FF9999FF"/>
      <rgbColor rgb="FF993366"/>
      <rgbColor rgb="FFFFF2CC"/>
      <rgbColor rgb="FFE2EFDA"/>
      <rgbColor rgb="FF660066"/>
      <rgbColor rgb="FFFF8080"/>
      <rgbColor rgb="FF0066CC"/>
      <rgbColor rgb="FFD6E3F0"/>
      <rgbColor rgb="FF000080"/>
      <rgbColor rgb="FFFF00FF"/>
      <rgbColor rgb="FFFFFF00"/>
      <rgbColor rgb="FF00FFFF"/>
      <rgbColor rgb="FF800080"/>
      <rgbColor rgb="FF800000"/>
      <rgbColor rgb="FF008080"/>
      <rgbColor rgb="FF0000FF"/>
      <rgbColor rgb="FF00CCFF"/>
      <rgbColor rgb="FFF2F2F2"/>
      <rgbColor rgb="FFC6EFCE"/>
      <rgbColor rgb="FFFFEB9C"/>
      <rgbColor rgb="FF99CCFF"/>
      <rgbColor rgb="FFFF99CC"/>
      <rgbColor rgb="FFCC99FF"/>
      <rgbColor rgb="FFF8CBAD"/>
      <rgbColor rgb="FF3366FF"/>
      <rgbColor rgb="FF33CCCC"/>
      <rgbColor rgb="FF99CC00"/>
      <rgbColor rgb="FFFFCC00"/>
      <rgbColor rgb="FFFF9900"/>
      <rgbColor rgb="FFFF6600"/>
      <rgbColor rgb="FF666666"/>
      <rgbColor rgb="FF969696"/>
      <rgbColor rgb="FF003366"/>
      <rgbColor rgb="FF339966"/>
      <rgbColor rgb="FF003300"/>
      <rgbColor rgb="FF333300"/>
      <rgbColor rgb="FF993300"/>
      <rgbColor rgb="FF993366"/>
      <rgbColor rgb="FF1F4E79"/>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worksheet" Target="worksheets/sheet2.xml"/><Relationship Id="rId5" Type="http://schemas.openxmlformats.org/officeDocument/2006/relationships/worksheet" Target="worksheets/sheet3.xml"/><Relationship Id="rId6" Type="http://schemas.openxmlformats.org/officeDocument/2006/relationships/worksheet" Target="worksheets/sheet4.xml"/><Relationship Id="rId7" Type="http://schemas.openxmlformats.org/officeDocument/2006/relationships/worksheet" Target="worksheets/sheet5.xml"/><Relationship Id="rId8" Type="http://schemas.openxmlformats.org/officeDocument/2006/relationships/worksheet" Target="worksheets/sheet6.xml"/><Relationship Id="rId9" Type="http://schemas.openxmlformats.org/officeDocument/2006/relationships/worksheet" Target="worksheets/sheet7.xml"/><Relationship Id="rId10" Type="http://schemas.openxmlformats.org/officeDocument/2006/relationships/worksheet" Target="worksheets/sheet8.xml"/><Relationship Id="rId11" Type="http://schemas.openxmlformats.org/officeDocument/2006/relationships/worksheet" Target="worksheets/sheet9.xml"/><Relationship Id="rId12" Type="http://schemas.openxmlformats.org/officeDocument/2006/relationships/worksheet" Target="worksheets/sheet10.xml"/><Relationship Id="rId13" Type="http://schemas.openxmlformats.org/officeDocument/2006/relationships/worksheet" Target="worksheets/sheet11.xml"/><Relationship Id="rId14" Type="http://schemas.openxmlformats.org/officeDocument/2006/relationships/worksheet" Target="worksheets/sheet12.xml"/><Relationship Id="rId15" Type="http://schemas.openxmlformats.org/officeDocument/2006/relationships/worksheet" Target="worksheets/sheet13.xml"/><Relationship Id="rId16" Type="http://schemas.openxmlformats.org/officeDocument/2006/relationships/worksheet" Target="worksheets/sheet14.xml"/><Relationship Id="rId17" Type="http://schemas.openxmlformats.org/officeDocument/2006/relationships/worksheet" Target="worksheets/sheet15.xml"/><Relationship Id="rId18" Type="http://schemas.openxmlformats.org/officeDocument/2006/relationships/worksheet" Target="worksheets/sheet16.xml"/><Relationship Id="rId19" Type="http://schemas.openxmlformats.org/officeDocument/2006/relationships/worksheet" Target="worksheets/sheet17.xml"/><Relationship Id="rId20" Type="http://schemas.openxmlformats.org/officeDocument/2006/relationships/worksheet" Target="worksheets/sheet18.xml"/><Relationship Id="rId21" Type="http://schemas.openxmlformats.org/officeDocument/2006/relationships/sharedStrings" Target="sharedStrings.xml"/>
</Relationships>
</file>

<file path=xl/drawings/_rels/drawing1.xml.rels><?xml version="1.0" encoding="UTF-8"?>
<Relationships xmlns="http://schemas.openxmlformats.org/package/2006/relationships"><Relationship Id="rId1" Type="http://schemas.openxmlformats.org/officeDocument/2006/relationships/image" Target="../media/image1.png"/>
</Relationships>
</file>

<file path=xl/drawings/drawing1.xml><?xml version="1.0" encoding="utf-8"?>
<xdr:wsDr xmlns:xdr="http://schemas.openxmlformats.org/drawingml/2006/spreadsheetDrawing" xmlns:a="http://schemas.openxmlformats.org/drawingml/2006/main" xmlns:r="http://schemas.openxmlformats.org/officeDocument/2006/relationships">
  <xdr:twoCellAnchor editAs="oneCell">
    <xdr:from>
      <xdr:col>9</xdr:col>
      <xdr:colOff>0</xdr:colOff>
      <xdr:row>1</xdr:row>
      <xdr:rowOff>160560</xdr:rowOff>
    </xdr:from>
    <xdr:to>
      <xdr:col>18</xdr:col>
      <xdr:colOff>532800</xdr:colOff>
      <xdr:row>10</xdr:row>
      <xdr:rowOff>68760</xdr:rowOff>
    </xdr:to>
    <xdr:pic>
      <xdr:nvPicPr>
        <xdr:cNvPr id="0" name="Image 1" descr="Picture"/>
        <xdr:cNvPicPr/>
      </xdr:nvPicPr>
      <xdr:blipFill>
        <a:blip r:embed="rId1"/>
        <a:stretch/>
      </xdr:blipFill>
      <xdr:spPr>
        <a:xfrm>
          <a:off x="14333400" y="380880"/>
          <a:ext cx="6036120" cy="2575080"/>
        </a:xfrm>
        <a:prstGeom prst="rect">
          <a:avLst/>
        </a:prstGeom>
        <a:ln w="0">
          <a:noFill/>
        </a:ln>
      </xdr:spPr>
    </xdr:pic>
    <xdr:clientData/>
  </xdr:twoCellAnchor>
</xdr:wsDr>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_rels/sheet2.xml.rels><?xml version="1.0" encoding="UTF-8"?>
<Relationships xmlns="http://schemas.openxmlformats.org/package/2006/relationships"><Relationship Id="rId1" Type="http://schemas.openxmlformats.org/officeDocument/2006/relationships/comments" Target="../comments2.xml"/><Relationship Id="rId2" Type="http://schemas.openxmlformats.org/officeDocument/2006/relationships/vmlDrawing" Target="../drawings/vmlDrawing1.vml"/>
</Relationships>
</file>

<file path=xl/worksheets/_rels/sheet3.xml.rels><?xml version="1.0" encoding="UTF-8"?>
<Relationships xmlns="http://schemas.openxmlformats.org/package/2006/relationships"><Relationship Id="rId1" Type="http://schemas.openxmlformats.org/officeDocument/2006/relationships/comments" Target="../comments3.xml"/><Relationship Id="rId2" Type="http://schemas.openxmlformats.org/officeDocument/2006/relationships/vmlDrawing" Target="../drawings/vmlDrawing2.vml"/>
</Relationships>
</file>

<file path=xl/worksheets/_rels/sheet4.xml.rels><?xml version="1.0" encoding="UTF-8"?>
<Relationships xmlns="http://schemas.openxmlformats.org/package/2006/relationships"><Relationship Id="rId1" Type="http://schemas.openxmlformats.org/officeDocument/2006/relationships/comments" Target="../comments4.xml"/><Relationship Id="rId2" Type="http://schemas.openxmlformats.org/officeDocument/2006/relationships/vmlDrawing" Target="../drawings/vmlDrawing3.vml"/>
</Relationships>
</file>

<file path=xl/worksheets/_rels/sheet5.xml.rels><?xml version="1.0" encoding="UTF-8"?>
<Relationships xmlns="http://schemas.openxmlformats.org/package/2006/relationships"><Relationship Id="rId1" Type="http://schemas.openxmlformats.org/officeDocument/2006/relationships/drawing" Target="../drawings/drawing1.xml"/>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O192"/>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7" topLeftCell="A8"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30"/>
    <col collapsed="false" customWidth="true" hidden="false" outlineLevel="0" max="2" min="2" style="0" width="34"/>
    <col collapsed="false" customWidth="true" hidden="false" outlineLevel="0" max="3" min="3" style="0" width="20"/>
    <col collapsed="false" customWidth="true" hidden="false" outlineLevel="0" max="6" min="4" style="0" width="15"/>
    <col collapsed="false" customWidth="true" hidden="false" outlineLevel="0" max="7" min="7" style="0" width="16"/>
    <col collapsed="false" customWidth="true" hidden="false" outlineLevel="0" max="11" min="8" style="0" width="13"/>
    <col collapsed="false" customWidth="true" hidden="false" outlineLevel="0" max="12" min="12" style="0" width="14"/>
  </cols>
  <sheetData>
    <row r="1" customFormat="false" ht="17.35" hidden="false" customHeight="false" outlineLevel="0" collapsed="false">
      <c r="A1" s="1" t="s">
        <v>0</v>
      </c>
    </row>
    <row r="2" customFormat="false" ht="15" hidden="false" customHeight="false" outlineLevel="0" collapsed="false">
      <c r="A2" s="2" t="s">
        <v>1</v>
      </c>
    </row>
    <row r="3" customFormat="false" ht="15" hidden="false" customHeight="false" outlineLevel="0" collapsed="false">
      <c r="A3" s="3" t="s">
        <v>2</v>
      </c>
    </row>
    <row r="5" customFormat="false" ht="15" hidden="false" customHeight="false" outlineLevel="0" collapsed="false">
      <c r="A5" s="4" t="s">
        <v>3</v>
      </c>
      <c r="B5" s="4"/>
      <c r="C5" s="4"/>
      <c r="D5" s="4"/>
      <c r="E5" s="4"/>
      <c r="F5" s="4"/>
      <c r="G5" s="4"/>
      <c r="H5" s="4"/>
      <c r="I5" s="4"/>
    </row>
    <row r="6" customFormat="false" ht="15" hidden="false" customHeight="false" outlineLevel="0" collapsed="false">
      <c r="A6" s="5" t="s">
        <v>4</v>
      </c>
      <c r="C6" s="6" t="n">
        <f aca="false">C21</f>
        <v>0.494960810113265</v>
      </c>
      <c r="D6" s="3" t="s">
        <v>5</v>
      </c>
    </row>
    <row r="7" customFormat="false" ht="15" hidden="false" customHeight="false" outlineLevel="0" collapsed="false">
      <c r="A7" s="5" t="s">
        <v>6</v>
      </c>
      <c r="C7" s="7" t="n">
        <v>1</v>
      </c>
      <c r="D7" s="3" t="s">
        <v>7</v>
      </c>
    </row>
    <row r="9" customFormat="false" ht="15" hidden="false" customHeight="false" outlineLevel="0" collapsed="false">
      <c r="A9" s="4" t="s">
        <v>8</v>
      </c>
      <c r="B9" s="4"/>
      <c r="C9" s="4"/>
      <c r="D9" s="4"/>
      <c r="E9" s="4"/>
      <c r="F9" s="4"/>
      <c r="G9" s="4"/>
      <c r="H9" s="4"/>
      <c r="I9" s="4"/>
    </row>
    <row r="10" customFormat="false" ht="31.5" hidden="false" customHeight="true" outlineLevel="0" collapsed="false">
      <c r="A10" s="8" t="s">
        <v>9</v>
      </c>
      <c r="B10" s="8"/>
      <c r="C10" s="8" t="s">
        <v>10</v>
      </c>
      <c r="D10" s="8" t="s">
        <v>11</v>
      </c>
      <c r="E10" s="8" t="s">
        <v>12</v>
      </c>
      <c r="F10" s="8" t="s">
        <v>13</v>
      </c>
      <c r="G10" s="8" t="s">
        <v>14</v>
      </c>
    </row>
    <row r="11" customFormat="false" ht="15" hidden="false" customHeight="false" outlineLevel="0" collapsed="false">
      <c r="A11" s="9" t="s">
        <v>15</v>
      </c>
      <c r="B11" s="9"/>
      <c r="C11" s="10" t="n">
        <f aca="false">D11/(D11+E11)</f>
        <v>0.532712412352854</v>
      </c>
      <c r="D11" s="11" t="n">
        <v>138964.3634785</v>
      </c>
      <c r="E11" s="11" t="n">
        <v>121897.520450072</v>
      </c>
      <c r="F11" s="11" t="n">
        <v>487006</v>
      </c>
      <c r="G11" s="12" t="n">
        <v>0.567547380963682</v>
      </c>
    </row>
    <row r="12" customFormat="false" ht="15" hidden="false" customHeight="false" outlineLevel="0" collapsed="false">
      <c r="A12" s="9" t="s">
        <v>16</v>
      </c>
      <c r="B12" s="9"/>
      <c r="C12" s="10" t="n">
        <f aca="false">D12/(D12+E12)</f>
        <v>0.496045013832947</v>
      </c>
      <c r="D12" s="11" t="n">
        <v>191745.708602983</v>
      </c>
      <c r="E12" s="11" t="n">
        <v>194803.300571329</v>
      </c>
      <c r="F12" s="11" t="n">
        <v>524392</v>
      </c>
      <c r="G12" s="12" t="n">
        <v>0.556119902801681</v>
      </c>
    </row>
    <row r="13" customFormat="false" ht="15" hidden="false" customHeight="false" outlineLevel="0" collapsed="false">
      <c r="A13" s="9" t="s">
        <v>17</v>
      </c>
      <c r="B13" s="9"/>
      <c r="C13" s="10" t="n">
        <f aca="false">D13/(D13+E13)</f>
        <v>0.508784287165594</v>
      </c>
      <c r="D13" s="11" t="n">
        <v>150244</v>
      </c>
      <c r="E13" s="11" t="n">
        <v>145056</v>
      </c>
      <c r="F13" s="11" t="n">
        <v>517457</v>
      </c>
      <c r="G13" s="12" t="n">
        <v>0.546388514068267</v>
      </c>
    </row>
    <row r="14" customFormat="false" ht="15" hidden="false" customHeight="false" outlineLevel="0" collapsed="false">
      <c r="A14" s="9" t="s">
        <v>18</v>
      </c>
      <c r="B14" s="9"/>
      <c r="C14" s="10" t="n">
        <f aca="false">D14/(D14+E14)</f>
        <v>0.49403979796264</v>
      </c>
      <c r="D14" s="11" t="n">
        <v>197775</v>
      </c>
      <c r="E14" s="11" t="n">
        <v>202547</v>
      </c>
      <c r="F14" s="11" t="n">
        <v>542756</v>
      </c>
      <c r="G14" s="12" t="n">
        <v>0.526293179693225</v>
      </c>
    </row>
    <row r="15" customFormat="false" ht="15" hidden="false" customHeight="false" outlineLevel="0" collapsed="false">
      <c r="A15" s="9" t="s">
        <v>19</v>
      </c>
      <c r="B15" s="9"/>
      <c r="C15" s="9"/>
      <c r="D15" s="9"/>
      <c r="E15" s="9"/>
      <c r="F15" s="11" t="n">
        <v>536459</v>
      </c>
      <c r="G15" s="12" t="n">
        <v>0.520563904575044</v>
      </c>
    </row>
    <row r="16" customFormat="false" ht="15" hidden="false" customHeight="false" outlineLevel="0" collapsed="false">
      <c r="A16" s="13" t="s">
        <v>20</v>
      </c>
      <c r="B16" s="13"/>
      <c r="C16" s="13"/>
      <c r="D16" s="13"/>
      <c r="E16" s="13"/>
      <c r="F16" s="13"/>
      <c r="G16" s="13"/>
      <c r="H16" s="13"/>
      <c r="I16" s="13"/>
    </row>
    <row r="18" customFormat="false" ht="15" hidden="false" customHeight="false" outlineLevel="0" collapsed="false">
      <c r="A18" s="2" t="s">
        <v>21</v>
      </c>
      <c r="C18" s="14" t="n">
        <f aca="false">(2*C11+C12+2*C13+C14)/6</f>
        <v>0.512179701805414</v>
      </c>
    </row>
    <row r="19" customFormat="false" ht="15" hidden="false" customHeight="false" outlineLevel="0" collapsed="false">
      <c r="A19" s="2" t="s">
        <v>22</v>
      </c>
      <c r="C19" s="15" t="n">
        <f aca="false">(G15-(2*G11+G12+2*G13+G14)/6)*100</f>
        <v>-3.11502408514234</v>
      </c>
    </row>
    <row r="20" customFormat="false" ht="15" hidden="false" customHeight="false" outlineLevel="0" collapsed="false">
      <c r="A20" s="2" t="s">
        <v>23</v>
      </c>
      <c r="C20" s="16" t="n">
        <v>0.552769135053475</v>
      </c>
      <c r="D20" s="3" t="s">
        <v>24</v>
      </c>
    </row>
    <row r="21" customFormat="false" ht="15" hidden="false" customHeight="false" outlineLevel="0" collapsed="false">
      <c r="A21" s="5" t="s">
        <v>25</v>
      </c>
      <c r="C21" s="17" t="n">
        <f aca="false">C18+C20*C19/100</f>
        <v>0.494960810113265</v>
      </c>
    </row>
    <row r="22" customFormat="false" ht="15" hidden="false" customHeight="false" outlineLevel="0" collapsed="false">
      <c r="A22" s="2" t="s">
        <v>26</v>
      </c>
      <c r="C22" s="14" t="n">
        <f aca="false">(0.67*C13+0.33*C14)+C20*(G15-(0.67*G13+0.33*G14))</f>
        <v>0.49330922527432</v>
      </c>
      <c r="D22" s="3" t="s">
        <v>27</v>
      </c>
    </row>
    <row r="23" customFormat="false" ht="15" hidden="false" customHeight="false" outlineLevel="0" collapsed="false">
      <c r="A23" s="2" t="s">
        <v>28</v>
      </c>
      <c r="C23" s="12" t="n">
        <v>0.567469570934891</v>
      </c>
    </row>
    <row r="24" customFormat="false" ht="15" hidden="false" customHeight="false" outlineLevel="0" collapsed="false">
      <c r="A24" s="2" t="s">
        <v>29</v>
      </c>
      <c r="C24" s="11" t="n">
        <v>539345</v>
      </c>
    </row>
    <row r="25" customFormat="false" ht="15" hidden="false" customHeight="false" outlineLevel="0" collapsed="false">
      <c r="A25" s="2" t="s">
        <v>30</v>
      </c>
      <c r="C25" s="18" t="n">
        <f aca="false">C23*C24</f>
        <v>306061.875735879</v>
      </c>
    </row>
    <row r="26" customFormat="false" ht="15" hidden="false" customHeight="false" outlineLevel="0" collapsed="false">
      <c r="A26" s="2" t="s">
        <v>31</v>
      </c>
      <c r="C26" s="11" t="n">
        <v>306130.810989982</v>
      </c>
      <c r="D26" s="3" t="s">
        <v>32</v>
      </c>
    </row>
    <row r="27" customFormat="false" ht="15" hidden="false" customHeight="false" outlineLevel="0" collapsed="false">
      <c r="A27" s="5" t="s">
        <v>33</v>
      </c>
      <c r="C27" s="19" t="n">
        <f aca="false">C26*C7</f>
        <v>306130.810989982</v>
      </c>
    </row>
    <row r="29" customFormat="false" ht="15" hidden="false" customHeight="false" outlineLevel="0" collapsed="false">
      <c r="A29" s="4" t="s">
        <v>34</v>
      </c>
      <c r="B29" s="4"/>
      <c r="C29" s="4"/>
      <c r="D29" s="4"/>
      <c r="E29" s="4"/>
      <c r="F29" s="4"/>
      <c r="G29" s="4"/>
      <c r="H29" s="4"/>
      <c r="I29" s="4"/>
      <c r="J29" s="4"/>
    </row>
    <row r="30" customFormat="false" ht="45" hidden="false" customHeight="true" outlineLevel="0" collapsed="false">
      <c r="A30" s="8" t="s">
        <v>35</v>
      </c>
      <c r="B30" s="8" t="s">
        <v>36</v>
      </c>
      <c r="C30" s="8" t="s">
        <v>37</v>
      </c>
      <c r="D30" s="8" t="s">
        <v>38</v>
      </c>
      <c r="E30" s="8" t="s">
        <v>39</v>
      </c>
      <c r="F30" s="8" t="s">
        <v>40</v>
      </c>
      <c r="G30" s="8" t="s">
        <v>41</v>
      </c>
      <c r="H30" s="8" t="s">
        <v>42</v>
      </c>
      <c r="I30" s="8" t="s">
        <v>43</v>
      </c>
      <c r="J30" s="8" t="s">
        <v>44</v>
      </c>
    </row>
    <row r="31" customFormat="false" ht="15" hidden="false" customHeight="false" outlineLevel="0" collapsed="false">
      <c r="A31" s="20" t="s">
        <v>45</v>
      </c>
      <c r="B31" s="21" t="s">
        <v>46</v>
      </c>
      <c r="C31" s="22" t="n">
        <f aca="false">'2026 Forecast A'!D8</f>
        <v>151527</v>
      </c>
      <c r="D31" s="22" t="n">
        <f aca="false">'2026 Forecast A'!E8</f>
        <v>154602</v>
      </c>
      <c r="E31" s="22" t="n">
        <f aca="false">'2026 Forecast A'!F8</f>
        <v>306129</v>
      </c>
      <c r="F31" s="23" t="n">
        <f aca="false">'2026 Forecast A'!G8</f>
        <v>0.4949776074792</v>
      </c>
      <c r="G31" s="24" t="n">
        <f aca="false">'2026 Forecast A'!L8</f>
        <v>1.02561783880877</v>
      </c>
      <c r="H31" s="21" t="str">
        <f aca="false">TEXT('2026 Forecast A'!M8,"0.0%")&amp;" – "&amp;TEXT('2026 Forecast A'!N8,"0.0%")</f>
        <v>47.5% – 51.5%</v>
      </c>
      <c r="I31" s="22" t="n">
        <f aca="false">'2026 Forecast A'!O8</f>
        <v>10715</v>
      </c>
      <c r="J31" s="22" t="n">
        <f aca="false">'2026 Forecast A'!P8</f>
        <v>6163</v>
      </c>
    </row>
    <row r="32" customFormat="false" ht="15" hidden="false" customHeight="false" outlineLevel="0" collapsed="false">
      <c r="A32" s="20" t="s">
        <v>47</v>
      </c>
      <c r="B32" s="21" t="s">
        <v>48</v>
      </c>
      <c r="C32" s="22" t="n">
        <f aca="false">'2026 Forecast B'!D8</f>
        <v>151521</v>
      </c>
      <c r="D32" s="22" t="n">
        <f aca="false">'2026 Forecast B'!E8</f>
        <v>154608</v>
      </c>
      <c r="E32" s="22" t="n">
        <f aca="false">'2026 Forecast B'!F8</f>
        <v>306129</v>
      </c>
      <c r="F32" s="23" t="n">
        <f aca="false">'2026 Forecast B'!G8</f>
        <v>0.494958007898631</v>
      </c>
      <c r="G32" s="24" t="n">
        <f aca="false">'2026 Forecast B'!L8</f>
        <v>1.02577399392356</v>
      </c>
      <c r="H32" s="21" t="str">
        <f aca="false">TEXT('2026 Forecast B'!M8,"0.0%")&amp;" – "&amp;TEXT('2026 Forecast B'!N8,"0.0%")</f>
        <v>47.5% – 51.5%</v>
      </c>
      <c r="I32" s="22" t="n">
        <f aca="false">'2026 Forecast B'!O8</f>
        <v>10715</v>
      </c>
      <c r="J32" s="22" t="n">
        <f aca="false">'2026 Forecast B'!P8</f>
        <v>6163</v>
      </c>
    </row>
    <row r="33" customFormat="false" ht="15" hidden="false" customHeight="false" outlineLevel="0" collapsed="false">
      <c r="A33" s="20" t="s">
        <v>49</v>
      </c>
      <c r="B33" s="21" t="s">
        <v>50</v>
      </c>
      <c r="C33" s="22" t="n">
        <f aca="false">'2026 Forecast C'!D8</f>
        <v>151525</v>
      </c>
      <c r="D33" s="22" t="n">
        <f aca="false">'2026 Forecast C'!E8</f>
        <v>154604</v>
      </c>
      <c r="E33" s="22" t="n">
        <f aca="false">'2026 Forecast C'!F8</f>
        <v>306129</v>
      </c>
      <c r="F33" s="23" t="n">
        <f aca="false">'2026 Forecast C'!G8</f>
        <v>0.494971074285677</v>
      </c>
      <c r="G33" s="24" t="n">
        <f aca="false">'2026 Forecast C'!L8</f>
        <v>1.02521134994605</v>
      </c>
      <c r="H33" s="21" t="str">
        <f aca="false">TEXT('2026 Forecast C'!M8,"0.0%")&amp;" – "&amp;TEXT('2026 Forecast C'!N8,"0.0%")</f>
        <v>47.5% – 51.5%</v>
      </c>
      <c r="I33" s="22" t="n">
        <f aca="false">'2026 Forecast C'!O8</f>
        <v>10715</v>
      </c>
      <c r="J33" s="22" t="n">
        <f aca="false">'2026 Forecast C'!P8</f>
        <v>6163</v>
      </c>
    </row>
    <row r="34" customFormat="false" ht="15" hidden="false" customHeight="false" outlineLevel="0" collapsed="false">
      <c r="A34" s="13" t="s">
        <v>51</v>
      </c>
      <c r="B34" s="13"/>
      <c r="C34" s="13"/>
      <c r="D34" s="13"/>
      <c r="E34" s="13"/>
      <c r="F34" s="13"/>
      <c r="G34" s="13"/>
      <c r="H34" s="13"/>
      <c r="I34" s="13"/>
      <c r="J34" s="13"/>
    </row>
    <row r="35" customFormat="false" ht="15" hidden="false" customHeight="false" outlineLevel="0" collapsed="false">
      <c r="A35" s="5" t="s">
        <v>52</v>
      </c>
    </row>
    <row r="36" customFormat="false" ht="15" hidden="false" customHeight="false" outlineLevel="0" collapsed="false">
      <c r="A36" s="4" t="s">
        <v>53</v>
      </c>
      <c r="B36" s="4"/>
      <c r="C36" s="4"/>
      <c r="D36" s="4"/>
      <c r="E36" s="4"/>
      <c r="F36" s="4"/>
      <c r="G36" s="4"/>
      <c r="H36" s="4"/>
      <c r="I36" s="4"/>
      <c r="J36" s="4"/>
      <c r="K36" s="4"/>
      <c r="L36" s="4"/>
    </row>
    <row r="37" customFormat="false" ht="60" hidden="false" customHeight="true" outlineLevel="0" collapsed="false">
      <c r="A37" s="8" t="s">
        <v>35</v>
      </c>
      <c r="B37" s="8" t="s">
        <v>54</v>
      </c>
      <c r="C37" s="8" t="s">
        <v>55</v>
      </c>
      <c r="D37" s="8" t="s">
        <v>56</v>
      </c>
      <c r="E37" s="8" t="s">
        <v>57</v>
      </c>
      <c r="F37" s="8" t="s">
        <v>58</v>
      </c>
      <c r="G37" s="8" t="s">
        <v>59</v>
      </c>
      <c r="H37" s="8" t="s">
        <v>60</v>
      </c>
      <c r="I37" s="8" t="s">
        <v>61</v>
      </c>
      <c r="J37" s="8" t="s">
        <v>62</v>
      </c>
      <c r="K37" s="8" t="s">
        <v>63</v>
      </c>
      <c r="L37" s="8" t="s">
        <v>64</v>
      </c>
    </row>
    <row r="38" customFormat="false" ht="15" hidden="false" customHeight="false" outlineLevel="0" collapsed="false">
      <c r="A38" s="25" t="s">
        <v>45</v>
      </c>
      <c r="B38" s="25" t="s">
        <v>65</v>
      </c>
      <c r="C38" s="26" t="n">
        <f aca="false">'Backtest 2024 A'!F99</f>
        <v>-0.413472523604169</v>
      </c>
      <c r="D38" s="27" t="n">
        <f aca="false">'Backtest 2024 A'!F101</f>
        <v>-0.0137406950998367</v>
      </c>
      <c r="E38" s="28" t="n">
        <f aca="false">'Backtest 2024 A'!F102</f>
        <v>0.00271002710027091</v>
      </c>
      <c r="F38" s="27" t="n">
        <f aca="false">'Backtest 2024 A'!F103</f>
        <v>-0.00543249180539229</v>
      </c>
      <c r="G38" s="29" t="n">
        <f aca="false">'Backtest 2024 A'!F100</f>
        <v>1.85185272076324</v>
      </c>
      <c r="H38" s="29" t="n">
        <f aca="false">'Backtest 2024 A'!F98</f>
        <v>1.94998493697388</v>
      </c>
      <c r="I38" s="29" t="n">
        <f aca="false">'Backtest 2024 A'!F104</f>
        <v>2.40683609989418</v>
      </c>
      <c r="J38" s="30" t="n">
        <f aca="false">'Backtest 2024 A'!F105</f>
        <v>0.842696629213483</v>
      </c>
      <c r="K38" s="30" t="n">
        <f aca="false">'Backtest 2024 A'!F106</f>
        <v>0.97752808988764</v>
      </c>
      <c r="L38" s="31" t="n">
        <f aca="false">'Backtest 2024 A'!F107</f>
        <v>0.887640449438202</v>
      </c>
    </row>
    <row r="39" customFormat="false" ht="15" hidden="false" customHeight="false" outlineLevel="0" collapsed="false">
      <c r="A39" s="25" t="s">
        <v>47</v>
      </c>
      <c r="B39" s="25" t="s">
        <v>65</v>
      </c>
      <c r="C39" s="26" t="n">
        <f aca="false">'Backtest 2024 B'!F99</f>
        <v>-0.414469723964156</v>
      </c>
      <c r="D39" s="27" t="n">
        <f aca="false">'Backtest 2024 B'!F101</f>
        <v>-0.0137607325699057</v>
      </c>
      <c r="E39" s="28" t="n">
        <f aca="false">'Backtest 2024 B'!F102</f>
        <v>0.00272966497780924</v>
      </c>
      <c r="F39" s="27" t="n">
        <f aca="false">'Backtest 2024 B'!F103</f>
        <v>-0.00543249180539229</v>
      </c>
      <c r="G39" s="29" t="n">
        <f aca="false">'Backtest 2024 B'!F100</f>
        <v>1.8017453557877</v>
      </c>
      <c r="H39" s="29" t="n">
        <f aca="false">'Backtest 2024 B'!F98</f>
        <v>1.89059663662692</v>
      </c>
      <c r="I39" s="29" t="n">
        <f aca="false">'Backtest 2024 B'!F104</f>
        <v>2.4264909858193</v>
      </c>
      <c r="J39" s="30" t="n">
        <f aca="false">'Backtest 2024 B'!F105</f>
        <v>0.820224719101124</v>
      </c>
      <c r="K39" s="30" t="n">
        <f aca="false">'Backtest 2024 B'!F106</f>
        <v>0.97752808988764</v>
      </c>
      <c r="L39" s="31" t="n">
        <f aca="false">'Backtest 2024 B'!F107</f>
        <v>0.876404494382023</v>
      </c>
    </row>
    <row r="40" customFormat="false" ht="15" hidden="false" customHeight="false" outlineLevel="0" collapsed="false">
      <c r="A40" s="25" t="s">
        <v>49</v>
      </c>
      <c r="B40" s="25" t="s">
        <v>65</v>
      </c>
      <c r="C40" s="26" t="n">
        <f aca="false">'Backtest 2024 C'!F99</f>
        <v>-0.413472523604169</v>
      </c>
      <c r="D40" s="27" t="n">
        <f aca="false">'Backtest 2024 C'!F101</f>
        <v>-0.0137406950998367</v>
      </c>
      <c r="E40" s="28" t="n">
        <f aca="false">'Backtest 2024 C'!F102</f>
        <v>0.00271002710027091</v>
      </c>
      <c r="F40" s="27" t="n">
        <f aca="false">'Backtest 2024 C'!F103</f>
        <v>-0.00543249180539229</v>
      </c>
      <c r="G40" s="29" t="n">
        <f aca="false">'Backtest 2024 C'!F100</f>
        <v>1.8789951657</v>
      </c>
      <c r="H40" s="29" t="n">
        <f aca="false">'Backtest 2024 C'!F98</f>
        <v>1.97298151830599</v>
      </c>
      <c r="I40" s="29" t="n">
        <f aca="false">'Backtest 2024 C'!F104</f>
        <v>2.55881853405732</v>
      </c>
      <c r="J40" s="30" t="n">
        <f aca="false">'Backtest 2024 C'!F105</f>
        <v>0.842696629213483</v>
      </c>
      <c r="K40" s="30" t="n">
        <f aca="false">'Backtest 2024 C'!F106</f>
        <v>0.98876404494382</v>
      </c>
      <c r="L40" s="31" t="n">
        <f aca="false">'Backtest 2024 C'!F107</f>
        <v>0.865168539325843</v>
      </c>
    </row>
    <row r="41" customFormat="false" ht="15" hidden="false" customHeight="false" outlineLevel="0" collapsed="false">
      <c r="A41" s="25" t="s">
        <v>45</v>
      </c>
      <c r="B41" s="25" t="s">
        <v>66</v>
      </c>
      <c r="C41" s="26" t="n">
        <f aca="false">'Backtest 2022 A'!F99</f>
        <v>-0.188710068725628</v>
      </c>
      <c r="D41" s="27" t="n">
        <f aca="false">'Backtest 2022 A'!F101</f>
        <v>-0.0635818292328427</v>
      </c>
      <c r="E41" s="28" t="n">
        <f aca="false">'Backtest 2022 A'!F102</f>
        <v>-0.0564843637263188</v>
      </c>
      <c r="F41" s="27" t="n">
        <f aca="false">'Backtest 2022 A'!F103</f>
        <v>-0.0601028660350095</v>
      </c>
      <c r="G41" s="29" t="n">
        <f aca="false">'Backtest 2022 A'!F100</f>
        <v>2.01782499800858</v>
      </c>
      <c r="H41" s="29" t="n">
        <f aca="false">'Backtest 2022 A'!F98</f>
        <v>2.05941736199659</v>
      </c>
      <c r="I41" s="29" t="n">
        <f aca="false">'Backtest 2022 A'!F104</f>
        <v>2.35185700746709</v>
      </c>
      <c r="J41" s="30" t="n">
        <f aca="false">'Backtest 2022 A'!F105</f>
        <v>0.696629213483146</v>
      </c>
      <c r="K41" s="30" t="n">
        <f aca="false">'Backtest 2022 A'!F106</f>
        <v>0.97752808988764</v>
      </c>
      <c r="L41" s="31" t="n">
        <f aca="false">'Backtest 2022 A'!F107</f>
        <v>0.910112359550562</v>
      </c>
    </row>
    <row r="42" customFormat="false" ht="15" hidden="false" customHeight="false" outlineLevel="0" collapsed="false">
      <c r="A42" s="25" t="s">
        <v>47</v>
      </c>
      <c r="B42" s="25" t="s">
        <v>66</v>
      </c>
      <c r="C42" s="26" t="n">
        <f aca="false">'Backtest 2022 B'!F99</f>
        <v>-0.189068431295381</v>
      </c>
      <c r="D42" s="27" t="n">
        <f aca="false">'Backtest 2022 B'!F101</f>
        <v>-0.0635884358235777</v>
      </c>
      <c r="E42" s="28" t="n">
        <f aca="false">'Backtest 2022 B'!F102</f>
        <v>-0.0564774921492232</v>
      </c>
      <c r="F42" s="27" t="n">
        <f aca="false">'Backtest 2022 B'!F103</f>
        <v>-0.0601028660350095</v>
      </c>
      <c r="G42" s="29" t="n">
        <f aca="false">'Backtest 2022 B'!F100</f>
        <v>1.99155500318885</v>
      </c>
      <c r="H42" s="29" t="n">
        <f aca="false">'Backtest 2022 B'!F98</f>
        <v>2.03760997957285</v>
      </c>
      <c r="I42" s="29" t="n">
        <f aca="false">'Backtest 2022 B'!F104</f>
        <v>2.35092659500714</v>
      </c>
      <c r="J42" s="30" t="n">
        <f aca="false">'Backtest 2022 B'!F105</f>
        <v>0.707865168539326</v>
      </c>
      <c r="K42" s="30" t="n">
        <f aca="false">'Backtest 2022 B'!F106</f>
        <v>0.98876404494382</v>
      </c>
      <c r="L42" s="31" t="n">
        <f aca="false">'Backtest 2022 B'!F107</f>
        <v>0.910112359550562</v>
      </c>
    </row>
    <row r="43" customFormat="false" ht="15" hidden="false" customHeight="false" outlineLevel="0" collapsed="false">
      <c r="A43" s="25" t="s">
        <v>49</v>
      </c>
      <c r="B43" s="25" t="s">
        <v>66</v>
      </c>
      <c r="C43" s="26" t="n">
        <f aca="false">'Backtest 2022 C'!F99</f>
        <v>-0.189068431295381</v>
      </c>
      <c r="D43" s="27" t="n">
        <f aca="false">'Backtest 2022 C'!F101</f>
        <v>-0.0635884358235777</v>
      </c>
      <c r="E43" s="28" t="n">
        <f aca="false">'Backtest 2022 C'!F102</f>
        <v>-0.0564774921492232</v>
      </c>
      <c r="F43" s="27" t="n">
        <f aca="false">'Backtest 2022 C'!F103</f>
        <v>-0.0601028660350095</v>
      </c>
      <c r="G43" s="29" t="n">
        <f aca="false">'Backtest 2022 C'!F100</f>
        <v>2.29589886930149</v>
      </c>
      <c r="H43" s="29" t="n">
        <f aca="false">'Backtest 2022 C'!F98</f>
        <v>2.37732767762669</v>
      </c>
      <c r="I43" s="29" t="n">
        <f aca="false">'Backtest 2022 C'!F104</f>
        <v>2.37773894765629</v>
      </c>
      <c r="J43" s="30" t="n">
        <f aca="false">'Backtest 2022 C'!F105</f>
        <v>0.595505617977528</v>
      </c>
      <c r="K43" s="30" t="n">
        <f aca="false">'Backtest 2022 C'!F106</f>
        <v>0.97752808988764</v>
      </c>
      <c r="L43" s="31" t="n">
        <f aca="false">'Backtest 2022 C'!F107</f>
        <v>0.786516853932584</v>
      </c>
    </row>
    <row r="44" customFormat="false" ht="15" hidden="false" customHeight="false" outlineLevel="0" collapsed="false">
      <c r="A44" s="32" t="s">
        <v>45</v>
      </c>
      <c r="B44" s="32" t="s">
        <v>67</v>
      </c>
      <c r="C44" s="33" t="n">
        <f aca="false">'Backtest 2020 A'!F99</f>
        <v>1.71732411325276</v>
      </c>
      <c r="D44" s="34" t="n">
        <f aca="false">'Backtest 2020 A'!F101</f>
        <v>0.0405385113268608</v>
      </c>
      <c r="E44" s="35" t="n">
        <f aca="false">'Backtest 2020 A'!F102</f>
        <v>-0.0285546115262565</v>
      </c>
      <c r="F44" s="34" t="n">
        <f aca="false">'Backtest 2020 A'!F103</f>
        <v>0.00579143125571102</v>
      </c>
      <c r="G44" s="36" t="n">
        <f aca="false">'Backtest 2020 A'!F100</f>
        <v>2.26448370020667</v>
      </c>
      <c r="H44" s="36" t="n">
        <f aca="false">'Backtest 2020 A'!F98</f>
        <v>3.38414520434038</v>
      </c>
      <c r="I44" s="36" t="n">
        <f aca="false">'Backtest 2020 A'!F104</f>
        <v>1.86886719073845</v>
      </c>
      <c r="J44" s="37" t="n">
        <f aca="false">'Backtest 2020 A'!F105</f>
        <v>0.325842696629214</v>
      </c>
      <c r="K44" s="37" t="n">
        <f aca="false">'Backtest 2020 A'!F106</f>
        <v>0.707865168539326</v>
      </c>
      <c r="L44" s="38" t="n">
        <f aca="false">'Backtest 2020 A'!F107</f>
        <v>0.617977528089888</v>
      </c>
    </row>
    <row r="45" customFormat="false" ht="15" hidden="false" customHeight="false" outlineLevel="0" collapsed="false">
      <c r="A45" s="32" t="s">
        <v>47</v>
      </c>
      <c r="B45" s="32" t="s">
        <v>67</v>
      </c>
      <c r="C45" s="33" t="n">
        <f aca="false">'Backtest 2020 B'!F99</f>
        <v>1.71732411325276</v>
      </c>
      <c r="D45" s="34" t="n">
        <f aca="false">'Backtest 2020 B'!F101</f>
        <v>0.0405385113268608</v>
      </c>
      <c r="E45" s="35" t="n">
        <f aca="false">'Backtest 2020 B'!F102</f>
        <v>-0.0285546115262565</v>
      </c>
      <c r="F45" s="34" t="n">
        <f aca="false">'Backtest 2020 B'!F103</f>
        <v>0.00579143125571102</v>
      </c>
      <c r="G45" s="36" t="n">
        <f aca="false">'Backtest 2020 B'!F100</f>
        <v>2.32184641070956</v>
      </c>
      <c r="H45" s="36" t="n">
        <f aca="false">'Backtest 2020 B'!F98</f>
        <v>3.40942534840349</v>
      </c>
      <c r="I45" s="36" t="n">
        <f aca="false">'Backtest 2020 B'!F104</f>
        <v>1.86994861206429</v>
      </c>
      <c r="J45" s="37" t="n">
        <f aca="false">'Backtest 2020 B'!F105</f>
        <v>0.348314606741573</v>
      </c>
      <c r="K45" s="37" t="n">
        <f aca="false">'Backtest 2020 B'!F106</f>
        <v>0.719101123595506</v>
      </c>
      <c r="L45" s="38" t="n">
        <f aca="false">'Backtest 2020 B'!F107</f>
        <v>0.629213483146067</v>
      </c>
    </row>
    <row r="46" customFormat="false" ht="15" hidden="false" customHeight="false" outlineLevel="0" collapsed="false">
      <c r="A46" s="32" t="s">
        <v>49</v>
      </c>
      <c r="B46" s="32" t="s">
        <v>67</v>
      </c>
      <c r="C46" s="33" t="n">
        <f aca="false">'Backtest 2020 C'!F99</f>
        <v>1.71655636875813</v>
      </c>
      <c r="D46" s="34" t="n">
        <f aca="false">'Backtest 2020 C'!F101</f>
        <v>0.0405229773462783</v>
      </c>
      <c r="E46" s="35" t="n">
        <f aca="false">'Backtest 2020 C'!F102</f>
        <v>-0.0285392568328385</v>
      </c>
      <c r="F46" s="34" t="n">
        <f aca="false">'Backtest 2020 C'!F103</f>
        <v>0.00579143125571102</v>
      </c>
      <c r="G46" s="36" t="n">
        <f aca="false">'Backtest 2020 C'!F100</f>
        <v>2.30865676656166</v>
      </c>
      <c r="H46" s="36" t="n">
        <f aca="false">'Backtest 2020 C'!F98</f>
        <v>3.41047092788168</v>
      </c>
      <c r="I46" s="36" t="n">
        <f aca="false">'Backtest 2020 C'!F104</f>
        <v>2.05376805107048</v>
      </c>
      <c r="J46" s="37" t="n">
        <f aca="false">'Backtest 2020 C'!F105</f>
        <v>0.415730337078652</v>
      </c>
      <c r="K46" s="37" t="n">
        <f aca="false">'Backtest 2020 C'!F106</f>
        <v>0.775280898876405</v>
      </c>
      <c r="L46" s="38" t="n">
        <f aca="false">'Backtest 2020 C'!F107</f>
        <v>0.629213483146067</v>
      </c>
    </row>
    <row r="47" customFormat="false" ht="15" hidden="false" customHeight="false" outlineLevel="0" collapsed="false">
      <c r="A47" s="13" t="s">
        <v>68</v>
      </c>
      <c r="B47" s="13"/>
      <c r="C47" s="13"/>
      <c r="D47" s="13"/>
      <c r="E47" s="13"/>
      <c r="F47" s="13"/>
      <c r="G47" s="13"/>
      <c r="H47" s="13"/>
      <c r="I47" s="13"/>
      <c r="J47" s="13"/>
      <c r="K47" s="13"/>
      <c r="L47" s="13"/>
    </row>
    <row r="49" customFormat="false" ht="15" hidden="false" customHeight="false" outlineLevel="0" collapsed="false">
      <c r="A49" s="4" t="s">
        <v>69</v>
      </c>
      <c r="B49" s="4"/>
      <c r="C49" s="4"/>
      <c r="D49" s="4"/>
      <c r="E49" s="4"/>
      <c r="F49" s="4"/>
      <c r="G49" s="4"/>
      <c r="H49" s="4"/>
      <c r="I49" s="4"/>
      <c r="J49" s="4"/>
      <c r="K49" s="4"/>
      <c r="L49" s="4"/>
    </row>
    <row r="50" customFormat="false" ht="15" hidden="false" customHeight="false" outlineLevel="0" collapsed="false">
      <c r="A50" s="5" t="s">
        <v>70</v>
      </c>
    </row>
    <row r="51" customFormat="false" ht="49.5" hidden="false" customHeight="true" outlineLevel="0" collapsed="false">
      <c r="A51" s="39" t="s">
        <v>71</v>
      </c>
      <c r="B51" s="39"/>
      <c r="C51" s="39"/>
      <c r="D51" s="39"/>
      <c r="E51" s="39"/>
      <c r="F51" s="39"/>
      <c r="G51" s="39"/>
      <c r="H51" s="39"/>
      <c r="I51" s="39"/>
      <c r="J51" s="39"/>
      <c r="K51" s="39"/>
      <c r="L51" s="39"/>
    </row>
    <row r="52" customFormat="false" ht="15" hidden="false" customHeight="false" outlineLevel="0" collapsed="false">
      <c r="A52" s="5" t="s">
        <v>72</v>
      </c>
    </row>
    <row r="53" customFormat="false" ht="49.5" hidden="false" customHeight="true" outlineLevel="0" collapsed="false">
      <c r="A53" s="39" t="s">
        <v>73</v>
      </c>
      <c r="B53" s="39"/>
      <c r="C53" s="39"/>
      <c r="D53" s="39"/>
      <c r="E53" s="39"/>
      <c r="F53" s="39"/>
      <c r="G53" s="39"/>
      <c r="H53" s="39"/>
      <c r="I53" s="39"/>
      <c r="J53" s="39"/>
      <c r="K53" s="39"/>
      <c r="L53" s="39"/>
    </row>
    <row r="54" customFormat="false" ht="15" hidden="false" customHeight="false" outlineLevel="0" collapsed="false">
      <c r="A54" s="5" t="s">
        <v>74</v>
      </c>
    </row>
    <row r="55" customFormat="false" ht="49.5" hidden="false" customHeight="true" outlineLevel="0" collapsed="false">
      <c r="A55" s="39" t="s">
        <v>75</v>
      </c>
      <c r="B55" s="39"/>
      <c r="C55" s="39"/>
      <c r="D55" s="39"/>
      <c r="E55" s="39"/>
      <c r="F55" s="39"/>
      <c r="G55" s="39"/>
      <c r="H55" s="39"/>
      <c r="I55" s="39"/>
      <c r="J55" s="39"/>
      <c r="K55" s="39"/>
      <c r="L55" s="39"/>
    </row>
    <row r="56" customFormat="false" ht="15" hidden="false" customHeight="false" outlineLevel="0" collapsed="false">
      <c r="A56" s="5" t="s">
        <v>76</v>
      </c>
    </row>
    <row r="57" customFormat="false" ht="49.5" hidden="false" customHeight="true" outlineLevel="0" collapsed="false">
      <c r="A57" s="39" t="s">
        <v>77</v>
      </c>
      <c r="B57" s="39"/>
      <c r="C57" s="39"/>
      <c r="D57" s="39"/>
      <c r="E57" s="39"/>
      <c r="F57" s="39"/>
      <c r="G57" s="39"/>
      <c r="H57" s="39"/>
      <c r="I57" s="39"/>
      <c r="J57" s="39"/>
      <c r="K57" s="39"/>
      <c r="L57" s="39"/>
    </row>
    <row r="58" customFormat="false" ht="15" hidden="false" customHeight="false" outlineLevel="0" collapsed="false">
      <c r="A58" s="5" t="s">
        <v>78</v>
      </c>
    </row>
    <row r="59" customFormat="false" ht="49.5" hidden="false" customHeight="true" outlineLevel="0" collapsed="false">
      <c r="A59" s="39" t="s">
        <v>79</v>
      </c>
      <c r="B59" s="39"/>
      <c r="C59" s="39"/>
      <c r="D59" s="39"/>
      <c r="E59" s="39"/>
      <c r="F59" s="39"/>
      <c r="G59" s="39"/>
      <c r="H59" s="39"/>
      <c r="I59" s="39"/>
      <c r="J59" s="39"/>
      <c r="K59" s="39"/>
      <c r="L59" s="39"/>
    </row>
    <row r="60" customFormat="false" ht="15" hidden="false" customHeight="false" outlineLevel="0" collapsed="false">
      <c r="A60" s="5" t="s">
        <v>80</v>
      </c>
    </row>
    <row r="61" customFormat="false" ht="49.5" hidden="false" customHeight="true" outlineLevel="0" collapsed="false">
      <c r="A61" s="39" t="s">
        <v>81</v>
      </c>
      <c r="B61" s="39"/>
      <c r="C61" s="39"/>
      <c r="D61" s="39"/>
      <c r="E61" s="39"/>
      <c r="F61" s="39"/>
      <c r="G61" s="39"/>
      <c r="H61" s="39"/>
      <c r="I61" s="39"/>
      <c r="J61" s="39"/>
      <c r="K61" s="39"/>
      <c r="L61" s="39"/>
    </row>
    <row r="62" customFormat="false" ht="15" hidden="false" customHeight="false" outlineLevel="0" collapsed="false">
      <c r="A62" s="5" t="s">
        <v>82</v>
      </c>
    </row>
    <row r="63" customFormat="false" ht="49.5" hidden="false" customHeight="true" outlineLevel="0" collapsed="false">
      <c r="A63" s="39" t="s">
        <v>83</v>
      </c>
      <c r="B63" s="39"/>
      <c r="C63" s="39"/>
      <c r="D63" s="39"/>
      <c r="E63" s="39"/>
      <c r="F63" s="39"/>
      <c r="G63" s="39"/>
      <c r="H63" s="39"/>
      <c r="I63" s="39"/>
      <c r="J63" s="39"/>
      <c r="K63" s="39"/>
      <c r="L63" s="39"/>
    </row>
    <row r="65" customFormat="false" ht="15" hidden="false" customHeight="false" outlineLevel="0" collapsed="false">
      <c r="A65" s="5" t="s">
        <v>84</v>
      </c>
    </row>
    <row r="66" customFormat="false" ht="60" hidden="false" customHeight="true" outlineLevel="0" collapsed="false">
      <c r="A66" s="8" t="s">
        <v>35</v>
      </c>
      <c r="B66" s="8" t="s">
        <v>54</v>
      </c>
      <c r="C66" s="8" t="s">
        <v>85</v>
      </c>
      <c r="D66" s="8" t="s">
        <v>86</v>
      </c>
      <c r="E66" s="8" t="s">
        <v>87</v>
      </c>
      <c r="F66" s="8" t="s">
        <v>88</v>
      </c>
      <c r="G66" s="8" t="s">
        <v>89</v>
      </c>
      <c r="H66" s="8" t="s">
        <v>90</v>
      </c>
      <c r="I66" s="8" t="s">
        <v>91</v>
      </c>
      <c r="J66" s="8" t="s">
        <v>92</v>
      </c>
      <c r="K66" s="8" t="s">
        <v>93</v>
      </c>
      <c r="L66" s="8" t="s">
        <v>94</v>
      </c>
      <c r="M66" s="8" t="s">
        <v>95</v>
      </c>
      <c r="N66" s="8" t="s">
        <v>96</v>
      </c>
      <c r="O66" s="8" t="s">
        <v>97</v>
      </c>
    </row>
    <row r="67" customFormat="false" ht="15" hidden="false" customHeight="false" outlineLevel="0" collapsed="false">
      <c r="A67" s="25" t="s">
        <v>45</v>
      </c>
      <c r="B67" s="25" t="s">
        <v>65</v>
      </c>
      <c r="C67" s="40" t="n">
        <v>-0.152953929556954</v>
      </c>
      <c r="D67" s="40" t="n">
        <v>-0.413472523604169</v>
      </c>
      <c r="E67" s="26" t="n">
        <f aca="false">'Backtest 2024 A'!F99</f>
        <v>-0.413472523604169</v>
      </c>
      <c r="F67" s="29" t="n">
        <v>1.64164893764056</v>
      </c>
      <c r="G67" s="29" t="n">
        <v>1.85185272076324</v>
      </c>
      <c r="H67" s="41" t="n">
        <f aca="false">'Backtest 2024 A'!F100</f>
        <v>1.85185272076324</v>
      </c>
      <c r="I67" s="29" t="n">
        <v>1.68019860535572</v>
      </c>
      <c r="J67" s="29" t="n">
        <v>1.94998493697388</v>
      </c>
      <c r="K67" s="41" t="n">
        <f aca="false">'Backtest 2024 A'!F98</f>
        <v>1.94998493697388</v>
      </c>
      <c r="L67" s="27" t="n">
        <v>-0.00850590604430279</v>
      </c>
      <c r="M67" s="28" t="n">
        <f aca="false">'Backtest 2024 A'!F101</f>
        <v>-0.0137406950998367</v>
      </c>
      <c r="N67" s="27" t="n">
        <v>-0.00242036840658266</v>
      </c>
      <c r="O67" s="28" t="n">
        <f aca="false">'Backtest 2024 A'!F102</f>
        <v>0.00271002710027091</v>
      </c>
    </row>
    <row r="68" customFormat="false" ht="15" hidden="false" customHeight="false" outlineLevel="0" collapsed="false">
      <c r="A68" s="25" t="s">
        <v>47</v>
      </c>
      <c r="B68" s="25" t="s">
        <v>65</v>
      </c>
      <c r="C68" s="40" t="n">
        <v>-0.152953929556954</v>
      </c>
      <c r="D68" s="40" t="n">
        <v>-0.414469723964156</v>
      </c>
      <c r="E68" s="26" t="n">
        <f aca="false">'Backtest 2024 B'!F99</f>
        <v>-0.414469723964156</v>
      </c>
      <c r="F68" s="29" t="n">
        <v>1.77988754636038</v>
      </c>
      <c r="G68" s="29" t="n">
        <v>1.90582763393813</v>
      </c>
      <c r="H68" s="41" t="n">
        <f aca="false">'Backtest 2024 B'!F100</f>
        <v>1.8017453557877</v>
      </c>
      <c r="I68" s="29" t="n">
        <v>1.80152552673782</v>
      </c>
      <c r="J68" s="29" t="n">
        <v>1.98592879791291</v>
      </c>
      <c r="K68" s="41" t="n">
        <f aca="false">'Backtest 2024 B'!F98</f>
        <v>1.89059663662692</v>
      </c>
      <c r="L68" s="27" t="n">
        <v>-0.00850590604430279</v>
      </c>
      <c r="M68" s="28" t="n">
        <f aca="false">'Backtest 2024 B'!F101</f>
        <v>-0.0137607325699057</v>
      </c>
      <c r="N68" s="27" t="n">
        <v>-0.00242036840658266</v>
      </c>
      <c r="O68" s="28" t="n">
        <f aca="false">'Backtest 2024 B'!F102</f>
        <v>0.00272966497780924</v>
      </c>
    </row>
    <row r="69" customFormat="false" ht="15" hidden="false" customHeight="false" outlineLevel="0" collapsed="false">
      <c r="A69" s="25" t="s">
        <v>49</v>
      </c>
      <c r="B69" s="25" t="s">
        <v>65</v>
      </c>
      <c r="C69" s="40" t="n">
        <v>-0.153951129916946</v>
      </c>
      <c r="D69" s="40" t="n">
        <v>-0.413971123784163</v>
      </c>
      <c r="E69" s="26" t="n">
        <f aca="false">'Backtest 2024 C'!F99</f>
        <v>-0.413472523604169</v>
      </c>
      <c r="F69" s="29" t="n">
        <v>2.24503909969786</v>
      </c>
      <c r="G69" s="29" t="n">
        <v>1.86067854693798</v>
      </c>
      <c r="H69" s="41" t="n">
        <f aca="false">'Backtest 2024 C'!F100</f>
        <v>1.8789951657</v>
      </c>
      <c r="I69" s="29" t="n">
        <v>2.32279958191408</v>
      </c>
      <c r="J69" s="29" t="n">
        <v>1.94490909083037</v>
      </c>
      <c r="K69" s="41" t="n">
        <f aca="false">'Backtest 2024 C'!F98</f>
        <v>1.97298151830599</v>
      </c>
      <c r="L69" s="27" t="n">
        <v>-0.00852594351437186</v>
      </c>
      <c r="M69" s="28" t="n">
        <f aca="false">'Backtest 2024 C'!F101</f>
        <v>-0.0137406950998367</v>
      </c>
      <c r="N69" s="27" t="n">
        <v>-0.00240073052904444</v>
      </c>
      <c r="O69" s="28" t="n">
        <f aca="false">'Backtest 2024 C'!F102</f>
        <v>0.00271002710027091</v>
      </c>
    </row>
    <row r="70" customFormat="false" ht="15" hidden="false" customHeight="false" outlineLevel="0" collapsed="false">
      <c r="A70" s="25" t="s">
        <v>45</v>
      </c>
      <c r="B70" s="25" t="s">
        <v>66</v>
      </c>
      <c r="C70" s="40" t="n">
        <v>-2.08014771184668</v>
      </c>
      <c r="D70" s="40" t="n">
        <v>-0.188710068725628</v>
      </c>
      <c r="E70" s="26" t="n">
        <f aca="false">'Backtest 2022 A'!F99</f>
        <v>-0.188710068725628</v>
      </c>
      <c r="F70" s="29" t="n">
        <v>3.68618699268832</v>
      </c>
      <c r="G70" s="29" t="n">
        <v>2.01782499800858</v>
      </c>
      <c r="H70" s="41" t="n">
        <f aca="false">'Backtest 2022 A'!F100</f>
        <v>2.01782499800858</v>
      </c>
      <c r="I70" s="29" t="n">
        <v>3.45191131417464</v>
      </c>
      <c r="J70" s="29" t="n">
        <v>2.05941736199659</v>
      </c>
      <c r="K70" s="41" t="n">
        <f aca="false">'Backtest 2022 A'!F98</f>
        <v>2.05941736199659</v>
      </c>
      <c r="L70" s="27" t="n">
        <v>-0.0984514151317354</v>
      </c>
      <c r="M70" s="28" t="n">
        <f aca="false">'Backtest 2022 A'!F101</f>
        <v>-0.0635818292328427</v>
      </c>
      <c r="N70" s="27" t="n">
        <v>-0.0202161798154294</v>
      </c>
      <c r="O70" s="28" t="n">
        <f aca="false">'Backtest 2022 A'!F102</f>
        <v>-0.0564843637263188</v>
      </c>
    </row>
    <row r="71" customFormat="false" ht="15" hidden="false" customHeight="false" outlineLevel="0" collapsed="false">
      <c r="A71" s="25" t="s">
        <v>47</v>
      </c>
      <c r="B71" s="25" t="s">
        <v>66</v>
      </c>
      <c r="C71" s="40" t="n">
        <v>-2.0833729749744</v>
      </c>
      <c r="D71" s="40" t="n">
        <v>-0.189785156434874</v>
      </c>
      <c r="E71" s="26" t="n">
        <f aca="false">'Backtest 2022 B'!F99</f>
        <v>-0.189068431295381</v>
      </c>
      <c r="F71" s="29" t="n">
        <v>3.27457885618068</v>
      </c>
      <c r="G71" s="29" t="n">
        <v>1.96147444728423</v>
      </c>
      <c r="H71" s="41" t="n">
        <f aca="false">'Backtest 2022 B'!F100</f>
        <v>1.99155500318885</v>
      </c>
      <c r="I71" s="29" t="n">
        <v>3.11454385228576</v>
      </c>
      <c r="J71" s="29" t="n">
        <v>1.99142943888357</v>
      </c>
      <c r="K71" s="41" t="n">
        <f aca="false">'Backtest 2022 B'!F98</f>
        <v>2.03760997957285</v>
      </c>
      <c r="L71" s="27" t="n">
        <v>-0.0985108744483497</v>
      </c>
      <c r="M71" s="28" t="n">
        <f aca="false">'Backtest 2022 B'!F101</f>
        <v>-0.0635884358235777</v>
      </c>
      <c r="N71" s="27" t="n">
        <v>-0.0201543356215685</v>
      </c>
      <c r="O71" s="28" t="n">
        <f aca="false">'Backtest 2022 B'!F102</f>
        <v>-0.0564774921492232</v>
      </c>
    </row>
    <row r="72" customFormat="false" ht="15" hidden="false" customHeight="false" outlineLevel="0" collapsed="false">
      <c r="A72" s="25" t="s">
        <v>49</v>
      </c>
      <c r="B72" s="25" t="s">
        <v>66</v>
      </c>
      <c r="C72" s="40" t="n">
        <v>-2.08193952469541</v>
      </c>
      <c r="D72" s="40" t="n">
        <v>-0.190860244144109</v>
      </c>
      <c r="E72" s="26" t="n">
        <f aca="false">'Backtest 2022 C'!F99</f>
        <v>-0.189068431295381</v>
      </c>
      <c r="F72" s="29" t="n">
        <v>3.06808327381911</v>
      </c>
      <c r="G72" s="29" t="n">
        <v>1.98945985139558</v>
      </c>
      <c r="H72" s="41" t="n">
        <f aca="false">'Backtest 2022 C'!F100</f>
        <v>2.29589886930149</v>
      </c>
      <c r="I72" s="29" t="n">
        <v>3.14493131055275</v>
      </c>
      <c r="J72" s="29" t="n">
        <v>2.02457485071911</v>
      </c>
      <c r="K72" s="41" t="n">
        <f aca="false">'Backtest 2022 C'!F98</f>
        <v>2.37732767762669</v>
      </c>
      <c r="L72" s="27" t="n">
        <v>-0.09848444808541</v>
      </c>
      <c r="M72" s="28" t="n">
        <f aca="false">'Backtest 2022 C'!F101</f>
        <v>-0.0635884358235777</v>
      </c>
      <c r="N72" s="27" t="n">
        <v>-0.0201818219299511</v>
      </c>
      <c r="O72" s="28" t="n">
        <f aca="false">'Backtest 2022 C'!F102</f>
        <v>-0.0564774921492232</v>
      </c>
    </row>
    <row r="73" customFormat="false" ht="15" hidden="false" customHeight="false" outlineLevel="0" collapsed="false">
      <c r="A73" s="32" t="s">
        <v>45</v>
      </c>
      <c r="B73" s="32" t="s">
        <v>67</v>
      </c>
      <c r="C73" s="42" t="n">
        <v>3.0191628613174</v>
      </c>
      <c r="D73" s="42" t="n">
        <v>1.71732411325276</v>
      </c>
      <c r="E73" s="33" t="n">
        <f aca="false">'Backtest 2020 A'!F99</f>
        <v>1.71732411325276</v>
      </c>
      <c r="F73" s="36" t="n">
        <v>2.92864450592652</v>
      </c>
      <c r="G73" s="36" t="n">
        <v>2.26448370020667</v>
      </c>
      <c r="H73" s="43" t="n">
        <f aca="false">'Backtest 2020 A'!F100</f>
        <v>2.26448370020667</v>
      </c>
      <c r="I73" s="36" t="n">
        <v>5.1538555173643</v>
      </c>
      <c r="J73" s="36" t="n">
        <v>3.38414520434038</v>
      </c>
      <c r="K73" s="43" t="n">
        <f aca="false">'Backtest 2020 A'!F98</f>
        <v>3.38414520434038</v>
      </c>
      <c r="L73" s="34" t="n">
        <v>0.0668789644012946</v>
      </c>
      <c r="M73" s="35" t="n">
        <f aca="false">'Backtest 2020 A'!F101</f>
        <v>0.0405385113268608</v>
      </c>
      <c r="N73" s="34" t="n">
        <v>-0.0545910533319685</v>
      </c>
      <c r="O73" s="35" t="n">
        <f aca="false">'Backtest 2020 A'!F102</f>
        <v>-0.0285546115262565</v>
      </c>
    </row>
    <row r="74" customFormat="false" ht="15" hidden="false" customHeight="false" outlineLevel="0" collapsed="false">
      <c r="A74" s="32" t="s">
        <v>47</v>
      </c>
      <c r="B74" s="32" t="s">
        <v>67</v>
      </c>
      <c r="C74" s="42" t="n">
        <v>3.01890694648586</v>
      </c>
      <c r="D74" s="42" t="n">
        <v>1.71732411325276</v>
      </c>
      <c r="E74" s="33" t="n">
        <f aca="false">'Backtest 2020 B'!F99</f>
        <v>1.71732411325276</v>
      </c>
      <c r="F74" s="36" t="n">
        <v>2.98317013380414</v>
      </c>
      <c r="G74" s="36" t="n">
        <v>2.28343350558776</v>
      </c>
      <c r="H74" s="43" t="n">
        <f aca="false">'Backtest 2020 B'!F100</f>
        <v>2.32184641070956</v>
      </c>
      <c r="I74" s="36" t="n">
        <v>5.20355770670178</v>
      </c>
      <c r="J74" s="36" t="n">
        <v>3.37713874532734</v>
      </c>
      <c r="K74" s="43" t="n">
        <f aca="false">'Backtest 2020 B'!F98</f>
        <v>3.40942534840349</v>
      </c>
      <c r="L74" s="34" t="n">
        <v>0.0668737864077671</v>
      </c>
      <c r="M74" s="35" t="n">
        <f aca="false">'Backtest 2020 B'!F101</f>
        <v>0.0405385113268608</v>
      </c>
      <c r="N74" s="34" t="n">
        <v>-0.0545859351008292</v>
      </c>
      <c r="O74" s="35" t="n">
        <f aca="false">'Backtest 2020 B'!F102</f>
        <v>-0.0285546115262565</v>
      </c>
    </row>
    <row r="75" customFormat="false" ht="15" hidden="false" customHeight="false" outlineLevel="0" collapsed="false">
      <c r="A75" s="32" t="s">
        <v>49</v>
      </c>
      <c r="B75" s="32" t="s">
        <v>67</v>
      </c>
      <c r="C75" s="42" t="n">
        <v>3.01865103165431</v>
      </c>
      <c r="D75" s="42" t="n">
        <v>1.71732411325276</v>
      </c>
      <c r="E75" s="33" t="n">
        <f aca="false">'Backtest 2020 C'!F99</f>
        <v>1.71655636875813</v>
      </c>
      <c r="F75" s="36" t="n">
        <v>2.57208205428727</v>
      </c>
      <c r="G75" s="36" t="n">
        <v>2.29573150047595</v>
      </c>
      <c r="H75" s="43" t="n">
        <f aca="false">'Backtest 2020 C'!F100</f>
        <v>2.30865676656166</v>
      </c>
      <c r="I75" s="36" t="n">
        <v>4.56090816438336</v>
      </c>
      <c r="J75" s="36" t="n">
        <v>3.42614079465583</v>
      </c>
      <c r="K75" s="43" t="n">
        <f aca="false">'Backtest 2020 C'!F98</f>
        <v>3.41047092788168</v>
      </c>
      <c r="L75" s="34" t="n">
        <v>0.0668686084142396</v>
      </c>
      <c r="M75" s="35" t="n">
        <f aca="false">'Backtest 2020 C'!F101</f>
        <v>0.0405229773462783</v>
      </c>
      <c r="N75" s="34" t="n">
        <v>-0.0545808168696899</v>
      </c>
      <c r="O75" s="35" t="n">
        <f aca="false">'Backtest 2020 C'!F102</f>
        <v>-0.0285392568328385</v>
      </c>
    </row>
    <row r="76" customFormat="false" ht="15" hidden="false" customHeight="false" outlineLevel="0" collapsed="false">
      <c r="A76" s="20" t="s">
        <v>98</v>
      </c>
      <c r="B76" s="44"/>
      <c r="C76" s="45" t="n">
        <f aca="false">SQRT(SUMSQ(C67:C75)/COUNT(C67:C75))</f>
        <v>2.11906210872186</v>
      </c>
      <c r="D76" s="45" t="n">
        <f aca="false">SQRT(SUMSQ(D67:D75)/COUNT(D67:D75))</f>
        <v>1.02576695585412</v>
      </c>
      <c r="E76" s="45" t="n">
        <f aca="false">SQRT(SUMSQ(E67:E75)/COUNT(E67:E75))</f>
        <v>1.02555022782571</v>
      </c>
      <c r="F76" s="45" t="n">
        <f aca="false">SQRT(SUMSQ(F67:F75)/COUNT(F67:F75))</f>
        <v>2.7632319334053</v>
      </c>
      <c r="G76" s="45" t="n">
        <f aca="false">SQRT(SUMSQ(G67:G75)/COUNT(G67:G75))</f>
        <v>2.05515477871262</v>
      </c>
      <c r="H76" s="45" t="n">
        <f aca="false">SQRT(SUMSQ(H67:H75)/COUNT(H67:H75))</f>
        <v>2.09136004604704</v>
      </c>
      <c r="I76" s="45" t="n">
        <f aca="false">SQRT(SUMSQ(I67:I75)/COUNT(I67:I75))</f>
        <v>3.61189009209369</v>
      </c>
      <c r="J76" s="45" t="n">
        <f aca="false">SQRT(SUMSQ(J67:J75)/COUNT(J67:J75))</f>
        <v>2.54800283092388</v>
      </c>
      <c r="K76" s="45" t="n">
        <f aca="false">SQRT(SUMSQ(K67:K75)/COUNT(K67:K75))</f>
        <v>2.58246493092909</v>
      </c>
      <c r="L76" s="46" t="n">
        <f aca="false">SQRT(SUMSQ(L67:L75)/COUNT(L67:L75))</f>
        <v>0.0689040900317609</v>
      </c>
      <c r="M76" s="46" t="n">
        <f aca="false">SQRT(SUMSQ(M67:M75)/COUNT(M67:M75))</f>
        <v>0.0442536276081028</v>
      </c>
      <c r="N76" s="46" t="n">
        <f aca="false">SQRT(SUMSQ(N67:N75)/COUNT(N67:N75))</f>
        <v>0.033629600000095</v>
      </c>
      <c r="O76" s="46" t="n">
        <f aca="false">SQRT(SUMSQ(O67:O75)/COUNT(O67:O75))</f>
        <v>0.0365714794896534</v>
      </c>
    </row>
    <row r="77" customFormat="false" ht="15" hidden="false" customHeight="false" outlineLevel="0" collapsed="false">
      <c r="A77" s="13" t="s">
        <v>99</v>
      </c>
      <c r="B77" s="13"/>
      <c r="C77" s="13"/>
      <c r="D77" s="13"/>
      <c r="E77" s="13"/>
      <c r="F77" s="13"/>
      <c r="G77" s="13"/>
      <c r="H77" s="13"/>
      <c r="I77" s="13"/>
      <c r="J77" s="13"/>
      <c r="K77" s="13"/>
      <c r="L77" s="13"/>
      <c r="M77" s="13"/>
      <c r="N77" s="13"/>
      <c r="O77" s="13"/>
    </row>
    <row r="79" customFormat="false" ht="15" hidden="false" customHeight="false" outlineLevel="0" collapsed="false">
      <c r="A79" s="5" t="s">
        <v>100</v>
      </c>
    </row>
    <row r="80" customFormat="false" ht="45" hidden="false" customHeight="true" outlineLevel="0" collapsed="false">
      <c r="A80" s="8" t="s">
        <v>9</v>
      </c>
      <c r="B80" s="8" t="s">
        <v>101</v>
      </c>
      <c r="C80" s="8" t="s">
        <v>102</v>
      </c>
      <c r="D80" s="8" t="s">
        <v>103</v>
      </c>
      <c r="E80" s="8" t="s">
        <v>104</v>
      </c>
      <c r="F80" s="8" t="s">
        <v>105</v>
      </c>
      <c r="G80" s="8" t="s">
        <v>106</v>
      </c>
      <c r="H80" s="8" t="s">
        <v>107</v>
      </c>
      <c r="I80" s="8" t="s">
        <v>108</v>
      </c>
      <c r="J80" s="8" t="s">
        <v>109</v>
      </c>
    </row>
    <row r="81" customFormat="false" ht="15" hidden="false" customHeight="false" outlineLevel="0" collapsed="false">
      <c r="A81" s="32" t="s">
        <v>110</v>
      </c>
      <c r="B81" s="32" t="s">
        <v>111</v>
      </c>
      <c r="C81" s="47" t="n">
        <v>0.512179701805414</v>
      </c>
      <c r="D81" s="42" t="n">
        <v>-1.72188916921487</v>
      </c>
      <c r="E81" s="48" t="n">
        <v>0.494960810113265</v>
      </c>
      <c r="F81" s="47" t="s">
        <v>112</v>
      </c>
      <c r="G81" s="33" t="s">
        <v>112</v>
      </c>
      <c r="H81" s="34" t="s">
        <v>112</v>
      </c>
      <c r="I81" s="34" t="s">
        <v>112</v>
      </c>
      <c r="J81" s="34" t="s">
        <v>112</v>
      </c>
    </row>
    <row r="82" customFormat="false" ht="15" hidden="false" customHeight="false" outlineLevel="0" collapsed="false">
      <c r="A82" s="32" t="s">
        <v>113</v>
      </c>
      <c r="B82" s="32" t="s">
        <v>114</v>
      </c>
      <c r="C82" s="47" t="n">
        <v>0.508396681796085</v>
      </c>
      <c r="D82" s="42" t="n">
        <v>-1.75755122804537</v>
      </c>
      <c r="E82" s="48" t="n">
        <v>0.490821169515632</v>
      </c>
      <c r="F82" s="47" t="n">
        <v>0.49403979796264</v>
      </c>
      <c r="G82" s="33" t="n">
        <v>-0.321862844700838</v>
      </c>
      <c r="H82" s="34" t="n">
        <v>-0.00542797432085174</v>
      </c>
      <c r="I82" s="34" t="n">
        <v>-0.0137406950998367</v>
      </c>
      <c r="J82" s="34" t="n">
        <v>0.00271002710027091</v>
      </c>
    </row>
    <row r="83" customFormat="false" ht="15" hidden="false" customHeight="false" outlineLevel="0" collapsed="false">
      <c r="A83" s="32" t="s">
        <v>115</v>
      </c>
      <c r="B83" s="32" t="s">
        <v>116</v>
      </c>
      <c r="C83" s="47" t="n">
        <v>0.520489946179552</v>
      </c>
      <c r="D83" s="42" t="n">
        <v>-1.25511639193336</v>
      </c>
      <c r="E83" s="48" t="n">
        <v>0.507938782260218</v>
      </c>
      <c r="F83" s="47" t="n">
        <v>0.508784287165594</v>
      </c>
      <c r="G83" s="33" t="n">
        <v>-0.0845504905376382</v>
      </c>
      <c r="H83" s="34" t="n">
        <v>-0.0600981972429879</v>
      </c>
      <c r="I83" s="34" t="n">
        <v>-0.0635818292328427</v>
      </c>
      <c r="J83" s="34" t="n">
        <v>-0.0564843637263188</v>
      </c>
    </row>
    <row r="84" customFormat="false" ht="15" hidden="false" customHeight="false" outlineLevel="0" collapsed="false">
      <c r="A84" s="32" t="s">
        <v>117</v>
      </c>
      <c r="B84" s="32" t="s">
        <v>118</v>
      </c>
      <c r="C84" s="47" t="n">
        <v>0.507394073860932</v>
      </c>
      <c r="D84" s="42" t="n">
        <v>0.687311259319401</v>
      </c>
      <c r="E84" s="48" t="n">
        <v>0.514267186454126</v>
      </c>
      <c r="F84" s="47" t="n">
        <v>0.496045013832947</v>
      </c>
      <c r="G84" s="33" t="n">
        <v>1.82221726211796</v>
      </c>
      <c r="H84" s="34" t="n">
        <v>0.00578899152183787</v>
      </c>
      <c r="I84" s="34" t="n">
        <v>0.0405375872122546</v>
      </c>
      <c r="J84" s="34" t="n">
        <v>-0.0285543737262799</v>
      </c>
    </row>
    <row r="86" customFormat="false" ht="30" hidden="false" customHeight="true" outlineLevel="0" collapsed="false">
      <c r="A86" s="8" t="s">
        <v>119</v>
      </c>
      <c r="B86" s="8" t="s">
        <v>120</v>
      </c>
      <c r="C86" s="8" t="s">
        <v>121</v>
      </c>
      <c r="D86" s="8" t="s">
        <v>37</v>
      </c>
      <c r="E86" s="8" t="s">
        <v>38</v>
      </c>
      <c r="F86" s="8" t="s">
        <v>122</v>
      </c>
    </row>
    <row r="87" customFormat="false" ht="15" hidden="false" customHeight="false" outlineLevel="0" collapsed="false">
      <c r="A87" s="49" t="s">
        <v>123</v>
      </c>
      <c r="B87" s="50" t="n">
        <v>0.939901802757012</v>
      </c>
      <c r="C87" s="18" t="n">
        <f aca="false">'2026 Forecast A'!F8*B87</f>
        <v>287731.198976201</v>
      </c>
      <c r="D87" s="18" t="n">
        <f aca="false">ROUND(C87*'2026 Forecast A'!G8,0)</f>
        <v>142421</v>
      </c>
      <c r="E87" s="18" t="n">
        <f aca="false">C87-D87</f>
        <v>145310.198976201</v>
      </c>
      <c r="F87" s="51" t="s">
        <v>124</v>
      </c>
    </row>
    <row r="88" customFormat="false" ht="15" hidden="false" customHeight="false" outlineLevel="0" collapsed="false">
      <c r="A88" s="49" t="s">
        <v>125</v>
      </c>
      <c r="B88" s="50" t="n">
        <v>1</v>
      </c>
      <c r="C88" s="18" t="n">
        <f aca="false">'2026 Forecast A'!F8*B88</f>
        <v>306129</v>
      </c>
      <c r="D88" s="18" t="n">
        <f aca="false">ROUND(C88*'2026 Forecast A'!G8,0)</f>
        <v>151527</v>
      </c>
      <c r="E88" s="18" t="n">
        <f aca="false">C88-D88</f>
        <v>154602</v>
      </c>
      <c r="F88" s="51" t="s">
        <v>126</v>
      </c>
    </row>
    <row r="89" customFormat="false" ht="15" hidden="false" customHeight="false" outlineLevel="0" collapsed="false">
      <c r="A89" s="49" t="s">
        <v>127</v>
      </c>
      <c r="B89" s="50" t="n">
        <v>1.06009819724299</v>
      </c>
      <c r="C89" s="18" t="n">
        <f aca="false">'2026 Forecast A'!F8*B89</f>
        <v>324526.801023799</v>
      </c>
      <c r="D89" s="18" t="n">
        <f aca="false">ROUND(C89*'2026 Forecast A'!G8,0)</f>
        <v>160633</v>
      </c>
      <c r="E89" s="18" t="n">
        <f aca="false">C89-D89</f>
        <v>163893.801023799</v>
      </c>
      <c r="F89" s="51" t="s">
        <v>128</v>
      </c>
    </row>
    <row r="90" customFormat="false" ht="15" hidden="false" customHeight="false" outlineLevel="0" collapsed="false">
      <c r="A90" s="13" t="s">
        <v>129</v>
      </c>
      <c r="B90" s="13"/>
      <c r="C90" s="13"/>
      <c r="D90" s="13"/>
      <c r="E90" s="13"/>
      <c r="F90" s="13"/>
      <c r="G90" s="13"/>
      <c r="H90" s="13"/>
      <c r="I90" s="13"/>
      <c r="J90" s="13"/>
      <c r="K90" s="13"/>
      <c r="L90" s="13"/>
    </row>
    <row r="92" customFormat="false" ht="15" hidden="false" customHeight="false" outlineLevel="0" collapsed="false">
      <c r="A92" s="4" t="s">
        <v>130</v>
      </c>
      <c r="B92" s="4"/>
      <c r="C92" s="4"/>
      <c r="D92" s="4"/>
      <c r="E92" s="4"/>
      <c r="F92" s="4"/>
      <c r="G92" s="4"/>
      <c r="H92" s="4"/>
      <c r="I92" s="4"/>
      <c r="J92" s="4"/>
      <c r="K92" s="4"/>
      <c r="L92" s="4"/>
    </row>
    <row r="93" customFormat="false" ht="15" hidden="false" customHeight="false" outlineLevel="0" collapsed="false">
      <c r="A93" s="5" t="s">
        <v>131</v>
      </c>
    </row>
    <row r="94" customFormat="false" ht="48" hidden="false" customHeight="true" outlineLevel="0" collapsed="false">
      <c r="A94" s="39" t="s">
        <v>132</v>
      </c>
      <c r="B94" s="39"/>
      <c r="C94" s="39"/>
      <c r="D94" s="39"/>
      <c r="E94" s="39"/>
      <c r="F94" s="39"/>
      <c r="G94" s="39"/>
      <c r="H94" s="39"/>
      <c r="I94" s="39"/>
      <c r="J94" s="39"/>
      <c r="K94" s="39"/>
      <c r="L94" s="39"/>
    </row>
    <row r="95" customFormat="false" ht="15" hidden="false" customHeight="false" outlineLevel="0" collapsed="false">
      <c r="A95" s="5" t="s">
        <v>133</v>
      </c>
    </row>
    <row r="96" customFormat="false" ht="48" hidden="false" customHeight="true" outlineLevel="0" collapsed="false">
      <c r="A96" s="39" t="s">
        <v>134</v>
      </c>
      <c r="B96" s="39"/>
      <c r="C96" s="39"/>
      <c r="D96" s="39"/>
      <c r="E96" s="39"/>
      <c r="F96" s="39"/>
      <c r="G96" s="39"/>
      <c r="H96" s="39"/>
      <c r="I96" s="39"/>
      <c r="J96" s="39"/>
      <c r="K96" s="39"/>
      <c r="L96" s="39"/>
    </row>
    <row r="97" customFormat="false" ht="15" hidden="false" customHeight="false" outlineLevel="0" collapsed="false">
      <c r="A97" s="5" t="s">
        <v>135</v>
      </c>
    </row>
    <row r="98" customFormat="false" ht="48" hidden="false" customHeight="true" outlineLevel="0" collapsed="false">
      <c r="A98" s="39" t="s">
        <v>136</v>
      </c>
      <c r="B98" s="39"/>
      <c r="C98" s="39"/>
      <c r="D98" s="39"/>
      <c r="E98" s="39"/>
      <c r="F98" s="39"/>
      <c r="G98" s="39"/>
      <c r="H98" s="39"/>
      <c r="I98" s="39"/>
      <c r="J98" s="39"/>
      <c r="K98" s="39"/>
      <c r="L98" s="39"/>
    </row>
    <row r="99" customFormat="false" ht="15" hidden="false" customHeight="false" outlineLevel="0" collapsed="false">
      <c r="A99" s="5" t="s">
        <v>137</v>
      </c>
    </row>
    <row r="100" customFormat="false" ht="48" hidden="false" customHeight="true" outlineLevel="0" collapsed="false">
      <c r="A100" s="39" t="s">
        <v>138</v>
      </c>
      <c r="B100" s="39"/>
      <c r="C100" s="39"/>
      <c r="D100" s="39"/>
      <c r="E100" s="39"/>
      <c r="F100" s="39"/>
      <c r="G100" s="39"/>
      <c r="H100" s="39"/>
      <c r="I100" s="39"/>
      <c r="J100" s="39"/>
      <c r="K100" s="39"/>
      <c r="L100" s="39"/>
    </row>
    <row r="102" customFormat="false" ht="15" hidden="false" customHeight="false" outlineLevel="0" collapsed="false">
      <c r="A102" s="4" t="s">
        <v>139</v>
      </c>
      <c r="B102" s="4"/>
      <c r="C102" s="4"/>
      <c r="D102" s="4"/>
      <c r="E102" s="4"/>
      <c r="F102" s="4"/>
      <c r="G102" s="4"/>
      <c r="H102" s="4"/>
      <c r="I102" s="4"/>
      <c r="J102" s="4"/>
      <c r="K102" s="4"/>
      <c r="L102" s="4"/>
    </row>
    <row r="103" customFormat="false" ht="31.5" hidden="false" customHeight="true" outlineLevel="0" collapsed="false">
      <c r="A103" s="8" t="s">
        <v>140</v>
      </c>
      <c r="B103" s="8" t="s">
        <v>141</v>
      </c>
      <c r="C103" s="8" t="s">
        <v>142</v>
      </c>
      <c r="D103" s="8" t="s">
        <v>45</v>
      </c>
      <c r="E103" s="8" t="s">
        <v>47</v>
      </c>
      <c r="F103" s="8" t="s">
        <v>49</v>
      </c>
      <c r="G103" s="8" t="s">
        <v>143</v>
      </c>
      <c r="H103" s="8" t="s">
        <v>144</v>
      </c>
      <c r="I103" s="8" t="s">
        <v>145</v>
      </c>
      <c r="J103" s="8" t="s">
        <v>146</v>
      </c>
      <c r="K103" s="8" t="s">
        <v>121</v>
      </c>
      <c r="L103" s="8" t="s">
        <v>147</v>
      </c>
    </row>
    <row r="104" customFormat="false" ht="15" hidden="false" customHeight="false" outlineLevel="0" collapsed="false">
      <c r="A104" s="9" t="str">
        <f aca="false">'2026 Forecast A'!A12</f>
        <v>Carbon</v>
      </c>
      <c r="B104" s="9" t="str">
        <f aca="false">'2026 Forecast A'!B12</f>
        <v>BANKS TOWNSHIP</v>
      </c>
      <c r="C104" s="9" t="str">
        <f aca="false">'2026 Forecast A'!C12</f>
        <v>(whole municipality)</v>
      </c>
      <c r="D104" s="10" t="n">
        <f aca="false">'2026 Forecast A'!G12</f>
        <v>0.370879120879121</v>
      </c>
      <c r="E104" s="10" t="n">
        <f aca="false">'2026 Forecast B'!G12</f>
        <v>0.362637362637363</v>
      </c>
      <c r="F104" s="10" t="n">
        <f aca="false">'2026 Forecast C'!G12</f>
        <v>0.370879120879121</v>
      </c>
      <c r="G104" s="52" t="n">
        <f aca="false">(MAX(D104:F104)-MIN(D104:F104))*100</f>
        <v>0.824175824175827</v>
      </c>
      <c r="H104" s="53" t="n">
        <f aca="false">'2026 Forecast A'!L12</f>
        <v>2.86280086232688</v>
      </c>
      <c r="I104" s="53" t="n">
        <f aca="false">'2026 Forecast B'!L12</f>
        <v>2.79778929596316</v>
      </c>
      <c r="J104" s="53" t="n">
        <f aca="false">'2026 Forecast C'!L12</f>
        <v>2.92294299405971</v>
      </c>
      <c r="K104" s="18" t="n">
        <f aca="false">'2026 Forecast A'!F12</f>
        <v>364</v>
      </c>
      <c r="L104" s="54" t="str">
        <f aca="false">IF(OR(AND(D104&gt;0.5,E104&gt;0.5,F104&gt;0.5),AND(D104&lt;0.5,E104&lt;0.5,F104&lt;0.5)),"Yes","No — toss-up")</f>
        <v>Yes</v>
      </c>
    </row>
    <row r="105" customFormat="false" ht="15" hidden="false" customHeight="false" outlineLevel="0" collapsed="false">
      <c r="A105" s="9" t="str">
        <f aca="false">'2026 Forecast A'!A13</f>
        <v>Carbon</v>
      </c>
      <c r="B105" s="9" t="str">
        <f aca="false">'2026 Forecast A'!B13</f>
        <v>BEAVER MEADOWS BOROUGH</v>
      </c>
      <c r="C105" s="9" t="str">
        <f aca="false">'2026 Forecast A'!C13</f>
        <v>(whole municipality)</v>
      </c>
      <c r="D105" s="10" t="n">
        <f aca="false">'2026 Forecast A'!G13</f>
        <v>0.281818181818182</v>
      </c>
      <c r="E105" s="10" t="n">
        <f aca="false">'2026 Forecast B'!G13</f>
        <v>0.284848484848485</v>
      </c>
      <c r="F105" s="10" t="n">
        <f aca="false">'2026 Forecast C'!G13</f>
        <v>0.281818181818182</v>
      </c>
      <c r="G105" s="52" t="n">
        <f aca="false">(MAX(D105:F105)-MIN(D105:F105))*100</f>
        <v>0.303030303030305</v>
      </c>
      <c r="H105" s="53" t="n">
        <f aca="false">'2026 Forecast A'!L13</f>
        <v>2.86280086232688</v>
      </c>
      <c r="I105" s="53" t="n">
        <f aca="false">'2026 Forecast B'!L13</f>
        <v>2.79778929596316</v>
      </c>
      <c r="J105" s="53" t="n">
        <f aca="false">'2026 Forecast C'!L13</f>
        <v>2.92294299405971</v>
      </c>
      <c r="K105" s="18" t="n">
        <f aca="false">'2026 Forecast A'!F13</f>
        <v>330</v>
      </c>
      <c r="L105" s="54" t="str">
        <f aca="false">IF(OR(AND(D105&gt;0.5,E105&gt;0.5,F105&gt;0.5),AND(D105&lt;0.5,E105&lt;0.5,F105&lt;0.5)),"Yes","No — toss-up")</f>
        <v>Yes</v>
      </c>
    </row>
    <row r="106" customFormat="false" ht="15" hidden="false" customHeight="false" outlineLevel="0" collapsed="false">
      <c r="A106" s="9" t="str">
        <f aca="false">'2026 Forecast A'!A14</f>
        <v>Carbon</v>
      </c>
      <c r="B106" s="9" t="str">
        <f aca="false">'2026 Forecast A'!B14</f>
        <v>BOWMANSTOWN BOROUGH</v>
      </c>
      <c r="C106" s="9" t="str">
        <f aca="false">'2026 Forecast A'!C14</f>
        <v>(whole municipality)</v>
      </c>
      <c r="D106" s="10" t="n">
        <f aca="false">'2026 Forecast A'!G14</f>
        <v>0.345505617977528</v>
      </c>
      <c r="E106" s="10" t="n">
        <f aca="false">'2026 Forecast B'!G14</f>
        <v>0.348314606741573</v>
      </c>
      <c r="F106" s="10" t="n">
        <f aca="false">'2026 Forecast C'!G14</f>
        <v>0.345505617977528</v>
      </c>
      <c r="G106" s="52" t="n">
        <f aca="false">(MAX(D106:F106)-MIN(D106:F106))*100</f>
        <v>0.280898876404495</v>
      </c>
      <c r="H106" s="53" t="n">
        <f aca="false">'2026 Forecast A'!L14</f>
        <v>2.86280086232688</v>
      </c>
      <c r="I106" s="53" t="n">
        <f aca="false">'2026 Forecast B'!L14</f>
        <v>2.79778929596316</v>
      </c>
      <c r="J106" s="53" t="n">
        <f aca="false">'2026 Forecast C'!L14</f>
        <v>2.92294299405971</v>
      </c>
      <c r="K106" s="18" t="n">
        <f aca="false">'2026 Forecast A'!F14</f>
        <v>356</v>
      </c>
      <c r="L106" s="54" t="str">
        <f aca="false">IF(OR(AND(D106&gt;0.5,E106&gt;0.5,F106&gt;0.5),AND(D106&lt;0.5,E106&lt;0.5,F106&lt;0.5)),"Yes","No — toss-up")</f>
        <v>Yes</v>
      </c>
    </row>
    <row r="107" customFormat="false" ht="15" hidden="false" customHeight="false" outlineLevel="0" collapsed="false">
      <c r="A107" s="9" t="str">
        <f aca="false">'2026 Forecast A'!A15</f>
        <v>Carbon</v>
      </c>
      <c r="B107" s="9" t="str">
        <f aca="false">'2026 Forecast A'!B15</f>
        <v>EAST PENN TOWNSHIP</v>
      </c>
      <c r="C107" s="9" t="str">
        <f aca="false">'2026 Forecast A'!C15</f>
        <v>(whole municipality)</v>
      </c>
      <c r="D107" s="10" t="n">
        <f aca="false">'2026 Forecast A'!G15</f>
        <v>0.27940074906367</v>
      </c>
      <c r="E107" s="10" t="n">
        <f aca="false">'2026 Forecast B'!G15</f>
        <v>0.276404494382022</v>
      </c>
      <c r="F107" s="10" t="n">
        <f aca="false">'2026 Forecast C'!G15</f>
        <v>0.27940074906367</v>
      </c>
      <c r="G107" s="52" t="n">
        <f aca="false">(MAX(D107:F107)-MIN(D107:F107))*100</f>
        <v>0.299625468164794</v>
      </c>
      <c r="H107" s="53" t="n">
        <f aca="false">'2026 Forecast A'!L15</f>
        <v>1.72183147497008</v>
      </c>
      <c r="I107" s="53" t="n">
        <f aca="false">'2026 Forecast B'!L15</f>
        <v>1.77383121164253</v>
      </c>
      <c r="J107" s="53" t="n">
        <f aca="false">'2026 Forecast C'!L15</f>
        <v>2.00296198818071</v>
      </c>
      <c r="K107" s="18" t="n">
        <f aca="false">'2026 Forecast A'!F15</f>
        <v>1335</v>
      </c>
      <c r="L107" s="54" t="str">
        <f aca="false">IF(OR(AND(D107&gt;0.5,E107&gt;0.5,F107&gt;0.5),AND(D107&lt;0.5,E107&lt;0.5,F107&lt;0.5)),"Yes","No — toss-up")</f>
        <v>Yes</v>
      </c>
    </row>
    <row r="108" customFormat="false" ht="15" hidden="false" customHeight="false" outlineLevel="0" collapsed="false">
      <c r="A108" s="9" t="str">
        <f aca="false">'2026 Forecast A'!A16</f>
        <v>Carbon</v>
      </c>
      <c r="B108" s="9" t="str">
        <f aca="false">'2026 Forecast A'!B16</f>
        <v>EAST SIDE BOROUGH</v>
      </c>
      <c r="C108" s="9" t="str">
        <f aca="false">'2026 Forecast A'!C16</f>
        <v>(whole municipality)</v>
      </c>
      <c r="D108" s="10" t="n">
        <f aca="false">'2026 Forecast A'!G16</f>
        <v>0.354838709677419</v>
      </c>
      <c r="E108" s="10" t="n">
        <f aca="false">'2026 Forecast B'!G16</f>
        <v>0.354838709677419</v>
      </c>
      <c r="F108" s="10" t="n">
        <f aca="false">'2026 Forecast C'!G16</f>
        <v>0.354838709677419</v>
      </c>
      <c r="G108" s="52" t="n">
        <f aca="false">(MAX(D108:F108)-MIN(D108:F108))*100</f>
        <v>0</v>
      </c>
      <c r="H108" s="53" t="n">
        <f aca="false">'2026 Forecast A'!L16</f>
        <v>2.86280086232688</v>
      </c>
      <c r="I108" s="53" t="n">
        <f aca="false">'2026 Forecast B'!L16</f>
        <v>2.79778929596316</v>
      </c>
      <c r="J108" s="53" t="n">
        <f aca="false">'2026 Forecast C'!L16</f>
        <v>2.92294299405971</v>
      </c>
      <c r="K108" s="18" t="n">
        <f aca="false">'2026 Forecast A'!F16</f>
        <v>93</v>
      </c>
      <c r="L108" s="54" t="str">
        <f aca="false">IF(OR(AND(D108&gt;0.5,E108&gt;0.5,F108&gt;0.5),AND(D108&lt;0.5,E108&lt;0.5,F108&lt;0.5)),"Yes","No — toss-up")</f>
        <v>Yes</v>
      </c>
    </row>
    <row r="109" customFormat="false" ht="15" hidden="false" customHeight="false" outlineLevel="0" collapsed="false">
      <c r="A109" s="9" t="str">
        <f aca="false">'2026 Forecast A'!A17</f>
        <v>Carbon</v>
      </c>
      <c r="B109" s="9" t="str">
        <f aca="false">'2026 Forecast A'!B17</f>
        <v>FRANKLIN TOWNSHIP</v>
      </c>
      <c r="C109" s="9" t="str">
        <f aca="false">'2026 Forecast A'!C17</f>
        <v>(whole municipality)</v>
      </c>
      <c r="D109" s="10" t="n">
        <f aca="false">'2026 Forecast A'!G17</f>
        <v>0.282038345105954</v>
      </c>
      <c r="E109" s="10" t="n">
        <f aca="false">'2026 Forecast B'!G17</f>
        <v>0.276992936427851</v>
      </c>
      <c r="F109" s="10" t="n">
        <f aca="false">'2026 Forecast C'!G17</f>
        <v>0.282038345105954</v>
      </c>
      <c r="G109" s="52" t="n">
        <f aca="false">(MAX(D109:F109)-MIN(D109:F109))*100</f>
        <v>0.504540867810294</v>
      </c>
      <c r="H109" s="53" t="n">
        <f aca="false">'2026 Forecast A'!L17</f>
        <v>1.72183147497008</v>
      </c>
      <c r="I109" s="53" t="n">
        <f aca="false">'2026 Forecast B'!L17</f>
        <v>1.77383121164253</v>
      </c>
      <c r="J109" s="53" t="n">
        <f aca="false">'2026 Forecast C'!L17</f>
        <v>2.00296198818071</v>
      </c>
      <c r="K109" s="18" t="n">
        <f aca="false">'2026 Forecast A'!F17</f>
        <v>1982</v>
      </c>
      <c r="L109" s="54" t="str">
        <f aca="false">IF(OR(AND(D109&gt;0.5,E109&gt;0.5,F109&gt;0.5),AND(D109&lt;0.5,E109&lt;0.5,F109&lt;0.5)),"Yes","No — toss-up")</f>
        <v>Yes</v>
      </c>
    </row>
    <row r="110" customFormat="false" ht="15" hidden="false" customHeight="false" outlineLevel="0" collapsed="false">
      <c r="A110" s="9" t="str">
        <f aca="false">'2026 Forecast A'!A18</f>
        <v>Carbon</v>
      </c>
      <c r="B110" s="9" t="str">
        <f aca="false">'2026 Forecast A'!B18</f>
        <v>JIM THORPE BOROUGH</v>
      </c>
      <c r="C110" s="9" t="str">
        <f aca="false">'2026 Forecast A'!C18</f>
        <v>(whole municipality)</v>
      </c>
      <c r="D110" s="10" t="n">
        <f aca="false">'2026 Forecast A'!G18</f>
        <v>0.435483870967742</v>
      </c>
      <c r="E110" s="10" t="n">
        <f aca="false">'2026 Forecast B'!G18</f>
        <v>0.435483870967742</v>
      </c>
      <c r="F110" s="10" t="n">
        <f aca="false">'2026 Forecast C'!G18</f>
        <v>0.435483870967742</v>
      </c>
      <c r="G110" s="52" t="n">
        <f aca="false">(MAX(D110:F110)-MIN(D110:F110))*100</f>
        <v>0</v>
      </c>
      <c r="H110" s="53" t="n">
        <f aca="false">'2026 Forecast A'!L18</f>
        <v>1.72183147497008</v>
      </c>
      <c r="I110" s="53" t="n">
        <f aca="false">'2026 Forecast B'!L18</f>
        <v>1.77383121164253</v>
      </c>
      <c r="J110" s="53" t="n">
        <f aca="false">'2026 Forecast C'!L18</f>
        <v>2.00296198818071</v>
      </c>
      <c r="K110" s="18" t="n">
        <f aca="false">'2026 Forecast A'!F18</f>
        <v>2108</v>
      </c>
      <c r="L110" s="54" t="str">
        <f aca="false">IF(OR(AND(D110&gt;0.5,E110&gt;0.5,F110&gt;0.5),AND(D110&lt;0.5,E110&lt;0.5,F110&lt;0.5)),"Yes","No — toss-up")</f>
        <v>Yes</v>
      </c>
    </row>
    <row r="111" customFormat="false" ht="15" hidden="false" customHeight="false" outlineLevel="0" collapsed="false">
      <c r="A111" s="9" t="str">
        <f aca="false">'2026 Forecast A'!A19</f>
        <v>Carbon</v>
      </c>
      <c r="B111" s="9" t="str">
        <f aca="false">'2026 Forecast A'!B19</f>
        <v>KIDDER TOWNSHIP</v>
      </c>
      <c r="C111" s="9" t="str">
        <f aca="false">'2026 Forecast A'!C19</f>
        <v>(whole municipality)</v>
      </c>
      <c r="D111" s="10" t="n">
        <f aca="false">'2026 Forecast A'!G19</f>
        <v>0.332919254658385</v>
      </c>
      <c r="E111" s="10" t="n">
        <f aca="false">'2026 Forecast B'!G19</f>
        <v>0.33167701863354</v>
      </c>
      <c r="F111" s="10" t="n">
        <f aca="false">'2026 Forecast C'!G19</f>
        <v>0.332919254658385</v>
      </c>
      <c r="G111" s="52" t="n">
        <f aca="false">(MAX(D111:F111)-MIN(D111:F111))*100</f>
        <v>0.124223602484469</v>
      </c>
      <c r="H111" s="53" t="n">
        <f aca="false">'2026 Forecast A'!L19</f>
        <v>2.86280086232688</v>
      </c>
      <c r="I111" s="53" t="n">
        <f aca="false">'2026 Forecast B'!L19</f>
        <v>2.79778929596316</v>
      </c>
      <c r="J111" s="53" t="n">
        <f aca="false">'2026 Forecast C'!L19</f>
        <v>2.92294299405971</v>
      </c>
      <c r="K111" s="18" t="n">
        <f aca="false">'2026 Forecast A'!F19</f>
        <v>805</v>
      </c>
      <c r="L111" s="54" t="str">
        <f aca="false">IF(OR(AND(D111&gt;0.5,E111&gt;0.5,F111&gt;0.5),AND(D111&lt;0.5,E111&lt;0.5,F111&lt;0.5)),"Yes","No — toss-up")</f>
        <v>Yes</v>
      </c>
    </row>
    <row r="112" customFormat="false" ht="15" hidden="false" customHeight="false" outlineLevel="0" collapsed="false">
      <c r="A112" s="9" t="str">
        <f aca="false">'2026 Forecast A'!A20</f>
        <v>Carbon</v>
      </c>
      <c r="B112" s="9" t="str">
        <f aca="false">'2026 Forecast A'!B20</f>
        <v>LANSFORD BOROUGH</v>
      </c>
      <c r="C112" s="9" t="str">
        <f aca="false">'2026 Forecast A'!C20</f>
        <v>(whole municipality)</v>
      </c>
      <c r="D112" s="10" t="n">
        <f aca="false">'2026 Forecast A'!G20</f>
        <v>0.421052631578947</v>
      </c>
      <c r="E112" s="10" t="n">
        <f aca="false">'2026 Forecast B'!G20</f>
        <v>0.411819021237304</v>
      </c>
      <c r="F112" s="10" t="n">
        <f aca="false">'2026 Forecast C'!G20</f>
        <v>0.421052631578947</v>
      </c>
      <c r="G112" s="52" t="n">
        <f aca="false">(MAX(D112:F112)-MIN(D112:F112))*100</f>
        <v>0.923361034164355</v>
      </c>
      <c r="H112" s="53" t="n">
        <f aca="false">'2026 Forecast A'!L20</f>
        <v>2.86280086232688</v>
      </c>
      <c r="I112" s="53" t="n">
        <f aca="false">'2026 Forecast B'!L20</f>
        <v>2.79778929596316</v>
      </c>
      <c r="J112" s="53" t="n">
        <f aca="false">'2026 Forecast C'!L20</f>
        <v>2.92294299405971</v>
      </c>
      <c r="K112" s="18" t="n">
        <f aca="false">'2026 Forecast A'!F20</f>
        <v>1083</v>
      </c>
      <c r="L112" s="54" t="str">
        <f aca="false">IF(OR(AND(D112&gt;0.5,E112&gt;0.5,F112&gt;0.5),AND(D112&lt;0.5,E112&lt;0.5,F112&lt;0.5)),"Yes","No — toss-up")</f>
        <v>Yes</v>
      </c>
    </row>
    <row r="113" customFormat="false" ht="15" hidden="false" customHeight="false" outlineLevel="0" collapsed="false">
      <c r="A113" s="9" t="str">
        <f aca="false">'2026 Forecast A'!A21</f>
        <v>Carbon</v>
      </c>
      <c r="B113" s="9" t="str">
        <f aca="false">'2026 Forecast A'!B21</f>
        <v>LAUSANNE TOWNSHIP</v>
      </c>
      <c r="C113" s="9" t="str">
        <f aca="false">'2026 Forecast A'!C21</f>
        <v>(whole municipality)</v>
      </c>
      <c r="D113" s="10" t="n">
        <f aca="false">'2026 Forecast A'!G21</f>
        <v>0.288135593220339</v>
      </c>
      <c r="E113" s="10" t="n">
        <f aca="false">'2026 Forecast B'!G21</f>
        <v>0.288135593220339</v>
      </c>
      <c r="F113" s="10" t="n">
        <f aca="false">'2026 Forecast C'!G21</f>
        <v>0.288135593220339</v>
      </c>
      <c r="G113" s="52" t="n">
        <f aca="false">(MAX(D113:F113)-MIN(D113:F113))*100</f>
        <v>0</v>
      </c>
      <c r="H113" s="53" t="n">
        <f aca="false">'2026 Forecast A'!L21</f>
        <v>2.86280086232688</v>
      </c>
      <c r="I113" s="53" t="n">
        <f aca="false">'2026 Forecast B'!L21</f>
        <v>2.79778929596316</v>
      </c>
      <c r="J113" s="53" t="n">
        <f aca="false">'2026 Forecast C'!L21</f>
        <v>2.92294299405971</v>
      </c>
      <c r="K113" s="18" t="n">
        <f aca="false">'2026 Forecast A'!F21</f>
        <v>118</v>
      </c>
      <c r="L113" s="54" t="str">
        <f aca="false">IF(OR(AND(D113&gt;0.5,E113&gt;0.5,F113&gt;0.5),AND(D113&lt;0.5,E113&lt;0.5,F113&lt;0.5)),"Yes","No — toss-up")</f>
        <v>Yes</v>
      </c>
    </row>
    <row r="114" customFormat="false" ht="15" hidden="false" customHeight="false" outlineLevel="0" collapsed="false">
      <c r="A114" s="9" t="str">
        <f aca="false">'2026 Forecast A'!A22</f>
        <v>Carbon</v>
      </c>
      <c r="B114" s="9" t="str">
        <f aca="false">'2026 Forecast A'!B22</f>
        <v>LEHIGH TOWNSHIP</v>
      </c>
      <c r="C114" s="9" t="str">
        <f aca="false">'2026 Forecast A'!C22</f>
        <v>(whole municipality)</v>
      </c>
      <c r="D114" s="10" t="n">
        <f aca="false">'2026 Forecast A'!G22</f>
        <v>0.20253164556962</v>
      </c>
      <c r="E114" s="10" t="n">
        <f aca="false">'2026 Forecast B'!G22</f>
        <v>0.19831223628692</v>
      </c>
      <c r="F114" s="10" t="n">
        <f aca="false">'2026 Forecast C'!G22</f>
        <v>0.20253164556962</v>
      </c>
      <c r="G114" s="52" t="n">
        <f aca="false">(MAX(D114:F114)-MIN(D114:F114))*100</f>
        <v>0.421940928270043</v>
      </c>
      <c r="H114" s="53" t="n">
        <f aca="false">'2026 Forecast A'!L22</f>
        <v>2.86280086232688</v>
      </c>
      <c r="I114" s="53" t="n">
        <f aca="false">'2026 Forecast B'!L22</f>
        <v>2.79778929596316</v>
      </c>
      <c r="J114" s="53" t="n">
        <f aca="false">'2026 Forecast C'!L22</f>
        <v>2.92294299405971</v>
      </c>
      <c r="K114" s="18" t="n">
        <f aca="false">'2026 Forecast A'!F22</f>
        <v>237</v>
      </c>
      <c r="L114" s="54" t="str">
        <f aca="false">IF(OR(AND(D114&gt;0.5,E114&gt;0.5,F114&gt;0.5),AND(D114&lt;0.5,E114&lt;0.5,F114&lt;0.5)),"Yes","No — toss-up")</f>
        <v>Yes</v>
      </c>
    </row>
    <row r="115" customFormat="false" ht="15" hidden="false" customHeight="false" outlineLevel="0" collapsed="false">
      <c r="A115" s="9" t="str">
        <f aca="false">'2026 Forecast A'!A23</f>
        <v>Carbon</v>
      </c>
      <c r="B115" s="9" t="str">
        <f aca="false">'2026 Forecast A'!B23</f>
        <v>LEHIGHTON BOROUGH</v>
      </c>
      <c r="C115" s="9" t="str">
        <f aca="false">'2026 Forecast A'!C23</f>
        <v>(whole municipality)</v>
      </c>
      <c r="D115" s="10" t="n">
        <f aca="false">'2026 Forecast A'!G23</f>
        <v>0.416191562143672</v>
      </c>
      <c r="E115" s="10" t="n">
        <f aca="false">'2026 Forecast B'!G23</f>
        <v>0.419612314709236</v>
      </c>
      <c r="F115" s="10" t="n">
        <f aca="false">'2026 Forecast C'!G23</f>
        <v>0.416761687571266</v>
      </c>
      <c r="G115" s="52" t="n">
        <f aca="false">(MAX(D115:F115)-MIN(D115:F115))*100</f>
        <v>0.342075256556446</v>
      </c>
      <c r="H115" s="53" t="n">
        <f aca="false">'2026 Forecast A'!L23</f>
        <v>1.72183147497008</v>
      </c>
      <c r="I115" s="53" t="n">
        <f aca="false">'2026 Forecast B'!L23</f>
        <v>1.77383121164253</v>
      </c>
      <c r="J115" s="53" t="n">
        <f aca="false">'2026 Forecast C'!L23</f>
        <v>2.00296198818071</v>
      </c>
      <c r="K115" s="18" t="n">
        <f aca="false">'2026 Forecast A'!F23</f>
        <v>1754</v>
      </c>
      <c r="L115" s="54" t="str">
        <f aca="false">IF(OR(AND(D115&gt;0.5,E115&gt;0.5,F115&gt;0.5),AND(D115&lt;0.5,E115&lt;0.5,F115&lt;0.5)),"Yes","No — toss-up")</f>
        <v>Yes</v>
      </c>
    </row>
    <row r="116" customFormat="false" ht="15" hidden="false" customHeight="false" outlineLevel="0" collapsed="false">
      <c r="A116" s="9" t="str">
        <f aca="false">'2026 Forecast A'!A24</f>
        <v>Carbon</v>
      </c>
      <c r="B116" s="9" t="str">
        <f aca="false">'2026 Forecast A'!B24</f>
        <v>LOWER TOWAMENSING TOWNSHIP</v>
      </c>
      <c r="C116" s="9" t="str">
        <f aca="false">'2026 Forecast A'!C24</f>
        <v>(whole municipality)</v>
      </c>
      <c r="D116" s="10" t="n">
        <f aca="false">'2026 Forecast A'!G24</f>
        <v>0.305496074232691</v>
      </c>
      <c r="E116" s="10" t="n">
        <f aca="false">'2026 Forecast B'!G24</f>
        <v>0.309778729478944</v>
      </c>
      <c r="F116" s="10" t="n">
        <f aca="false">'2026 Forecast C'!G24</f>
        <v>0.306209850107066</v>
      </c>
      <c r="G116" s="52" t="n">
        <f aca="false">(MAX(D116:F116)-MIN(D116:F116))*100</f>
        <v>0.428265524625271</v>
      </c>
      <c r="H116" s="53" t="n">
        <f aca="false">'2026 Forecast A'!L24</f>
        <v>1.72183147497008</v>
      </c>
      <c r="I116" s="53" t="n">
        <f aca="false">'2026 Forecast B'!L24</f>
        <v>1.77383121164253</v>
      </c>
      <c r="J116" s="53" t="n">
        <f aca="false">'2026 Forecast C'!L24</f>
        <v>2.00296198818071</v>
      </c>
      <c r="K116" s="18" t="n">
        <f aca="false">'2026 Forecast A'!F24</f>
        <v>1401</v>
      </c>
      <c r="L116" s="54" t="str">
        <f aca="false">IF(OR(AND(D116&gt;0.5,E116&gt;0.5,F116&gt;0.5),AND(D116&lt;0.5,E116&lt;0.5,F116&lt;0.5)),"Yes","No — toss-up")</f>
        <v>Yes</v>
      </c>
    </row>
    <row r="117" customFormat="false" ht="15" hidden="false" customHeight="false" outlineLevel="0" collapsed="false">
      <c r="A117" s="9" t="str">
        <f aca="false">'2026 Forecast A'!A25</f>
        <v>Carbon</v>
      </c>
      <c r="B117" s="9" t="str">
        <f aca="false">'2026 Forecast A'!B25</f>
        <v>MAHONING TOWNSHIP</v>
      </c>
      <c r="C117" s="9" t="str">
        <f aca="false">'2026 Forecast A'!C25</f>
        <v>(whole municipality)</v>
      </c>
      <c r="D117" s="10" t="n">
        <f aca="false">'2026 Forecast A'!G25</f>
        <v>0.290202342917998</v>
      </c>
      <c r="E117" s="10" t="n">
        <f aca="false">'2026 Forecast B'!G25</f>
        <v>0.288072417465389</v>
      </c>
      <c r="F117" s="10" t="n">
        <f aca="false">'2026 Forecast C'!G25</f>
        <v>0.290202342917998</v>
      </c>
      <c r="G117" s="52" t="n">
        <f aca="false">(MAX(D117:F117)-MIN(D117:F117))*100</f>
        <v>0.212992545260915</v>
      </c>
      <c r="H117" s="53" t="n">
        <f aca="false">'2026 Forecast A'!L25</f>
        <v>1.72183147497008</v>
      </c>
      <c r="I117" s="53" t="n">
        <f aca="false">'2026 Forecast B'!L25</f>
        <v>1.77383121164253</v>
      </c>
      <c r="J117" s="53" t="n">
        <f aca="false">'2026 Forecast C'!L25</f>
        <v>2.00296198818071</v>
      </c>
      <c r="K117" s="18" t="n">
        <f aca="false">'2026 Forecast A'!F25</f>
        <v>1878</v>
      </c>
      <c r="L117" s="54" t="str">
        <f aca="false">IF(OR(AND(D117&gt;0.5,E117&gt;0.5,F117&gt;0.5),AND(D117&lt;0.5,E117&lt;0.5,F117&lt;0.5)),"Yes","No — toss-up")</f>
        <v>Yes</v>
      </c>
    </row>
    <row r="118" customFormat="false" ht="15" hidden="false" customHeight="false" outlineLevel="0" collapsed="false">
      <c r="A118" s="9" t="str">
        <f aca="false">'2026 Forecast A'!A26</f>
        <v>Carbon</v>
      </c>
      <c r="B118" s="9" t="str">
        <f aca="false">'2026 Forecast A'!B26</f>
        <v>NESQUEHONING BOROUGH</v>
      </c>
      <c r="C118" s="9" t="str">
        <f aca="false">'2026 Forecast A'!C26</f>
        <v>(whole municipality)</v>
      </c>
      <c r="D118" s="10" t="n">
        <f aca="false">'2026 Forecast A'!G26</f>
        <v>0.410214168039539</v>
      </c>
      <c r="E118" s="10" t="n">
        <f aca="false">'2026 Forecast B'!G26</f>
        <v>0.407742998352554</v>
      </c>
      <c r="F118" s="10" t="n">
        <f aca="false">'2026 Forecast C'!G26</f>
        <v>0.411037891268534</v>
      </c>
      <c r="G118" s="52" t="n">
        <f aca="false">(MAX(D118:F118)-MIN(D118:F118))*100</f>
        <v>0.329489291598023</v>
      </c>
      <c r="H118" s="53" t="n">
        <f aca="false">'2026 Forecast A'!L26</f>
        <v>2.86280086232688</v>
      </c>
      <c r="I118" s="53" t="n">
        <f aca="false">'2026 Forecast B'!L26</f>
        <v>2.79778929596316</v>
      </c>
      <c r="J118" s="53" t="n">
        <f aca="false">'2026 Forecast C'!L26</f>
        <v>2.92294299405971</v>
      </c>
      <c r="K118" s="18" t="n">
        <f aca="false">'2026 Forecast A'!F26</f>
        <v>1214</v>
      </c>
      <c r="L118" s="54" t="str">
        <f aca="false">IF(OR(AND(D118&gt;0.5,E118&gt;0.5,F118&gt;0.5),AND(D118&lt;0.5,E118&lt;0.5,F118&lt;0.5)),"Yes","No — toss-up")</f>
        <v>Yes</v>
      </c>
    </row>
    <row r="119" customFormat="false" ht="15" hidden="false" customHeight="false" outlineLevel="0" collapsed="false">
      <c r="A119" s="9" t="str">
        <f aca="false">'2026 Forecast A'!A27</f>
        <v>Carbon</v>
      </c>
      <c r="B119" s="9" t="str">
        <f aca="false">'2026 Forecast A'!B27</f>
        <v>PACKER TOWNSHIP</v>
      </c>
      <c r="C119" s="9" t="str">
        <f aca="false">'2026 Forecast A'!C27</f>
        <v>(whole municipality)</v>
      </c>
      <c r="D119" s="10" t="n">
        <f aca="false">'2026 Forecast A'!G27</f>
        <v>0.19811320754717</v>
      </c>
      <c r="E119" s="10" t="n">
        <f aca="false">'2026 Forecast B'!G27</f>
        <v>0.20188679245283</v>
      </c>
      <c r="F119" s="10" t="n">
        <f aca="false">'2026 Forecast C'!G27</f>
        <v>0.19811320754717</v>
      </c>
      <c r="G119" s="52" t="n">
        <f aca="false">(MAX(D119:F119)-MIN(D119:F119))*100</f>
        <v>0.377358490566038</v>
      </c>
      <c r="H119" s="53" t="n">
        <f aca="false">'2026 Forecast A'!L27</f>
        <v>2.86280086232688</v>
      </c>
      <c r="I119" s="53" t="n">
        <f aca="false">'2026 Forecast B'!L27</f>
        <v>2.79778929596316</v>
      </c>
      <c r="J119" s="53" t="n">
        <f aca="false">'2026 Forecast C'!L27</f>
        <v>2.92294299405971</v>
      </c>
      <c r="K119" s="18" t="n">
        <f aca="false">'2026 Forecast A'!F27</f>
        <v>530</v>
      </c>
      <c r="L119" s="54" t="str">
        <f aca="false">IF(OR(AND(D119&gt;0.5,E119&gt;0.5,F119&gt;0.5),AND(D119&lt;0.5,E119&lt;0.5,F119&lt;0.5)),"Yes","No — toss-up")</f>
        <v>Yes</v>
      </c>
    </row>
    <row r="120" customFormat="false" ht="15" hidden="false" customHeight="false" outlineLevel="0" collapsed="false">
      <c r="A120" s="9" t="str">
        <f aca="false">'2026 Forecast A'!A28</f>
        <v>Carbon</v>
      </c>
      <c r="B120" s="9" t="str">
        <f aca="false">'2026 Forecast A'!B28</f>
        <v>PALMERTON BOROUGH</v>
      </c>
      <c r="C120" s="9" t="str">
        <f aca="false">'2026 Forecast A'!C28</f>
        <v>(whole municipality)</v>
      </c>
      <c r="D120" s="10" t="n">
        <f aca="false">'2026 Forecast A'!G28</f>
        <v>0.371170266197891</v>
      </c>
      <c r="E120" s="10" t="n">
        <f aca="false">'2026 Forecast B'!G28</f>
        <v>0.370165745856354</v>
      </c>
      <c r="F120" s="10" t="n">
        <f aca="false">'2026 Forecast C'!G28</f>
        <v>0.371170266197891</v>
      </c>
      <c r="G120" s="52" t="n">
        <f aca="false">(MAX(D120:F120)-MIN(D120:F120))*100</f>
        <v>0.100452034153692</v>
      </c>
      <c r="H120" s="53" t="n">
        <f aca="false">'2026 Forecast A'!L28</f>
        <v>1.72183147497008</v>
      </c>
      <c r="I120" s="53" t="n">
        <f aca="false">'2026 Forecast B'!L28</f>
        <v>1.77383121164253</v>
      </c>
      <c r="J120" s="53" t="n">
        <f aca="false">'2026 Forecast C'!L28</f>
        <v>2.00296198818071</v>
      </c>
      <c r="K120" s="18" t="n">
        <f aca="false">'2026 Forecast A'!F28</f>
        <v>1991</v>
      </c>
      <c r="L120" s="54" t="str">
        <f aca="false">IF(OR(AND(D120&gt;0.5,E120&gt;0.5,F120&gt;0.5),AND(D120&lt;0.5,E120&lt;0.5,F120&lt;0.5)),"Yes","No — toss-up")</f>
        <v>Yes</v>
      </c>
    </row>
    <row r="121" customFormat="false" ht="15" hidden="false" customHeight="false" outlineLevel="0" collapsed="false">
      <c r="A121" s="9" t="str">
        <f aca="false">'2026 Forecast A'!A29</f>
        <v>Carbon</v>
      </c>
      <c r="B121" s="9" t="str">
        <f aca="false">'2026 Forecast A'!B29</f>
        <v>PARRYVILLE BOROUGH</v>
      </c>
      <c r="C121" s="9" t="str">
        <f aca="false">'2026 Forecast A'!C29</f>
        <v>(whole municipality)</v>
      </c>
      <c r="D121" s="10" t="n">
        <f aca="false">'2026 Forecast A'!G29</f>
        <v>0.291891891891892</v>
      </c>
      <c r="E121" s="10" t="n">
        <f aca="false">'2026 Forecast B'!G29</f>
        <v>0.291891891891892</v>
      </c>
      <c r="F121" s="10" t="n">
        <f aca="false">'2026 Forecast C'!G29</f>
        <v>0.291891891891892</v>
      </c>
      <c r="G121" s="52" t="n">
        <f aca="false">(MAX(D121:F121)-MIN(D121:F121))*100</f>
        <v>0</v>
      </c>
      <c r="H121" s="53" t="n">
        <f aca="false">'2026 Forecast A'!L29</f>
        <v>2.86280086232688</v>
      </c>
      <c r="I121" s="53" t="n">
        <f aca="false">'2026 Forecast B'!L29</f>
        <v>2.79778929596316</v>
      </c>
      <c r="J121" s="53" t="n">
        <f aca="false">'2026 Forecast C'!L29</f>
        <v>2.92294299405971</v>
      </c>
      <c r="K121" s="18" t="n">
        <f aca="false">'2026 Forecast A'!F29</f>
        <v>185</v>
      </c>
      <c r="L121" s="54" t="str">
        <f aca="false">IF(OR(AND(D121&gt;0.5,E121&gt;0.5,F121&gt;0.5),AND(D121&lt;0.5,E121&lt;0.5,F121&lt;0.5)),"Yes","No — toss-up")</f>
        <v>Yes</v>
      </c>
    </row>
    <row r="122" customFormat="false" ht="15" hidden="false" customHeight="false" outlineLevel="0" collapsed="false">
      <c r="A122" s="9" t="str">
        <f aca="false">'2026 Forecast A'!A30</f>
        <v>Carbon</v>
      </c>
      <c r="B122" s="9" t="str">
        <f aca="false">'2026 Forecast A'!B30</f>
        <v>PENN FOREST TOWNSHIP</v>
      </c>
      <c r="C122" s="9" t="str">
        <f aca="false">'2026 Forecast A'!C30</f>
        <v>(whole municipality)</v>
      </c>
      <c r="D122" s="10" t="n">
        <f aca="false">'2026 Forecast A'!G30</f>
        <v>0.363819320214669</v>
      </c>
      <c r="E122" s="10" t="n">
        <f aca="false">'2026 Forecast B'!G30</f>
        <v>0.36180679785331</v>
      </c>
      <c r="F122" s="10" t="n">
        <f aca="false">'2026 Forecast C'!G30</f>
        <v>0.364042933810376</v>
      </c>
      <c r="G122" s="52" t="n">
        <f aca="false">(MAX(D122:F122)-MIN(D122:F122))*100</f>
        <v>0.223613595706618</v>
      </c>
      <c r="H122" s="53" t="n">
        <f aca="false">'2026 Forecast A'!L30</f>
        <v>1.77148440604085</v>
      </c>
      <c r="I122" s="53" t="n">
        <f aca="false">'2026 Forecast B'!L30</f>
        <v>1.78132935757617</v>
      </c>
      <c r="J122" s="53" t="n">
        <f aca="false">'2026 Forecast C'!L30</f>
        <v>1.91117906752088</v>
      </c>
      <c r="K122" s="18" t="n">
        <f aca="false">'2026 Forecast A'!F30</f>
        <v>4472</v>
      </c>
      <c r="L122" s="54" t="str">
        <f aca="false">IF(OR(AND(D122&gt;0.5,E122&gt;0.5,F122&gt;0.5),AND(D122&lt;0.5,E122&lt;0.5,F122&lt;0.5)),"Yes","No — toss-up")</f>
        <v>Yes</v>
      </c>
    </row>
    <row r="123" customFormat="false" ht="15" hidden="false" customHeight="false" outlineLevel="0" collapsed="false">
      <c r="A123" s="9" t="str">
        <f aca="false">'2026 Forecast A'!A31</f>
        <v>Carbon</v>
      </c>
      <c r="B123" s="9" t="str">
        <f aca="false">'2026 Forecast A'!B31</f>
        <v>SUMMIT HILL BOROUGH</v>
      </c>
      <c r="C123" s="9" t="str">
        <f aca="false">'2026 Forecast A'!C31</f>
        <v>(whole municipality)</v>
      </c>
      <c r="D123" s="10" t="n">
        <f aca="false">'2026 Forecast A'!G31</f>
        <v>0.437741686001547</v>
      </c>
      <c r="E123" s="10" t="n">
        <f aca="false">'2026 Forecast B'!G31</f>
        <v>0.436968290796597</v>
      </c>
      <c r="F123" s="10" t="n">
        <f aca="false">'2026 Forecast C'!G31</f>
        <v>0.437741686001547</v>
      </c>
      <c r="G123" s="52" t="n">
        <f aca="false">(MAX(D123:F123)-MIN(D123:F123))*100</f>
        <v>0.0773395204949734</v>
      </c>
      <c r="H123" s="53" t="n">
        <f aca="false">'2026 Forecast A'!L31</f>
        <v>1.72183147497008</v>
      </c>
      <c r="I123" s="53" t="n">
        <f aca="false">'2026 Forecast B'!L31</f>
        <v>1.77383121164253</v>
      </c>
      <c r="J123" s="53" t="n">
        <f aca="false">'2026 Forecast C'!L31</f>
        <v>2.00296198818071</v>
      </c>
      <c r="K123" s="18" t="n">
        <f aca="false">'2026 Forecast A'!F31</f>
        <v>1293</v>
      </c>
      <c r="L123" s="54" t="str">
        <f aca="false">IF(OR(AND(D123&gt;0.5,E123&gt;0.5,F123&gt;0.5),AND(D123&lt;0.5,E123&lt;0.5,F123&lt;0.5)),"Yes","No — toss-up")</f>
        <v>Yes</v>
      </c>
    </row>
    <row r="124" customFormat="false" ht="15" hidden="false" customHeight="false" outlineLevel="0" collapsed="false">
      <c r="A124" s="9" t="str">
        <f aca="false">'2026 Forecast A'!A32</f>
        <v>Carbon</v>
      </c>
      <c r="B124" s="9" t="str">
        <f aca="false">'2026 Forecast A'!B32</f>
        <v>TOWAMENSING TOWNSHIP</v>
      </c>
      <c r="C124" s="9" t="str">
        <f aca="false">'2026 Forecast A'!C32</f>
        <v>(whole municipality)</v>
      </c>
      <c r="D124" s="10" t="n">
        <f aca="false">'2026 Forecast A'!G32</f>
        <v>0.29140832595217</v>
      </c>
      <c r="E124" s="10" t="n">
        <f aca="false">'2026 Forecast B'!G32</f>
        <v>0.29185119574845</v>
      </c>
      <c r="F124" s="10" t="n">
        <f aca="false">'2026 Forecast C'!G32</f>
        <v>0.29140832595217</v>
      </c>
      <c r="G124" s="52" t="n">
        <f aca="false">(MAX(D124:F124)-MIN(D124:F124))*100</f>
        <v>0.0442869796279888</v>
      </c>
      <c r="H124" s="53" t="n">
        <f aca="false">'2026 Forecast A'!L32</f>
        <v>1.72183147497008</v>
      </c>
      <c r="I124" s="53" t="n">
        <f aca="false">'2026 Forecast B'!L32</f>
        <v>1.77383121164253</v>
      </c>
      <c r="J124" s="53" t="n">
        <f aca="false">'2026 Forecast C'!L32</f>
        <v>2.00296198818071</v>
      </c>
      <c r="K124" s="18" t="n">
        <f aca="false">'2026 Forecast A'!F32</f>
        <v>2258</v>
      </c>
      <c r="L124" s="54" t="str">
        <f aca="false">IF(OR(AND(D124&gt;0.5,E124&gt;0.5,F124&gt;0.5),AND(D124&lt;0.5,E124&lt;0.5,F124&lt;0.5)),"Yes","No — toss-up")</f>
        <v>Yes</v>
      </c>
    </row>
    <row r="125" customFormat="false" ht="15" hidden="false" customHeight="false" outlineLevel="0" collapsed="false">
      <c r="A125" s="9" t="str">
        <f aca="false">'2026 Forecast A'!A33</f>
        <v>Carbon</v>
      </c>
      <c r="B125" s="9" t="str">
        <f aca="false">'2026 Forecast A'!B33</f>
        <v>WEATHERLY BOROUGH</v>
      </c>
      <c r="C125" s="9" t="str">
        <f aca="false">'2026 Forecast A'!C33</f>
        <v>(whole municipality)</v>
      </c>
      <c r="D125" s="10" t="n">
        <f aca="false">'2026 Forecast A'!G33</f>
        <v>0.285557986870897</v>
      </c>
      <c r="E125" s="10" t="n">
        <f aca="false">'2026 Forecast B'!G33</f>
        <v>0.288840262582057</v>
      </c>
      <c r="F125" s="10" t="n">
        <f aca="false">'2026 Forecast C'!G33</f>
        <v>0.285557986870897</v>
      </c>
      <c r="G125" s="52" t="n">
        <f aca="false">(MAX(D125:F125)-MIN(D125:F125))*100</f>
        <v>0.328227571115974</v>
      </c>
      <c r="H125" s="53" t="n">
        <f aca="false">'2026 Forecast A'!L33</f>
        <v>2.86280086232688</v>
      </c>
      <c r="I125" s="53" t="n">
        <f aca="false">'2026 Forecast B'!L33</f>
        <v>2.79778929596316</v>
      </c>
      <c r="J125" s="53" t="n">
        <f aca="false">'2026 Forecast C'!L33</f>
        <v>2.92294299405971</v>
      </c>
      <c r="K125" s="18" t="n">
        <f aca="false">'2026 Forecast A'!F33</f>
        <v>914</v>
      </c>
      <c r="L125" s="54" t="str">
        <f aca="false">IF(OR(AND(D125&gt;0.5,E125&gt;0.5,F125&gt;0.5),AND(D125&lt;0.5,E125&lt;0.5,F125&lt;0.5)),"Yes","No — toss-up")</f>
        <v>Yes</v>
      </c>
    </row>
    <row r="126" customFormat="false" ht="15" hidden="false" customHeight="false" outlineLevel="0" collapsed="false">
      <c r="A126" s="9" t="str">
        <f aca="false">'2026 Forecast A'!A34</f>
        <v>Carbon</v>
      </c>
      <c r="B126" s="9" t="str">
        <f aca="false">'2026 Forecast A'!B34</f>
        <v>WEISSPORT BOROUGH</v>
      </c>
      <c r="C126" s="9" t="str">
        <f aca="false">'2026 Forecast A'!C34</f>
        <v>(whole municipality)</v>
      </c>
      <c r="D126" s="10" t="n">
        <f aca="false">'2026 Forecast A'!G34</f>
        <v>0.401869158878505</v>
      </c>
      <c r="E126" s="10" t="n">
        <f aca="false">'2026 Forecast B'!G34</f>
        <v>0.411214953271028</v>
      </c>
      <c r="F126" s="10" t="n">
        <f aca="false">'2026 Forecast C'!G34</f>
        <v>0.401869158878505</v>
      </c>
      <c r="G126" s="52" t="n">
        <f aca="false">(MAX(D126:F126)-MIN(D126:F126))*100</f>
        <v>0.934579439252337</v>
      </c>
      <c r="H126" s="53" t="n">
        <f aca="false">'2026 Forecast A'!L34</f>
        <v>2.86280086232688</v>
      </c>
      <c r="I126" s="53" t="n">
        <f aca="false">'2026 Forecast B'!L34</f>
        <v>2.79778929596316</v>
      </c>
      <c r="J126" s="53" t="n">
        <f aca="false">'2026 Forecast C'!L34</f>
        <v>2.92294299405971</v>
      </c>
      <c r="K126" s="18" t="n">
        <f aca="false">'2026 Forecast A'!F34</f>
        <v>107</v>
      </c>
      <c r="L126" s="54" t="str">
        <f aca="false">IF(OR(AND(D126&gt;0.5,E126&gt;0.5,F126&gt;0.5),AND(D126&lt;0.5,E126&lt;0.5,F126&lt;0.5)),"Yes","No — toss-up")</f>
        <v>Yes</v>
      </c>
    </row>
    <row r="127" customFormat="false" ht="15" hidden="false" customHeight="false" outlineLevel="0" collapsed="false">
      <c r="A127" s="9" t="str">
        <f aca="false">'2026 Forecast A'!A35</f>
        <v>Lehigh</v>
      </c>
      <c r="B127" s="9" t="str">
        <f aca="false">'2026 Forecast A'!B35</f>
        <v>ALBURTIS</v>
      </c>
      <c r="C127" s="9" t="str">
        <f aca="false">'2026 Forecast A'!C35</f>
        <v>(whole municipality)</v>
      </c>
      <c r="D127" s="10" t="n">
        <f aca="false">'2026 Forecast A'!G35</f>
        <v>0.469368520263902</v>
      </c>
      <c r="E127" s="10" t="n">
        <f aca="false">'2026 Forecast B'!G35</f>
        <v>0.474081055607917</v>
      </c>
      <c r="F127" s="10" t="n">
        <f aca="false">'2026 Forecast C'!G35</f>
        <v>0.470311027332705</v>
      </c>
      <c r="G127" s="52" t="n">
        <f aca="false">(MAX(D127:F127)-MIN(D127:F127))*100</f>
        <v>0.471253534401511</v>
      </c>
      <c r="H127" s="53" t="n">
        <f aca="false">'2026 Forecast A'!L35</f>
        <v>2.86280086232688</v>
      </c>
      <c r="I127" s="53" t="n">
        <f aca="false">'2026 Forecast B'!L35</f>
        <v>2.79778929596316</v>
      </c>
      <c r="J127" s="53" t="n">
        <f aca="false">'2026 Forecast C'!L35</f>
        <v>2.92294299405971</v>
      </c>
      <c r="K127" s="18" t="n">
        <f aca="false">'2026 Forecast A'!F35</f>
        <v>1061</v>
      </c>
      <c r="L127" s="54" t="str">
        <f aca="false">IF(OR(AND(D127&gt;0.5,E127&gt;0.5,F127&gt;0.5),AND(D127&lt;0.5,E127&lt;0.5,F127&lt;0.5)),"Yes","No — toss-up")</f>
        <v>Yes</v>
      </c>
    </row>
    <row r="128" customFormat="false" ht="15" hidden="false" customHeight="false" outlineLevel="0" collapsed="false">
      <c r="A128" s="9" t="str">
        <f aca="false">'2026 Forecast A'!A36</f>
        <v>Lehigh</v>
      </c>
      <c r="B128" s="9" t="str">
        <f aca="false">'2026 Forecast A'!B36</f>
        <v>ALLENTOWN</v>
      </c>
      <c r="C128" s="9" t="str">
        <f aca="false">'2026 Forecast A'!C36</f>
        <v>(whole municipality)</v>
      </c>
      <c r="D128" s="10" t="n">
        <f aca="false">'2026 Forecast A'!G36</f>
        <v>0.65549994088204</v>
      </c>
      <c r="E128" s="10" t="n">
        <f aca="false">'2026 Forecast B'!G36</f>
        <v>0.657155243763055</v>
      </c>
      <c r="F128" s="10" t="n">
        <f aca="false">'2026 Forecast C'!G36</f>
        <v>0.653529342214165</v>
      </c>
      <c r="G128" s="52" t="n">
        <f aca="false">(MAX(D128:F128)-MIN(D128:F128))*100</f>
        <v>0.362590154889053</v>
      </c>
      <c r="H128" s="53" t="n">
        <f aca="false">'2026 Forecast A'!L36</f>
        <v>1.77148440604085</v>
      </c>
      <c r="I128" s="53" t="n">
        <f aca="false">'2026 Forecast B'!L36</f>
        <v>1.78132935757617</v>
      </c>
      <c r="J128" s="53" t="n">
        <f aca="false">'2026 Forecast C'!L36</f>
        <v>1.91117906752088</v>
      </c>
      <c r="K128" s="18" t="n">
        <f aca="false">'2026 Forecast A'!F36</f>
        <v>25373</v>
      </c>
      <c r="L128" s="54" t="str">
        <f aca="false">IF(OR(AND(D128&gt;0.5,E128&gt;0.5,F128&gt;0.5),AND(D128&lt;0.5,E128&lt;0.5,F128&lt;0.5)),"Yes","No — toss-up")</f>
        <v>Yes</v>
      </c>
    </row>
    <row r="129" customFormat="false" ht="15" hidden="false" customHeight="false" outlineLevel="0" collapsed="false">
      <c r="A129" s="9" t="str">
        <f aca="false">'2026 Forecast A'!A37</f>
        <v>Lehigh</v>
      </c>
      <c r="B129" s="9" t="str">
        <f aca="false">'2026 Forecast A'!B37</f>
        <v>BETHLEHEM</v>
      </c>
      <c r="C129" s="9" t="str">
        <f aca="false">'2026 Forecast A'!C37</f>
        <v>(whole municipality)</v>
      </c>
      <c r="D129" s="10" t="n">
        <f aca="false">'2026 Forecast A'!G37</f>
        <v>0.640967782374326</v>
      </c>
      <c r="E129" s="10" t="n">
        <f aca="false">'2026 Forecast B'!G37</f>
        <v>0.641719944841419</v>
      </c>
      <c r="F129" s="10" t="n">
        <f aca="false">'2026 Forecast C'!G37</f>
        <v>0.638962015795412</v>
      </c>
      <c r="G129" s="52" t="n">
        <f aca="false">(MAX(D129:F129)-MIN(D129:F129))*100</f>
        <v>0.275792904600725</v>
      </c>
      <c r="H129" s="53" t="n">
        <f aca="false">'2026 Forecast A'!L37</f>
        <v>1.77148440604085</v>
      </c>
      <c r="I129" s="53" t="n">
        <f aca="false">'2026 Forecast B'!L37</f>
        <v>1.78132935757617</v>
      </c>
      <c r="J129" s="53" t="n">
        <f aca="false">'2026 Forecast C'!L37</f>
        <v>1.91117906752088</v>
      </c>
      <c r="K129" s="18" t="n">
        <f aca="false">'2026 Forecast A'!F37</f>
        <v>7977</v>
      </c>
      <c r="L129" s="54" t="str">
        <f aca="false">IF(OR(AND(D129&gt;0.5,E129&gt;0.5,F129&gt;0.5),AND(D129&lt;0.5,E129&lt;0.5,F129&lt;0.5)),"Yes","No — toss-up")</f>
        <v>Yes</v>
      </c>
    </row>
    <row r="130" customFormat="false" ht="15" hidden="false" customHeight="false" outlineLevel="0" collapsed="false">
      <c r="A130" s="9" t="str">
        <f aca="false">'2026 Forecast A'!A38</f>
        <v>Lehigh</v>
      </c>
      <c r="B130" s="9" t="str">
        <f aca="false">'2026 Forecast A'!B38</f>
        <v>CATASAUQUA</v>
      </c>
      <c r="C130" s="9" t="str">
        <f aca="false">'2026 Forecast A'!C38</f>
        <v>(whole municipality)</v>
      </c>
      <c r="D130" s="10" t="n">
        <f aca="false">'2026 Forecast A'!G38</f>
        <v>0.525711662075298</v>
      </c>
      <c r="E130" s="10" t="n">
        <f aca="false">'2026 Forecast B'!G38</f>
        <v>0.531221303948577</v>
      </c>
      <c r="F130" s="10" t="n">
        <f aca="false">'2026 Forecast C'!G38</f>
        <v>0.526629935720845</v>
      </c>
      <c r="G130" s="52" t="n">
        <f aca="false">(MAX(D130:F130)-MIN(D130:F130))*100</f>
        <v>0.550964187327829</v>
      </c>
      <c r="H130" s="53" t="n">
        <f aca="false">'2026 Forecast A'!L38</f>
        <v>1.72183147497008</v>
      </c>
      <c r="I130" s="53" t="n">
        <f aca="false">'2026 Forecast B'!L38</f>
        <v>1.77383121164253</v>
      </c>
      <c r="J130" s="53" t="n">
        <f aca="false">'2026 Forecast C'!L38</f>
        <v>2.00296198818071</v>
      </c>
      <c r="K130" s="18" t="n">
        <f aca="false">'2026 Forecast A'!F38</f>
        <v>2178</v>
      </c>
      <c r="L130" s="54" t="str">
        <f aca="false">IF(OR(AND(D130&gt;0.5,E130&gt;0.5,F130&gt;0.5),AND(D130&lt;0.5,E130&lt;0.5,F130&lt;0.5)),"Yes","No — toss-up")</f>
        <v>Yes</v>
      </c>
    </row>
    <row r="131" customFormat="false" ht="15" hidden="false" customHeight="false" outlineLevel="0" collapsed="false">
      <c r="A131" s="9" t="str">
        <f aca="false">'2026 Forecast A'!A39</f>
        <v>Lehigh</v>
      </c>
      <c r="B131" s="9" t="str">
        <f aca="false">'2026 Forecast A'!B39</f>
        <v>COOPERSBURG</v>
      </c>
      <c r="C131" s="9" t="str">
        <f aca="false">'2026 Forecast A'!C39</f>
        <v>(whole municipality)</v>
      </c>
      <c r="D131" s="10" t="n">
        <f aca="false">'2026 Forecast A'!G39</f>
        <v>0.490551181102362</v>
      </c>
      <c r="E131" s="10" t="n">
        <f aca="false">'2026 Forecast B'!G39</f>
        <v>0.492913385826772</v>
      </c>
      <c r="F131" s="10" t="n">
        <f aca="false">'2026 Forecast C'!G39</f>
        <v>0.492125984251969</v>
      </c>
      <c r="G131" s="52" t="n">
        <f aca="false">(MAX(D131:F131)-MIN(D131:F131))*100</f>
        <v>0.236220472440946</v>
      </c>
      <c r="H131" s="53" t="n">
        <f aca="false">'2026 Forecast A'!L39</f>
        <v>1.72183147497008</v>
      </c>
      <c r="I131" s="53" t="n">
        <f aca="false">'2026 Forecast B'!L39</f>
        <v>1.77383121164253</v>
      </c>
      <c r="J131" s="53" t="n">
        <f aca="false">'2026 Forecast C'!L39</f>
        <v>2.00296198818071</v>
      </c>
      <c r="K131" s="18" t="n">
        <f aca="false">'2026 Forecast A'!F39</f>
        <v>1270</v>
      </c>
      <c r="L131" s="54" t="str">
        <f aca="false">IF(OR(AND(D131&gt;0.5,E131&gt;0.5,F131&gt;0.5),AND(D131&lt;0.5,E131&lt;0.5,F131&lt;0.5)),"Yes","No — toss-up")</f>
        <v>Yes</v>
      </c>
    </row>
    <row r="132" customFormat="false" ht="15" hidden="false" customHeight="false" outlineLevel="0" collapsed="false">
      <c r="A132" s="9" t="str">
        <f aca="false">'2026 Forecast A'!A40</f>
        <v>Lehigh</v>
      </c>
      <c r="B132" s="9" t="str">
        <f aca="false">'2026 Forecast A'!B40</f>
        <v>COPLAY</v>
      </c>
      <c r="C132" s="9" t="str">
        <f aca="false">'2026 Forecast A'!C40</f>
        <v>(whole municipality)</v>
      </c>
      <c r="D132" s="10" t="n">
        <f aca="false">'2026 Forecast A'!G40</f>
        <v>0.519061583577713</v>
      </c>
      <c r="E132" s="10" t="n">
        <f aca="false">'2026 Forecast B'!G40</f>
        <v>0.523460410557185</v>
      </c>
      <c r="F132" s="10" t="n">
        <f aca="false">'2026 Forecast C'!G40</f>
        <v>0.519794721407625</v>
      </c>
      <c r="G132" s="52" t="n">
        <f aca="false">(MAX(D132:F132)-MIN(D132:F132))*100</f>
        <v>0.439882697947214</v>
      </c>
      <c r="H132" s="53" t="n">
        <f aca="false">'2026 Forecast A'!L40</f>
        <v>1.72183147497008</v>
      </c>
      <c r="I132" s="53" t="n">
        <f aca="false">'2026 Forecast B'!L40</f>
        <v>1.77383121164253</v>
      </c>
      <c r="J132" s="53" t="n">
        <f aca="false">'2026 Forecast C'!L40</f>
        <v>2.00296198818071</v>
      </c>
      <c r="K132" s="18" t="n">
        <f aca="false">'2026 Forecast A'!F40</f>
        <v>1364</v>
      </c>
      <c r="L132" s="54" t="str">
        <f aca="false">IF(OR(AND(D132&gt;0.5,E132&gt;0.5,F132&gt;0.5),AND(D132&lt;0.5,E132&lt;0.5,F132&lt;0.5)),"Yes","No — toss-up")</f>
        <v>Yes</v>
      </c>
    </row>
    <row r="133" customFormat="false" ht="15" hidden="false" customHeight="false" outlineLevel="0" collapsed="false">
      <c r="A133" s="9" t="str">
        <f aca="false">'2026 Forecast A'!A41</f>
        <v>Lehigh</v>
      </c>
      <c r="B133" s="9" t="str">
        <f aca="false">'2026 Forecast A'!B41</f>
        <v>EMMAUS</v>
      </c>
      <c r="C133" s="9" t="str">
        <f aca="false">'2026 Forecast A'!C41</f>
        <v>(whole municipality)</v>
      </c>
      <c r="D133" s="10" t="n">
        <f aca="false">'2026 Forecast A'!G41</f>
        <v>0.535449146250928</v>
      </c>
      <c r="E133" s="10" t="n">
        <f aca="false">'2026 Forecast B'!G41</f>
        <v>0.538418708240535</v>
      </c>
      <c r="F133" s="10" t="n">
        <f aca="false">'2026 Forecast C'!G41</f>
        <v>0.536005939123979</v>
      </c>
      <c r="G133" s="52" t="n">
        <f aca="false">(MAX(D133:F133)-MIN(D133:F133))*100</f>
        <v>0.296956198960652</v>
      </c>
      <c r="H133" s="53" t="n">
        <f aca="false">'2026 Forecast A'!L41</f>
        <v>1.77148440604085</v>
      </c>
      <c r="I133" s="53" t="n">
        <f aca="false">'2026 Forecast B'!L41</f>
        <v>1.78132935757617</v>
      </c>
      <c r="J133" s="53" t="n">
        <f aca="false">'2026 Forecast C'!L41</f>
        <v>1.91117906752088</v>
      </c>
      <c r="K133" s="18" t="n">
        <f aca="false">'2026 Forecast A'!F41</f>
        <v>5388</v>
      </c>
      <c r="L133" s="54" t="str">
        <f aca="false">IF(OR(AND(D133&gt;0.5,E133&gt;0.5,F133&gt;0.5),AND(D133&lt;0.5,E133&lt;0.5,F133&lt;0.5)),"Yes","No — toss-up")</f>
        <v>Yes</v>
      </c>
    </row>
    <row r="134" customFormat="false" ht="15" hidden="false" customHeight="false" outlineLevel="0" collapsed="false">
      <c r="A134" s="9" t="str">
        <f aca="false">'2026 Forecast A'!A42</f>
        <v>Lehigh</v>
      </c>
      <c r="B134" s="9" t="str">
        <f aca="false">'2026 Forecast A'!B42</f>
        <v>FOUNTAIN HILL</v>
      </c>
      <c r="C134" s="9" t="str">
        <f aca="false">'2026 Forecast A'!C42</f>
        <v>(whole municipality)</v>
      </c>
      <c r="D134" s="10" t="n">
        <f aca="false">'2026 Forecast A'!G42</f>
        <v>0.658566978193147</v>
      </c>
      <c r="E134" s="10" t="n">
        <f aca="false">'2026 Forecast B'!G42</f>
        <v>0.66417445482866</v>
      </c>
      <c r="F134" s="10" t="n">
        <f aca="false">'2026 Forecast C'!G42</f>
        <v>0.656697819314642</v>
      </c>
      <c r="G134" s="52" t="n">
        <f aca="false">(MAX(D134:F134)-MIN(D134:F134))*100</f>
        <v>0.747663551401867</v>
      </c>
      <c r="H134" s="53" t="n">
        <f aca="false">'2026 Forecast A'!L42</f>
        <v>1.72183147497008</v>
      </c>
      <c r="I134" s="53" t="n">
        <f aca="false">'2026 Forecast B'!L42</f>
        <v>1.77383121164253</v>
      </c>
      <c r="J134" s="53" t="n">
        <f aca="false">'2026 Forecast C'!L42</f>
        <v>2.00296198818071</v>
      </c>
      <c r="K134" s="18" t="n">
        <f aca="false">'2026 Forecast A'!F42</f>
        <v>1605</v>
      </c>
      <c r="L134" s="54" t="str">
        <f aca="false">IF(OR(AND(D134&gt;0.5,E134&gt;0.5,F134&gt;0.5),AND(D134&lt;0.5,E134&lt;0.5,F134&lt;0.5)),"Yes","No — toss-up")</f>
        <v>Yes</v>
      </c>
    </row>
    <row r="135" customFormat="false" ht="15" hidden="false" customHeight="false" outlineLevel="0" collapsed="false">
      <c r="A135" s="9" t="str">
        <f aca="false">'2026 Forecast A'!A43</f>
        <v>Lehigh</v>
      </c>
      <c r="B135" s="9" t="str">
        <f aca="false">'2026 Forecast A'!B43</f>
        <v>HANOVER</v>
      </c>
      <c r="C135" s="9" t="str">
        <f aca="false">'2026 Forecast A'!C43</f>
        <v>(whole municipality)</v>
      </c>
      <c r="D135" s="10" t="n">
        <f aca="false">'2026 Forecast A'!G43</f>
        <v>0.541322314049587</v>
      </c>
      <c r="E135" s="10" t="n">
        <f aca="false">'2026 Forecast B'!G43</f>
        <v>0.535123966942149</v>
      </c>
      <c r="F135" s="10" t="n">
        <f aca="false">'2026 Forecast C'!G43</f>
        <v>0.541322314049587</v>
      </c>
      <c r="G135" s="52" t="n">
        <f aca="false">(MAX(D135:F135)-MIN(D135:F135))*100</f>
        <v>0.619834710743794</v>
      </c>
      <c r="H135" s="53" t="n">
        <f aca="false">'2026 Forecast A'!L43</f>
        <v>2.86280086232688</v>
      </c>
      <c r="I135" s="53" t="n">
        <f aca="false">'2026 Forecast B'!L43</f>
        <v>2.79778929596316</v>
      </c>
      <c r="J135" s="53" t="n">
        <f aca="false">'2026 Forecast C'!L43</f>
        <v>2.92294299405971</v>
      </c>
      <c r="K135" s="18" t="n">
        <f aca="false">'2026 Forecast A'!F43</f>
        <v>484</v>
      </c>
      <c r="L135" s="54" t="str">
        <f aca="false">IF(OR(AND(D135&gt;0.5,E135&gt;0.5,F135&gt;0.5),AND(D135&lt;0.5,E135&lt;0.5,F135&lt;0.5)),"Yes","No — toss-up")</f>
        <v>Yes</v>
      </c>
    </row>
    <row r="136" customFormat="false" ht="15" hidden="false" customHeight="false" outlineLevel="0" collapsed="false">
      <c r="A136" s="9" t="str">
        <f aca="false">'2026 Forecast A'!A44</f>
        <v>Lehigh</v>
      </c>
      <c r="B136" s="9" t="str">
        <f aca="false">'2026 Forecast A'!B44</f>
        <v>HEIDELBERG</v>
      </c>
      <c r="C136" s="9" t="str">
        <f aca="false">'2026 Forecast A'!C44</f>
        <v>(whole municipality)</v>
      </c>
      <c r="D136" s="10" t="n">
        <f aca="false">'2026 Forecast A'!G44</f>
        <v>0.32166566083283</v>
      </c>
      <c r="E136" s="10" t="n">
        <f aca="false">'2026 Forecast B'!G44</f>
        <v>0.32045866022933</v>
      </c>
      <c r="F136" s="10" t="n">
        <f aca="false">'2026 Forecast C'!G44</f>
        <v>0.32166566083283</v>
      </c>
      <c r="G136" s="52" t="n">
        <f aca="false">(MAX(D136:F136)-MIN(D136:F136))*100</f>
        <v>0.120700060350032</v>
      </c>
      <c r="H136" s="53" t="n">
        <f aca="false">'2026 Forecast A'!L44</f>
        <v>1.72183147497008</v>
      </c>
      <c r="I136" s="53" t="n">
        <f aca="false">'2026 Forecast B'!L44</f>
        <v>1.77383121164253</v>
      </c>
      <c r="J136" s="53" t="n">
        <f aca="false">'2026 Forecast C'!L44</f>
        <v>2.00296198818071</v>
      </c>
      <c r="K136" s="18" t="n">
        <f aca="false">'2026 Forecast A'!F44</f>
        <v>1657</v>
      </c>
      <c r="L136" s="54" t="str">
        <f aca="false">IF(OR(AND(D136&gt;0.5,E136&gt;0.5,F136&gt;0.5),AND(D136&lt;0.5,E136&lt;0.5,F136&lt;0.5)),"Yes","No — toss-up")</f>
        <v>Yes</v>
      </c>
    </row>
    <row r="137" customFormat="false" ht="15" hidden="false" customHeight="false" outlineLevel="0" collapsed="false">
      <c r="A137" s="9" t="str">
        <f aca="false">'2026 Forecast A'!A45</f>
        <v>Lehigh</v>
      </c>
      <c r="B137" s="9" t="str">
        <f aca="false">'2026 Forecast A'!B45</f>
        <v>LOWER MACUNGIE</v>
      </c>
      <c r="C137" s="9" t="str">
        <f aca="false">'2026 Forecast A'!C45</f>
        <v>(whole municipality)</v>
      </c>
      <c r="D137" s="10" t="n">
        <f aca="false">'2026 Forecast A'!G45</f>
        <v>0.501805938169575</v>
      </c>
      <c r="E137" s="10" t="n">
        <f aca="false">'2026 Forecast B'!G45</f>
        <v>0.500459136822773</v>
      </c>
      <c r="F137" s="10" t="n">
        <f aca="false">'2026 Forecast C'!G45</f>
        <v>0.502540557086012</v>
      </c>
      <c r="G137" s="52" t="n">
        <f aca="false">(MAX(D137:F137)-MIN(D137:F137))*100</f>
        <v>0.208142026323843</v>
      </c>
      <c r="H137" s="53" t="n">
        <f aca="false">'2026 Forecast A'!L45</f>
        <v>1.77148440604085</v>
      </c>
      <c r="I137" s="53" t="n">
        <f aca="false">'2026 Forecast B'!L45</f>
        <v>1.78132935757617</v>
      </c>
      <c r="J137" s="53" t="n">
        <f aca="false">'2026 Forecast C'!L45</f>
        <v>1.91117906752088</v>
      </c>
      <c r="K137" s="18" t="n">
        <f aca="false">'2026 Forecast A'!F45</f>
        <v>16335</v>
      </c>
      <c r="L137" s="54" t="str">
        <f aca="false">IF(OR(AND(D137&gt;0.5,E137&gt;0.5,F137&gt;0.5),AND(D137&lt;0.5,E137&lt;0.5,F137&lt;0.5)),"Yes","No — toss-up")</f>
        <v>Yes</v>
      </c>
    </row>
    <row r="138" customFormat="false" ht="15" hidden="false" customHeight="false" outlineLevel="0" collapsed="false">
      <c r="A138" s="9" t="str">
        <f aca="false">'2026 Forecast A'!A46</f>
        <v>Lehigh</v>
      </c>
      <c r="B138" s="9" t="str">
        <f aca="false">'2026 Forecast A'!B46</f>
        <v>LOWER MILFORD</v>
      </c>
      <c r="C138" s="9" t="str">
        <f aca="false">'2026 Forecast A'!C46</f>
        <v>(whole municipality)</v>
      </c>
      <c r="D138" s="10" t="n">
        <f aca="false">'2026 Forecast A'!G46</f>
        <v>0.384301270417423</v>
      </c>
      <c r="E138" s="10" t="n">
        <f aca="false">'2026 Forecast B'!G46</f>
        <v>0.386116152450091</v>
      </c>
      <c r="F138" s="10" t="n">
        <f aca="false">'2026 Forecast C'!G46</f>
        <v>0.38475499092559</v>
      </c>
      <c r="G138" s="52" t="n">
        <f aca="false">(MAX(D138:F138)-MIN(D138:F138))*100</f>
        <v>0.181488203266789</v>
      </c>
      <c r="H138" s="53" t="n">
        <f aca="false">'2026 Forecast A'!L46</f>
        <v>1.72183147497008</v>
      </c>
      <c r="I138" s="53" t="n">
        <f aca="false">'2026 Forecast B'!L46</f>
        <v>1.77383121164253</v>
      </c>
      <c r="J138" s="53" t="n">
        <f aca="false">'2026 Forecast C'!L46</f>
        <v>2.00296198818071</v>
      </c>
      <c r="K138" s="18" t="n">
        <f aca="false">'2026 Forecast A'!F46</f>
        <v>2204</v>
      </c>
      <c r="L138" s="54" t="str">
        <f aca="false">IF(OR(AND(D138&gt;0.5,E138&gt;0.5,F138&gt;0.5),AND(D138&lt;0.5,E138&lt;0.5,F138&lt;0.5)),"Yes","No — toss-up")</f>
        <v>Yes</v>
      </c>
    </row>
    <row r="139" customFormat="false" ht="15" hidden="false" customHeight="false" outlineLevel="0" collapsed="false">
      <c r="A139" s="9" t="str">
        <f aca="false">'2026 Forecast A'!A47</f>
        <v>Lehigh</v>
      </c>
      <c r="B139" s="9" t="str">
        <f aca="false">'2026 Forecast A'!B47</f>
        <v>LOWHILL</v>
      </c>
      <c r="C139" s="9" t="str">
        <f aca="false">'2026 Forecast A'!C47</f>
        <v>(whole municipality)</v>
      </c>
      <c r="D139" s="10" t="n">
        <f aca="false">'2026 Forecast A'!G47</f>
        <v>0.3589329021827</v>
      </c>
      <c r="E139" s="10" t="n">
        <f aca="false">'2026 Forecast B'!G47</f>
        <v>0.360549717057397</v>
      </c>
      <c r="F139" s="10" t="n">
        <f aca="false">'2026 Forecast C'!G47</f>
        <v>0.359741309620049</v>
      </c>
      <c r="G139" s="52" t="n">
        <f aca="false">(MAX(D139:F139)-MIN(D139:F139))*100</f>
        <v>0.161681487469684</v>
      </c>
      <c r="H139" s="53" t="n">
        <f aca="false">'2026 Forecast A'!L47</f>
        <v>2.86280086232688</v>
      </c>
      <c r="I139" s="53" t="n">
        <f aca="false">'2026 Forecast B'!L47</f>
        <v>2.79778929596316</v>
      </c>
      <c r="J139" s="53" t="n">
        <f aca="false">'2026 Forecast C'!L47</f>
        <v>2.92294299405971</v>
      </c>
      <c r="K139" s="18" t="n">
        <f aca="false">'2026 Forecast A'!F47</f>
        <v>1237</v>
      </c>
      <c r="L139" s="54" t="str">
        <f aca="false">IF(OR(AND(D139&gt;0.5,E139&gt;0.5,F139&gt;0.5),AND(D139&lt;0.5,E139&lt;0.5,F139&lt;0.5)),"Yes","No — toss-up")</f>
        <v>Yes</v>
      </c>
    </row>
    <row r="140" customFormat="false" ht="15" hidden="false" customHeight="false" outlineLevel="0" collapsed="false">
      <c r="A140" s="9" t="str">
        <f aca="false">'2026 Forecast A'!A48</f>
        <v>Lehigh</v>
      </c>
      <c r="B140" s="9" t="str">
        <f aca="false">'2026 Forecast A'!B48</f>
        <v>LYNN</v>
      </c>
      <c r="C140" s="9" t="str">
        <f aca="false">'2026 Forecast A'!C48</f>
        <v>(whole municipality)</v>
      </c>
      <c r="D140" s="10" t="n">
        <f aca="false">'2026 Forecast A'!G48</f>
        <v>0.320255474452555</v>
      </c>
      <c r="E140" s="10" t="n">
        <f aca="false">'2026 Forecast B'!G48</f>
        <v>0.320255474452555</v>
      </c>
      <c r="F140" s="10" t="n">
        <f aca="false">'2026 Forecast C'!G48</f>
        <v>0.320255474452555</v>
      </c>
      <c r="G140" s="52" t="n">
        <f aca="false">(MAX(D140:F140)-MIN(D140:F140))*100</f>
        <v>0</v>
      </c>
      <c r="H140" s="53" t="n">
        <f aca="false">'2026 Forecast A'!L48</f>
        <v>1.72183147497008</v>
      </c>
      <c r="I140" s="53" t="n">
        <f aca="false">'2026 Forecast B'!L48</f>
        <v>1.77383121164253</v>
      </c>
      <c r="J140" s="53" t="n">
        <f aca="false">'2026 Forecast C'!L48</f>
        <v>2.00296198818071</v>
      </c>
      <c r="K140" s="18" t="n">
        <f aca="false">'2026 Forecast A'!F48</f>
        <v>2192</v>
      </c>
      <c r="L140" s="54" t="str">
        <f aca="false">IF(OR(AND(D140&gt;0.5,E140&gt;0.5,F140&gt;0.5),AND(D140&lt;0.5,E140&lt;0.5,F140&lt;0.5)),"Yes","No — toss-up")</f>
        <v>Yes</v>
      </c>
    </row>
    <row r="141" customFormat="false" ht="15" hidden="false" customHeight="false" outlineLevel="0" collapsed="false">
      <c r="A141" s="9" t="str">
        <f aca="false">'2026 Forecast A'!A49</f>
        <v>Lehigh</v>
      </c>
      <c r="B141" s="9" t="str">
        <f aca="false">'2026 Forecast A'!B49</f>
        <v>MACUNGIE</v>
      </c>
      <c r="C141" s="9" t="str">
        <f aca="false">'2026 Forecast A'!C49</f>
        <v>(whole municipality)</v>
      </c>
      <c r="D141" s="10" t="n">
        <f aca="false">'2026 Forecast A'!G49</f>
        <v>0.534699272967614</v>
      </c>
      <c r="E141" s="10" t="n">
        <f aca="false">'2026 Forecast B'!G49</f>
        <v>0.538003965631196</v>
      </c>
      <c r="F141" s="10" t="n">
        <f aca="false">'2026 Forecast C'!G49</f>
        <v>0.536021150033047</v>
      </c>
      <c r="G141" s="52" t="n">
        <f aca="false">(MAX(D141:F141)-MIN(D141:F141))*100</f>
        <v>0.330469266358235</v>
      </c>
      <c r="H141" s="53" t="n">
        <f aca="false">'2026 Forecast A'!L49</f>
        <v>1.72183147497008</v>
      </c>
      <c r="I141" s="53" t="n">
        <f aca="false">'2026 Forecast B'!L49</f>
        <v>1.77383121164253</v>
      </c>
      <c r="J141" s="53" t="n">
        <f aca="false">'2026 Forecast C'!L49</f>
        <v>2.00296198818071</v>
      </c>
      <c r="K141" s="18" t="n">
        <f aca="false">'2026 Forecast A'!F49</f>
        <v>1513</v>
      </c>
      <c r="L141" s="54" t="str">
        <f aca="false">IF(OR(AND(D141&gt;0.5,E141&gt;0.5,F141&gt;0.5),AND(D141&lt;0.5,E141&lt;0.5,F141&lt;0.5)),"Yes","No — toss-up")</f>
        <v>Yes</v>
      </c>
    </row>
    <row r="142" customFormat="false" ht="15" hidden="false" customHeight="false" outlineLevel="0" collapsed="false">
      <c r="A142" s="9" t="str">
        <f aca="false">'2026 Forecast A'!A50</f>
        <v>Lehigh</v>
      </c>
      <c r="B142" s="9" t="str">
        <f aca="false">'2026 Forecast A'!B50</f>
        <v>NORTH WHITEHALL</v>
      </c>
      <c r="C142" s="9" t="str">
        <f aca="false">'2026 Forecast A'!C50</f>
        <v>(whole municipality)</v>
      </c>
      <c r="D142" s="10" t="n">
        <f aca="false">'2026 Forecast A'!G50</f>
        <v>0.406103583639357</v>
      </c>
      <c r="E142" s="10" t="n">
        <f aca="false">'2026 Forecast B'!G50</f>
        <v>0.405343801443586</v>
      </c>
      <c r="F142" s="10" t="n">
        <f aca="false">'2026 Forecast C'!G50</f>
        <v>0.406103583639357</v>
      </c>
      <c r="G142" s="52" t="n">
        <f aca="false">(MAX(D142:F142)-MIN(D142:F142))*100</f>
        <v>0.0759782195770553</v>
      </c>
      <c r="H142" s="53" t="n">
        <f aca="false">'2026 Forecast A'!L50</f>
        <v>1.77148440604085</v>
      </c>
      <c r="I142" s="53" t="n">
        <f aca="false">'2026 Forecast B'!L50</f>
        <v>1.78132935757617</v>
      </c>
      <c r="J142" s="53" t="n">
        <f aca="false">'2026 Forecast C'!L50</f>
        <v>1.91117906752088</v>
      </c>
      <c r="K142" s="18" t="n">
        <f aca="false">'2026 Forecast A'!F50</f>
        <v>7897</v>
      </c>
      <c r="L142" s="54" t="str">
        <f aca="false">IF(OR(AND(D142&gt;0.5,E142&gt;0.5,F142&gt;0.5),AND(D142&lt;0.5,E142&lt;0.5,F142&lt;0.5)),"Yes","No — toss-up")</f>
        <v>Yes</v>
      </c>
    </row>
    <row r="143" customFormat="false" ht="15" hidden="false" customHeight="false" outlineLevel="0" collapsed="false">
      <c r="A143" s="9" t="str">
        <f aca="false">'2026 Forecast A'!A51</f>
        <v>Lehigh</v>
      </c>
      <c r="B143" s="9" t="str">
        <f aca="false">'2026 Forecast A'!B51</f>
        <v>SALISBURY</v>
      </c>
      <c r="C143" s="9" t="str">
        <f aca="false">'2026 Forecast A'!C51</f>
        <v>(whole municipality)</v>
      </c>
      <c r="D143" s="10" t="n">
        <f aca="false">'2026 Forecast A'!G51</f>
        <v>0.495489891135303</v>
      </c>
      <c r="E143" s="10" t="n">
        <f aca="false">'2026 Forecast B'!G51</f>
        <v>0.492068429237947</v>
      </c>
      <c r="F143" s="10" t="n">
        <f aca="false">'2026 Forecast C'!G51</f>
        <v>0.496111975116641</v>
      </c>
      <c r="G143" s="52" t="n">
        <f aca="false">(MAX(D143:F143)-MIN(D143:F143))*100</f>
        <v>0.40435458786936</v>
      </c>
      <c r="H143" s="53" t="n">
        <f aca="false">'2026 Forecast A'!L51</f>
        <v>1.77148440604085</v>
      </c>
      <c r="I143" s="53" t="n">
        <f aca="false">'2026 Forecast B'!L51</f>
        <v>1.78132935757617</v>
      </c>
      <c r="J143" s="53" t="n">
        <f aca="false">'2026 Forecast C'!L51</f>
        <v>1.91117906752088</v>
      </c>
      <c r="K143" s="18" t="n">
        <f aca="false">'2026 Forecast A'!F51</f>
        <v>6430</v>
      </c>
      <c r="L143" s="54" t="str">
        <f aca="false">IF(OR(AND(D143&gt;0.5,E143&gt;0.5,F143&gt;0.5),AND(D143&lt;0.5,E143&lt;0.5,F143&lt;0.5)),"Yes","No — toss-up")</f>
        <v>Yes</v>
      </c>
    </row>
    <row r="144" customFormat="false" ht="15" hidden="false" customHeight="false" outlineLevel="0" collapsed="false">
      <c r="A144" s="9" t="str">
        <f aca="false">'2026 Forecast A'!A52</f>
        <v>Lehigh</v>
      </c>
      <c r="B144" s="9" t="str">
        <f aca="false">'2026 Forecast A'!B52</f>
        <v>SLATINGTON</v>
      </c>
      <c r="C144" s="9" t="str">
        <f aca="false">'2026 Forecast A'!C52</f>
        <v>(whole municipality)</v>
      </c>
      <c r="D144" s="10" t="n">
        <f aca="false">'2026 Forecast A'!G52</f>
        <v>0.42589928057554</v>
      </c>
      <c r="E144" s="10" t="n">
        <f aca="false">'2026 Forecast B'!G52</f>
        <v>0.420143884892086</v>
      </c>
      <c r="F144" s="10" t="n">
        <f aca="false">'2026 Forecast C'!G52</f>
        <v>0.42589928057554</v>
      </c>
      <c r="G144" s="52" t="n">
        <f aca="false">(MAX(D144:F144)-MIN(D144:F144))*100</f>
        <v>0.575539568345324</v>
      </c>
      <c r="H144" s="53" t="n">
        <f aca="false">'2026 Forecast A'!L52</f>
        <v>1.72183147497008</v>
      </c>
      <c r="I144" s="53" t="n">
        <f aca="false">'2026 Forecast B'!L52</f>
        <v>1.77383121164253</v>
      </c>
      <c r="J144" s="53" t="n">
        <f aca="false">'2026 Forecast C'!L52</f>
        <v>2.00296198818071</v>
      </c>
      <c r="K144" s="18" t="n">
        <f aca="false">'2026 Forecast A'!F52</f>
        <v>1390</v>
      </c>
      <c r="L144" s="54" t="str">
        <f aca="false">IF(OR(AND(D144&gt;0.5,E144&gt;0.5,F144&gt;0.5),AND(D144&lt;0.5,E144&lt;0.5,F144&lt;0.5)),"Yes","No — toss-up")</f>
        <v>Yes</v>
      </c>
    </row>
    <row r="145" customFormat="false" ht="15" hidden="false" customHeight="false" outlineLevel="0" collapsed="false">
      <c r="A145" s="9" t="str">
        <f aca="false">'2026 Forecast A'!A53</f>
        <v>Lehigh</v>
      </c>
      <c r="B145" s="9" t="str">
        <f aca="false">'2026 Forecast A'!B53</f>
        <v>SOUTH WHITEHALL</v>
      </c>
      <c r="C145" s="9" t="str">
        <f aca="false">'2026 Forecast A'!C53</f>
        <v>(whole municipality)</v>
      </c>
      <c r="D145" s="10" t="n">
        <f aca="false">'2026 Forecast A'!G53</f>
        <v>0.53786000381461</v>
      </c>
      <c r="E145" s="10" t="n">
        <f aca="false">'2026 Forecast B'!G53</f>
        <v>0.536620255578867</v>
      </c>
      <c r="F145" s="10" t="n">
        <f aca="false">'2026 Forecast C'!G53</f>
        <v>0.538527560556933</v>
      </c>
      <c r="G145" s="52" t="n">
        <f aca="false">(MAX(D145:F145)-MIN(D145:F145))*100</f>
        <v>0.190730497806602</v>
      </c>
      <c r="H145" s="53" t="n">
        <f aca="false">'2026 Forecast A'!L53</f>
        <v>1.77148440604085</v>
      </c>
      <c r="I145" s="53" t="n">
        <f aca="false">'2026 Forecast B'!L53</f>
        <v>1.78132935757617</v>
      </c>
      <c r="J145" s="53" t="n">
        <f aca="false">'2026 Forecast C'!L53</f>
        <v>1.91117906752088</v>
      </c>
      <c r="K145" s="18" t="n">
        <f aca="false">'2026 Forecast A'!F53</f>
        <v>10486</v>
      </c>
      <c r="L145" s="54" t="str">
        <f aca="false">IF(OR(AND(D145&gt;0.5,E145&gt;0.5,F145&gt;0.5),AND(D145&lt;0.5,E145&lt;0.5,F145&lt;0.5)),"Yes","No — toss-up")</f>
        <v>Yes</v>
      </c>
    </row>
    <row r="146" customFormat="false" ht="15" hidden="false" customHeight="false" outlineLevel="0" collapsed="false">
      <c r="A146" s="9" t="str">
        <f aca="false">'2026 Forecast A'!A54</f>
        <v>Lehigh</v>
      </c>
      <c r="B146" s="9" t="str">
        <f aca="false">'2026 Forecast A'!B54</f>
        <v>UPPER MACUNGIE</v>
      </c>
      <c r="C146" s="9" t="str">
        <f aca="false">'2026 Forecast A'!C54</f>
        <v>(whole municipality)</v>
      </c>
      <c r="D146" s="10" t="n">
        <f aca="false">'2026 Forecast A'!G54</f>
        <v>0.518287614297589</v>
      </c>
      <c r="E146" s="10" t="n">
        <f aca="false">'2026 Forecast B'!G54</f>
        <v>0.514463840399003</v>
      </c>
      <c r="F146" s="10" t="n">
        <f aca="false">'2026 Forecast C'!G54</f>
        <v>0.519118869492934</v>
      </c>
      <c r="G146" s="52" t="n">
        <f aca="false">(MAX(D146:F146)-MIN(D146:F146))*100</f>
        <v>0.465502909393178</v>
      </c>
      <c r="H146" s="53" t="n">
        <f aca="false">'2026 Forecast A'!L54</f>
        <v>1.77148440604085</v>
      </c>
      <c r="I146" s="53" t="n">
        <f aca="false">'2026 Forecast B'!L54</f>
        <v>1.78132935757617</v>
      </c>
      <c r="J146" s="53" t="n">
        <f aca="false">'2026 Forecast C'!L54</f>
        <v>1.91117906752088</v>
      </c>
      <c r="K146" s="18" t="n">
        <f aca="false">'2026 Forecast A'!F54</f>
        <v>12030</v>
      </c>
      <c r="L146" s="54" t="str">
        <f aca="false">IF(OR(AND(D146&gt;0.5,E146&gt;0.5,F146&gt;0.5),AND(D146&lt;0.5,E146&lt;0.5,F146&lt;0.5)),"Yes","No — toss-up")</f>
        <v>Yes</v>
      </c>
    </row>
    <row r="147" customFormat="false" ht="15" hidden="false" customHeight="false" outlineLevel="0" collapsed="false">
      <c r="A147" s="9" t="str">
        <f aca="false">'2026 Forecast A'!A55</f>
        <v>Lehigh</v>
      </c>
      <c r="B147" s="9" t="str">
        <f aca="false">'2026 Forecast A'!B55</f>
        <v>UPPER MILFORD</v>
      </c>
      <c r="C147" s="9" t="str">
        <f aca="false">'2026 Forecast A'!C55</f>
        <v>(whole municipality)</v>
      </c>
      <c r="D147" s="10" t="n">
        <f aca="false">'2026 Forecast A'!G55</f>
        <v>0.429562201993932</v>
      </c>
      <c r="E147" s="10" t="n">
        <f aca="false">'2026 Forecast B'!G55</f>
        <v>0.430862592110967</v>
      </c>
      <c r="F147" s="10" t="n">
        <f aca="false">'2026 Forecast C'!G55</f>
        <v>0.429562201993932</v>
      </c>
      <c r="G147" s="52" t="n">
        <f aca="false">(MAX(D147:F147)-MIN(D147:F147))*100</f>
        <v>0.130039011703509</v>
      </c>
      <c r="H147" s="53" t="n">
        <f aca="false">'2026 Forecast A'!L55</f>
        <v>1.77148440604085</v>
      </c>
      <c r="I147" s="53" t="n">
        <f aca="false">'2026 Forecast B'!L55</f>
        <v>1.78132935757617</v>
      </c>
      <c r="J147" s="53" t="n">
        <f aca="false">'2026 Forecast C'!L55</f>
        <v>1.91117906752088</v>
      </c>
      <c r="K147" s="18" t="n">
        <f aca="false">'2026 Forecast A'!F55</f>
        <v>4614</v>
      </c>
      <c r="L147" s="54" t="str">
        <f aca="false">IF(OR(AND(D147&gt;0.5,E147&gt;0.5,F147&gt;0.5),AND(D147&lt;0.5,E147&lt;0.5,F147&lt;0.5)),"Yes","No — toss-up")</f>
        <v>Yes</v>
      </c>
    </row>
    <row r="148" customFormat="false" ht="15" hidden="false" customHeight="false" outlineLevel="0" collapsed="false">
      <c r="A148" s="9" t="str">
        <f aca="false">'2026 Forecast A'!A56</f>
        <v>Lehigh</v>
      </c>
      <c r="B148" s="9" t="str">
        <f aca="false">'2026 Forecast A'!B56</f>
        <v>UPPER SAUCON</v>
      </c>
      <c r="C148" s="9" t="str">
        <f aca="false">'2026 Forecast A'!C56</f>
        <v>(whole municipality)</v>
      </c>
      <c r="D148" s="10" t="n">
        <f aca="false">'2026 Forecast A'!G56</f>
        <v>0.489833047945206</v>
      </c>
      <c r="E148" s="10" t="n">
        <f aca="false">'2026 Forecast B'!G56</f>
        <v>0.490582191780822</v>
      </c>
      <c r="F148" s="10" t="n">
        <f aca="false">'2026 Forecast C'!G56</f>
        <v>0.490689212328767</v>
      </c>
      <c r="G148" s="52" t="n">
        <f aca="false">(MAX(D148:F148)-MIN(D148:F148))*100</f>
        <v>0.085616438356162</v>
      </c>
      <c r="H148" s="53" t="n">
        <f aca="false">'2026 Forecast A'!L56</f>
        <v>1.77148440604085</v>
      </c>
      <c r="I148" s="53" t="n">
        <f aca="false">'2026 Forecast B'!L56</f>
        <v>1.78132935757617</v>
      </c>
      <c r="J148" s="53" t="n">
        <f aca="false">'2026 Forecast C'!L56</f>
        <v>1.91117906752088</v>
      </c>
      <c r="K148" s="18" t="n">
        <f aca="false">'2026 Forecast A'!F56</f>
        <v>9344</v>
      </c>
      <c r="L148" s="54" t="str">
        <f aca="false">IF(OR(AND(D148&gt;0.5,E148&gt;0.5,F148&gt;0.5),AND(D148&lt;0.5,E148&lt;0.5,F148&lt;0.5)),"Yes","No — toss-up")</f>
        <v>Yes</v>
      </c>
    </row>
    <row r="149" customFormat="false" ht="15" hidden="false" customHeight="false" outlineLevel="0" collapsed="false">
      <c r="A149" s="9" t="str">
        <f aca="false">'2026 Forecast A'!A57</f>
        <v>Lehigh</v>
      </c>
      <c r="B149" s="9" t="str">
        <f aca="false">'2026 Forecast A'!B57</f>
        <v>WASHINGTON</v>
      </c>
      <c r="C149" s="9" t="str">
        <f aca="false">'2026 Forecast A'!C57</f>
        <v>(whole municipality)</v>
      </c>
      <c r="D149" s="10" t="n">
        <f aca="false">'2026 Forecast A'!G57</f>
        <v>0.330003222687722</v>
      </c>
      <c r="E149" s="10" t="n">
        <f aca="false">'2026 Forecast B'!G57</f>
        <v>0.32935868514341</v>
      </c>
      <c r="F149" s="10" t="n">
        <f aca="false">'2026 Forecast C'!G57</f>
        <v>0.330325491459878</v>
      </c>
      <c r="G149" s="52" t="n">
        <f aca="false">(MAX(D149:F149)-MIN(D149:F149))*100</f>
        <v>0.096680631646795</v>
      </c>
      <c r="H149" s="53" t="n">
        <f aca="false">'2026 Forecast A'!L57</f>
        <v>1.77148440604085</v>
      </c>
      <c r="I149" s="53" t="n">
        <f aca="false">'2026 Forecast B'!L57</f>
        <v>1.78132935757617</v>
      </c>
      <c r="J149" s="53" t="n">
        <f aca="false">'2026 Forecast C'!L57</f>
        <v>1.91117906752088</v>
      </c>
      <c r="K149" s="18" t="n">
        <f aca="false">'2026 Forecast A'!F57</f>
        <v>3103</v>
      </c>
      <c r="L149" s="54" t="str">
        <f aca="false">IF(OR(AND(D149&gt;0.5,E149&gt;0.5,F149&gt;0.5),AND(D149&lt;0.5,E149&lt;0.5,F149&lt;0.5)),"Yes","No — toss-up")</f>
        <v>Yes</v>
      </c>
    </row>
    <row r="150" customFormat="false" ht="15" hidden="false" customHeight="false" outlineLevel="0" collapsed="false">
      <c r="A150" s="9" t="str">
        <f aca="false">'2026 Forecast A'!A58</f>
        <v>Lehigh</v>
      </c>
      <c r="B150" s="9" t="str">
        <f aca="false">'2026 Forecast A'!B58</f>
        <v>WEISENBERG</v>
      </c>
      <c r="C150" s="9" t="str">
        <f aca="false">'2026 Forecast A'!C58</f>
        <v>(whole municipality)</v>
      </c>
      <c r="D150" s="10" t="n">
        <f aca="false">'2026 Forecast A'!G58</f>
        <v>0.35</v>
      </c>
      <c r="E150" s="10" t="n">
        <f aca="false">'2026 Forecast B'!G58</f>
        <v>0.35036496350365</v>
      </c>
      <c r="F150" s="10" t="n">
        <f aca="false">'2026 Forecast C'!G58</f>
        <v>0.35036496350365</v>
      </c>
      <c r="G150" s="52" t="n">
        <f aca="false">(MAX(D150:F150)-MIN(D150:F150))*100</f>
        <v>0.0364963503649673</v>
      </c>
      <c r="H150" s="53" t="n">
        <f aca="false">'2026 Forecast A'!L58</f>
        <v>1.72183147497008</v>
      </c>
      <c r="I150" s="53" t="n">
        <f aca="false">'2026 Forecast B'!L58</f>
        <v>1.77383121164253</v>
      </c>
      <c r="J150" s="53" t="n">
        <f aca="false">'2026 Forecast C'!L58</f>
        <v>2.00296198818071</v>
      </c>
      <c r="K150" s="18" t="n">
        <f aca="false">'2026 Forecast A'!F58</f>
        <v>2740</v>
      </c>
      <c r="L150" s="54" t="str">
        <f aca="false">IF(OR(AND(D150&gt;0.5,E150&gt;0.5,F150&gt;0.5),AND(D150&lt;0.5,E150&lt;0.5,F150&lt;0.5)),"Yes","No — toss-up")</f>
        <v>Yes</v>
      </c>
    </row>
    <row r="151" customFormat="false" ht="15" hidden="false" customHeight="false" outlineLevel="0" collapsed="false">
      <c r="A151" s="9" t="str">
        <f aca="false">'2026 Forecast A'!A59</f>
        <v>Lehigh</v>
      </c>
      <c r="B151" s="9" t="str">
        <f aca="false">'2026 Forecast A'!B59</f>
        <v>WHITEHALL</v>
      </c>
      <c r="C151" s="9" t="str">
        <f aca="false">'2026 Forecast A'!C59</f>
        <v>(whole municipality)</v>
      </c>
      <c r="D151" s="10" t="n">
        <f aca="false">'2026 Forecast A'!G59</f>
        <v>0.525609291698401</v>
      </c>
      <c r="E151" s="10" t="n">
        <f aca="false">'2026 Forecast B'!G59</f>
        <v>0.526656511805027</v>
      </c>
      <c r="F151" s="10" t="n">
        <f aca="false">'2026 Forecast C'!G59</f>
        <v>0.526656511805027</v>
      </c>
      <c r="G151" s="52" t="n">
        <f aca="false">(MAX(D151:F151)-MIN(D151:F151))*100</f>
        <v>0.104722010662606</v>
      </c>
      <c r="H151" s="53" t="n">
        <f aca="false">'2026 Forecast A'!L59</f>
        <v>1.77148440604085</v>
      </c>
      <c r="I151" s="53" t="n">
        <f aca="false">'2026 Forecast B'!L59</f>
        <v>1.78132935757617</v>
      </c>
      <c r="J151" s="53" t="n">
        <f aca="false">'2026 Forecast C'!L59</f>
        <v>1.91117906752088</v>
      </c>
      <c r="K151" s="18" t="n">
        <f aca="false">'2026 Forecast A'!F59</f>
        <v>10504</v>
      </c>
      <c r="L151" s="54" t="str">
        <f aca="false">IF(OR(AND(D151&gt;0.5,E151&gt;0.5,F151&gt;0.5),AND(D151&lt;0.5,E151&lt;0.5,F151&lt;0.5)),"Yes","No — toss-up")</f>
        <v>Yes</v>
      </c>
    </row>
    <row r="152" customFormat="false" ht="15" hidden="false" customHeight="false" outlineLevel="0" collapsed="false">
      <c r="A152" s="9" t="str">
        <f aca="false">'2026 Forecast A'!A60</f>
        <v>Monroe</v>
      </c>
      <c r="B152" s="9" t="str">
        <f aca="false">'2026 Forecast A'!B60</f>
        <v>ELDRED TOWNSHIP</v>
      </c>
      <c r="C152" s="9" t="str">
        <f aca="false">'2026 Forecast A'!C60</f>
        <v>(whole municipality)</v>
      </c>
      <c r="D152" s="10" t="n">
        <f aca="false">'2026 Forecast A'!G60</f>
        <v>0.308752025931929</v>
      </c>
      <c r="E152" s="10" t="n">
        <f aca="false">'2026 Forecast B'!G60</f>
        <v>0.308752025931929</v>
      </c>
      <c r="F152" s="10" t="n">
        <f aca="false">'2026 Forecast C'!G60</f>
        <v>0.308752025931929</v>
      </c>
      <c r="G152" s="52" t="n">
        <f aca="false">(MAX(D152:F152)-MIN(D152:F152))*100</f>
        <v>0</v>
      </c>
      <c r="H152" s="53" t="n">
        <f aca="false">'2026 Forecast A'!L60</f>
        <v>2.86280086232688</v>
      </c>
      <c r="I152" s="53" t="n">
        <f aca="false">'2026 Forecast B'!L60</f>
        <v>2.79778929596316</v>
      </c>
      <c r="J152" s="53" t="n">
        <f aca="false">'2026 Forecast C'!L60</f>
        <v>2.92294299405971</v>
      </c>
      <c r="K152" s="18" t="n">
        <f aca="false">'2026 Forecast A'!F60</f>
        <v>1234</v>
      </c>
      <c r="L152" s="54" t="str">
        <f aca="false">IF(OR(AND(D152&gt;0.5,E152&gt;0.5,F152&gt;0.5),AND(D152&lt;0.5,E152&lt;0.5,F152&lt;0.5)),"Yes","No — toss-up")</f>
        <v>Yes</v>
      </c>
    </row>
    <row r="153" customFormat="false" ht="15" hidden="false" customHeight="false" outlineLevel="0" collapsed="false">
      <c r="A153" s="9" t="str">
        <f aca="false">'2026 Forecast A'!A61</f>
        <v>Monroe</v>
      </c>
      <c r="B153" s="9" t="str">
        <f aca="false">'2026 Forecast A'!B61</f>
        <v>POLK TOWNSHIP</v>
      </c>
      <c r="C153" s="9" t="str">
        <f aca="false">'2026 Forecast A'!C61</f>
        <v>(whole municipality)</v>
      </c>
      <c r="D153" s="10" t="n">
        <f aca="false">'2026 Forecast A'!G61</f>
        <v>0.34984126984127</v>
      </c>
      <c r="E153" s="10" t="n">
        <f aca="false">'2026 Forecast B'!G61</f>
        <v>0.352063492063492</v>
      </c>
      <c r="F153" s="10" t="n">
        <f aca="false">'2026 Forecast C'!G61</f>
        <v>0.34984126984127</v>
      </c>
      <c r="G153" s="52" t="n">
        <f aca="false">(MAX(D153:F153)-MIN(D153:F153))*100</f>
        <v>0.222222222222224</v>
      </c>
      <c r="H153" s="53" t="n">
        <f aca="false">'2026 Forecast A'!L61</f>
        <v>1.77148440604085</v>
      </c>
      <c r="I153" s="53" t="n">
        <f aca="false">'2026 Forecast B'!L61</f>
        <v>1.78132935757617</v>
      </c>
      <c r="J153" s="53" t="n">
        <f aca="false">'2026 Forecast C'!L61</f>
        <v>1.91117906752088</v>
      </c>
      <c r="K153" s="18" t="n">
        <f aca="false">'2026 Forecast A'!F61</f>
        <v>3150</v>
      </c>
      <c r="L153" s="54" t="str">
        <f aca="false">IF(OR(AND(D153&gt;0.5,E153&gt;0.5,F153&gt;0.5),AND(D153&lt;0.5,E153&lt;0.5,F153&lt;0.5)),"Yes","No — toss-up")</f>
        <v>Yes</v>
      </c>
    </row>
    <row r="154" customFormat="false" ht="15" hidden="false" customHeight="false" outlineLevel="0" collapsed="false">
      <c r="A154" s="9" t="str">
        <f aca="false">'2026 Forecast A'!A62</f>
        <v>Monroe</v>
      </c>
      <c r="B154" s="9" t="str">
        <f aca="false">'2026 Forecast A'!B62</f>
        <v>ROSS TOWNSHIP</v>
      </c>
      <c r="C154" s="9" t="str">
        <f aca="false">'2026 Forecast A'!C62</f>
        <v>(whole municipality)</v>
      </c>
      <c r="D154" s="10" t="n">
        <f aca="false">'2026 Forecast A'!G62</f>
        <v>0.348420153714774</v>
      </c>
      <c r="E154" s="10" t="n">
        <f aca="false">'2026 Forecast B'!G62</f>
        <v>0.350982066609735</v>
      </c>
      <c r="F154" s="10" t="n">
        <f aca="false">'2026 Forecast C'!G62</f>
        <v>0.348420153714774</v>
      </c>
      <c r="G154" s="52" t="n">
        <f aca="false">(MAX(D154:F154)-MIN(D154:F154))*100</f>
        <v>0.256191289496155</v>
      </c>
      <c r="H154" s="53" t="n">
        <f aca="false">'2026 Forecast A'!L62</f>
        <v>2.86280086232688</v>
      </c>
      <c r="I154" s="53" t="n">
        <f aca="false">'2026 Forecast B'!L62</f>
        <v>2.79778929596316</v>
      </c>
      <c r="J154" s="53" t="n">
        <f aca="false">'2026 Forecast C'!L62</f>
        <v>2.92294299405971</v>
      </c>
      <c r="K154" s="18" t="n">
        <f aca="false">'2026 Forecast A'!F62</f>
        <v>1171</v>
      </c>
      <c r="L154" s="54" t="str">
        <f aca="false">IF(OR(AND(D154&gt;0.5,E154&gt;0.5,F154&gt;0.5),AND(D154&lt;0.5,E154&lt;0.5,F154&lt;0.5)),"Yes","No — toss-up")</f>
        <v>Yes</v>
      </c>
    </row>
    <row r="155" customFormat="false" ht="15" hidden="false" customHeight="false" outlineLevel="0" collapsed="false">
      <c r="A155" s="9" t="str">
        <f aca="false">'2026 Forecast A'!A63</f>
        <v>Northampton</v>
      </c>
      <c r="B155" s="9" t="str">
        <f aca="false">'2026 Forecast A'!B63</f>
        <v>ALLEN</v>
      </c>
      <c r="C155" s="9" t="str">
        <f aca="false">'2026 Forecast A'!C63</f>
        <v>(whole municipality)</v>
      </c>
      <c r="D155" s="10" t="n">
        <f aca="false">'2026 Forecast A'!G63</f>
        <v>0.432212781677133</v>
      </c>
      <c r="E155" s="10" t="n">
        <f aca="false">'2026 Forecast B'!G63</f>
        <v>0.423346878463243</v>
      </c>
      <c r="F155" s="10" t="n">
        <f aca="false">'2026 Forecast C'!G63</f>
        <v>0.431843369043221</v>
      </c>
      <c r="G155" s="52" t="n">
        <f aca="false">(MAX(D155:F155)-MIN(D155:F155))*100</f>
        <v>0.886590321388991</v>
      </c>
      <c r="H155" s="53" t="n">
        <f aca="false">'2026 Forecast A'!L63</f>
        <v>1.72183147497008</v>
      </c>
      <c r="I155" s="53" t="n">
        <f aca="false">'2026 Forecast B'!L63</f>
        <v>1.77383121164253</v>
      </c>
      <c r="J155" s="53" t="n">
        <f aca="false">'2026 Forecast C'!L63</f>
        <v>2.00296198818071</v>
      </c>
      <c r="K155" s="18" t="n">
        <f aca="false">'2026 Forecast A'!F63</f>
        <v>2707</v>
      </c>
      <c r="L155" s="54" t="str">
        <f aca="false">IF(OR(AND(D155&gt;0.5,E155&gt;0.5,F155&gt;0.5),AND(D155&lt;0.5,E155&lt;0.5,F155&lt;0.5)),"Yes","No — toss-up")</f>
        <v>Yes</v>
      </c>
    </row>
    <row r="156" customFormat="false" ht="15" hidden="false" customHeight="false" outlineLevel="0" collapsed="false">
      <c r="A156" s="9" t="str">
        <f aca="false">'2026 Forecast A'!A64</f>
        <v>Northampton</v>
      </c>
      <c r="B156" s="9" t="str">
        <f aca="false">'2026 Forecast A'!B64</f>
        <v>BANGOR</v>
      </c>
      <c r="C156" s="9" t="str">
        <f aca="false">'2026 Forecast A'!C64</f>
        <v>(whole municipality)</v>
      </c>
      <c r="D156" s="10" t="n">
        <f aca="false">'2026 Forecast A'!G64</f>
        <v>0.420616113744076</v>
      </c>
      <c r="E156" s="10" t="n">
        <f aca="false">'2026 Forecast B'!G64</f>
        <v>0.421800947867299</v>
      </c>
      <c r="F156" s="10" t="n">
        <f aca="false">'2026 Forecast C'!G64</f>
        <v>0.421208530805687</v>
      </c>
      <c r="G156" s="52" t="n">
        <f aca="false">(MAX(D156:F156)-MIN(D156:F156))*100</f>
        <v>0.118483412322279</v>
      </c>
      <c r="H156" s="53" t="n">
        <f aca="false">'2026 Forecast A'!L64</f>
        <v>1.72183147497008</v>
      </c>
      <c r="I156" s="53" t="n">
        <f aca="false">'2026 Forecast B'!L64</f>
        <v>1.77383121164253</v>
      </c>
      <c r="J156" s="53" t="n">
        <f aca="false">'2026 Forecast C'!L64</f>
        <v>2.00296198818071</v>
      </c>
      <c r="K156" s="18" t="n">
        <f aca="false">'2026 Forecast A'!F64</f>
        <v>1688</v>
      </c>
      <c r="L156" s="54" t="str">
        <f aca="false">IF(OR(AND(D156&gt;0.5,E156&gt;0.5,F156&gt;0.5),AND(D156&lt;0.5,E156&lt;0.5,F156&lt;0.5)),"Yes","No — toss-up")</f>
        <v>Yes</v>
      </c>
    </row>
    <row r="157" customFormat="false" ht="15" hidden="false" customHeight="false" outlineLevel="0" collapsed="false">
      <c r="A157" s="9" t="str">
        <f aca="false">'2026 Forecast A'!A65</f>
        <v>Northampton</v>
      </c>
      <c r="B157" s="9" t="str">
        <f aca="false">'2026 Forecast A'!B65</f>
        <v>BATH</v>
      </c>
      <c r="C157" s="9" t="str">
        <f aca="false">'2026 Forecast A'!C65</f>
        <v>(whole municipality)</v>
      </c>
      <c r="D157" s="10" t="n">
        <f aca="false">'2026 Forecast A'!G65</f>
        <v>0.459645669291339</v>
      </c>
      <c r="E157" s="10" t="n">
        <f aca="false">'2026 Forecast B'!G65</f>
        <v>0.456692913385827</v>
      </c>
      <c r="F157" s="10" t="n">
        <f aca="false">'2026 Forecast C'!G65</f>
        <v>0.460629921259843</v>
      </c>
      <c r="G157" s="52" t="n">
        <f aca="false">(MAX(D157:F157)-MIN(D157:F157))*100</f>
        <v>0.393700787401574</v>
      </c>
      <c r="H157" s="53" t="n">
        <f aca="false">'2026 Forecast A'!L65</f>
        <v>2.86280086232688</v>
      </c>
      <c r="I157" s="53" t="n">
        <f aca="false">'2026 Forecast B'!L65</f>
        <v>2.79778929596316</v>
      </c>
      <c r="J157" s="53" t="n">
        <f aca="false">'2026 Forecast C'!L65</f>
        <v>2.92294299405971</v>
      </c>
      <c r="K157" s="18" t="n">
        <f aca="false">'2026 Forecast A'!F65</f>
        <v>1016</v>
      </c>
      <c r="L157" s="54" t="str">
        <f aca="false">IF(OR(AND(D157&gt;0.5,E157&gt;0.5,F157&gt;0.5),AND(D157&lt;0.5,E157&lt;0.5,F157&lt;0.5)),"Yes","No — toss-up")</f>
        <v>Yes</v>
      </c>
    </row>
    <row r="158" customFormat="false" ht="15" hidden="false" customHeight="false" outlineLevel="0" collapsed="false">
      <c r="A158" s="9" t="str">
        <f aca="false">'2026 Forecast A'!A66</f>
        <v>Northampton</v>
      </c>
      <c r="B158" s="9" t="str">
        <f aca="false">'2026 Forecast A'!B66</f>
        <v>BETHLEHEM</v>
      </c>
      <c r="C158" s="9" t="str">
        <f aca="false">'2026 Forecast A'!C66</f>
        <v>(whole municipality)</v>
      </c>
      <c r="D158" s="10" t="n">
        <f aca="false">'2026 Forecast A'!G66</f>
        <v>0.669671094244149</v>
      </c>
      <c r="E158" s="10" t="n">
        <f aca="false">'2026 Forecast B'!G66</f>
        <v>0.670461733080329</v>
      </c>
      <c r="F158" s="10" t="n">
        <f aca="false">'2026 Forecast C'!G66</f>
        <v>0.667457305502846</v>
      </c>
      <c r="G158" s="52" t="n">
        <f aca="false">(MAX(D158:F158)-MIN(D158:F158))*100</f>
        <v>0.300442757748254</v>
      </c>
      <c r="H158" s="53" t="n">
        <f aca="false">'2026 Forecast A'!L66</f>
        <v>1.77148440604085</v>
      </c>
      <c r="I158" s="53" t="n">
        <f aca="false">'2026 Forecast B'!L66</f>
        <v>1.78132935757617</v>
      </c>
      <c r="J158" s="53" t="n">
        <f aca="false">'2026 Forecast C'!L66</f>
        <v>1.91117906752088</v>
      </c>
      <c r="K158" s="18" t="n">
        <f aca="false">'2026 Forecast A'!F66</f>
        <v>18972</v>
      </c>
      <c r="L158" s="54" t="str">
        <f aca="false">IF(OR(AND(D158&gt;0.5,E158&gt;0.5,F158&gt;0.5),AND(D158&lt;0.5,E158&lt;0.5,F158&lt;0.5)),"Yes","No — toss-up")</f>
        <v>Yes</v>
      </c>
    </row>
    <row r="159" customFormat="false" ht="15" hidden="false" customHeight="false" outlineLevel="0" collapsed="false">
      <c r="A159" s="9" t="str">
        <f aca="false">'2026 Forecast A'!A67</f>
        <v>Northampton</v>
      </c>
      <c r="B159" s="9" t="str">
        <f aca="false">'2026 Forecast A'!B67</f>
        <v>BETHLEHEM TOWNSHIP</v>
      </c>
      <c r="C159" s="9" t="str">
        <f aca="false">'2026 Forecast A'!C67</f>
        <v>(whole municipality)</v>
      </c>
      <c r="D159" s="10" t="n">
        <f aca="false">'2026 Forecast A'!G67</f>
        <v>0.532982979057181</v>
      </c>
      <c r="E159" s="10" t="n">
        <f aca="false">'2026 Forecast B'!G67</f>
        <v>0.532982979057181</v>
      </c>
      <c r="F159" s="10" t="n">
        <f aca="false">'2026 Forecast C'!G67</f>
        <v>0.533688916777787</v>
      </c>
      <c r="G159" s="52" t="n">
        <f aca="false">(MAX(D159:F159)-MIN(D159:F159))*100</f>
        <v>0.0705937720605565</v>
      </c>
      <c r="H159" s="53" t="n">
        <f aca="false">'2026 Forecast A'!L67</f>
        <v>1.77148440604085</v>
      </c>
      <c r="I159" s="53" t="n">
        <f aca="false">'2026 Forecast B'!L67</f>
        <v>1.78132935757617</v>
      </c>
      <c r="J159" s="53" t="n">
        <f aca="false">'2026 Forecast C'!L67</f>
        <v>1.91117906752088</v>
      </c>
      <c r="K159" s="18" t="n">
        <f aca="false">'2026 Forecast A'!F67</f>
        <v>12749</v>
      </c>
      <c r="L159" s="54" t="str">
        <f aca="false">IF(OR(AND(D159&gt;0.5,E159&gt;0.5,F159&gt;0.5),AND(D159&lt;0.5,E159&lt;0.5,F159&lt;0.5)),"Yes","No — toss-up")</f>
        <v>Yes</v>
      </c>
    </row>
    <row r="160" customFormat="false" ht="15" hidden="false" customHeight="false" outlineLevel="0" collapsed="false">
      <c r="A160" s="9" t="str">
        <f aca="false">'2026 Forecast A'!A68</f>
        <v>Northampton</v>
      </c>
      <c r="B160" s="9" t="str">
        <f aca="false">'2026 Forecast A'!B68</f>
        <v>BUSHKILL</v>
      </c>
      <c r="C160" s="9" t="str">
        <f aca="false">'2026 Forecast A'!C68</f>
        <v>(whole municipality)</v>
      </c>
      <c r="D160" s="10" t="n">
        <f aca="false">'2026 Forecast A'!G68</f>
        <v>0.385484964955912</v>
      </c>
      <c r="E160" s="10" t="n">
        <f aca="false">'2026 Forecast B'!G68</f>
        <v>0.382319692516392</v>
      </c>
      <c r="F160" s="10" t="n">
        <f aca="false">'2026 Forecast C'!G68</f>
        <v>0.38571105584445</v>
      </c>
      <c r="G160" s="52" t="n">
        <f aca="false">(MAX(D160:F160)-MIN(D160:F160))*100</f>
        <v>0.33913633280579</v>
      </c>
      <c r="H160" s="53" t="n">
        <f aca="false">'2026 Forecast A'!L68</f>
        <v>1.77148440604085</v>
      </c>
      <c r="I160" s="53" t="n">
        <f aca="false">'2026 Forecast B'!L68</f>
        <v>1.78132935757617</v>
      </c>
      <c r="J160" s="53" t="n">
        <f aca="false">'2026 Forecast C'!L68</f>
        <v>1.91117906752088</v>
      </c>
      <c r="K160" s="18" t="n">
        <f aca="false">'2026 Forecast A'!F68</f>
        <v>4423</v>
      </c>
      <c r="L160" s="54" t="str">
        <f aca="false">IF(OR(AND(D160&gt;0.5,E160&gt;0.5,F160&gt;0.5),AND(D160&lt;0.5,E160&lt;0.5,F160&lt;0.5)),"Yes","No — toss-up")</f>
        <v>Yes</v>
      </c>
    </row>
    <row r="161" customFormat="false" ht="15" hidden="false" customHeight="false" outlineLevel="0" collapsed="false">
      <c r="A161" s="9" t="str">
        <f aca="false">'2026 Forecast A'!A69</f>
        <v>Northampton</v>
      </c>
      <c r="B161" s="9" t="str">
        <f aca="false">'2026 Forecast A'!B69</f>
        <v>CHAPMAN</v>
      </c>
      <c r="C161" s="9" t="str">
        <f aca="false">'2026 Forecast A'!C69</f>
        <v>(whole municipality)</v>
      </c>
      <c r="D161" s="10" t="n">
        <f aca="false">'2026 Forecast A'!G69</f>
        <v>0.350515463917526</v>
      </c>
      <c r="E161" s="10" t="n">
        <f aca="false">'2026 Forecast B'!G69</f>
        <v>0.350515463917526</v>
      </c>
      <c r="F161" s="10" t="n">
        <f aca="false">'2026 Forecast C'!G69</f>
        <v>0.350515463917526</v>
      </c>
      <c r="G161" s="52" t="n">
        <f aca="false">(MAX(D161:F161)-MIN(D161:F161))*100</f>
        <v>0</v>
      </c>
      <c r="H161" s="53" t="n">
        <f aca="false">'2026 Forecast A'!L69</f>
        <v>2.86280086232688</v>
      </c>
      <c r="I161" s="53" t="n">
        <f aca="false">'2026 Forecast B'!L69</f>
        <v>2.79778929596316</v>
      </c>
      <c r="J161" s="53" t="n">
        <f aca="false">'2026 Forecast C'!L69</f>
        <v>2.92294299405971</v>
      </c>
      <c r="K161" s="18" t="n">
        <f aca="false">'2026 Forecast A'!F69</f>
        <v>97</v>
      </c>
      <c r="L161" s="54" t="str">
        <f aca="false">IF(OR(AND(D161&gt;0.5,E161&gt;0.5,F161&gt;0.5),AND(D161&lt;0.5,E161&lt;0.5,F161&lt;0.5)),"Yes","No — toss-up")</f>
        <v>Yes</v>
      </c>
    </row>
    <row r="162" customFormat="false" ht="15" hidden="false" customHeight="false" outlineLevel="0" collapsed="false">
      <c r="A162" s="9" t="str">
        <f aca="false">'2026 Forecast A'!A70</f>
        <v>Northampton</v>
      </c>
      <c r="B162" s="9" t="str">
        <f aca="false">'2026 Forecast A'!B70</f>
        <v>EAST ALLEN</v>
      </c>
      <c r="C162" s="9" t="str">
        <f aca="false">'2026 Forecast A'!C70</f>
        <v>(whole municipality)</v>
      </c>
      <c r="D162" s="10" t="n">
        <f aca="false">'2026 Forecast A'!G70</f>
        <v>0.421809920484665</v>
      </c>
      <c r="E162" s="10" t="n">
        <f aca="false">'2026 Forecast B'!G70</f>
        <v>0.427868231730405</v>
      </c>
      <c r="F162" s="10" t="n">
        <f aca="false">'2026 Forecast C'!G70</f>
        <v>0.422188564937524</v>
      </c>
      <c r="G162" s="52" t="n">
        <f aca="false">(MAX(D162:F162)-MIN(D162:F162))*100</f>
        <v>0.605831124574024</v>
      </c>
      <c r="H162" s="53" t="n">
        <f aca="false">'2026 Forecast A'!L70</f>
        <v>1.72183147497008</v>
      </c>
      <c r="I162" s="53" t="n">
        <f aca="false">'2026 Forecast B'!L70</f>
        <v>1.77383121164253</v>
      </c>
      <c r="J162" s="53" t="n">
        <f aca="false">'2026 Forecast C'!L70</f>
        <v>2.00296198818071</v>
      </c>
      <c r="K162" s="18" t="n">
        <f aca="false">'2026 Forecast A'!F70</f>
        <v>2641</v>
      </c>
      <c r="L162" s="54" t="str">
        <f aca="false">IF(OR(AND(D162&gt;0.5,E162&gt;0.5,F162&gt;0.5),AND(D162&lt;0.5,E162&lt;0.5,F162&lt;0.5)),"Yes","No — toss-up")</f>
        <v>Yes</v>
      </c>
    </row>
    <row r="163" customFormat="false" ht="15" hidden="false" customHeight="false" outlineLevel="0" collapsed="false">
      <c r="A163" s="9" t="str">
        <f aca="false">'2026 Forecast A'!A71</f>
        <v>Northampton</v>
      </c>
      <c r="B163" s="9" t="str">
        <f aca="false">'2026 Forecast A'!B71</f>
        <v>EAST BANGOR</v>
      </c>
      <c r="C163" s="9" t="str">
        <f aca="false">'2026 Forecast A'!C71</f>
        <v>(whole municipality)</v>
      </c>
      <c r="D163" s="10" t="n">
        <f aca="false">'2026 Forecast A'!G71</f>
        <v>0.394444444444444</v>
      </c>
      <c r="E163" s="10" t="n">
        <f aca="false">'2026 Forecast B'!G71</f>
        <v>0.388888888888889</v>
      </c>
      <c r="F163" s="10" t="n">
        <f aca="false">'2026 Forecast C'!G71</f>
        <v>0.394444444444444</v>
      </c>
      <c r="G163" s="52" t="n">
        <f aca="false">(MAX(D163:F163)-MIN(D163:F163))*100</f>
        <v>0.555555555555554</v>
      </c>
      <c r="H163" s="53" t="n">
        <f aca="false">'2026 Forecast A'!L71</f>
        <v>2.86280086232688</v>
      </c>
      <c r="I163" s="53" t="n">
        <f aca="false">'2026 Forecast B'!L71</f>
        <v>2.79778929596316</v>
      </c>
      <c r="J163" s="53" t="n">
        <f aca="false">'2026 Forecast C'!L71</f>
        <v>2.92294299405971</v>
      </c>
      <c r="K163" s="18" t="n">
        <f aca="false">'2026 Forecast A'!F71</f>
        <v>360</v>
      </c>
      <c r="L163" s="54" t="str">
        <f aca="false">IF(OR(AND(D163&gt;0.5,E163&gt;0.5,F163&gt;0.5),AND(D163&lt;0.5,E163&lt;0.5,F163&lt;0.5)),"Yes","No — toss-up")</f>
        <v>Yes</v>
      </c>
    </row>
    <row r="164" customFormat="false" ht="15" hidden="false" customHeight="false" outlineLevel="0" collapsed="false">
      <c r="A164" s="9" t="str">
        <f aca="false">'2026 Forecast A'!A72</f>
        <v>Northampton</v>
      </c>
      <c r="B164" s="9" t="str">
        <f aca="false">'2026 Forecast A'!B72</f>
        <v>EASTON</v>
      </c>
      <c r="C164" s="9" t="str">
        <f aca="false">'2026 Forecast A'!C72</f>
        <v>(whole municipality)</v>
      </c>
      <c r="D164" s="10" t="n">
        <f aca="false">'2026 Forecast A'!G72</f>
        <v>0.704124982869673</v>
      </c>
      <c r="E164" s="10" t="n">
        <f aca="false">'2026 Forecast B'!G72</f>
        <v>0.710565986021653</v>
      </c>
      <c r="F164" s="10" t="n">
        <f aca="false">'2026 Forecast C'!G72</f>
        <v>0.701521173084829</v>
      </c>
      <c r="G164" s="52" t="n">
        <f aca="false">(MAX(D164:F164)-MIN(D164:F164))*100</f>
        <v>0.904481293682335</v>
      </c>
      <c r="H164" s="53" t="n">
        <f aca="false">'2026 Forecast A'!L72</f>
        <v>1.77148440604085</v>
      </c>
      <c r="I164" s="53" t="n">
        <f aca="false">'2026 Forecast B'!L72</f>
        <v>1.78132935757617</v>
      </c>
      <c r="J164" s="53" t="n">
        <f aca="false">'2026 Forecast C'!L72</f>
        <v>1.91117906752088</v>
      </c>
      <c r="K164" s="18" t="n">
        <f aca="false">'2026 Forecast A'!F72</f>
        <v>7297</v>
      </c>
      <c r="L164" s="54" t="str">
        <f aca="false">IF(OR(AND(D164&gt;0.5,E164&gt;0.5,F164&gt;0.5),AND(D164&lt;0.5,E164&lt;0.5,F164&lt;0.5)),"Yes","No — toss-up")</f>
        <v>Yes</v>
      </c>
    </row>
    <row r="165" customFormat="false" ht="15" hidden="false" customHeight="false" outlineLevel="0" collapsed="false">
      <c r="A165" s="9" t="str">
        <f aca="false">'2026 Forecast A'!A73</f>
        <v>Northampton</v>
      </c>
      <c r="B165" s="9" t="str">
        <f aca="false">'2026 Forecast A'!B73</f>
        <v>FORKS</v>
      </c>
      <c r="C165" s="9" t="str">
        <f aca="false">'2026 Forecast A'!C73</f>
        <v>(whole municipality)</v>
      </c>
      <c r="D165" s="10" t="n">
        <f aca="false">'2026 Forecast A'!G73</f>
        <v>0.517064220183486</v>
      </c>
      <c r="E165" s="10" t="n">
        <f aca="false">'2026 Forecast B'!G73</f>
        <v>0.514617737003058</v>
      </c>
      <c r="F165" s="10" t="n">
        <f aca="false">'2026 Forecast C'!G73</f>
        <v>0.517920489296636</v>
      </c>
      <c r="G165" s="52" t="n">
        <f aca="false">(MAX(D165:F165)-MIN(D165:F165))*100</f>
        <v>0.33027522935779</v>
      </c>
      <c r="H165" s="53" t="n">
        <f aca="false">'2026 Forecast A'!L73</f>
        <v>1.77148440604085</v>
      </c>
      <c r="I165" s="53" t="n">
        <f aca="false">'2026 Forecast B'!L73</f>
        <v>1.78132935757617</v>
      </c>
      <c r="J165" s="53" t="n">
        <f aca="false">'2026 Forecast C'!L73</f>
        <v>1.91117906752088</v>
      </c>
      <c r="K165" s="18" t="n">
        <f aca="false">'2026 Forecast A'!F73</f>
        <v>8175</v>
      </c>
      <c r="L165" s="54" t="str">
        <f aca="false">IF(OR(AND(D165&gt;0.5,E165&gt;0.5,F165&gt;0.5),AND(D165&lt;0.5,E165&lt;0.5,F165&lt;0.5)),"Yes","No — toss-up")</f>
        <v>Yes</v>
      </c>
    </row>
    <row r="166" customFormat="false" ht="15" hidden="false" customHeight="false" outlineLevel="0" collapsed="false">
      <c r="A166" s="9" t="str">
        <f aca="false">'2026 Forecast A'!A74</f>
        <v>Northampton</v>
      </c>
      <c r="B166" s="9" t="str">
        <f aca="false">'2026 Forecast A'!B74</f>
        <v>FREEMANSBURG</v>
      </c>
      <c r="C166" s="9" t="str">
        <f aca="false">'2026 Forecast A'!C74</f>
        <v>(whole municipality)</v>
      </c>
      <c r="D166" s="10" t="n">
        <f aca="false">'2026 Forecast A'!G74</f>
        <v>0.598027127003699</v>
      </c>
      <c r="E166" s="10" t="n">
        <f aca="false">'2026 Forecast B'!G74</f>
        <v>0.602959309494451</v>
      </c>
      <c r="F166" s="10" t="n">
        <f aca="false">'2026 Forecast C'!G74</f>
        <v>0.599260172626387</v>
      </c>
      <c r="G166" s="52" t="n">
        <f aca="false">(MAX(D166:F166)-MIN(D166:F166))*100</f>
        <v>0.493218249075222</v>
      </c>
      <c r="H166" s="53" t="n">
        <f aca="false">'2026 Forecast A'!L74</f>
        <v>2.86280086232688</v>
      </c>
      <c r="I166" s="53" t="n">
        <f aca="false">'2026 Forecast B'!L74</f>
        <v>2.79778929596316</v>
      </c>
      <c r="J166" s="53" t="n">
        <f aca="false">'2026 Forecast C'!L74</f>
        <v>2.92294299405971</v>
      </c>
      <c r="K166" s="18" t="n">
        <f aca="false">'2026 Forecast A'!F74</f>
        <v>811</v>
      </c>
      <c r="L166" s="54" t="str">
        <f aca="false">IF(OR(AND(D166&gt;0.5,E166&gt;0.5,F166&gt;0.5),AND(D166&lt;0.5,E166&lt;0.5,F166&lt;0.5)),"Yes","No — toss-up")</f>
        <v>Yes</v>
      </c>
    </row>
    <row r="167" customFormat="false" ht="15" hidden="false" customHeight="false" outlineLevel="0" collapsed="false">
      <c r="A167" s="9" t="str">
        <f aca="false">'2026 Forecast A'!A75</f>
        <v>Northampton</v>
      </c>
      <c r="B167" s="9" t="str">
        <f aca="false">'2026 Forecast A'!B75</f>
        <v>GLENDON</v>
      </c>
      <c r="C167" s="9" t="str">
        <f aca="false">'2026 Forecast A'!C75</f>
        <v>(whole municipality)</v>
      </c>
      <c r="D167" s="10" t="n">
        <f aca="false">'2026 Forecast A'!G75</f>
        <v>0.534722222222222</v>
      </c>
      <c r="E167" s="10" t="n">
        <f aca="false">'2026 Forecast B'!G75</f>
        <v>0.520833333333333</v>
      </c>
      <c r="F167" s="10" t="n">
        <f aca="false">'2026 Forecast C'!G75</f>
        <v>0.534722222222222</v>
      </c>
      <c r="G167" s="52" t="n">
        <f aca="false">(MAX(D167:F167)-MIN(D167:F167))*100</f>
        <v>1.38888888888888</v>
      </c>
      <c r="H167" s="53" t="n">
        <f aca="false">'2026 Forecast A'!L75</f>
        <v>2.86280086232688</v>
      </c>
      <c r="I167" s="53" t="n">
        <f aca="false">'2026 Forecast B'!L75</f>
        <v>2.79778929596316</v>
      </c>
      <c r="J167" s="53" t="n">
        <f aca="false">'2026 Forecast C'!L75</f>
        <v>2.92294299405971</v>
      </c>
      <c r="K167" s="18" t="n">
        <f aca="false">'2026 Forecast A'!F75</f>
        <v>144</v>
      </c>
      <c r="L167" s="54" t="str">
        <f aca="false">IF(OR(AND(D167&gt;0.5,E167&gt;0.5,F167&gt;0.5),AND(D167&lt;0.5,E167&lt;0.5,F167&lt;0.5)),"Yes","No — toss-up")</f>
        <v>Yes</v>
      </c>
    </row>
    <row r="168" customFormat="false" ht="15" hidden="false" customHeight="false" outlineLevel="0" collapsed="false">
      <c r="A168" s="9" t="str">
        <f aca="false">'2026 Forecast A'!A76</f>
        <v>Northampton</v>
      </c>
      <c r="B168" s="9" t="str">
        <f aca="false">'2026 Forecast A'!B76</f>
        <v>HANOVER</v>
      </c>
      <c r="C168" s="9" t="str">
        <f aca="false">'2026 Forecast A'!C76</f>
        <v>(whole municipality)</v>
      </c>
      <c r="D168" s="10" t="n">
        <f aca="false">'2026 Forecast A'!G76</f>
        <v>0.536820800249105</v>
      </c>
      <c r="E168" s="10" t="n">
        <f aca="false">'2026 Forecast B'!G76</f>
        <v>0.53744356219835</v>
      </c>
      <c r="F168" s="10" t="n">
        <f aca="false">'2026 Forecast C'!G76</f>
        <v>0.537599252685661</v>
      </c>
      <c r="G168" s="52" t="n">
        <f aca="false">(MAX(D168:F168)-MIN(D168:F168))*100</f>
        <v>0.0778452436556054</v>
      </c>
      <c r="H168" s="53" t="n">
        <f aca="false">'2026 Forecast A'!L76</f>
        <v>1.77148440604085</v>
      </c>
      <c r="I168" s="53" t="n">
        <f aca="false">'2026 Forecast B'!L76</f>
        <v>1.78132935757617</v>
      </c>
      <c r="J168" s="53" t="n">
        <f aca="false">'2026 Forecast C'!L76</f>
        <v>1.91117906752088</v>
      </c>
      <c r="K168" s="18" t="n">
        <f aca="false">'2026 Forecast A'!F76</f>
        <v>6423</v>
      </c>
      <c r="L168" s="54" t="str">
        <f aca="false">IF(OR(AND(D168&gt;0.5,E168&gt;0.5,F168&gt;0.5),AND(D168&lt;0.5,E168&lt;0.5,F168&lt;0.5)),"Yes","No — toss-up")</f>
        <v>Yes</v>
      </c>
    </row>
    <row r="169" customFormat="false" ht="15" hidden="false" customHeight="false" outlineLevel="0" collapsed="false">
      <c r="A169" s="9" t="str">
        <f aca="false">'2026 Forecast A'!A77</f>
        <v>Northampton</v>
      </c>
      <c r="B169" s="9" t="str">
        <f aca="false">'2026 Forecast A'!B77</f>
        <v>HELLERTOWN</v>
      </c>
      <c r="C169" s="9" t="str">
        <f aca="false">'2026 Forecast A'!C77</f>
        <v>(whole municipality)</v>
      </c>
      <c r="D169" s="10" t="n">
        <f aca="false">'2026 Forecast A'!G77</f>
        <v>0.520167427701674</v>
      </c>
      <c r="E169" s="10" t="n">
        <f aca="false">'2026 Forecast B'!G77</f>
        <v>0.5220700152207</v>
      </c>
      <c r="F169" s="10" t="n">
        <f aca="false">'2026 Forecast C'!G77</f>
        <v>0.521689497716895</v>
      </c>
      <c r="G169" s="52" t="n">
        <f aca="false">(MAX(D169:F169)-MIN(D169:F169))*100</f>
        <v>0.190258751902594</v>
      </c>
      <c r="H169" s="53" t="n">
        <f aca="false">'2026 Forecast A'!L77</f>
        <v>1.72183147497008</v>
      </c>
      <c r="I169" s="53" t="n">
        <f aca="false">'2026 Forecast B'!L77</f>
        <v>1.77383121164253</v>
      </c>
      <c r="J169" s="53" t="n">
        <f aca="false">'2026 Forecast C'!L77</f>
        <v>2.00296198818071</v>
      </c>
      <c r="K169" s="18" t="n">
        <f aca="false">'2026 Forecast A'!F77</f>
        <v>2628</v>
      </c>
      <c r="L169" s="54" t="str">
        <f aca="false">IF(OR(AND(D169&gt;0.5,E169&gt;0.5,F169&gt;0.5),AND(D169&lt;0.5,E169&lt;0.5,F169&lt;0.5)),"Yes","No — toss-up")</f>
        <v>Yes</v>
      </c>
    </row>
    <row r="170" customFormat="false" ht="15" hidden="false" customHeight="false" outlineLevel="0" collapsed="false">
      <c r="A170" s="9" t="str">
        <f aca="false">'2026 Forecast A'!A78</f>
        <v>Northampton</v>
      </c>
      <c r="B170" s="9" t="str">
        <f aca="false">'2026 Forecast A'!B78</f>
        <v>LEHIGH</v>
      </c>
      <c r="C170" s="9" t="str">
        <f aca="false">'2026 Forecast A'!C78</f>
        <v>(whole municipality)</v>
      </c>
      <c r="D170" s="10" t="n">
        <f aca="false">'2026 Forecast A'!G78</f>
        <v>0.342011612661547</v>
      </c>
      <c r="E170" s="10" t="n">
        <f aca="false">'2026 Forecast B'!G78</f>
        <v>0.338827495785728</v>
      </c>
      <c r="F170" s="10" t="n">
        <f aca="false">'2026 Forecast C'!G78</f>
        <v>0.342011612661547</v>
      </c>
      <c r="G170" s="52" t="n">
        <f aca="false">(MAX(D170:F170)-MIN(D170:F170))*100</f>
        <v>0.318411687581943</v>
      </c>
      <c r="H170" s="53" t="n">
        <f aca="false">'2026 Forecast A'!L78</f>
        <v>1.77148440604085</v>
      </c>
      <c r="I170" s="53" t="n">
        <f aca="false">'2026 Forecast B'!L78</f>
        <v>1.78132935757617</v>
      </c>
      <c r="J170" s="53" t="n">
        <f aca="false">'2026 Forecast C'!L78</f>
        <v>1.91117906752088</v>
      </c>
      <c r="K170" s="18" t="n">
        <f aca="false">'2026 Forecast A'!F78</f>
        <v>5339</v>
      </c>
      <c r="L170" s="54" t="str">
        <f aca="false">IF(OR(AND(D170&gt;0.5,E170&gt;0.5,F170&gt;0.5),AND(D170&lt;0.5,E170&lt;0.5,F170&lt;0.5)),"Yes","No — toss-up")</f>
        <v>Yes</v>
      </c>
    </row>
    <row r="171" customFormat="false" ht="15" hidden="false" customHeight="false" outlineLevel="0" collapsed="false">
      <c r="A171" s="9" t="str">
        <f aca="false">'2026 Forecast A'!A79</f>
        <v>Northampton</v>
      </c>
      <c r="B171" s="9" t="str">
        <f aca="false">'2026 Forecast A'!B79</f>
        <v>LOWER MOUNT BETHEL</v>
      </c>
      <c r="C171" s="9" t="str">
        <f aca="false">'2026 Forecast A'!C79</f>
        <v>(whole municipality)</v>
      </c>
      <c r="D171" s="10" t="n">
        <f aca="false">'2026 Forecast A'!G79</f>
        <v>0.351877607788595</v>
      </c>
      <c r="E171" s="10" t="n">
        <f aca="false">'2026 Forecast B'!G79</f>
        <v>0.351182197496523</v>
      </c>
      <c r="F171" s="10" t="n">
        <f aca="false">'2026 Forecast C'!G79</f>
        <v>0.352573018080668</v>
      </c>
      <c r="G171" s="52" t="n">
        <f aca="false">(MAX(D171:F171)-MIN(D171:F171))*100</f>
        <v>0.139082058414464</v>
      </c>
      <c r="H171" s="53" t="n">
        <f aca="false">'2026 Forecast A'!L79</f>
        <v>1.72183147497008</v>
      </c>
      <c r="I171" s="53" t="n">
        <f aca="false">'2026 Forecast B'!L79</f>
        <v>1.77383121164253</v>
      </c>
      <c r="J171" s="53" t="n">
        <f aca="false">'2026 Forecast C'!L79</f>
        <v>2.00296198818071</v>
      </c>
      <c r="K171" s="18" t="n">
        <f aca="false">'2026 Forecast A'!F79</f>
        <v>1438</v>
      </c>
      <c r="L171" s="54" t="str">
        <f aca="false">IF(OR(AND(D171&gt;0.5,E171&gt;0.5,F171&gt;0.5),AND(D171&lt;0.5,E171&lt;0.5,F171&lt;0.5)),"Yes","No — toss-up")</f>
        <v>Yes</v>
      </c>
    </row>
    <row r="172" customFormat="false" ht="15" hidden="false" customHeight="false" outlineLevel="0" collapsed="false">
      <c r="A172" s="9" t="str">
        <f aca="false">'2026 Forecast A'!A80</f>
        <v>Northampton</v>
      </c>
      <c r="B172" s="9" t="str">
        <f aca="false">'2026 Forecast A'!B80</f>
        <v>LOWER NAZARETH</v>
      </c>
      <c r="C172" s="9" t="str">
        <f aca="false">'2026 Forecast A'!C80</f>
        <v>(whole municipality)</v>
      </c>
      <c r="D172" s="10" t="n">
        <f aca="false">'2026 Forecast A'!G80</f>
        <v>0.433906501880709</v>
      </c>
      <c r="E172" s="10" t="n">
        <f aca="false">'2026 Forecast B'!G80</f>
        <v>0.429876410531972</v>
      </c>
      <c r="F172" s="10" t="n">
        <f aca="false">'2026 Forecast C'!G80</f>
        <v>0.433369156367544</v>
      </c>
      <c r="G172" s="52" t="n">
        <f aca="false">(MAX(D172:F172)-MIN(D172:F172))*100</f>
        <v>0.403009134873722</v>
      </c>
      <c r="H172" s="53" t="n">
        <f aca="false">'2026 Forecast A'!L80</f>
        <v>1.77148440604085</v>
      </c>
      <c r="I172" s="53" t="n">
        <f aca="false">'2026 Forecast B'!L80</f>
        <v>1.78132935757617</v>
      </c>
      <c r="J172" s="53" t="n">
        <f aca="false">'2026 Forecast C'!L80</f>
        <v>1.91117906752088</v>
      </c>
      <c r="K172" s="18" t="n">
        <f aca="false">'2026 Forecast A'!F80</f>
        <v>3722</v>
      </c>
      <c r="L172" s="54" t="str">
        <f aca="false">IF(OR(AND(D172&gt;0.5,E172&gt;0.5,F172&gt;0.5),AND(D172&lt;0.5,E172&lt;0.5,F172&lt;0.5)),"Yes","No — toss-up")</f>
        <v>Yes</v>
      </c>
    </row>
    <row r="173" customFormat="false" ht="15" hidden="false" customHeight="false" outlineLevel="0" collapsed="false">
      <c r="A173" s="9" t="str">
        <f aca="false">'2026 Forecast A'!A81</f>
        <v>Northampton</v>
      </c>
      <c r="B173" s="9" t="str">
        <f aca="false">'2026 Forecast A'!B81</f>
        <v>LOWER SAUCON</v>
      </c>
      <c r="C173" s="9" t="str">
        <f aca="false">'2026 Forecast A'!C81</f>
        <v>(whole municipality)</v>
      </c>
      <c r="D173" s="10" t="n">
        <f aca="false">'2026 Forecast A'!G81</f>
        <v>0.484638757596219</v>
      </c>
      <c r="E173" s="10" t="n">
        <f aca="false">'2026 Forecast B'!G81</f>
        <v>0.483457123565159</v>
      </c>
      <c r="F173" s="10" t="n">
        <f aca="false">'2026 Forecast C'!G81</f>
        <v>0.485482781904119</v>
      </c>
      <c r="G173" s="52" t="n">
        <f aca="false">(MAX(D173:F173)-MIN(D173:F173))*100</f>
        <v>0.202565833896018</v>
      </c>
      <c r="H173" s="53" t="n">
        <f aca="false">'2026 Forecast A'!L81</f>
        <v>1.77148440604085</v>
      </c>
      <c r="I173" s="53" t="n">
        <f aca="false">'2026 Forecast B'!L81</f>
        <v>1.78132935757617</v>
      </c>
      <c r="J173" s="53" t="n">
        <f aca="false">'2026 Forecast C'!L81</f>
        <v>1.91117906752088</v>
      </c>
      <c r="K173" s="18" t="n">
        <f aca="false">'2026 Forecast A'!F81</f>
        <v>5924</v>
      </c>
      <c r="L173" s="54" t="str">
        <f aca="false">IF(OR(AND(D173&gt;0.5,E173&gt;0.5,F173&gt;0.5),AND(D173&lt;0.5,E173&lt;0.5,F173&lt;0.5)),"Yes","No — toss-up")</f>
        <v>Yes</v>
      </c>
    </row>
    <row r="174" customFormat="false" ht="15" hidden="false" customHeight="false" outlineLevel="0" collapsed="false">
      <c r="A174" s="9" t="str">
        <f aca="false">'2026 Forecast A'!A82</f>
        <v>Northampton</v>
      </c>
      <c r="B174" s="9" t="str">
        <f aca="false">'2026 Forecast A'!B82</f>
        <v>MOORE</v>
      </c>
      <c r="C174" s="9" t="str">
        <f aca="false">'2026 Forecast A'!C82</f>
        <v>(whole municipality)</v>
      </c>
      <c r="D174" s="10" t="n">
        <f aca="false">'2026 Forecast A'!G82</f>
        <v>0.335808580858086</v>
      </c>
      <c r="E174" s="10" t="n">
        <f aca="false">'2026 Forecast B'!G82</f>
        <v>0.336427392739274</v>
      </c>
      <c r="F174" s="10" t="n">
        <f aca="false">'2026 Forecast C'!G82</f>
        <v>0.335808580858086</v>
      </c>
      <c r="G174" s="52" t="n">
        <f aca="false">(MAX(D174:F174)-MIN(D174:F174))*100</f>
        <v>0.0618811881188119</v>
      </c>
      <c r="H174" s="53" t="n">
        <f aca="false">'2026 Forecast A'!L82</f>
        <v>1.77148440604085</v>
      </c>
      <c r="I174" s="53" t="n">
        <f aca="false">'2026 Forecast B'!L82</f>
        <v>1.78132935757617</v>
      </c>
      <c r="J174" s="53" t="n">
        <f aca="false">'2026 Forecast C'!L82</f>
        <v>1.91117906752088</v>
      </c>
      <c r="K174" s="18" t="n">
        <f aca="false">'2026 Forecast A'!F82</f>
        <v>4848</v>
      </c>
      <c r="L174" s="54" t="str">
        <f aca="false">IF(OR(AND(D174&gt;0.5,E174&gt;0.5,F174&gt;0.5),AND(D174&lt;0.5,E174&lt;0.5,F174&lt;0.5)),"Yes","No — toss-up")</f>
        <v>Yes</v>
      </c>
    </row>
    <row r="175" customFormat="false" ht="15" hidden="false" customHeight="false" outlineLevel="0" collapsed="false">
      <c r="A175" s="9" t="str">
        <f aca="false">'2026 Forecast A'!A83</f>
        <v>Northampton</v>
      </c>
      <c r="B175" s="9" t="str">
        <f aca="false">'2026 Forecast A'!B83</f>
        <v>NAZARETH</v>
      </c>
      <c r="C175" s="9" t="str">
        <f aca="false">'2026 Forecast A'!C83</f>
        <v>(whole municipality)</v>
      </c>
      <c r="D175" s="10" t="n">
        <f aca="false">'2026 Forecast A'!G83</f>
        <v>0.49662027833002</v>
      </c>
      <c r="E175" s="10" t="n">
        <f aca="false">'2026 Forecast B'!G83</f>
        <v>0.499403578528827</v>
      </c>
      <c r="F175" s="10" t="n">
        <f aca="false">'2026 Forecast C'!G83</f>
        <v>0.497813121272366</v>
      </c>
      <c r="G175" s="52" t="n">
        <f aca="false">(MAX(D175:F175)-MIN(D175:F175))*100</f>
        <v>0.278330019880718</v>
      </c>
      <c r="H175" s="53" t="n">
        <f aca="false">'2026 Forecast A'!L83</f>
        <v>1.72183147497008</v>
      </c>
      <c r="I175" s="53" t="n">
        <f aca="false">'2026 Forecast B'!L83</f>
        <v>1.77383121164253</v>
      </c>
      <c r="J175" s="53" t="n">
        <f aca="false">'2026 Forecast C'!L83</f>
        <v>2.00296198818071</v>
      </c>
      <c r="K175" s="18" t="n">
        <f aca="false">'2026 Forecast A'!F83</f>
        <v>2515</v>
      </c>
      <c r="L175" s="54" t="str">
        <f aca="false">IF(OR(AND(D175&gt;0.5,E175&gt;0.5,F175&gt;0.5),AND(D175&lt;0.5,E175&lt;0.5,F175&lt;0.5)),"Yes","No — toss-up")</f>
        <v>Yes</v>
      </c>
    </row>
    <row r="176" customFormat="false" ht="15" hidden="false" customHeight="false" outlineLevel="0" collapsed="false">
      <c r="A176" s="9" t="str">
        <f aca="false">'2026 Forecast A'!A84</f>
        <v>Northampton</v>
      </c>
      <c r="B176" s="9" t="str">
        <f aca="false">'2026 Forecast A'!B84</f>
        <v>NORTH CATASAUQUA</v>
      </c>
      <c r="C176" s="9" t="str">
        <f aca="false">'2026 Forecast A'!C84</f>
        <v>(whole municipality)</v>
      </c>
      <c r="D176" s="10" t="n">
        <f aca="false">'2026 Forecast A'!G84</f>
        <v>0.488795518207283</v>
      </c>
      <c r="E176" s="10" t="n">
        <f aca="false">'2026 Forecast B'!G84</f>
        <v>0.485294117647059</v>
      </c>
      <c r="F176" s="10" t="n">
        <f aca="false">'2026 Forecast C'!G84</f>
        <v>0.489495798319328</v>
      </c>
      <c r="G176" s="52" t="n">
        <f aca="false">(MAX(D176:F176)-MIN(D176:F176))*100</f>
        <v>0.420168067226889</v>
      </c>
      <c r="H176" s="53" t="n">
        <f aca="false">'2026 Forecast A'!L84</f>
        <v>1.72183147497008</v>
      </c>
      <c r="I176" s="53" t="n">
        <f aca="false">'2026 Forecast B'!L84</f>
        <v>1.77383121164253</v>
      </c>
      <c r="J176" s="53" t="n">
        <f aca="false">'2026 Forecast C'!L84</f>
        <v>2.00296198818071</v>
      </c>
      <c r="K176" s="18" t="n">
        <f aca="false">'2026 Forecast A'!F84</f>
        <v>1428</v>
      </c>
      <c r="L176" s="54" t="str">
        <f aca="false">IF(OR(AND(D176&gt;0.5,E176&gt;0.5,F176&gt;0.5),AND(D176&lt;0.5,E176&lt;0.5,F176&lt;0.5)),"Yes","No — toss-up")</f>
        <v>Yes</v>
      </c>
    </row>
    <row r="177" customFormat="false" ht="15" hidden="false" customHeight="false" outlineLevel="0" collapsed="false">
      <c r="A177" s="9" t="str">
        <f aca="false">'2026 Forecast A'!A85</f>
        <v>Northampton</v>
      </c>
      <c r="B177" s="9" t="str">
        <f aca="false">'2026 Forecast A'!B85</f>
        <v>NORTHAMPTON</v>
      </c>
      <c r="C177" s="9" t="str">
        <f aca="false">'2026 Forecast A'!C85</f>
        <v>(whole municipality)</v>
      </c>
      <c r="D177" s="10" t="n">
        <f aca="false">'2026 Forecast A'!G85</f>
        <v>0.473342939481268</v>
      </c>
      <c r="E177" s="10" t="n">
        <f aca="false">'2026 Forecast B'!G85</f>
        <v>0.472622478386167</v>
      </c>
      <c r="F177" s="10" t="n">
        <f aca="false">'2026 Forecast C'!G85</f>
        <v>0.474303554274736</v>
      </c>
      <c r="G177" s="52" t="n">
        <f aca="false">(MAX(D177:F177)-MIN(D177:F177))*100</f>
        <v>0.168107588856864</v>
      </c>
      <c r="H177" s="53" t="n">
        <f aca="false">'2026 Forecast A'!L85</f>
        <v>1.77148440604085</v>
      </c>
      <c r="I177" s="53" t="n">
        <f aca="false">'2026 Forecast B'!L85</f>
        <v>1.78132935757617</v>
      </c>
      <c r="J177" s="53" t="n">
        <f aca="false">'2026 Forecast C'!L85</f>
        <v>1.91117906752088</v>
      </c>
      <c r="K177" s="18" t="n">
        <f aca="false">'2026 Forecast A'!F85</f>
        <v>4164</v>
      </c>
      <c r="L177" s="54" t="str">
        <f aca="false">IF(OR(AND(D177&gt;0.5,E177&gt;0.5,F177&gt;0.5),AND(D177&lt;0.5,E177&lt;0.5,F177&lt;0.5)),"Yes","No — toss-up")</f>
        <v>Yes</v>
      </c>
    </row>
    <row r="178" customFormat="false" ht="15" hidden="false" customHeight="false" outlineLevel="0" collapsed="false">
      <c r="A178" s="9" t="str">
        <f aca="false">'2026 Forecast A'!A86</f>
        <v>Northampton</v>
      </c>
      <c r="B178" s="9" t="str">
        <f aca="false">'2026 Forecast A'!B86</f>
        <v>PALMER</v>
      </c>
      <c r="C178" s="9" t="str">
        <f aca="false">'2026 Forecast A'!C86</f>
        <v>(whole municipality)</v>
      </c>
      <c r="D178" s="10" t="n">
        <f aca="false">'2026 Forecast A'!G86</f>
        <v>0.51618654405555</v>
      </c>
      <c r="E178" s="10" t="n">
        <f aca="false">'2026 Forecast B'!G86</f>
        <v>0.51440367833349</v>
      </c>
      <c r="F178" s="10" t="n">
        <f aca="false">'2026 Forecast C'!G86</f>
        <v>0.517031059397579</v>
      </c>
      <c r="G178" s="52" t="n">
        <f aca="false">(MAX(D178:F178)-MIN(D178:F178))*100</f>
        <v>0.262738106408933</v>
      </c>
      <c r="H178" s="53" t="n">
        <f aca="false">'2026 Forecast A'!L86</f>
        <v>1.77148440604085</v>
      </c>
      <c r="I178" s="53" t="n">
        <f aca="false">'2026 Forecast B'!L86</f>
        <v>1.78132935757617</v>
      </c>
      <c r="J178" s="53" t="n">
        <f aca="false">'2026 Forecast C'!L86</f>
        <v>1.91117906752088</v>
      </c>
      <c r="K178" s="18" t="n">
        <f aca="false">'2026 Forecast A'!F86</f>
        <v>10657</v>
      </c>
      <c r="L178" s="54" t="str">
        <f aca="false">IF(OR(AND(D178&gt;0.5,E178&gt;0.5,F178&gt;0.5),AND(D178&lt;0.5,E178&lt;0.5,F178&lt;0.5)),"Yes","No — toss-up")</f>
        <v>Yes</v>
      </c>
    </row>
    <row r="179" customFormat="false" ht="15" hidden="false" customHeight="false" outlineLevel="0" collapsed="false">
      <c r="A179" s="9" t="str">
        <f aca="false">'2026 Forecast A'!A87</f>
        <v>Northampton</v>
      </c>
      <c r="B179" s="9" t="str">
        <f aca="false">'2026 Forecast A'!B87</f>
        <v>PEN ARGYL</v>
      </c>
      <c r="C179" s="9" t="str">
        <f aca="false">'2026 Forecast A'!C87</f>
        <v>(whole municipality)</v>
      </c>
      <c r="D179" s="10" t="n">
        <f aca="false">'2026 Forecast A'!G87</f>
        <v>0.379588839941263</v>
      </c>
      <c r="E179" s="10" t="n">
        <f aca="false">'2026 Forecast B'!G87</f>
        <v>0.373715124816446</v>
      </c>
      <c r="F179" s="10" t="n">
        <f aca="false">'2026 Forecast C'!G87</f>
        <v>0.379588839941263</v>
      </c>
      <c r="G179" s="52" t="n">
        <f aca="false">(MAX(D179:F179)-MIN(D179:F179))*100</f>
        <v>0.587371512481644</v>
      </c>
      <c r="H179" s="53" t="n">
        <f aca="false">'2026 Forecast A'!L87</f>
        <v>1.72183147497008</v>
      </c>
      <c r="I179" s="53" t="n">
        <f aca="false">'2026 Forecast B'!L87</f>
        <v>1.77383121164253</v>
      </c>
      <c r="J179" s="53" t="n">
        <f aca="false">'2026 Forecast C'!L87</f>
        <v>2.00296198818071</v>
      </c>
      <c r="K179" s="18" t="n">
        <f aca="false">'2026 Forecast A'!F87</f>
        <v>1362</v>
      </c>
      <c r="L179" s="54" t="str">
        <f aca="false">IF(OR(AND(D179&gt;0.5,E179&gt;0.5,F179&gt;0.5),AND(D179&lt;0.5,E179&lt;0.5,F179&lt;0.5)),"Yes","No — toss-up")</f>
        <v>Yes</v>
      </c>
    </row>
    <row r="180" customFormat="false" ht="15" hidden="false" customHeight="false" outlineLevel="0" collapsed="false">
      <c r="A180" s="9" t="str">
        <f aca="false">'2026 Forecast A'!A88</f>
        <v>Northampton</v>
      </c>
      <c r="B180" s="9" t="str">
        <f aca="false">'2026 Forecast A'!B88</f>
        <v>PLAINFIELD</v>
      </c>
      <c r="C180" s="9" t="str">
        <f aca="false">'2026 Forecast A'!C88</f>
        <v>(whole municipality)</v>
      </c>
      <c r="D180" s="10" t="n">
        <f aca="false">'2026 Forecast A'!G88</f>
        <v>0.351169496956104</v>
      </c>
      <c r="E180" s="10" t="n">
        <f aca="false">'2026 Forecast B'!G88</f>
        <v>0.361743031079782</v>
      </c>
      <c r="F180" s="10" t="n">
        <f aca="false">'2026 Forecast C'!G88</f>
        <v>0.351810317206024</v>
      </c>
      <c r="G180" s="52" t="n">
        <f aca="false">(MAX(D180:F180)-MIN(D180:F180))*100</f>
        <v>1.05735341236783</v>
      </c>
      <c r="H180" s="53" t="n">
        <f aca="false">'2026 Forecast A'!L88</f>
        <v>1.77148440604085</v>
      </c>
      <c r="I180" s="53" t="n">
        <f aca="false">'2026 Forecast B'!L88</f>
        <v>1.78132935757617</v>
      </c>
      <c r="J180" s="53" t="n">
        <f aca="false">'2026 Forecast C'!L88</f>
        <v>1.91117906752088</v>
      </c>
      <c r="K180" s="18" t="n">
        <f aca="false">'2026 Forecast A'!F88</f>
        <v>3121</v>
      </c>
      <c r="L180" s="54" t="str">
        <f aca="false">IF(OR(AND(D180&gt;0.5,E180&gt;0.5,F180&gt;0.5),AND(D180&lt;0.5,E180&lt;0.5,F180&lt;0.5)),"Yes","No — toss-up")</f>
        <v>Yes</v>
      </c>
    </row>
    <row r="181" customFormat="false" ht="15" hidden="false" customHeight="false" outlineLevel="0" collapsed="false">
      <c r="A181" s="9" t="str">
        <f aca="false">'2026 Forecast A'!A89</f>
        <v>Northampton</v>
      </c>
      <c r="B181" s="9" t="str">
        <f aca="false">'2026 Forecast A'!B89</f>
        <v>PORTLAND</v>
      </c>
      <c r="C181" s="9" t="str">
        <f aca="false">'2026 Forecast A'!C89</f>
        <v>(whole municipality)</v>
      </c>
      <c r="D181" s="10" t="n">
        <f aca="false">'2026 Forecast A'!G89</f>
        <v>0.346938775510204</v>
      </c>
      <c r="E181" s="10" t="n">
        <f aca="false">'2026 Forecast B'!G89</f>
        <v>0.341836734693878</v>
      </c>
      <c r="F181" s="10" t="n">
        <f aca="false">'2026 Forecast C'!G89</f>
        <v>0.346938775510204</v>
      </c>
      <c r="G181" s="52" t="n">
        <f aca="false">(MAX(D181:F181)-MIN(D181:F181))*100</f>
        <v>0.510204081632654</v>
      </c>
      <c r="H181" s="53" t="n">
        <f aca="false">'2026 Forecast A'!L89</f>
        <v>2.86280086232688</v>
      </c>
      <c r="I181" s="53" t="n">
        <f aca="false">'2026 Forecast B'!L89</f>
        <v>2.79778929596316</v>
      </c>
      <c r="J181" s="53" t="n">
        <f aca="false">'2026 Forecast C'!L89</f>
        <v>2.92294299405971</v>
      </c>
      <c r="K181" s="18" t="n">
        <f aca="false">'2026 Forecast A'!F89</f>
        <v>196</v>
      </c>
      <c r="L181" s="54" t="str">
        <f aca="false">IF(OR(AND(D181&gt;0.5,E181&gt;0.5,F181&gt;0.5),AND(D181&lt;0.5,E181&lt;0.5,F181&lt;0.5)),"Yes","No — toss-up")</f>
        <v>Yes</v>
      </c>
    </row>
    <row r="182" customFormat="false" ht="15" hidden="false" customHeight="false" outlineLevel="0" collapsed="false">
      <c r="A182" s="9" t="str">
        <f aca="false">'2026 Forecast A'!A90</f>
        <v>Northampton</v>
      </c>
      <c r="B182" s="9" t="str">
        <f aca="false">'2026 Forecast A'!B90</f>
        <v>ROSETO</v>
      </c>
      <c r="C182" s="9" t="str">
        <f aca="false">'2026 Forecast A'!C90</f>
        <v>(whole municipality)</v>
      </c>
      <c r="D182" s="10" t="n">
        <f aca="false">'2026 Forecast A'!G90</f>
        <v>0.375730994152047</v>
      </c>
      <c r="E182" s="10" t="n">
        <f aca="false">'2026 Forecast B'!G90</f>
        <v>0.37280701754386</v>
      </c>
      <c r="F182" s="10" t="n">
        <f aca="false">'2026 Forecast C'!G90</f>
        <v>0.374269005847953</v>
      </c>
      <c r="G182" s="52" t="n">
        <f aca="false">(MAX(D182:F182)-MIN(D182:F182))*100</f>
        <v>0.292397660818716</v>
      </c>
      <c r="H182" s="53" t="n">
        <f aca="false">'2026 Forecast A'!L90</f>
        <v>2.86280086232688</v>
      </c>
      <c r="I182" s="53" t="n">
        <f aca="false">'2026 Forecast B'!L90</f>
        <v>2.79778929596316</v>
      </c>
      <c r="J182" s="53" t="n">
        <f aca="false">'2026 Forecast C'!L90</f>
        <v>2.92294299405971</v>
      </c>
      <c r="K182" s="18" t="n">
        <f aca="false">'2026 Forecast A'!F90</f>
        <v>684</v>
      </c>
      <c r="L182" s="54" t="str">
        <f aca="false">IF(OR(AND(D182&gt;0.5,E182&gt;0.5,F182&gt;0.5),AND(D182&lt;0.5,E182&lt;0.5,F182&lt;0.5)),"Yes","No — toss-up")</f>
        <v>Yes</v>
      </c>
    </row>
    <row r="183" customFormat="false" ht="15" hidden="false" customHeight="false" outlineLevel="0" collapsed="false">
      <c r="A183" s="9" t="str">
        <f aca="false">'2026 Forecast A'!A91</f>
        <v>Northampton</v>
      </c>
      <c r="B183" s="9" t="str">
        <f aca="false">'2026 Forecast A'!B91</f>
        <v>STOCKERTOWN</v>
      </c>
      <c r="C183" s="9" t="str">
        <f aca="false">'2026 Forecast A'!C91</f>
        <v>(whole municipality)</v>
      </c>
      <c r="D183" s="10" t="n">
        <f aca="false">'2026 Forecast A'!G91</f>
        <v>0.408740359897172</v>
      </c>
      <c r="E183" s="10" t="n">
        <f aca="false">'2026 Forecast B'!G91</f>
        <v>0.408740359897172</v>
      </c>
      <c r="F183" s="10" t="n">
        <f aca="false">'2026 Forecast C'!G91</f>
        <v>0.408740359897172</v>
      </c>
      <c r="G183" s="52" t="n">
        <f aca="false">(MAX(D183:F183)-MIN(D183:F183))*100</f>
        <v>0</v>
      </c>
      <c r="H183" s="53" t="n">
        <f aca="false">'2026 Forecast A'!L91</f>
        <v>2.86280086232688</v>
      </c>
      <c r="I183" s="53" t="n">
        <f aca="false">'2026 Forecast B'!L91</f>
        <v>2.79778929596316</v>
      </c>
      <c r="J183" s="53" t="n">
        <f aca="false">'2026 Forecast C'!L91</f>
        <v>2.92294299405971</v>
      </c>
      <c r="K183" s="18" t="n">
        <f aca="false">'2026 Forecast A'!F91</f>
        <v>389</v>
      </c>
      <c r="L183" s="54" t="str">
        <f aca="false">IF(OR(AND(D183&gt;0.5,E183&gt;0.5,F183&gt;0.5),AND(D183&lt;0.5,E183&lt;0.5,F183&lt;0.5)),"Yes","No — toss-up")</f>
        <v>Yes</v>
      </c>
    </row>
    <row r="184" customFormat="false" ht="15" hidden="false" customHeight="false" outlineLevel="0" collapsed="false">
      <c r="A184" s="9" t="str">
        <f aca="false">'2026 Forecast A'!A92</f>
        <v>Northampton</v>
      </c>
      <c r="B184" s="9" t="str">
        <f aca="false">'2026 Forecast A'!B92</f>
        <v>TATAMY</v>
      </c>
      <c r="C184" s="9" t="str">
        <f aca="false">'2026 Forecast A'!C92</f>
        <v>(whole municipality)</v>
      </c>
      <c r="D184" s="10" t="n">
        <f aca="false">'2026 Forecast A'!G92</f>
        <v>0.418604651162791</v>
      </c>
      <c r="E184" s="10" t="n">
        <f aca="false">'2026 Forecast B'!G92</f>
        <v>0.428571428571429</v>
      </c>
      <c r="F184" s="10" t="n">
        <f aca="false">'2026 Forecast C'!G92</f>
        <v>0.418604651162791</v>
      </c>
      <c r="G184" s="52" t="n">
        <f aca="false">(MAX(D184:F184)-MIN(D184:F184))*100</f>
        <v>0.996677740863783</v>
      </c>
      <c r="H184" s="53" t="n">
        <f aca="false">'2026 Forecast A'!L92</f>
        <v>2.86280086232688</v>
      </c>
      <c r="I184" s="53" t="n">
        <f aca="false">'2026 Forecast B'!L92</f>
        <v>2.79778929596316</v>
      </c>
      <c r="J184" s="53" t="n">
        <f aca="false">'2026 Forecast C'!L92</f>
        <v>2.92294299405971</v>
      </c>
      <c r="K184" s="18" t="n">
        <f aca="false">'2026 Forecast A'!F92</f>
        <v>602</v>
      </c>
      <c r="L184" s="54" t="str">
        <f aca="false">IF(OR(AND(D184&gt;0.5,E184&gt;0.5,F184&gt;0.5),AND(D184&lt;0.5,E184&lt;0.5,F184&lt;0.5)),"Yes","No — toss-up")</f>
        <v>Yes</v>
      </c>
    </row>
    <row r="185" customFormat="false" ht="15" hidden="false" customHeight="false" outlineLevel="0" collapsed="false">
      <c r="A185" s="9" t="str">
        <f aca="false">'2026 Forecast A'!A93</f>
        <v>Northampton</v>
      </c>
      <c r="B185" s="9" t="str">
        <f aca="false">'2026 Forecast A'!B93</f>
        <v>UPPER MOUNT BETHEL</v>
      </c>
      <c r="C185" s="9" t="str">
        <f aca="false">'2026 Forecast A'!C93</f>
        <v>(whole municipality)</v>
      </c>
      <c r="D185" s="10" t="n">
        <f aca="false">'2026 Forecast A'!G93</f>
        <v>0.320406865861411</v>
      </c>
      <c r="E185" s="10" t="n">
        <f aca="false">'2026 Forecast B'!G93</f>
        <v>0.319135410044501</v>
      </c>
      <c r="F185" s="10" t="n">
        <f aca="false">'2026 Forecast C'!G93</f>
        <v>0.320406865861411</v>
      </c>
      <c r="G185" s="52" t="n">
        <f aca="false">(MAX(D185:F185)-MIN(D185:F185))*100</f>
        <v>0.127145581691035</v>
      </c>
      <c r="H185" s="53" t="n">
        <f aca="false">'2026 Forecast A'!L93</f>
        <v>1.77148440604085</v>
      </c>
      <c r="I185" s="53" t="n">
        <f aca="false">'2026 Forecast B'!L93</f>
        <v>1.78132935757617</v>
      </c>
      <c r="J185" s="53" t="n">
        <f aca="false">'2026 Forecast C'!L93</f>
        <v>1.91117906752088</v>
      </c>
      <c r="K185" s="18" t="n">
        <f aca="false">'2026 Forecast A'!F93</f>
        <v>3146</v>
      </c>
      <c r="L185" s="54" t="str">
        <f aca="false">IF(OR(AND(D185&gt;0.5,E185&gt;0.5,F185&gt;0.5),AND(D185&lt;0.5,E185&lt;0.5,F185&lt;0.5)),"Yes","No — toss-up")</f>
        <v>Yes</v>
      </c>
    </row>
    <row r="186" customFormat="false" ht="15" hidden="false" customHeight="false" outlineLevel="0" collapsed="false">
      <c r="A186" s="9" t="str">
        <f aca="false">'2026 Forecast A'!A94</f>
        <v>Northampton</v>
      </c>
      <c r="B186" s="9" t="str">
        <f aca="false">'2026 Forecast A'!B94</f>
        <v>UPPER NAZARETH</v>
      </c>
      <c r="C186" s="9" t="str">
        <f aca="false">'2026 Forecast A'!C94</f>
        <v>(whole municipality)</v>
      </c>
      <c r="D186" s="10" t="n">
        <f aca="false">'2026 Forecast A'!G94</f>
        <v>0.484284406469332</v>
      </c>
      <c r="E186" s="10" t="n">
        <f aca="false">'2026 Forecast B'!G94</f>
        <v>0.484589563625267</v>
      </c>
      <c r="F186" s="10" t="n">
        <f aca="false">'2026 Forecast C'!G94</f>
        <v>0.485505035093073</v>
      </c>
      <c r="G186" s="52" t="n">
        <f aca="false">(MAX(D186:F186)-MIN(D186:F186))*100</f>
        <v>0.122062862374123</v>
      </c>
      <c r="H186" s="53" t="n">
        <f aca="false">'2026 Forecast A'!L94</f>
        <v>1.77148440604085</v>
      </c>
      <c r="I186" s="53" t="n">
        <f aca="false">'2026 Forecast B'!L94</f>
        <v>1.78132935757617</v>
      </c>
      <c r="J186" s="53" t="n">
        <f aca="false">'2026 Forecast C'!L94</f>
        <v>1.91117906752088</v>
      </c>
      <c r="K186" s="18" t="n">
        <f aca="false">'2026 Forecast A'!F94</f>
        <v>3277</v>
      </c>
      <c r="L186" s="54" t="str">
        <f aca="false">IF(OR(AND(D186&gt;0.5,E186&gt;0.5,F186&gt;0.5),AND(D186&lt;0.5,E186&lt;0.5,F186&lt;0.5)),"Yes","No — toss-up")</f>
        <v>Yes</v>
      </c>
    </row>
    <row r="187" customFormat="false" ht="15" hidden="false" customHeight="false" outlineLevel="0" collapsed="false">
      <c r="A187" s="9" t="str">
        <f aca="false">'2026 Forecast A'!A95</f>
        <v>Northampton</v>
      </c>
      <c r="B187" s="9" t="str">
        <f aca="false">'2026 Forecast A'!B95</f>
        <v>WALNUTPORT</v>
      </c>
      <c r="C187" s="9" t="str">
        <f aca="false">'2026 Forecast A'!C95</f>
        <v>(whole municipality)</v>
      </c>
      <c r="D187" s="10" t="n">
        <f aca="false">'2026 Forecast A'!G95</f>
        <v>0.409986859395532</v>
      </c>
      <c r="E187" s="10" t="n">
        <f aca="false">'2026 Forecast B'!G95</f>
        <v>0.406044678055191</v>
      </c>
      <c r="F187" s="10" t="n">
        <f aca="false">'2026 Forecast C'!G95</f>
        <v>0.409986859395532</v>
      </c>
      <c r="G187" s="52" t="n">
        <f aca="false">(MAX(D187:F187)-MIN(D187:F187))*100</f>
        <v>0.394218134034169</v>
      </c>
      <c r="H187" s="53" t="n">
        <f aca="false">'2026 Forecast A'!L95</f>
        <v>2.86280086232688</v>
      </c>
      <c r="I187" s="53" t="n">
        <f aca="false">'2026 Forecast B'!L95</f>
        <v>2.79778929596316</v>
      </c>
      <c r="J187" s="53" t="n">
        <f aca="false">'2026 Forecast C'!L95</f>
        <v>2.92294299405971</v>
      </c>
      <c r="K187" s="18" t="n">
        <f aca="false">'2026 Forecast A'!F95</f>
        <v>761</v>
      </c>
      <c r="L187" s="54" t="str">
        <f aca="false">IF(OR(AND(D187&gt;0.5,E187&gt;0.5,F187&gt;0.5),AND(D187&lt;0.5,E187&lt;0.5,F187&lt;0.5)),"Yes","No — toss-up")</f>
        <v>Yes</v>
      </c>
    </row>
    <row r="188" customFormat="false" ht="15" hidden="false" customHeight="false" outlineLevel="0" collapsed="false">
      <c r="A188" s="9" t="str">
        <f aca="false">'2026 Forecast A'!A96</f>
        <v>Northampton</v>
      </c>
      <c r="B188" s="9" t="str">
        <f aca="false">'2026 Forecast A'!B96</f>
        <v>WASHINGTON</v>
      </c>
      <c r="C188" s="9" t="str">
        <f aca="false">'2026 Forecast A'!C96</f>
        <v>(whole municipality)</v>
      </c>
      <c r="D188" s="10" t="n">
        <f aca="false">'2026 Forecast A'!G96</f>
        <v>0.341013824884793</v>
      </c>
      <c r="E188" s="10" t="n">
        <f aca="false">'2026 Forecast B'!G96</f>
        <v>0.344365312107248</v>
      </c>
      <c r="F188" s="10" t="n">
        <f aca="false">'2026 Forecast C'!G96</f>
        <v>0.341013824884793</v>
      </c>
      <c r="G188" s="52" t="n">
        <f aca="false">(MAX(D188:F188)-MIN(D188:F188))*100</f>
        <v>0.335148722245493</v>
      </c>
      <c r="H188" s="53" t="n">
        <f aca="false">'2026 Forecast A'!L96</f>
        <v>1.72183147497008</v>
      </c>
      <c r="I188" s="53" t="n">
        <f aca="false">'2026 Forecast B'!L96</f>
        <v>1.77383121164253</v>
      </c>
      <c r="J188" s="53" t="n">
        <f aca="false">'2026 Forecast C'!L96</f>
        <v>2.00296198818071</v>
      </c>
      <c r="K188" s="18" t="n">
        <f aca="false">'2026 Forecast A'!F96</f>
        <v>2387</v>
      </c>
      <c r="L188" s="54" t="str">
        <f aca="false">IF(OR(AND(D188&gt;0.5,E188&gt;0.5,F188&gt;0.5),AND(D188&lt;0.5,E188&lt;0.5,F188&lt;0.5)),"Yes","No — toss-up")</f>
        <v>Yes</v>
      </c>
    </row>
    <row r="189" customFormat="false" ht="15" hidden="false" customHeight="false" outlineLevel="0" collapsed="false">
      <c r="A189" s="9" t="str">
        <f aca="false">'2026 Forecast A'!A97</f>
        <v>Northampton</v>
      </c>
      <c r="B189" s="9" t="str">
        <f aca="false">'2026 Forecast A'!B97</f>
        <v>WEST EASTON</v>
      </c>
      <c r="C189" s="9" t="str">
        <f aca="false">'2026 Forecast A'!C97</f>
        <v>(whole municipality)</v>
      </c>
      <c r="D189" s="10" t="n">
        <f aca="false">'2026 Forecast A'!G97</f>
        <v>0.47716894977169</v>
      </c>
      <c r="E189" s="10" t="n">
        <f aca="false">'2026 Forecast B'!G97</f>
        <v>0.472602739726027</v>
      </c>
      <c r="F189" s="10" t="n">
        <f aca="false">'2026 Forecast C'!G97</f>
        <v>0.479452054794521</v>
      </c>
      <c r="G189" s="52" t="n">
        <f aca="false">(MAX(D189:F189)-MIN(D189:F189))*100</f>
        <v>0.684931506849312</v>
      </c>
      <c r="H189" s="53" t="n">
        <f aca="false">'2026 Forecast A'!L97</f>
        <v>2.86280086232688</v>
      </c>
      <c r="I189" s="53" t="n">
        <f aca="false">'2026 Forecast B'!L97</f>
        <v>2.79778929596316</v>
      </c>
      <c r="J189" s="53" t="n">
        <f aca="false">'2026 Forecast C'!L97</f>
        <v>2.92294299405971</v>
      </c>
      <c r="K189" s="18" t="n">
        <f aca="false">'2026 Forecast A'!F97</f>
        <v>438</v>
      </c>
      <c r="L189" s="54" t="str">
        <f aca="false">IF(OR(AND(D189&gt;0.5,E189&gt;0.5,F189&gt;0.5),AND(D189&lt;0.5,E189&lt;0.5,F189&lt;0.5)),"Yes","No — toss-up")</f>
        <v>Yes</v>
      </c>
    </row>
    <row r="190" customFormat="false" ht="15" hidden="false" customHeight="false" outlineLevel="0" collapsed="false">
      <c r="A190" s="9" t="str">
        <f aca="false">'2026 Forecast A'!A98</f>
        <v>Northampton</v>
      </c>
      <c r="B190" s="9" t="str">
        <f aca="false">'2026 Forecast A'!B98</f>
        <v>WILLIAMS TOWNSHIP</v>
      </c>
      <c r="C190" s="9" t="str">
        <f aca="false">'2026 Forecast A'!C98</f>
        <v>(whole municipality)</v>
      </c>
      <c r="D190" s="10" t="n">
        <f aca="false">'2026 Forecast A'!G98</f>
        <v>0.427213309566251</v>
      </c>
      <c r="E190" s="10" t="n">
        <f aca="false">'2026 Forecast B'!G98</f>
        <v>0.427213309566251</v>
      </c>
      <c r="F190" s="10" t="n">
        <f aca="false">'2026 Forecast C'!G98</f>
        <v>0.427213309566251</v>
      </c>
      <c r="G190" s="52" t="n">
        <f aca="false">(MAX(D190:F190)-MIN(D190:F190))*100</f>
        <v>0</v>
      </c>
      <c r="H190" s="53" t="n">
        <f aca="false">'2026 Forecast A'!L98</f>
        <v>1.77148440604085</v>
      </c>
      <c r="I190" s="53" t="n">
        <f aca="false">'2026 Forecast B'!L98</f>
        <v>1.78132935757617</v>
      </c>
      <c r="J190" s="53" t="n">
        <f aca="false">'2026 Forecast C'!L98</f>
        <v>1.91117906752088</v>
      </c>
      <c r="K190" s="18" t="n">
        <f aca="false">'2026 Forecast A'!F98</f>
        <v>3366</v>
      </c>
      <c r="L190" s="54" t="str">
        <f aca="false">IF(OR(AND(D190&gt;0.5,E190&gt;0.5,F190&gt;0.5),AND(D190&lt;0.5,E190&lt;0.5,F190&lt;0.5)),"Yes","No — toss-up")</f>
        <v>Yes</v>
      </c>
    </row>
    <row r="191" customFormat="false" ht="15" hidden="false" customHeight="false" outlineLevel="0" collapsed="false">
      <c r="A191" s="9" t="str">
        <f aca="false">'2026 Forecast A'!A99</f>
        <v>Northampton</v>
      </c>
      <c r="B191" s="9" t="str">
        <f aca="false">'2026 Forecast A'!B99</f>
        <v>WILSON</v>
      </c>
      <c r="C191" s="9" t="str">
        <f aca="false">'2026 Forecast A'!C99</f>
        <v>(whole municipality)</v>
      </c>
      <c r="D191" s="10" t="n">
        <f aca="false">'2026 Forecast A'!G99</f>
        <v>0.555744680851064</v>
      </c>
      <c r="E191" s="10" t="n">
        <f aca="false">'2026 Forecast B'!G99</f>
        <v>0.555744680851064</v>
      </c>
      <c r="F191" s="10" t="n">
        <f aca="false">'2026 Forecast C'!G99</f>
        <v>0.556170212765958</v>
      </c>
      <c r="G191" s="52" t="n">
        <f aca="false">(MAX(D191:F191)-MIN(D191:F191))*100</f>
        <v>0.0425531914893584</v>
      </c>
      <c r="H191" s="53" t="n">
        <f aca="false">'2026 Forecast A'!L99</f>
        <v>1.72183147497008</v>
      </c>
      <c r="I191" s="53" t="n">
        <f aca="false">'2026 Forecast B'!L99</f>
        <v>1.77383121164253</v>
      </c>
      <c r="J191" s="53" t="n">
        <f aca="false">'2026 Forecast C'!L99</f>
        <v>2.00296198818071</v>
      </c>
      <c r="K191" s="18" t="n">
        <f aca="false">'2026 Forecast A'!F99</f>
        <v>2350</v>
      </c>
      <c r="L191" s="54" t="str">
        <f aca="false">IF(OR(AND(D191&gt;0.5,E191&gt;0.5,F191&gt;0.5),AND(D191&lt;0.5,E191&lt;0.5,F191&lt;0.5)),"Yes","No — toss-up")</f>
        <v>Yes</v>
      </c>
    </row>
    <row r="192" customFormat="false" ht="15" hidden="false" customHeight="false" outlineLevel="0" collapsed="false">
      <c r="A192" s="9" t="str">
        <f aca="false">'2026 Forecast A'!A100</f>
        <v>Northampton</v>
      </c>
      <c r="B192" s="9" t="str">
        <f aca="false">'2026 Forecast A'!B100</f>
        <v>WIND GAP</v>
      </c>
      <c r="C192" s="9" t="str">
        <f aca="false">'2026 Forecast A'!C100</f>
        <v>(whole municipality)</v>
      </c>
      <c r="D192" s="10" t="n">
        <f aca="false">'2026 Forecast A'!G100</f>
        <v>0.429694323144105</v>
      </c>
      <c r="E192" s="10" t="n">
        <f aca="false">'2026 Forecast B'!G100</f>
        <v>0.43056768558952</v>
      </c>
      <c r="F192" s="10" t="n">
        <f aca="false">'2026 Forecast C'!G100</f>
        <v>0.429694323144105</v>
      </c>
      <c r="G192" s="52" t="n">
        <f aca="false">(MAX(D192:F192)-MIN(D192:F192))*100</f>
        <v>0.0873362445414805</v>
      </c>
      <c r="H192" s="53" t="n">
        <f aca="false">'2026 Forecast A'!L100</f>
        <v>2.86280086232688</v>
      </c>
      <c r="I192" s="53" t="n">
        <f aca="false">'2026 Forecast B'!L100</f>
        <v>2.79778929596316</v>
      </c>
      <c r="J192" s="53" t="n">
        <f aca="false">'2026 Forecast C'!L100</f>
        <v>2.92294299405971</v>
      </c>
      <c r="K192" s="18" t="n">
        <f aca="false">'2026 Forecast A'!F100</f>
        <v>1145</v>
      </c>
      <c r="L192" s="54" t="str">
        <f aca="false">IF(OR(AND(D192&gt;0.5,E192&gt;0.5,F192&gt;0.5),AND(D192&lt;0.5,E192&lt;0.5,F192&lt;0.5)),"Yes","No — toss-up")</f>
        <v>Yes</v>
      </c>
    </row>
  </sheetData>
  <mergeCells count="23">
    <mergeCell ref="A5:I5"/>
    <mergeCell ref="A9:I9"/>
    <mergeCell ref="A16:I16"/>
    <mergeCell ref="A29:J29"/>
    <mergeCell ref="A34:J34"/>
    <mergeCell ref="A36:L36"/>
    <mergeCell ref="A47:L47"/>
    <mergeCell ref="A49:L49"/>
    <mergeCell ref="A51:L51"/>
    <mergeCell ref="A53:L53"/>
    <mergeCell ref="A55:L55"/>
    <mergeCell ref="A57:L57"/>
    <mergeCell ref="A59:L59"/>
    <mergeCell ref="A61:L61"/>
    <mergeCell ref="A63:L63"/>
    <mergeCell ref="A77:O77"/>
    <mergeCell ref="A90:L90"/>
    <mergeCell ref="A92:L92"/>
    <mergeCell ref="A94:L94"/>
    <mergeCell ref="A96:L96"/>
    <mergeCell ref="A98:L98"/>
    <mergeCell ref="A100:L100"/>
    <mergeCell ref="A102:L102"/>
  </mergeCells>
  <conditionalFormatting sqref="D104:F192">
    <cfRule type="colorScale" priority="2">
      <colorScale>
        <cfvo type="num" val="0.25"/>
        <cfvo type="num" val="0.5"/>
        <cfvo type="num" val="0.75"/>
        <color rgb="FFF4B6B6"/>
        <color rgb="FFFFFFFF"/>
        <color rgb="FFB4C7E7"/>
      </colorScale>
    </cfRule>
  </conditionalFormatting>
  <conditionalFormatting sqref="L104:L192">
    <cfRule type="cellIs" priority="3" operator="notEqual" aboveAverage="0" equalAverage="0" bottom="0" percent="0" rank="0" text="" dxfId="0">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148</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152</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B5-SUMPRODUCT(R12:R100,S12:S100)/SUM(S12:S100)/100</f>
        <v>0.42509861204304</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SUM(D12:D100)</f>
        <v>151527</v>
      </c>
      <c r="E8" s="60" t="n">
        <f aca="false">SUM(E12:E100)</f>
        <v>154602</v>
      </c>
      <c r="F8" s="60" t="n">
        <f aca="false">D8+E8</f>
        <v>306129</v>
      </c>
      <c r="G8" s="61" t="n">
        <f aca="false">IF(F8=0,"",D8/F8)</f>
        <v>0.4949776074792</v>
      </c>
      <c r="H8" s="61" t="n">
        <f aca="false">IF(F8=0,"",E8/F8)</f>
        <v>0.5050223925208</v>
      </c>
      <c r="I8" s="20" t="s">
        <v>176</v>
      </c>
      <c r="J8" s="62" t="n">
        <v>0</v>
      </c>
      <c r="K8" s="62" t="n">
        <v>1.02561783880877</v>
      </c>
      <c r="L8" s="62" t="n">
        <f aca="false">SQRT(J8^2+K8^2)</f>
        <v>1.02561783880877</v>
      </c>
      <c r="M8" s="61" t="n">
        <f aca="false">G8-1.96*L8/100</f>
        <v>0.474875497838548</v>
      </c>
      <c r="N8" s="61" t="n">
        <f aca="false">G8+1.96*L8/100</f>
        <v>0.515079717119852</v>
      </c>
      <c r="O8" s="60" t="n">
        <f aca="false">ROUND(F8*0.035,0)</f>
        <v>10715</v>
      </c>
      <c r="P8" s="60" t="n">
        <f aca="false">ROUND(SQRT((F8*L8/100)^2+(G8*O8)^2),0)</f>
        <v>6163</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191</v>
      </c>
      <c r="D12" s="66" t="n">
        <f aca="false">ROUND(S12*T12,0)</f>
        <v>135</v>
      </c>
      <c r="E12" s="66" t="n">
        <f aca="false">ROUND(S12,0)-D12</f>
        <v>229</v>
      </c>
      <c r="F12" s="66" t="n">
        <f aca="false">IF(COUNTA(D12:E12)=0,"",SUM(D12:E12))</f>
        <v>364</v>
      </c>
      <c r="G12" s="47" t="n">
        <f aca="false">IF(OR(F12="",F12=0),"",D12/F12)</f>
        <v>0.370879120879121</v>
      </c>
      <c r="H12" s="47" t="n">
        <f aca="false">IF(OR(F12="",F12=0),"",E12/F12)</f>
        <v>0.629120879120879</v>
      </c>
      <c r="I12" s="32" t="s">
        <v>192</v>
      </c>
      <c r="J12" s="36" t="n">
        <v>2.6727769877146</v>
      </c>
      <c r="K12" s="36" t="n">
        <f aca="false">$K$8</f>
        <v>1.02561783880877</v>
      </c>
      <c r="L12" s="36" t="n">
        <f aca="false">SQRT(J12^2+K12^2)</f>
        <v>2.86280086232688</v>
      </c>
      <c r="M12" s="47" t="n">
        <f aca="false">IF(G12="","",MAX(0,G12-1.96*L12/100))</f>
        <v>0.314768223977514</v>
      </c>
      <c r="N12" s="47" t="n">
        <f aca="false">IF(G12="","",MIN(1,G12+1.96*L12/100))</f>
        <v>0.426990017780728</v>
      </c>
      <c r="O12" s="66" t="n">
        <f aca="false">ROUND(S12*W12,0)</f>
        <v>27</v>
      </c>
      <c r="P12" s="66" t="n">
        <f aca="false">IF(F12="","",ROUND(SQRT((F12*L12/100)^2+(G12*O12)^2),0))</f>
        <v>14</v>
      </c>
      <c r="R12" s="67" t="n">
        <v>-5.44464149452425</v>
      </c>
      <c r="S12" s="68" t="n">
        <f aca="false">U12*V12*$F$5</f>
        <v>364.490963855422</v>
      </c>
      <c r="T12" s="69" t="n">
        <f aca="false">MAX(0,MIN(1,R12/100+$D$5))</f>
        <v>0.370652197097797</v>
      </c>
      <c r="U12" s="69" t="n">
        <v>0.581325301204819</v>
      </c>
      <c r="V12" s="68" t="n">
        <v>627</v>
      </c>
      <c r="W12" s="69" t="n">
        <v>0.0732058935918866</v>
      </c>
      <c r="X12" s="70" t="s">
        <v>193</v>
      </c>
      <c r="Y12" s="70" t="s">
        <v>194</v>
      </c>
    </row>
    <row r="13" customFormat="false" ht="15" hidden="false" customHeight="false" outlineLevel="0" collapsed="false">
      <c r="A13" s="32" t="s">
        <v>189</v>
      </c>
      <c r="B13" s="32" t="s">
        <v>195</v>
      </c>
      <c r="C13" s="32" t="s">
        <v>191</v>
      </c>
      <c r="D13" s="66" t="n">
        <f aca="false">ROUND(S13*T13,0)</f>
        <v>93</v>
      </c>
      <c r="E13" s="66" t="n">
        <f aca="false">ROUND(S13,0)-D13</f>
        <v>237</v>
      </c>
      <c r="F13" s="66" t="n">
        <f aca="false">IF(COUNTA(D13:E13)=0,"",SUM(D13:E13))</f>
        <v>330</v>
      </c>
      <c r="G13" s="47" t="n">
        <f aca="false">IF(OR(F13="",F13=0),"",D13/F13)</f>
        <v>0.281818181818182</v>
      </c>
      <c r="H13" s="47" t="n">
        <f aca="false">IF(OR(F13="",F13=0),"",E13/F13)</f>
        <v>0.718181818181818</v>
      </c>
      <c r="I13" s="32" t="s">
        <v>192</v>
      </c>
      <c r="J13" s="36" t="n">
        <v>2.6727769877146</v>
      </c>
      <c r="K13" s="36" t="n">
        <f aca="false">$K$8</f>
        <v>1.02561783880877</v>
      </c>
      <c r="L13" s="36" t="n">
        <f aca="false">SQRT(J13^2+K13^2)</f>
        <v>2.86280086232688</v>
      </c>
      <c r="M13" s="47" t="n">
        <f aca="false">IF(G13="","",MAX(0,G13-1.96*L13/100))</f>
        <v>0.225707284916575</v>
      </c>
      <c r="N13" s="47" t="n">
        <f aca="false">IF(G13="","",MIN(1,G13+1.96*L13/100))</f>
        <v>0.337929078719789</v>
      </c>
      <c r="O13" s="66" t="n">
        <f aca="false">ROUND(S13*W13,0)</f>
        <v>24</v>
      </c>
      <c r="P13" s="66" t="n">
        <f aca="false">IF(F13="","",ROUND(SQRT((F13*L13/100)^2+(G13*O13)^2),0))</f>
        <v>12</v>
      </c>
      <c r="R13" s="67" t="n">
        <v>-14.2582089129133</v>
      </c>
      <c r="S13" s="68" t="n">
        <f aca="false">U13*V13*$F$5</f>
        <v>330.130136986301</v>
      </c>
      <c r="T13" s="69" t="n">
        <f aca="false">MAX(0,MIN(1,R13/100+$D$5))</f>
        <v>0.282516522913907</v>
      </c>
      <c r="U13" s="69" t="n">
        <v>0.537671232876712</v>
      </c>
      <c r="V13" s="68" t="n">
        <v>614</v>
      </c>
      <c r="W13" s="69" t="n">
        <v>0.0732058935918866</v>
      </c>
      <c r="X13" s="70" t="s">
        <v>193</v>
      </c>
      <c r="Y13" s="70" t="s">
        <v>194</v>
      </c>
    </row>
    <row r="14" customFormat="false" ht="15" hidden="false" customHeight="false" outlineLevel="0" collapsed="false">
      <c r="A14" s="32" t="s">
        <v>189</v>
      </c>
      <c r="B14" s="32" t="s">
        <v>196</v>
      </c>
      <c r="C14" s="32" t="s">
        <v>191</v>
      </c>
      <c r="D14" s="66" t="n">
        <f aca="false">ROUND(S14*T14,0)</f>
        <v>123</v>
      </c>
      <c r="E14" s="66" t="n">
        <f aca="false">ROUND(S14,0)-D14</f>
        <v>233</v>
      </c>
      <c r="F14" s="66" t="n">
        <f aca="false">IF(COUNTA(D14:E14)=0,"",SUM(D14:E14))</f>
        <v>356</v>
      </c>
      <c r="G14" s="47" t="n">
        <f aca="false">IF(OR(F14="",F14=0),"",D14/F14)</f>
        <v>0.345505617977528</v>
      </c>
      <c r="H14" s="47" t="n">
        <f aca="false">IF(OR(F14="",F14=0),"",E14/F14)</f>
        <v>0.654494382022472</v>
      </c>
      <c r="I14" s="32" t="s">
        <v>192</v>
      </c>
      <c r="J14" s="36" t="n">
        <v>2.6727769877146</v>
      </c>
      <c r="K14" s="36" t="n">
        <f aca="false">$K$8</f>
        <v>1.02561783880877</v>
      </c>
      <c r="L14" s="36" t="n">
        <f aca="false">SQRT(J14^2+K14^2)</f>
        <v>2.86280086232688</v>
      </c>
      <c r="M14" s="47" t="n">
        <f aca="false">IF(G14="","",MAX(0,G14-1.96*L14/100))</f>
        <v>0.289394721075921</v>
      </c>
      <c r="N14" s="47" t="n">
        <f aca="false">IF(G14="","",MIN(1,G14+1.96*L14/100))</f>
        <v>0.401616514879135</v>
      </c>
      <c r="O14" s="66" t="n">
        <f aca="false">ROUND(S14*W14,0)</f>
        <v>26</v>
      </c>
      <c r="P14" s="66" t="n">
        <f aca="false">IF(F14="","",ROUND(SQRT((F14*L14/100)^2+(G14*O14)^2),0))</f>
        <v>14</v>
      </c>
      <c r="R14" s="67" t="n">
        <v>-8.03338106578357</v>
      </c>
      <c r="S14" s="68" t="n">
        <f aca="false">U14*V14*$F$5</f>
        <v>355.63436928702</v>
      </c>
      <c r="T14" s="69" t="n">
        <f aca="false">MAX(0,MIN(1,R14/100+$D$5))</f>
        <v>0.344764801385204</v>
      </c>
      <c r="U14" s="69" t="n">
        <v>0.636197440585009</v>
      </c>
      <c r="V14" s="68" t="n">
        <v>559</v>
      </c>
      <c r="W14" s="69" t="n">
        <v>0.0732058935918866</v>
      </c>
      <c r="X14" s="70" t="s">
        <v>193</v>
      </c>
      <c r="Y14" s="70" t="s">
        <v>194</v>
      </c>
    </row>
    <row r="15" customFormat="false" ht="15" hidden="false" customHeight="false" outlineLevel="0" collapsed="false">
      <c r="A15" s="32" t="s">
        <v>189</v>
      </c>
      <c r="B15" s="32" t="s">
        <v>197</v>
      </c>
      <c r="C15" s="32" t="s">
        <v>191</v>
      </c>
      <c r="D15" s="66" t="n">
        <f aca="false">ROUND(S15*T15,0)</f>
        <v>373</v>
      </c>
      <c r="E15" s="66" t="n">
        <f aca="false">ROUND(S15,0)-D15</f>
        <v>962</v>
      </c>
      <c r="F15" s="66" t="n">
        <f aca="false">IF(COUNTA(D15:E15)=0,"",SUM(D15:E15))</f>
        <v>1335</v>
      </c>
      <c r="G15" s="47" t="n">
        <f aca="false">IF(OR(F15="",F15=0),"",D15/F15)</f>
        <v>0.27940074906367</v>
      </c>
      <c r="H15" s="47" t="n">
        <f aca="false">IF(OR(F15="",F15=0),"",E15/F15)</f>
        <v>0.72059925093633</v>
      </c>
      <c r="I15" s="32" t="s">
        <v>192</v>
      </c>
      <c r="J15" s="36" t="n">
        <v>1.3830443510296</v>
      </c>
      <c r="K15" s="36" t="n">
        <f aca="false">$K$8</f>
        <v>1.02561783880877</v>
      </c>
      <c r="L15" s="36" t="n">
        <f aca="false">SQRT(J15^2+K15^2)</f>
        <v>1.72183147497008</v>
      </c>
      <c r="M15" s="47" t="n">
        <f aca="false">IF(G15="","",MAX(0,G15-1.96*L15/100))</f>
        <v>0.245652852154257</v>
      </c>
      <c r="N15" s="47" t="n">
        <f aca="false">IF(G15="","",MIN(1,G15+1.96*L15/100))</f>
        <v>0.313148645973084</v>
      </c>
      <c r="O15" s="66" t="n">
        <f aca="false">ROUND(S15*W15,0)</f>
        <v>73</v>
      </c>
      <c r="P15" s="66" t="n">
        <f aca="false">IF(F15="","",ROUND(SQRT((F15*L15/100)^2+(G15*O15)^2),0))</f>
        <v>31</v>
      </c>
      <c r="R15" s="67" t="n">
        <v>-14.6030414864067</v>
      </c>
      <c r="S15" s="68" t="n">
        <f aca="false">U15*V15*$F$5</f>
        <v>1334.82101558572</v>
      </c>
      <c r="T15" s="69" t="n">
        <f aca="false">MAX(0,MIN(1,R15/100+$D$5))</f>
        <v>0.279068197178973</v>
      </c>
      <c r="U15" s="69" t="n">
        <v>0.652086475615887</v>
      </c>
      <c r="V15" s="68" t="n">
        <v>2047</v>
      </c>
      <c r="W15" s="69" t="n">
        <v>0.0547268472736556</v>
      </c>
      <c r="X15" s="70" t="s">
        <v>198</v>
      </c>
      <c r="Y15" s="70" t="s">
        <v>194</v>
      </c>
    </row>
    <row r="16" customFormat="false" ht="15" hidden="false" customHeight="false" outlineLevel="0" collapsed="false">
      <c r="A16" s="32" t="s">
        <v>189</v>
      </c>
      <c r="B16" s="32" t="s">
        <v>199</v>
      </c>
      <c r="C16" s="32" t="s">
        <v>191</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192</v>
      </c>
      <c r="J16" s="36" t="n">
        <v>2.6727769877146</v>
      </c>
      <c r="K16" s="36" t="n">
        <f aca="false">$K$8</f>
        <v>1.02561783880877</v>
      </c>
      <c r="L16" s="36" t="n">
        <f aca="false">SQRT(J16^2+K16^2)</f>
        <v>2.86280086232688</v>
      </c>
      <c r="M16" s="47" t="n">
        <f aca="false">IF(G16="","",MAX(0,G16-1.96*L16/100))</f>
        <v>0.298727812775813</v>
      </c>
      <c r="N16" s="47" t="n">
        <f aca="false">IF(G16="","",MIN(1,G16+1.96*L16/100))</f>
        <v>0.410949606579026</v>
      </c>
      <c r="O16" s="66" t="n">
        <f aca="false">ROUND(S16*W16,0)</f>
        <v>7</v>
      </c>
      <c r="P16" s="66" t="n">
        <f aca="false">IF(F16="","",ROUND(SQRT((F16*L16/100)^2+(G16*O16)^2),0))</f>
        <v>4</v>
      </c>
      <c r="R16" s="67" t="n">
        <v>-7.26060681071277</v>
      </c>
      <c r="S16" s="68" t="n">
        <f aca="false">U16*V16*$F$5</f>
        <v>93.4268292682927</v>
      </c>
      <c r="T16" s="69" t="n">
        <f aca="false">MAX(0,MIN(1,R16/100+$D$5))</f>
        <v>0.352492543935912</v>
      </c>
      <c r="U16" s="69" t="n">
        <v>0.573170731707317</v>
      </c>
      <c r="V16" s="68" t="n">
        <v>163</v>
      </c>
      <c r="W16" s="69" t="n">
        <v>0.0732058935918866</v>
      </c>
      <c r="X16" s="70" t="s">
        <v>193</v>
      </c>
      <c r="Y16" s="70" t="s">
        <v>194</v>
      </c>
    </row>
    <row r="17" customFormat="false" ht="15" hidden="false" customHeight="false" outlineLevel="0" collapsed="false">
      <c r="A17" s="32" t="s">
        <v>189</v>
      </c>
      <c r="B17" s="32" t="s">
        <v>200</v>
      </c>
      <c r="C17" s="32" t="s">
        <v>191</v>
      </c>
      <c r="D17" s="66" t="n">
        <f aca="false">ROUND(S17*T17,0)</f>
        <v>559</v>
      </c>
      <c r="E17" s="66" t="n">
        <f aca="false">ROUND(S17,0)-D17</f>
        <v>1423</v>
      </c>
      <c r="F17" s="66" t="n">
        <f aca="false">IF(COUNTA(D17:E17)=0,"",SUM(D17:E17))</f>
        <v>1982</v>
      </c>
      <c r="G17" s="47" t="n">
        <f aca="false">IF(OR(F17="",F17=0),"",D17/F17)</f>
        <v>0.282038345105954</v>
      </c>
      <c r="H17" s="47" t="n">
        <f aca="false">IF(OR(F17="",F17=0),"",E17/F17)</f>
        <v>0.717961654894046</v>
      </c>
      <c r="I17" s="32" t="s">
        <v>192</v>
      </c>
      <c r="J17" s="36" t="n">
        <v>1.3830443510296</v>
      </c>
      <c r="K17" s="36" t="n">
        <f aca="false">$K$8</f>
        <v>1.02561783880877</v>
      </c>
      <c r="L17" s="36" t="n">
        <f aca="false">SQRT(J17^2+K17^2)</f>
        <v>1.72183147497008</v>
      </c>
      <c r="M17" s="47" t="n">
        <f aca="false">IF(G17="","",MAX(0,G17-1.96*L17/100))</f>
        <v>0.24829044819654</v>
      </c>
      <c r="N17" s="47" t="n">
        <f aca="false">IF(G17="","",MIN(1,G17+1.96*L17/100))</f>
        <v>0.315786242015367</v>
      </c>
      <c r="O17" s="66" t="n">
        <f aca="false">ROUND(S17*W17,0)</f>
        <v>108</v>
      </c>
      <c r="P17" s="66" t="n">
        <f aca="false">IF(F17="","",ROUND(SQRT((F17*L17/100)^2+(G17*O17)^2),0))</f>
        <v>46</v>
      </c>
      <c r="R17" s="67" t="n">
        <v>-14.2949522612091</v>
      </c>
      <c r="S17" s="68" t="n">
        <f aca="false">U17*V17*$F$5</f>
        <v>1982.00903517264</v>
      </c>
      <c r="T17" s="69" t="n">
        <f aca="false">MAX(0,MIN(1,R17/100+$D$5))</f>
        <v>0.282149089430949</v>
      </c>
      <c r="U17" s="69" t="n">
        <v>0.631816715069377</v>
      </c>
      <c r="V17" s="68" t="n">
        <v>3137</v>
      </c>
      <c r="W17" s="69" t="n">
        <v>0.0547268472736556</v>
      </c>
      <c r="X17" s="70" t="s">
        <v>198</v>
      </c>
      <c r="Y17" s="70" t="s">
        <v>194</v>
      </c>
    </row>
    <row r="18" customFormat="false" ht="15" hidden="false" customHeight="false" outlineLevel="0" collapsed="false">
      <c r="A18" s="32" t="s">
        <v>189</v>
      </c>
      <c r="B18" s="32" t="s">
        <v>201</v>
      </c>
      <c r="C18" s="32" t="s">
        <v>191</v>
      </c>
      <c r="D18" s="66" t="n">
        <f aca="false">ROUND(S18*T18,0)</f>
        <v>918</v>
      </c>
      <c r="E18" s="66" t="n">
        <f aca="false">ROUND(S18,0)-D18</f>
        <v>1190</v>
      </c>
      <c r="F18" s="66" t="n">
        <f aca="false">IF(COUNTA(D18:E18)=0,"",SUM(D18:E18))</f>
        <v>2108</v>
      </c>
      <c r="G18" s="47" t="n">
        <f aca="false">IF(OR(F18="",F18=0),"",D18/F18)</f>
        <v>0.435483870967742</v>
      </c>
      <c r="H18" s="47" t="n">
        <f aca="false">IF(OR(F18="",F18=0),"",E18/F18)</f>
        <v>0.564516129032258</v>
      </c>
      <c r="I18" s="32" t="s">
        <v>192</v>
      </c>
      <c r="J18" s="36" t="n">
        <v>1.3830443510296</v>
      </c>
      <c r="K18" s="36" t="n">
        <f aca="false">$K$8</f>
        <v>1.02561783880877</v>
      </c>
      <c r="L18" s="36" t="n">
        <f aca="false">SQRT(J18^2+K18^2)</f>
        <v>1.72183147497008</v>
      </c>
      <c r="M18" s="47" t="n">
        <f aca="false">IF(G18="","",MAX(0,G18-1.96*L18/100))</f>
        <v>0.401735974058328</v>
      </c>
      <c r="N18" s="47" t="n">
        <f aca="false">IF(G18="","",MIN(1,G18+1.96*L18/100))</f>
        <v>0.469231767877156</v>
      </c>
      <c r="O18" s="66" t="n">
        <f aca="false">ROUND(S18*W18,0)</f>
        <v>115</v>
      </c>
      <c r="P18" s="66" t="n">
        <f aca="false">IF(F18="","",ROUND(SQRT((F18*L18/100)^2+(G18*O18)^2),0))</f>
        <v>62</v>
      </c>
      <c r="R18" s="67" t="n">
        <v>1.03071850931532</v>
      </c>
      <c r="S18" s="68" t="n">
        <f aca="false">U18*V18*$F$5</f>
        <v>2107.72563176895</v>
      </c>
      <c r="T18" s="69" t="n">
        <f aca="false">MAX(0,MIN(1,R18/100+$D$5))</f>
        <v>0.435405797136193</v>
      </c>
      <c r="U18" s="69" t="n">
        <v>0.642599277978339</v>
      </c>
      <c r="V18" s="68" t="n">
        <v>3280</v>
      </c>
      <c r="W18" s="69" t="n">
        <v>0.0547268472736556</v>
      </c>
      <c r="X18" s="70" t="s">
        <v>198</v>
      </c>
      <c r="Y18" s="70" t="s">
        <v>194</v>
      </c>
    </row>
    <row r="19" customFormat="false" ht="15" hidden="false" customHeight="false" outlineLevel="0" collapsed="false">
      <c r="A19" s="32" t="s">
        <v>189</v>
      </c>
      <c r="B19" s="32" t="s">
        <v>202</v>
      </c>
      <c r="C19" s="32" t="s">
        <v>191</v>
      </c>
      <c r="D19" s="66" t="n">
        <f aca="false">ROUND(S19*T19,0)</f>
        <v>268</v>
      </c>
      <c r="E19" s="66" t="n">
        <f aca="false">ROUND(S19,0)-D19</f>
        <v>537</v>
      </c>
      <c r="F19" s="66" t="n">
        <f aca="false">IF(COUNTA(D19:E19)=0,"",SUM(D19:E19))</f>
        <v>805</v>
      </c>
      <c r="G19" s="47" t="n">
        <f aca="false">IF(OR(F19="",F19=0),"",D19/F19)</f>
        <v>0.332919254658385</v>
      </c>
      <c r="H19" s="47" t="n">
        <f aca="false">IF(OR(F19="",F19=0),"",E19/F19)</f>
        <v>0.667080745341615</v>
      </c>
      <c r="I19" s="32" t="s">
        <v>192</v>
      </c>
      <c r="J19" s="36" t="n">
        <v>2.6727769877146</v>
      </c>
      <c r="K19" s="36" t="n">
        <f aca="false">$K$8</f>
        <v>1.02561783880877</v>
      </c>
      <c r="L19" s="36" t="n">
        <f aca="false">SQRT(J19^2+K19^2)</f>
        <v>2.86280086232688</v>
      </c>
      <c r="M19" s="47" t="n">
        <f aca="false">IF(G19="","",MAX(0,G19-1.96*L19/100))</f>
        <v>0.276808357756778</v>
      </c>
      <c r="N19" s="47" t="n">
        <f aca="false">IF(G19="","",MIN(1,G19+1.96*L19/100))</f>
        <v>0.389030151559992</v>
      </c>
      <c r="O19" s="66" t="n">
        <f aca="false">ROUND(S19*W19,0)</f>
        <v>59</v>
      </c>
      <c r="P19" s="66" t="n">
        <f aca="false">IF(F19="","",ROUND(SQRT((F19*L19/100)^2+(G19*O19)^2),0))</f>
        <v>30</v>
      </c>
      <c r="R19" s="67" t="n">
        <v>-9.26431711156686</v>
      </c>
      <c r="S19" s="68" t="n">
        <f aca="false">U19*V19*$F$5</f>
        <v>804.850331125828</v>
      </c>
      <c r="T19" s="69" t="n">
        <f aca="false">MAX(0,MIN(1,R19/100+$D$5))</f>
        <v>0.332455440927371</v>
      </c>
      <c r="U19" s="69" t="n">
        <v>0.554304635761589</v>
      </c>
      <c r="V19" s="68" t="n">
        <v>1452</v>
      </c>
      <c r="W19" s="69" t="n">
        <v>0.0732058935918866</v>
      </c>
      <c r="X19" s="70" t="s">
        <v>193</v>
      </c>
      <c r="Y19" s="70" t="s">
        <v>194</v>
      </c>
    </row>
    <row r="20" customFormat="false" ht="15" hidden="false" customHeight="false" outlineLevel="0" collapsed="false">
      <c r="A20" s="32" t="s">
        <v>189</v>
      </c>
      <c r="B20" s="32" t="s">
        <v>203</v>
      </c>
      <c r="C20" s="32" t="s">
        <v>191</v>
      </c>
      <c r="D20" s="66" t="n">
        <f aca="false">ROUND(S20*T20,0)</f>
        <v>456</v>
      </c>
      <c r="E20" s="66" t="n">
        <f aca="false">ROUND(S20,0)-D20</f>
        <v>627</v>
      </c>
      <c r="F20" s="66" t="n">
        <f aca="false">IF(COUNTA(D20:E20)=0,"",SUM(D20:E20))</f>
        <v>1083</v>
      </c>
      <c r="G20" s="47" t="n">
        <f aca="false">IF(OR(F20="",F20=0),"",D20/F20)</f>
        <v>0.421052631578947</v>
      </c>
      <c r="H20" s="47" t="n">
        <f aca="false">IF(OR(F20="",F20=0),"",E20/F20)</f>
        <v>0.578947368421053</v>
      </c>
      <c r="I20" s="32" t="s">
        <v>192</v>
      </c>
      <c r="J20" s="36" t="n">
        <v>2.6727769877146</v>
      </c>
      <c r="K20" s="36" t="n">
        <f aca="false">$K$8</f>
        <v>1.02561783880877</v>
      </c>
      <c r="L20" s="36" t="n">
        <f aca="false">SQRT(J20^2+K20^2)</f>
        <v>2.86280086232688</v>
      </c>
      <c r="M20" s="47" t="n">
        <f aca="false">IF(G20="","",MAX(0,G20-1.96*L20/100))</f>
        <v>0.364941734677341</v>
      </c>
      <c r="N20" s="47" t="n">
        <f aca="false">IF(G20="","",MIN(1,G20+1.96*L20/100))</f>
        <v>0.477163528480554</v>
      </c>
      <c r="O20" s="66" t="n">
        <f aca="false">ROUND(S20*W20,0)</f>
        <v>79</v>
      </c>
      <c r="P20" s="66" t="n">
        <f aca="false">IF(F20="","",ROUND(SQRT((F20*L20/100)^2+(G20*O20)^2),0))</f>
        <v>45</v>
      </c>
      <c r="R20" s="67" t="n">
        <v>-0.418085633744398</v>
      </c>
      <c r="S20" s="68" t="n">
        <f aca="false">U20*V20*$F$5</f>
        <v>1083.4829443447</v>
      </c>
      <c r="T20" s="69" t="n">
        <f aca="false">MAX(0,MIN(1,R20/100+$D$5))</f>
        <v>0.420917755705596</v>
      </c>
      <c r="U20" s="69" t="n">
        <v>0.448833034111311</v>
      </c>
      <c r="V20" s="68" t="n">
        <v>2414</v>
      </c>
      <c r="W20" s="69" t="n">
        <v>0.0732058935918866</v>
      </c>
      <c r="X20" s="70" t="s">
        <v>193</v>
      </c>
      <c r="Y20" s="70" t="s">
        <v>194</v>
      </c>
    </row>
    <row r="21" customFormat="false" ht="15" hidden="false" customHeight="false" outlineLevel="0" collapsed="false">
      <c r="A21" s="32" t="s">
        <v>189</v>
      </c>
      <c r="B21" s="32" t="s">
        <v>204</v>
      </c>
      <c r="C21" s="32" t="s">
        <v>191</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192</v>
      </c>
      <c r="J21" s="36" t="n">
        <v>2.6727769877146</v>
      </c>
      <c r="K21" s="36" t="n">
        <f aca="false">$K$8</f>
        <v>1.02561783880877</v>
      </c>
      <c r="L21" s="36" t="n">
        <f aca="false">SQRT(J21^2+K21^2)</f>
        <v>2.86280086232688</v>
      </c>
      <c r="M21" s="47" t="n">
        <f aca="false">IF(G21="","",MAX(0,G21-1.96*L21/100))</f>
        <v>0.232024696318732</v>
      </c>
      <c r="N21" s="47" t="n">
        <f aca="false">IF(G21="","",MIN(1,G21+1.96*L21/100))</f>
        <v>0.344246490121946</v>
      </c>
      <c r="O21" s="66" t="n">
        <f aca="false">ROUND(S21*W21,0)</f>
        <v>9</v>
      </c>
      <c r="P21" s="66" t="n">
        <f aca="false">IF(F21="","",ROUND(SQRT((F21*L21/100)^2+(G21*O21)^2),0))</f>
        <v>4</v>
      </c>
      <c r="R21" s="67" t="n">
        <v>-13.8207354695833</v>
      </c>
      <c r="S21" s="68" t="n">
        <f aca="false">U21*V21*$F$5</f>
        <v>118.285714285714</v>
      </c>
      <c r="T21" s="69" t="n">
        <f aca="false">MAX(0,MIN(1,R21/100+$D$5))</f>
        <v>0.286891257347207</v>
      </c>
      <c r="U21" s="69" t="n">
        <v>0.657142857142857</v>
      </c>
      <c r="V21" s="68" t="n">
        <v>180</v>
      </c>
      <c r="W21" s="69" t="n">
        <v>0.0732058935918866</v>
      </c>
      <c r="X21" s="70" t="s">
        <v>193</v>
      </c>
      <c r="Y21" s="70" t="s">
        <v>194</v>
      </c>
    </row>
    <row r="22" customFormat="false" ht="15" hidden="false" customHeight="false" outlineLevel="0" collapsed="false">
      <c r="A22" s="32" t="s">
        <v>189</v>
      </c>
      <c r="B22" s="32" t="s">
        <v>205</v>
      </c>
      <c r="C22" s="32" t="s">
        <v>191</v>
      </c>
      <c r="D22" s="66" t="n">
        <f aca="false">ROUND(S22*T22,0)</f>
        <v>48</v>
      </c>
      <c r="E22" s="66" t="n">
        <f aca="false">ROUND(S22,0)-D22</f>
        <v>189</v>
      </c>
      <c r="F22" s="66" t="n">
        <f aca="false">IF(COUNTA(D22:E22)=0,"",SUM(D22:E22))</f>
        <v>237</v>
      </c>
      <c r="G22" s="47" t="n">
        <f aca="false">IF(OR(F22="",F22=0),"",D22/F22)</f>
        <v>0.20253164556962</v>
      </c>
      <c r="H22" s="47" t="n">
        <f aca="false">IF(OR(F22="",F22=0),"",E22/F22)</f>
        <v>0.79746835443038</v>
      </c>
      <c r="I22" s="32" t="s">
        <v>192</v>
      </c>
      <c r="J22" s="36" t="n">
        <v>2.6727769877146</v>
      </c>
      <c r="K22" s="36" t="n">
        <f aca="false">$K$8</f>
        <v>1.02561783880877</v>
      </c>
      <c r="L22" s="36" t="n">
        <f aca="false">SQRT(J22^2+K22^2)</f>
        <v>2.86280086232688</v>
      </c>
      <c r="M22" s="47" t="n">
        <f aca="false">IF(G22="","",MAX(0,G22-1.96*L22/100))</f>
        <v>0.146420748668013</v>
      </c>
      <c r="N22" s="47" t="n">
        <f aca="false">IF(G22="","",MIN(1,G22+1.96*L22/100))</f>
        <v>0.258642542471227</v>
      </c>
      <c r="O22" s="66" t="n">
        <f aca="false">ROUND(S22*W22,0)</f>
        <v>17</v>
      </c>
      <c r="P22" s="66" t="n">
        <f aca="false">IF(F22="","",ROUND(SQRT((F22*L22/100)^2+(G22*O22)^2),0))</f>
        <v>8</v>
      </c>
      <c r="R22" s="67" t="n">
        <v>-22.3673392228213</v>
      </c>
      <c r="S22" s="68" t="n">
        <f aca="false">U22*V22*$F$5</f>
        <v>236.844827586207</v>
      </c>
      <c r="T22" s="69" t="n">
        <f aca="false">MAX(0,MIN(1,R22/100+$D$5))</f>
        <v>0.201425219814827</v>
      </c>
      <c r="U22" s="69" t="n">
        <v>0.692528735632184</v>
      </c>
      <c r="V22" s="68" t="n">
        <v>342</v>
      </c>
      <c r="W22" s="69" t="n">
        <v>0.0732058935918866</v>
      </c>
      <c r="X22" s="70" t="s">
        <v>193</v>
      </c>
      <c r="Y22" s="70" t="s">
        <v>194</v>
      </c>
    </row>
    <row r="23" customFormat="false" ht="15" hidden="false" customHeight="false" outlineLevel="0" collapsed="false">
      <c r="A23" s="32" t="s">
        <v>189</v>
      </c>
      <c r="B23" s="32" t="s">
        <v>206</v>
      </c>
      <c r="C23" s="32" t="s">
        <v>191</v>
      </c>
      <c r="D23" s="66" t="n">
        <f aca="false">ROUND(S23*T23,0)</f>
        <v>730</v>
      </c>
      <c r="E23" s="66" t="n">
        <f aca="false">ROUND(S23,0)-D23</f>
        <v>1024</v>
      </c>
      <c r="F23" s="66" t="n">
        <f aca="false">IF(COUNTA(D23:E23)=0,"",SUM(D23:E23))</f>
        <v>1754</v>
      </c>
      <c r="G23" s="47" t="n">
        <f aca="false">IF(OR(F23="",F23=0),"",D23/F23)</f>
        <v>0.416191562143672</v>
      </c>
      <c r="H23" s="47" t="n">
        <f aca="false">IF(OR(F23="",F23=0),"",E23/F23)</f>
        <v>0.583808437856328</v>
      </c>
      <c r="I23" s="32" t="s">
        <v>192</v>
      </c>
      <c r="J23" s="36" t="n">
        <v>1.3830443510296</v>
      </c>
      <c r="K23" s="36" t="n">
        <f aca="false">$K$8</f>
        <v>1.02561783880877</v>
      </c>
      <c r="L23" s="36" t="n">
        <f aca="false">SQRT(J23^2+K23^2)</f>
        <v>1.72183147497008</v>
      </c>
      <c r="M23" s="47" t="n">
        <f aca="false">IF(G23="","",MAX(0,G23-1.96*L23/100))</f>
        <v>0.382443665234258</v>
      </c>
      <c r="N23" s="47" t="n">
        <f aca="false">IF(G23="","",MIN(1,G23+1.96*L23/100))</f>
        <v>0.449939459053085</v>
      </c>
      <c r="O23" s="66" t="n">
        <f aca="false">ROUND(S23*W23,0)</f>
        <v>96</v>
      </c>
      <c r="P23" s="66" t="n">
        <f aca="false">IF(F23="","",ROUND(SQRT((F23*L23/100)^2+(G23*O23)^2),0))</f>
        <v>50</v>
      </c>
      <c r="R23" s="67" t="n">
        <v>-0.877726184238798</v>
      </c>
      <c r="S23" s="68" t="n">
        <f aca="false">U23*V23*$F$5</f>
        <v>1753.74077578051</v>
      </c>
      <c r="T23" s="69" t="n">
        <f aca="false">MAX(0,MIN(1,R23/100+$D$5))</f>
        <v>0.416321350200652</v>
      </c>
      <c r="U23" s="69" t="n">
        <v>0.525701671397036</v>
      </c>
      <c r="V23" s="68" t="n">
        <v>3336</v>
      </c>
      <c r="W23" s="69" t="n">
        <v>0.0547268472736556</v>
      </c>
      <c r="X23" s="70" t="s">
        <v>198</v>
      </c>
      <c r="Y23" s="70" t="s">
        <v>194</v>
      </c>
    </row>
    <row r="24" customFormat="false" ht="15" hidden="false" customHeight="false" outlineLevel="0" collapsed="false">
      <c r="A24" s="32" t="s">
        <v>189</v>
      </c>
      <c r="B24" s="32" t="s">
        <v>207</v>
      </c>
      <c r="C24" s="32" t="s">
        <v>191</v>
      </c>
      <c r="D24" s="66" t="n">
        <f aca="false">ROUND(S24*T24,0)</f>
        <v>428</v>
      </c>
      <c r="E24" s="66" t="n">
        <f aca="false">ROUND(S24,0)-D24</f>
        <v>973</v>
      </c>
      <c r="F24" s="66" t="n">
        <f aca="false">IF(COUNTA(D24:E24)=0,"",SUM(D24:E24))</f>
        <v>1401</v>
      </c>
      <c r="G24" s="47" t="n">
        <f aca="false">IF(OR(F24="",F24=0),"",D24/F24)</f>
        <v>0.305496074232691</v>
      </c>
      <c r="H24" s="47" t="n">
        <f aca="false">IF(OR(F24="",F24=0),"",E24/F24)</f>
        <v>0.694503925767309</v>
      </c>
      <c r="I24" s="32" t="s">
        <v>192</v>
      </c>
      <c r="J24" s="36" t="n">
        <v>1.3830443510296</v>
      </c>
      <c r="K24" s="36" t="n">
        <f aca="false">$K$8</f>
        <v>1.02561783880877</v>
      </c>
      <c r="L24" s="36" t="n">
        <f aca="false">SQRT(J24^2+K24^2)</f>
        <v>1.72183147497008</v>
      </c>
      <c r="M24" s="47" t="n">
        <f aca="false">IF(G24="","",MAX(0,G24-1.96*L24/100))</f>
        <v>0.271748177323277</v>
      </c>
      <c r="N24" s="47" t="n">
        <f aca="false">IF(G24="","",MIN(1,G24+1.96*L24/100))</f>
        <v>0.339243971142105</v>
      </c>
      <c r="O24" s="66" t="n">
        <f aca="false">ROUND(S24*W24,0)</f>
        <v>77</v>
      </c>
      <c r="P24" s="66" t="n">
        <f aca="false">IF(F24="","",ROUND(SQRT((F24*L24/100)^2+(G24*O24)^2),0))</f>
        <v>34</v>
      </c>
      <c r="R24" s="67" t="n">
        <v>-11.9378419445604</v>
      </c>
      <c r="S24" s="68" t="n">
        <f aca="false">U24*V24*$F$5</f>
        <v>1401.11772917636</v>
      </c>
      <c r="T24" s="69" t="n">
        <f aca="false">MAX(0,MIN(1,R24/100+$D$5))</f>
        <v>0.305720192597436</v>
      </c>
      <c r="U24" s="69" t="n">
        <v>0.626337831549558</v>
      </c>
      <c r="V24" s="68" t="n">
        <v>2237</v>
      </c>
      <c r="W24" s="69" t="n">
        <v>0.0547268472736556</v>
      </c>
      <c r="X24" s="70" t="s">
        <v>198</v>
      </c>
      <c r="Y24" s="70" t="s">
        <v>194</v>
      </c>
    </row>
    <row r="25" customFormat="false" ht="15" hidden="false" customHeight="false" outlineLevel="0" collapsed="false">
      <c r="A25" s="32" t="s">
        <v>189</v>
      </c>
      <c r="B25" s="32" t="s">
        <v>208</v>
      </c>
      <c r="C25" s="32" t="s">
        <v>191</v>
      </c>
      <c r="D25" s="66" t="n">
        <f aca="false">ROUND(S25*T25,0)</f>
        <v>545</v>
      </c>
      <c r="E25" s="66" t="n">
        <f aca="false">ROUND(S25,0)-D25</f>
        <v>1333</v>
      </c>
      <c r="F25" s="66" t="n">
        <f aca="false">IF(COUNTA(D25:E25)=0,"",SUM(D25:E25))</f>
        <v>1878</v>
      </c>
      <c r="G25" s="47" t="n">
        <f aca="false">IF(OR(F25="",F25=0),"",D25/F25)</f>
        <v>0.290202342917998</v>
      </c>
      <c r="H25" s="47" t="n">
        <f aca="false">IF(OR(F25="",F25=0),"",E25/F25)</f>
        <v>0.709797657082002</v>
      </c>
      <c r="I25" s="32" t="s">
        <v>192</v>
      </c>
      <c r="J25" s="36" t="n">
        <v>1.3830443510296</v>
      </c>
      <c r="K25" s="36" t="n">
        <f aca="false">$K$8</f>
        <v>1.02561783880877</v>
      </c>
      <c r="L25" s="36" t="n">
        <f aca="false">SQRT(J25^2+K25^2)</f>
        <v>1.72183147497008</v>
      </c>
      <c r="M25" s="47" t="n">
        <f aca="false">IF(G25="","",MAX(0,G25-1.96*L25/100))</f>
        <v>0.256454446008584</v>
      </c>
      <c r="N25" s="47" t="n">
        <f aca="false">IF(G25="","",MIN(1,G25+1.96*L25/100))</f>
        <v>0.323950239827411</v>
      </c>
      <c r="O25" s="66" t="n">
        <f aca="false">ROUND(S25*W25,0)</f>
        <v>103</v>
      </c>
      <c r="P25" s="66" t="n">
        <f aca="false">IF(F25="","",ROUND(SQRT((F25*L25/100)^2+(G25*O25)^2),0))</f>
        <v>44</v>
      </c>
      <c r="R25" s="67" t="n">
        <v>-13.4985905563624</v>
      </c>
      <c r="S25" s="68" t="n">
        <f aca="false">U25*V25*$F$5</f>
        <v>1878.41828929068</v>
      </c>
      <c r="T25" s="69" t="n">
        <f aca="false">MAX(0,MIN(1,R25/100+$D$5))</f>
        <v>0.290112706479415</v>
      </c>
      <c r="U25" s="69" t="n">
        <v>0.616481223922114</v>
      </c>
      <c r="V25" s="68" t="n">
        <v>3047</v>
      </c>
      <c r="W25" s="69" t="n">
        <v>0.0547268472736556</v>
      </c>
      <c r="X25" s="70" t="s">
        <v>198</v>
      </c>
      <c r="Y25" s="70" t="s">
        <v>194</v>
      </c>
    </row>
    <row r="26" customFormat="false" ht="15" hidden="false" customHeight="false" outlineLevel="0" collapsed="false">
      <c r="A26" s="32" t="s">
        <v>189</v>
      </c>
      <c r="B26" s="32" t="s">
        <v>209</v>
      </c>
      <c r="C26" s="32" t="s">
        <v>191</v>
      </c>
      <c r="D26" s="66" t="n">
        <f aca="false">ROUND(S26*T26,0)</f>
        <v>498</v>
      </c>
      <c r="E26" s="66" t="n">
        <f aca="false">ROUND(S26,0)-D26</f>
        <v>716</v>
      </c>
      <c r="F26" s="66" t="n">
        <f aca="false">IF(COUNTA(D26:E26)=0,"",SUM(D26:E26))</f>
        <v>1214</v>
      </c>
      <c r="G26" s="47" t="n">
        <f aca="false">IF(OR(F26="",F26=0),"",D26/F26)</f>
        <v>0.410214168039539</v>
      </c>
      <c r="H26" s="47" t="n">
        <f aca="false">IF(OR(F26="",F26=0),"",E26/F26)</f>
        <v>0.589785831960461</v>
      </c>
      <c r="I26" s="32" t="s">
        <v>192</v>
      </c>
      <c r="J26" s="36" t="n">
        <v>2.6727769877146</v>
      </c>
      <c r="K26" s="36" t="n">
        <f aca="false">$K$8</f>
        <v>1.02561783880877</v>
      </c>
      <c r="L26" s="36" t="n">
        <f aca="false">SQRT(J26^2+K26^2)</f>
        <v>2.86280086232688</v>
      </c>
      <c r="M26" s="47" t="n">
        <f aca="false">IF(G26="","",MAX(0,G26-1.96*L26/100))</f>
        <v>0.354103271137932</v>
      </c>
      <c r="N26" s="47" t="n">
        <f aca="false">IF(G26="","",MIN(1,G26+1.96*L26/100))</f>
        <v>0.466325064941145</v>
      </c>
      <c r="O26" s="66" t="n">
        <f aca="false">ROUND(S26*W26,0)</f>
        <v>89</v>
      </c>
      <c r="P26" s="66" t="n">
        <f aca="false">IF(F26="","",ROUND(SQRT((F26*L26/100)^2+(G26*O26)^2),0))</f>
        <v>50</v>
      </c>
      <c r="R26" s="67" t="n">
        <v>-1.46845683851497</v>
      </c>
      <c r="S26" s="68" t="n">
        <f aca="false">U26*V26*$F$5</f>
        <v>1214.17865765331</v>
      </c>
      <c r="T26" s="69" t="n">
        <f aca="false">MAX(0,MIN(1,R26/100+$D$5))</f>
        <v>0.41041404365789</v>
      </c>
      <c r="U26" s="69" t="n">
        <v>0.576533075808788</v>
      </c>
      <c r="V26" s="68" t="n">
        <v>2106</v>
      </c>
      <c r="W26" s="69" t="n">
        <v>0.0732058935918866</v>
      </c>
      <c r="X26" s="70" t="s">
        <v>193</v>
      </c>
      <c r="Y26" s="70" t="s">
        <v>194</v>
      </c>
    </row>
    <row r="27" customFormat="false" ht="15" hidden="false" customHeight="false" outlineLevel="0" collapsed="false">
      <c r="A27" s="32" t="s">
        <v>189</v>
      </c>
      <c r="B27" s="32" t="s">
        <v>210</v>
      </c>
      <c r="C27" s="32" t="s">
        <v>191</v>
      </c>
      <c r="D27" s="66" t="n">
        <f aca="false">ROUND(S27*T27,0)</f>
        <v>105</v>
      </c>
      <c r="E27" s="66" t="n">
        <f aca="false">ROUND(S27,0)-D27</f>
        <v>425</v>
      </c>
      <c r="F27" s="66" t="n">
        <f aca="false">IF(COUNTA(D27:E27)=0,"",SUM(D27:E27))</f>
        <v>530</v>
      </c>
      <c r="G27" s="47" t="n">
        <f aca="false">IF(OR(F27="",F27=0),"",D27/F27)</f>
        <v>0.19811320754717</v>
      </c>
      <c r="H27" s="47" t="n">
        <f aca="false">IF(OR(F27="",F27=0),"",E27/F27)</f>
        <v>0.80188679245283</v>
      </c>
      <c r="I27" s="32" t="s">
        <v>192</v>
      </c>
      <c r="J27" s="36" t="n">
        <v>2.6727769877146</v>
      </c>
      <c r="K27" s="36" t="n">
        <f aca="false">$K$8</f>
        <v>1.02561783880877</v>
      </c>
      <c r="L27" s="36" t="n">
        <f aca="false">SQRT(J27^2+K27^2)</f>
        <v>2.86280086232688</v>
      </c>
      <c r="M27" s="47" t="n">
        <f aca="false">IF(G27="","",MAX(0,G27-1.96*L27/100))</f>
        <v>0.142002310645563</v>
      </c>
      <c r="N27" s="47" t="n">
        <f aca="false">IF(G27="","",MIN(1,G27+1.96*L27/100))</f>
        <v>0.254224104448777</v>
      </c>
      <c r="O27" s="66" t="n">
        <f aca="false">ROUND(S27*W27,0)</f>
        <v>39</v>
      </c>
      <c r="P27" s="66" t="n">
        <f aca="false">IF(F27="","",ROUND(SQRT((F27*L27/100)^2+(G27*O27)^2),0))</f>
        <v>17</v>
      </c>
      <c r="R27" s="67" t="n">
        <v>-22.7609208196226</v>
      </c>
      <c r="S27" s="68" t="n">
        <f aca="false">U27*V27*$F$5</f>
        <v>530.117647058824</v>
      </c>
      <c r="T27" s="69" t="n">
        <f aca="false">MAX(0,MIN(1,R27/100+$D$5))</f>
        <v>0.197489403846814</v>
      </c>
      <c r="U27" s="69" t="n">
        <v>0.705882352941177</v>
      </c>
      <c r="V27" s="68" t="n">
        <v>751</v>
      </c>
      <c r="W27" s="69" t="n">
        <v>0.0732058935918866</v>
      </c>
      <c r="X27" s="70" t="s">
        <v>193</v>
      </c>
      <c r="Y27" s="70" t="s">
        <v>194</v>
      </c>
    </row>
    <row r="28" customFormat="false" ht="15" hidden="false" customHeight="false" outlineLevel="0" collapsed="false">
      <c r="A28" s="32" t="s">
        <v>189</v>
      </c>
      <c r="B28" s="32" t="s">
        <v>211</v>
      </c>
      <c r="C28" s="32" t="s">
        <v>191</v>
      </c>
      <c r="D28" s="66" t="n">
        <f aca="false">ROUND(S28*T28,0)</f>
        <v>739</v>
      </c>
      <c r="E28" s="66" t="n">
        <f aca="false">ROUND(S28,0)-D28</f>
        <v>1252</v>
      </c>
      <c r="F28" s="66" t="n">
        <f aca="false">IF(COUNTA(D28:E28)=0,"",SUM(D28:E28))</f>
        <v>1991</v>
      </c>
      <c r="G28" s="47" t="n">
        <f aca="false">IF(OR(F28="",F28=0),"",D28/F28)</f>
        <v>0.371170266197891</v>
      </c>
      <c r="H28" s="47" t="n">
        <f aca="false">IF(OR(F28="",F28=0),"",E28/F28)</f>
        <v>0.62882973380211</v>
      </c>
      <c r="I28" s="32" t="s">
        <v>192</v>
      </c>
      <c r="J28" s="36" t="n">
        <v>1.3830443510296</v>
      </c>
      <c r="K28" s="36" t="n">
        <f aca="false">$K$8</f>
        <v>1.02561783880877</v>
      </c>
      <c r="L28" s="36" t="n">
        <f aca="false">SQRT(J28^2+K28^2)</f>
        <v>1.72183147497008</v>
      </c>
      <c r="M28" s="47" t="n">
        <f aca="false">IF(G28="","",MAX(0,G28-1.96*L28/100))</f>
        <v>0.337422369288477</v>
      </c>
      <c r="N28" s="47" t="n">
        <f aca="false">IF(G28="","",MIN(1,G28+1.96*L28/100))</f>
        <v>0.404918163107304</v>
      </c>
      <c r="O28" s="66" t="n">
        <f aca="false">ROUND(S28*W28,0)</f>
        <v>109</v>
      </c>
      <c r="P28" s="66" t="n">
        <f aca="false">IF(F28="","",ROUND(SQRT((F28*L28/100)^2+(G28*O28)^2),0))</f>
        <v>53</v>
      </c>
      <c r="R28" s="67" t="n">
        <v>-5.40067719565588</v>
      </c>
      <c r="S28" s="68" t="n">
        <f aca="false">U28*V28*$F$5</f>
        <v>1991.47057118005</v>
      </c>
      <c r="T28" s="69" t="n">
        <f aca="false">MAX(0,MIN(1,R28/100+$D$5))</f>
        <v>0.371091840086481</v>
      </c>
      <c r="U28" s="69" t="n">
        <v>0.553493766309075</v>
      </c>
      <c r="V28" s="68" t="n">
        <v>3598</v>
      </c>
      <c r="W28" s="69" t="n">
        <v>0.0547268472736556</v>
      </c>
      <c r="X28" s="70" t="s">
        <v>198</v>
      </c>
      <c r="Y28" s="70" t="s">
        <v>194</v>
      </c>
    </row>
    <row r="29" customFormat="false" ht="15" hidden="false" customHeight="false" outlineLevel="0" collapsed="false">
      <c r="A29" s="32" t="s">
        <v>189</v>
      </c>
      <c r="B29" s="32" t="s">
        <v>212</v>
      </c>
      <c r="C29" s="32" t="s">
        <v>191</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192</v>
      </c>
      <c r="J29" s="36" t="n">
        <v>2.6727769877146</v>
      </c>
      <c r="K29" s="36" t="n">
        <f aca="false">$K$8</f>
        <v>1.02561783880877</v>
      </c>
      <c r="L29" s="36" t="n">
        <f aca="false">SQRT(J29^2+K29^2)</f>
        <v>2.86280086232688</v>
      </c>
      <c r="M29" s="47" t="n">
        <f aca="false">IF(G29="","",MAX(0,G29-1.96*L29/100))</f>
        <v>0.235780994990285</v>
      </c>
      <c r="N29" s="47" t="n">
        <f aca="false">IF(G29="","",MIN(1,G29+1.96*L29/100))</f>
        <v>0.348002788793499</v>
      </c>
      <c r="O29" s="66" t="n">
        <f aca="false">ROUND(S29*W29,0)</f>
        <v>14</v>
      </c>
      <c r="P29" s="66" t="n">
        <f aca="false">IF(F29="","",ROUND(SQRT((F29*L29/100)^2+(G29*O29)^2),0))</f>
        <v>7</v>
      </c>
      <c r="R29" s="67" t="n">
        <v>-13.4267487208654</v>
      </c>
      <c r="S29" s="68" t="n">
        <f aca="false">U29*V29*$F$5</f>
        <v>184.547540983607</v>
      </c>
      <c r="T29" s="69" t="n">
        <f aca="false">MAX(0,MIN(1,R29/100+$D$5))</f>
        <v>0.290831124834385</v>
      </c>
      <c r="U29" s="69" t="n">
        <v>0.613114754098361</v>
      </c>
      <c r="V29" s="68" t="n">
        <v>301</v>
      </c>
      <c r="W29" s="69" t="n">
        <v>0.0732058935918866</v>
      </c>
      <c r="X29" s="70" t="s">
        <v>193</v>
      </c>
      <c r="Y29" s="70" t="s">
        <v>194</v>
      </c>
    </row>
    <row r="30" customFormat="false" ht="15" hidden="false" customHeight="false" outlineLevel="0" collapsed="false">
      <c r="A30" s="32" t="s">
        <v>189</v>
      </c>
      <c r="B30" s="32" t="s">
        <v>213</v>
      </c>
      <c r="C30" s="32" t="s">
        <v>191</v>
      </c>
      <c r="D30" s="66" t="n">
        <f aca="false">ROUND(S30*T30,0)</f>
        <v>1627</v>
      </c>
      <c r="E30" s="66" t="n">
        <f aca="false">ROUND(S30,0)-D30</f>
        <v>2845</v>
      </c>
      <c r="F30" s="66" t="n">
        <f aca="false">IF(COUNTA(D30:E30)=0,"",SUM(D30:E30))</f>
        <v>4472</v>
      </c>
      <c r="G30" s="47" t="n">
        <f aca="false">IF(OR(F30="",F30=0),"",D30/F30)</f>
        <v>0.363819320214669</v>
      </c>
      <c r="H30" s="47" t="n">
        <f aca="false">IF(OR(F30="",F30=0),"",E30/F30)</f>
        <v>0.636180679785331</v>
      </c>
      <c r="I30" s="32" t="s">
        <v>192</v>
      </c>
      <c r="J30" s="36" t="n">
        <v>1.44439089223214</v>
      </c>
      <c r="K30" s="36" t="n">
        <f aca="false">$K$8</f>
        <v>1.02561783880877</v>
      </c>
      <c r="L30" s="36" t="n">
        <f aca="false">SQRT(J30^2+K30^2)</f>
        <v>1.77148440604085</v>
      </c>
      <c r="M30" s="47" t="n">
        <f aca="false">IF(G30="","",MAX(0,G30-1.96*L30/100))</f>
        <v>0.329098225856268</v>
      </c>
      <c r="N30" s="47" t="n">
        <f aca="false">IF(G30="","",MIN(1,G30+1.96*L30/100))</f>
        <v>0.39854041457307</v>
      </c>
      <c r="O30" s="66" t="n">
        <f aca="false">ROUND(S30*W30,0)</f>
        <v>217</v>
      </c>
      <c r="P30" s="66" t="n">
        <f aca="false">IF(F30="","",ROUND(SQRT((F30*L30/100)^2+(G30*O30)^2),0))</f>
        <v>112</v>
      </c>
      <c r="R30" s="67" t="n">
        <v>-6.13067324755373</v>
      </c>
      <c r="S30" s="68" t="n">
        <f aca="false">U30*V30*$F$5</f>
        <v>4472.46592381446</v>
      </c>
      <c r="T30" s="69" t="n">
        <f aca="false">MAX(0,MIN(1,R30/100+$D$5))</f>
        <v>0.363791879567503</v>
      </c>
      <c r="U30" s="69" t="n">
        <v>0.560248769111169</v>
      </c>
      <c r="V30" s="68" t="n">
        <v>7983</v>
      </c>
      <c r="W30" s="69" t="n">
        <v>0.0485820274397165</v>
      </c>
      <c r="X30" s="70" t="s">
        <v>214</v>
      </c>
      <c r="Y30" s="70" t="s">
        <v>194</v>
      </c>
    </row>
    <row r="31" customFormat="false" ht="15" hidden="false" customHeight="false" outlineLevel="0" collapsed="false">
      <c r="A31" s="32" t="s">
        <v>189</v>
      </c>
      <c r="B31" s="32" t="s">
        <v>215</v>
      </c>
      <c r="C31" s="32" t="s">
        <v>191</v>
      </c>
      <c r="D31" s="66" t="n">
        <f aca="false">ROUND(S31*T31,0)</f>
        <v>566</v>
      </c>
      <c r="E31" s="66" t="n">
        <f aca="false">ROUND(S31,0)-D31</f>
        <v>727</v>
      </c>
      <c r="F31" s="66" t="n">
        <f aca="false">IF(COUNTA(D31:E31)=0,"",SUM(D31:E31))</f>
        <v>1293</v>
      </c>
      <c r="G31" s="47" t="n">
        <f aca="false">IF(OR(F31="",F31=0),"",D31/F31)</f>
        <v>0.437741686001547</v>
      </c>
      <c r="H31" s="47" t="n">
        <f aca="false">IF(OR(F31="",F31=0),"",E31/F31)</f>
        <v>0.562258313998453</v>
      </c>
      <c r="I31" s="32" t="s">
        <v>192</v>
      </c>
      <c r="J31" s="36" t="n">
        <v>1.3830443510296</v>
      </c>
      <c r="K31" s="36" t="n">
        <f aca="false">$K$8</f>
        <v>1.02561783880877</v>
      </c>
      <c r="L31" s="36" t="n">
        <f aca="false">SQRT(J31^2+K31^2)</f>
        <v>1.72183147497008</v>
      </c>
      <c r="M31" s="47" t="n">
        <f aca="false">IF(G31="","",MAX(0,G31-1.96*L31/100))</f>
        <v>0.403993789092133</v>
      </c>
      <c r="N31" s="47" t="n">
        <f aca="false">IF(G31="","",MIN(1,G31+1.96*L31/100))</f>
        <v>0.47148958291096</v>
      </c>
      <c r="O31" s="66" t="n">
        <f aca="false">ROUND(S31*W31,0)</f>
        <v>71</v>
      </c>
      <c r="P31" s="66" t="n">
        <f aca="false">IF(F31="","",ROUND(SQRT((F31*L31/100)^2+(G31*O31)^2),0))</f>
        <v>38</v>
      </c>
      <c r="R31" s="67" t="n">
        <v>1.26023394084314</v>
      </c>
      <c r="S31" s="68" t="n">
        <f aca="false">U31*V31*$F$5</f>
        <v>1293.28908554572</v>
      </c>
      <c r="T31" s="69" t="n">
        <f aca="false">MAX(0,MIN(1,R31/100+$D$5))</f>
        <v>0.437700951451471</v>
      </c>
      <c r="U31" s="69" t="n">
        <v>0.607177974434612</v>
      </c>
      <c r="V31" s="68" t="n">
        <v>2130</v>
      </c>
      <c r="W31" s="69" t="n">
        <v>0.0547268472736556</v>
      </c>
      <c r="X31" s="70" t="s">
        <v>198</v>
      </c>
      <c r="Y31" s="70" t="s">
        <v>194</v>
      </c>
    </row>
    <row r="32" customFormat="false" ht="15" hidden="false" customHeight="false" outlineLevel="0" collapsed="false">
      <c r="A32" s="32" t="s">
        <v>189</v>
      </c>
      <c r="B32" s="32" t="s">
        <v>216</v>
      </c>
      <c r="C32" s="32" t="s">
        <v>191</v>
      </c>
      <c r="D32" s="66" t="n">
        <f aca="false">ROUND(S32*T32,0)</f>
        <v>658</v>
      </c>
      <c r="E32" s="66" t="n">
        <f aca="false">ROUND(S32,0)-D32</f>
        <v>1600</v>
      </c>
      <c r="F32" s="66" t="n">
        <f aca="false">IF(COUNTA(D32:E32)=0,"",SUM(D32:E32))</f>
        <v>2258</v>
      </c>
      <c r="G32" s="47" t="n">
        <f aca="false">IF(OR(F32="",F32=0),"",D32/F32)</f>
        <v>0.29140832595217</v>
      </c>
      <c r="H32" s="47" t="n">
        <f aca="false">IF(OR(F32="",F32=0),"",E32/F32)</f>
        <v>0.70859167404783</v>
      </c>
      <c r="I32" s="32" t="s">
        <v>192</v>
      </c>
      <c r="J32" s="36" t="n">
        <v>1.3830443510296</v>
      </c>
      <c r="K32" s="36" t="n">
        <f aca="false">$K$8</f>
        <v>1.02561783880877</v>
      </c>
      <c r="L32" s="36" t="n">
        <f aca="false">SQRT(J32^2+K32^2)</f>
        <v>1.72183147497008</v>
      </c>
      <c r="M32" s="47" t="n">
        <f aca="false">IF(G32="","",MAX(0,G32-1.96*L32/100))</f>
        <v>0.257660429042756</v>
      </c>
      <c r="N32" s="47" t="n">
        <f aca="false">IF(G32="","",MIN(1,G32+1.96*L32/100))</f>
        <v>0.325156222861584</v>
      </c>
      <c r="O32" s="66" t="n">
        <f aca="false">ROUND(S32*W32,0)</f>
        <v>124</v>
      </c>
      <c r="P32" s="66" t="n">
        <f aca="false">IF(F32="","",ROUND(SQRT((F32*L32/100)^2+(G32*O32)^2),0))</f>
        <v>53</v>
      </c>
      <c r="R32" s="67" t="n">
        <v>-13.3689283959891</v>
      </c>
      <c r="S32" s="68" t="n">
        <f aca="false">U32*V32*$F$5</f>
        <v>2258.11685530743</v>
      </c>
      <c r="T32" s="69" t="n">
        <f aca="false">MAX(0,MIN(1,R32/100+$D$5))</f>
        <v>0.291409328083149</v>
      </c>
      <c r="U32" s="69" t="n">
        <v>0.65188130926889</v>
      </c>
      <c r="V32" s="68" t="n">
        <v>3464</v>
      </c>
      <c r="W32" s="69" t="n">
        <v>0.0547268472736556</v>
      </c>
      <c r="X32" s="70" t="s">
        <v>198</v>
      </c>
      <c r="Y32" s="70" t="s">
        <v>194</v>
      </c>
    </row>
    <row r="33" customFormat="false" ht="15" hidden="false" customHeight="false" outlineLevel="0" collapsed="false">
      <c r="A33" s="32" t="s">
        <v>189</v>
      </c>
      <c r="B33" s="32" t="s">
        <v>217</v>
      </c>
      <c r="C33" s="32" t="s">
        <v>191</v>
      </c>
      <c r="D33" s="66" t="n">
        <f aca="false">ROUND(S33*T33,0)</f>
        <v>261</v>
      </c>
      <c r="E33" s="66" t="n">
        <f aca="false">ROUND(S33,0)-D33</f>
        <v>653</v>
      </c>
      <c r="F33" s="66" t="n">
        <f aca="false">IF(COUNTA(D33:E33)=0,"",SUM(D33:E33))</f>
        <v>914</v>
      </c>
      <c r="G33" s="47" t="n">
        <f aca="false">IF(OR(F33="",F33=0),"",D33/F33)</f>
        <v>0.285557986870897</v>
      </c>
      <c r="H33" s="47" t="n">
        <f aca="false">IF(OR(F33="",F33=0),"",E33/F33)</f>
        <v>0.714442013129103</v>
      </c>
      <c r="I33" s="32" t="s">
        <v>192</v>
      </c>
      <c r="J33" s="36" t="n">
        <v>2.6727769877146</v>
      </c>
      <c r="K33" s="36" t="n">
        <f aca="false">$K$8</f>
        <v>1.02561783880877</v>
      </c>
      <c r="L33" s="36" t="n">
        <f aca="false">SQRT(J33^2+K33^2)</f>
        <v>2.86280086232688</v>
      </c>
      <c r="M33" s="47" t="n">
        <f aca="false">IF(G33="","",MAX(0,G33-1.96*L33/100))</f>
        <v>0.22944708996929</v>
      </c>
      <c r="N33" s="47" t="n">
        <f aca="false">IF(G33="","",MIN(1,G33+1.96*L33/100))</f>
        <v>0.341668883772504</v>
      </c>
      <c r="O33" s="66" t="n">
        <f aca="false">ROUND(S33*W33,0)</f>
        <v>67</v>
      </c>
      <c r="P33" s="66" t="n">
        <f aca="false">IF(F33="","",ROUND(SQRT((F33*L33/100)^2+(G33*O33)^2),0))</f>
        <v>32</v>
      </c>
      <c r="R33" s="67" t="n">
        <v>-13.9601880064878</v>
      </c>
      <c r="S33" s="68" t="n">
        <f aca="false">U33*V33*$F$5</f>
        <v>913.771907216495</v>
      </c>
      <c r="T33" s="69" t="n">
        <f aca="false">MAX(0,MIN(1,R33/100+$D$5))</f>
        <v>0.285496731978162</v>
      </c>
      <c r="U33" s="69" t="n">
        <v>0.580541237113402</v>
      </c>
      <c r="V33" s="68" t="n">
        <v>1574</v>
      </c>
      <c r="W33" s="69" t="n">
        <v>0.0732058935918866</v>
      </c>
      <c r="X33" s="70" t="s">
        <v>193</v>
      </c>
      <c r="Y33" s="70" t="s">
        <v>194</v>
      </c>
    </row>
    <row r="34" customFormat="false" ht="15" hidden="false" customHeight="false" outlineLevel="0" collapsed="false">
      <c r="A34" s="32" t="s">
        <v>189</v>
      </c>
      <c r="B34" s="32" t="s">
        <v>218</v>
      </c>
      <c r="C34" s="32" t="s">
        <v>191</v>
      </c>
      <c r="D34" s="66" t="n">
        <f aca="false">ROUND(S34*T34,0)</f>
        <v>43</v>
      </c>
      <c r="E34" s="66" t="n">
        <f aca="false">ROUND(S34,0)-D34</f>
        <v>64</v>
      </c>
      <c r="F34" s="66" t="n">
        <f aca="false">IF(COUNTA(D34:E34)=0,"",SUM(D34:E34))</f>
        <v>107</v>
      </c>
      <c r="G34" s="47" t="n">
        <f aca="false">IF(OR(F34="",F34=0),"",D34/F34)</f>
        <v>0.401869158878505</v>
      </c>
      <c r="H34" s="47" t="n">
        <f aca="false">IF(OR(F34="",F34=0),"",E34/F34)</f>
        <v>0.598130841121495</v>
      </c>
      <c r="I34" s="32" t="s">
        <v>192</v>
      </c>
      <c r="J34" s="36" t="n">
        <v>2.6727769877146</v>
      </c>
      <c r="K34" s="36" t="n">
        <f aca="false">$K$8</f>
        <v>1.02561783880877</v>
      </c>
      <c r="L34" s="36" t="n">
        <f aca="false">SQRT(J34^2+K34^2)</f>
        <v>2.86280086232688</v>
      </c>
      <c r="M34" s="47" t="n">
        <f aca="false">IF(G34="","",MAX(0,G34-1.96*L34/100))</f>
        <v>0.345758261976898</v>
      </c>
      <c r="N34" s="47" t="n">
        <f aca="false">IF(G34="","",MIN(1,G34+1.96*L34/100))</f>
        <v>0.457980055780111</v>
      </c>
      <c r="O34" s="66" t="n">
        <f aca="false">ROUND(S34*W34,0)</f>
        <v>8</v>
      </c>
      <c r="P34" s="66" t="n">
        <f aca="false">IF(F34="","",ROUND(SQRT((F34*L34/100)^2+(G34*O34)^2),0))</f>
        <v>4</v>
      </c>
      <c r="R34" s="67" t="n">
        <v>-1.92382150001639</v>
      </c>
      <c r="S34" s="68" t="n">
        <f aca="false">U34*V34*$F$5</f>
        <v>106.666666666667</v>
      </c>
      <c r="T34" s="69" t="n">
        <f aca="false">MAX(0,MIN(1,R34/100+$D$5))</f>
        <v>0.405860397042876</v>
      </c>
      <c r="U34" s="69" t="n">
        <v>0.444444444444444</v>
      </c>
      <c r="V34" s="68" t="n">
        <v>240</v>
      </c>
      <c r="W34" s="69" t="n">
        <v>0.0732058935918866</v>
      </c>
      <c r="X34" s="70" t="s">
        <v>193</v>
      </c>
      <c r="Y34" s="70" t="s">
        <v>194</v>
      </c>
    </row>
    <row r="35" customFormat="false" ht="15" hidden="false" customHeight="false" outlineLevel="0" collapsed="false">
      <c r="A35" s="32" t="s">
        <v>219</v>
      </c>
      <c r="B35" s="32" t="s">
        <v>220</v>
      </c>
      <c r="C35" s="32" t="s">
        <v>191</v>
      </c>
      <c r="D35" s="66" t="n">
        <f aca="false">ROUND(S35*T35,0)</f>
        <v>498</v>
      </c>
      <c r="E35" s="66" t="n">
        <f aca="false">ROUND(S35,0)-D35</f>
        <v>563</v>
      </c>
      <c r="F35" s="66" t="n">
        <f aca="false">IF(COUNTA(D35:E35)=0,"",SUM(D35:E35))</f>
        <v>1061</v>
      </c>
      <c r="G35" s="47" t="n">
        <f aca="false">IF(OR(F35="",F35=0),"",D35/F35)</f>
        <v>0.469368520263902</v>
      </c>
      <c r="H35" s="47" t="n">
        <f aca="false">IF(OR(F35="",F35=0),"",E35/F35)</f>
        <v>0.530631479736098</v>
      </c>
      <c r="I35" s="32" t="s">
        <v>192</v>
      </c>
      <c r="J35" s="36" t="n">
        <v>2.6727769877146</v>
      </c>
      <c r="K35" s="36" t="n">
        <f aca="false">$K$8</f>
        <v>1.02561783880877</v>
      </c>
      <c r="L35" s="36" t="n">
        <f aca="false">SQRT(J35^2+K35^2)</f>
        <v>2.86280086232688</v>
      </c>
      <c r="M35" s="47" t="n">
        <f aca="false">IF(G35="","",MAX(0,G35-1.96*L35/100))</f>
        <v>0.413257623362295</v>
      </c>
      <c r="N35" s="47" t="n">
        <f aca="false">IF(G35="","",MIN(1,G35+1.96*L35/100))</f>
        <v>0.525479417165509</v>
      </c>
      <c r="O35" s="66" t="n">
        <f aca="false">ROUND(S35*W35,0)</f>
        <v>78</v>
      </c>
      <c r="P35" s="66" t="n">
        <f aca="false">IF(F35="","",ROUND(SQRT((F35*L35/100)^2+(G35*O35)^2),0))</f>
        <v>48</v>
      </c>
      <c r="R35" s="67" t="n">
        <v>4.39897520333703</v>
      </c>
      <c r="S35" s="68" t="n">
        <f aca="false">U35*V35*$F$5</f>
        <v>1060.80585424134</v>
      </c>
      <c r="T35" s="69" t="n">
        <f aca="false">MAX(0,MIN(1,R35/100+$D$5))</f>
        <v>0.46908836407641</v>
      </c>
      <c r="U35" s="69" t="n">
        <v>0.605137395459976</v>
      </c>
      <c r="V35" s="68" t="n">
        <v>1753</v>
      </c>
      <c r="W35" s="69" t="n">
        <v>0.0732058935918866</v>
      </c>
      <c r="X35" s="70" t="s">
        <v>193</v>
      </c>
      <c r="Y35" s="70" t="s">
        <v>194</v>
      </c>
    </row>
    <row r="36" customFormat="false" ht="15" hidden="false" customHeight="false" outlineLevel="0" collapsed="false">
      <c r="A36" s="32" t="s">
        <v>219</v>
      </c>
      <c r="B36" s="32" t="s">
        <v>221</v>
      </c>
      <c r="C36" s="32" t="s">
        <v>191</v>
      </c>
      <c r="D36" s="66" t="n">
        <f aca="false">ROUND(S36*T36,0)</f>
        <v>16632</v>
      </c>
      <c r="E36" s="66" t="n">
        <f aca="false">ROUND(S36,0)-D36</f>
        <v>8741</v>
      </c>
      <c r="F36" s="66" t="n">
        <f aca="false">IF(COUNTA(D36:E36)=0,"",SUM(D36:E36))</f>
        <v>25373</v>
      </c>
      <c r="G36" s="47" t="n">
        <f aca="false">IF(OR(F36="",F36=0),"",D36/F36)</f>
        <v>0.65549994088204</v>
      </c>
      <c r="H36" s="47" t="n">
        <f aca="false">IF(OR(F36="",F36=0),"",E36/F36)</f>
        <v>0.34450005911796</v>
      </c>
      <c r="I36" s="32" t="s">
        <v>192</v>
      </c>
      <c r="J36" s="36" t="n">
        <v>1.44439089223214</v>
      </c>
      <c r="K36" s="36" t="n">
        <f aca="false">$K$8</f>
        <v>1.02561783880877</v>
      </c>
      <c r="L36" s="36" t="n">
        <f aca="false">SQRT(J36^2+K36^2)</f>
        <v>1.77148440604085</v>
      </c>
      <c r="M36" s="47" t="n">
        <f aca="false">IF(G36="","",MAX(0,G36-1.96*L36/100))</f>
        <v>0.620778846523639</v>
      </c>
      <c r="N36" s="47" t="n">
        <f aca="false">IF(G36="","",MIN(1,G36+1.96*L36/100))</f>
        <v>0.690221035240441</v>
      </c>
      <c r="O36" s="66" t="n">
        <f aca="false">ROUND(S36*W36,0)</f>
        <v>1233</v>
      </c>
      <c r="P36" s="66" t="n">
        <f aca="false">IF(F36="","",ROUND(SQRT((F36*L36/100)^2+(G36*O36)^2),0))</f>
        <v>925</v>
      </c>
      <c r="R36" s="67" t="n">
        <v>23.0393099033277</v>
      </c>
      <c r="S36" s="68" t="n">
        <f aca="false">U36*V36*$F$5</f>
        <v>25373.374760008</v>
      </c>
      <c r="T36" s="69" t="n">
        <f aca="false">MAX(0,MIN(1,R36/100+$D$5))</f>
        <v>0.655491711076317</v>
      </c>
      <c r="U36" s="69" t="n">
        <v>0.356778519643522</v>
      </c>
      <c r="V36" s="68" t="n">
        <v>71118</v>
      </c>
      <c r="W36" s="69" t="n">
        <v>0.0485820274397165</v>
      </c>
      <c r="X36" s="70" t="s">
        <v>214</v>
      </c>
      <c r="Y36" s="70" t="s">
        <v>194</v>
      </c>
    </row>
    <row r="37" customFormat="false" ht="15" hidden="false" customHeight="false" outlineLevel="0" collapsed="false">
      <c r="A37" s="32" t="s">
        <v>219</v>
      </c>
      <c r="B37" s="32" t="s">
        <v>222</v>
      </c>
      <c r="C37" s="32" t="s">
        <v>191</v>
      </c>
      <c r="D37" s="66" t="n">
        <f aca="false">ROUND(S37*T37,0)</f>
        <v>5113</v>
      </c>
      <c r="E37" s="66" t="n">
        <f aca="false">ROUND(S37,0)-D37</f>
        <v>2864</v>
      </c>
      <c r="F37" s="66" t="n">
        <f aca="false">IF(COUNTA(D37:E37)=0,"",SUM(D37:E37))</f>
        <v>7977</v>
      </c>
      <c r="G37" s="47" t="n">
        <f aca="false">IF(OR(F37="",F37=0),"",D37/F37)</f>
        <v>0.640967782374326</v>
      </c>
      <c r="H37" s="47" t="n">
        <f aca="false">IF(OR(F37="",F37=0),"",E37/F37)</f>
        <v>0.359032217625674</v>
      </c>
      <c r="I37" s="32" t="s">
        <v>192</v>
      </c>
      <c r="J37" s="36" t="n">
        <v>1.44439089223214</v>
      </c>
      <c r="K37" s="36" t="n">
        <f aca="false">$K$8</f>
        <v>1.02561783880877</v>
      </c>
      <c r="L37" s="36" t="n">
        <f aca="false">SQRT(J37^2+K37^2)</f>
        <v>1.77148440604085</v>
      </c>
      <c r="M37" s="47" t="n">
        <f aca="false">IF(G37="","",MAX(0,G37-1.96*L37/100))</f>
        <v>0.606246688015925</v>
      </c>
      <c r="N37" s="47" t="n">
        <f aca="false">IF(G37="","",MIN(1,G37+1.96*L37/100))</f>
        <v>0.675688876732727</v>
      </c>
      <c r="O37" s="66" t="n">
        <f aca="false">ROUND(S37*W37,0)</f>
        <v>388</v>
      </c>
      <c r="P37" s="66" t="n">
        <f aca="false">IF(F37="","",ROUND(SQRT((F37*L37/100)^2+(G37*O37)^2),0))</f>
        <v>286</v>
      </c>
      <c r="R37" s="67" t="n">
        <v>21.5884726312552</v>
      </c>
      <c r="S37" s="68" t="n">
        <f aca="false">U37*V37*$F$5</f>
        <v>7976.55329986175</v>
      </c>
      <c r="T37" s="69" t="n">
        <f aca="false">MAX(0,MIN(1,R37/100+$D$5))</f>
        <v>0.640983338355592</v>
      </c>
      <c r="U37" s="69" t="n">
        <v>0.574183220548643</v>
      </c>
      <c r="V37" s="68" t="n">
        <v>13892</v>
      </c>
      <c r="W37" s="69" t="n">
        <v>0.0485820274397165</v>
      </c>
      <c r="X37" s="70" t="s">
        <v>214</v>
      </c>
      <c r="Y37" s="70" t="s">
        <v>194</v>
      </c>
    </row>
    <row r="38" customFormat="false" ht="15" hidden="false" customHeight="false" outlineLevel="0" collapsed="false">
      <c r="A38" s="32" t="s">
        <v>219</v>
      </c>
      <c r="B38" s="32" t="s">
        <v>223</v>
      </c>
      <c r="C38" s="32" t="s">
        <v>191</v>
      </c>
      <c r="D38" s="66" t="n">
        <f aca="false">ROUND(S38*T38,0)</f>
        <v>1145</v>
      </c>
      <c r="E38" s="66" t="n">
        <f aca="false">ROUND(S38,0)-D38</f>
        <v>1033</v>
      </c>
      <c r="F38" s="66" t="n">
        <f aca="false">IF(COUNTA(D38:E38)=0,"",SUM(D38:E38))</f>
        <v>2178</v>
      </c>
      <c r="G38" s="47" t="n">
        <f aca="false">IF(OR(F38="",F38=0),"",D38/F38)</f>
        <v>0.525711662075298</v>
      </c>
      <c r="H38" s="47" t="n">
        <f aca="false">IF(OR(F38="",F38=0),"",E38/F38)</f>
        <v>0.474288337924702</v>
      </c>
      <c r="I38" s="32" t="s">
        <v>192</v>
      </c>
      <c r="J38" s="36" t="n">
        <v>1.3830443510296</v>
      </c>
      <c r="K38" s="36" t="n">
        <f aca="false">$K$8</f>
        <v>1.02561783880877</v>
      </c>
      <c r="L38" s="36" t="n">
        <f aca="false">SQRT(J38^2+K38^2)</f>
        <v>1.72183147497008</v>
      </c>
      <c r="M38" s="47" t="n">
        <f aca="false">IF(G38="","",MAX(0,G38-1.96*L38/100))</f>
        <v>0.491963765165885</v>
      </c>
      <c r="N38" s="47" t="n">
        <f aca="false">IF(G38="","",MIN(1,G38+1.96*L38/100))</f>
        <v>0.559459558984712</v>
      </c>
      <c r="O38" s="66" t="n">
        <f aca="false">ROUND(S38*W38,0)</f>
        <v>119</v>
      </c>
      <c r="P38" s="66" t="n">
        <f aca="false">IF(F38="","",ROUND(SQRT((F38*L38/100)^2+(G38*O38)^2),0))</f>
        <v>73</v>
      </c>
      <c r="R38" s="67" t="n">
        <v>10.0636981823482</v>
      </c>
      <c r="S38" s="68" t="n">
        <f aca="false">U38*V38*$F$5</f>
        <v>2177.82706204834</v>
      </c>
      <c r="T38" s="69" t="n">
        <f aca="false">MAX(0,MIN(1,R38/100+$D$5))</f>
        <v>0.525735593866521</v>
      </c>
      <c r="U38" s="69" t="n">
        <v>0.525791178669325</v>
      </c>
      <c r="V38" s="68" t="n">
        <v>4142</v>
      </c>
      <c r="W38" s="69" t="n">
        <v>0.0547268472736556</v>
      </c>
      <c r="X38" s="70" t="s">
        <v>198</v>
      </c>
      <c r="Y38" s="70" t="s">
        <v>194</v>
      </c>
    </row>
    <row r="39" customFormat="false" ht="15" hidden="false" customHeight="false" outlineLevel="0" collapsed="false">
      <c r="A39" s="32" t="s">
        <v>219</v>
      </c>
      <c r="B39" s="32" t="s">
        <v>224</v>
      </c>
      <c r="C39" s="32" t="s">
        <v>191</v>
      </c>
      <c r="D39" s="66" t="n">
        <f aca="false">ROUND(S39*T39,0)</f>
        <v>623</v>
      </c>
      <c r="E39" s="66" t="n">
        <f aca="false">ROUND(S39,0)-D39</f>
        <v>647</v>
      </c>
      <c r="F39" s="66" t="n">
        <f aca="false">IF(COUNTA(D39:E39)=0,"",SUM(D39:E39))</f>
        <v>1270</v>
      </c>
      <c r="G39" s="47" t="n">
        <f aca="false">IF(OR(F39="",F39=0),"",D39/F39)</f>
        <v>0.490551181102362</v>
      </c>
      <c r="H39" s="47" t="n">
        <f aca="false">IF(OR(F39="",F39=0),"",E39/F39)</f>
        <v>0.509448818897638</v>
      </c>
      <c r="I39" s="32" t="s">
        <v>192</v>
      </c>
      <c r="J39" s="36" t="n">
        <v>1.3830443510296</v>
      </c>
      <c r="K39" s="36" t="n">
        <f aca="false">$K$8</f>
        <v>1.02561783880877</v>
      </c>
      <c r="L39" s="36" t="n">
        <f aca="false">SQRT(J39^2+K39^2)</f>
        <v>1.72183147497008</v>
      </c>
      <c r="M39" s="47" t="n">
        <f aca="false">IF(G39="","",MAX(0,G39-1.96*L39/100))</f>
        <v>0.456803284192949</v>
      </c>
      <c r="N39" s="47" t="n">
        <f aca="false">IF(G39="","",MIN(1,G39+1.96*L39/100))</f>
        <v>0.524299078011776</v>
      </c>
      <c r="O39" s="66" t="n">
        <f aca="false">ROUND(S39*W39,0)</f>
        <v>70</v>
      </c>
      <c r="P39" s="66" t="n">
        <f aca="false">IF(F39="","",ROUND(SQRT((F39*L39/100)^2+(G39*O39)^2),0))</f>
        <v>41</v>
      </c>
      <c r="R39" s="67" t="n">
        <v>6.55983025481832</v>
      </c>
      <c r="S39" s="68" t="n">
        <f aca="false">U39*V39*$F$5</f>
        <v>1270.44031093837</v>
      </c>
      <c r="T39" s="69" t="n">
        <f aca="false">MAX(0,MIN(1,R39/100+$D$5))</f>
        <v>0.490696914591223</v>
      </c>
      <c r="U39" s="69" t="n">
        <v>0.676846196557468</v>
      </c>
      <c r="V39" s="68" t="n">
        <v>1877</v>
      </c>
      <c r="W39" s="69" t="n">
        <v>0.0547268472736556</v>
      </c>
      <c r="X39" s="70" t="s">
        <v>198</v>
      </c>
      <c r="Y39" s="70" t="s">
        <v>194</v>
      </c>
    </row>
    <row r="40" customFormat="false" ht="15" hidden="false" customHeight="false" outlineLevel="0" collapsed="false">
      <c r="A40" s="32" t="s">
        <v>219</v>
      </c>
      <c r="B40" s="32" t="s">
        <v>225</v>
      </c>
      <c r="C40" s="32" t="s">
        <v>191</v>
      </c>
      <c r="D40" s="66" t="n">
        <f aca="false">ROUND(S40*T40,0)</f>
        <v>708</v>
      </c>
      <c r="E40" s="66" t="n">
        <f aca="false">ROUND(S40,0)-D40</f>
        <v>656</v>
      </c>
      <c r="F40" s="66" t="n">
        <f aca="false">IF(COUNTA(D40:E40)=0,"",SUM(D40:E40))</f>
        <v>1364</v>
      </c>
      <c r="G40" s="47" t="n">
        <f aca="false">IF(OR(F40="",F40=0),"",D40/F40)</f>
        <v>0.519061583577713</v>
      </c>
      <c r="H40" s="47" t="n">
        <f aca="false">IF(OR(F40="",F40=0),"",E40/F40)</f>
        <v>0.480938416422287</v>
      </c>
      <c r="I40" s="32" t="s">
        <v>192</v>
      </c>
      <c r="J40" s="36" t="n">
        <v>1.3830443510296</v>
      </c>
      <c r="K40" s="36" t="n">
        <f aca="false">$K$8</f>
        <v>1.02561783880877</v>
      </c>
      <c r="L40" s="36" t="n">
        <f aca="false">SQRT(J40^2+K40^2)</f>
        <v>1.72183147497008</v>
      </c>
      <c r="M40" s="47" t="n">
        <f aca="false">IF(G40="","",MAX(0,G40-1.96*L40/100))</f>
        <v>0.485313686668299</v>
      </c>
      <c r="N40" s="47" t="n">
        <f aca="false">IF(G40="","",MIN(1,G40+1.96*L40/100))</f>
        <v>0.552809480487126</v>
      </c>
      <c r="O40" s="66" t="n">
        <f aca="false">ROUND(S40*W40,0)</f>
        <v>75</v>
      </c>
      <c r="P40" s="66" t="n">
        <f aca="false">IF(F40="","",ROUND(SQRT((F40*L40/100)^2+(G40*O40)^2),0))</f>
        <v>45</v>
      </c>
      <c r="R40" s="67" t="n">
        <v>9.39814616526873</v>
      </c>
      <c r="S40" s="68" t="n">
        <f aca="false">U40*V40*$F$5</f>
        <v>1363.93435943866</v>
      </c>
      <c r="T40" s="69" t="n">
        <f aca="false">MAX(0,MIN(1,R40/100+$D$5))</f>
        <v>0.519080073695727</v>
      </c>
      <c r="U40" s="69" t="n">
        <v>0.587143503847895</v>
      </c>
      <c r="V40" s="68" t="n">
        <v>2323</v>
      </c>
      <c r="W40" s="69" t="n">
        <v>0.0547268472736556</v>
      </c>
      <c r="X40" s="70" t="s">
        <v>198</v>
      </c>
      <c r="Y40" s="70" t="s">
        <v>194</v>
      </c>
    </row>
    <row r="41" customFormat="false" ht="15" hidden="false" customHeight="false" outlineLevel="0" collapsed="false">
      <c r="A41" s="32" t="s">
        <v>219</v>
      </c>
      <c r="B41" s="32" t="s">
        <v>226</v>
      </c>
      <c r="C41" s="32" t="s">
        <v>191</v>
      </c>
      <c r="D41" s="66" t="n">
        <f aca="false">ROUND(S41*T41,0)</f>
        <v>2885</v>
      </c>
      <c r="E41" s="66" t="n">
        <f aca="false">ROUND(S41,0)-D41</f>
        <v>2503</v>
      </c>
      <c r="F41" s="66" t="n">
        <f aca="false">IF(COUNTA(D41:E41)=0,"",SUM(D41:E41))</f>
        <v>5388</v>
      </c>
      <c r="G41" s="47" t="n">
        <f aca="false">IF(OR(F41="",F41=0),"",D41/F41)</f>
        <v>0.535449146250928</v>
      </c>
      <c r="H41" s="47" t="n">
        <f aca="false">IF(OR(F41="",F41=0),"",E41/F41)</f>
        <v>0.464550853749072</v>
      </c>
      <c r="I41" s="32" t="s">
        <v>192</v>
      </c>
      <c r="J41" s="36" t="n">
        <v>1.44439089223214</v>
      </c>
      <c r="K41" s="36" t="n">
        <f aca="false">$K$8</f>
        <v>1.02561783880877</v>
      </c>
      <c r="L41" s="36" t="n">
        <f aca="false">SQRT(J41^2+K41^2)</f>
        <v>1.77148440604085</v>
      </c>
      <c r="M41" s="47" t="n">
        <f aca="false">IF(G41="","",MAX(0,G41-1.96*L41/100))</f>
        <v>0.500728051892527</v>
      </c>
      <c r="N41" s="47" t="n">
        <f aca="false">IF(G41="","",MIN(1,G41+1.96*L41/100))</f>
        <v>0.570170240609329</v>
      </c>
      <c r="O41" s="66" t="n">
        <f aca="false">ROUND(S41*W41,0)</f>
        <v>262</v>
      </c>
      <c r="P41" s="66" t="n">
        <f aca="false">IF(F41="","",ROUND(SQRT((F41*L41/100)^2+(G41*O41)^2),0))</f>
        <v>170</v>
      </c>
      <c r="R41" s="67" t="n">
        <v>11.0296125902796</v>
      </c>
      <c r="S41" s="68" t="n">
        <f aca="false">U41*V41*$F$5</f>
        <v>5388.18679314119</v>
      </c>
      <c r="T41" s="69" t="n">
        <f aca="false">MAX(0,MIN(1,R41/100+$D$5))</f>
        <v>0.535394737945836</v>
      </c>
      <c r="U41" s="69" t="n">
        <v>0.618265839717865</v>
      </c>
      <c r="V41" s="68" t="n">
        <v>8715</v>
      </c>
      <c r="W41" s="69" t="n">
        <v>0.0485820274397165</v>
      </c>
      <c r="X41" s="70" t="s">
        <v>214</v>
      </c>
      <c r="Y41" s="70" t="s">
        <v>194</v>
      </c>
    </row>
    <row r="42" customFormat="false" ht="15" hidden="false" customHeight="false" outlineLevel="0" collapsed="false">
      <c r="A42" s="32" t="s">
        <v>219</v>
      </c>
      <c r="B42" s="32" t="s">
        <v>227</v>
      </c>
      <c r="C42" s="32" t="s">
        <v>191</v>
      </c>
      <c r="D42" s="66" t="n">
        <f aca="false">ROUND(S42*T42,0)</f>
        <v>1057</v>
      </c>
      <c r="E42" s="66" t="n">
        <f aca="false">ROUND(S42,0)-D42</f>
        <v>548</v>
      </c>
      <c r="F42" s="66" t="n">
        <f aca="false">IF(COUNTA(D42:E42)=0,"",SUM(D42:E42))</f>
        <v>1605</v>
      </c>
      <c r="G42" s="47" t="n">
        <f aca="false">IF(OR(F42="",F42=0),"",D42/F42)</f>
        <v>0.658566978193147</v>
      </c>
      <c r="H42" s="47" t="n">
        <f aca="false">IF(OR(F42="",F42=0),"",E42/F42)</f>
        <v>0.341433021806854</v>
      </c>
      <c r="I42" s="32" t="s">
        <v>192</v>
      </c>
      <c r="J42" s="36" t="n">
        <v>1.3830443510296</v>
      </c>
      <c r="K42" s="36" t="n">
        <f aca="false">$K$8</f>
        <v>1.02561783880877</v>
      </c>
      <c r="L42" s="36" t="n">
        <f aca="false">SQRT(J42^2+K42^2)</f>
        <v>1.72183147497008</v>
      </c>
      <c r="M42" s="47" t="n">
        <f aca="false">IF(G42="","",MAX(0,G42-1.96*L42/100))</f>
        <v>0.624819081283733</v>
      </c>
      <c r="N42" s="47" t="n">
        <f aca="false">IF(G42="","",MIN(1,G42+1.96*L42/100))</f>
        <v>0.69231487510256</v>
      </c>
      <c r="O42" s="66" t="n">
        <f aca="false">ROUND(S42*W42,0)</f>
        <v>88</v>
      </c>
      <c r="P42" s="66" t="n">
        <f aca="false">IF(F42="","",ROUND(SQRT((F42*L42/100)^2+(G42*O42)^2),0))</f>
        <v>64</v>
      </c>
      <c r="R42" s="67" t="n">
        <v>23.3377710721618</v>
      </c>
      <c r="S42" s="68" t="n">
        <f aca="false">U42*V42*$F$5</f>
        <v>1605.4392182842</v>
      </c>
      <c r="T42" s="69" t="n">
        <f aca="false">MAX(0,MIN(1,R42/100+$D$5))</f>
        <v>0.658476322764657</v>
      </c>
      <c r="U42" s="69" t="n">
        <v>0.513083802583637</v>
      </c>
      <c r="V42" s="68" t="n">
        <v>3129</v>
      </c>
      <c r="W42" s="69" t="n">
        <v>0.0547268472736556</v>
      </c>
      <c r="X42" s="70" t="s">
        <v>198</v>
      </c>
      <c r="Y42" s="70" t="s">
        <v>194</v>
      </c>
    </row>
    <row r="43" customFormat="false" ht="15" hidden="false" customHeight="false" outlineLevel="0" collapsed="false">
      <c r="A43" s="32" t="s">
        <v>219</v>
      </c>
      <c r="B43" s="32" t="s">
        <v>228</v>
      </c>
      <c r="C43" s="32" t="s">
        <v>191</v>
      </c>
      <c r="D43" s="66" t="n">
        <f aca="false">ROUND(S43*T43,0)</f>
        <v>262</v>
      </c>
      <c r="E43" s="66" t="n">
        <f aca="false">ROUND(S43,0)-D43</f>
        <v>222</v>
      </c>
      <c r="F43" s="66" t="n">
        <f aca="false">IF(COUNTA(D43:E43)=0,"",SUM(D43:E43))</f>
        <v>484</v>
      </c>
      <c r="G43" s="47" t="n">
        <f aca="false">IF(OR(F43="",F43=0),"",D43/F43)</f>
        <v>0.541322314049587</v>
      </c>
      <c r="H43" s="47" t="n">
        <f aca="false">IF(OR(F43="",F43=0),"",E43/F43)</f>
        <v>0.458677685950413</v>
      </c>
      <c r="I43" s="32" t="s">
        <v>192</v>
      </c>
      <c r="J43" s="36" t="n">
        <v>2.6727769877146</v>
      </c>
      <c r="K43" s="36" t="n">
        <f aca="false">$K$8</f>
        <v>1.02561783880877</v>
      </c>
      <c r="L43" s="36" t="n">
        <f aca="false">SQRT(J43^2+K43^2)</f>
        <v>2.86280086232688</v>
      </c>
      <c r="M43" s="47" t="n">
        <f aca="false">IF(G43="","",MAX(0,G43-1.96*L43/100))</f>
        <v>0.48521141714798</v>
      </c>
      <c r="N43" s="47" t="n">
        <f aca="false">IF(G43="","",MIN(1,G43+1.96*L43/100))</f>
        <v>0.597433210951194</v>
      </c>
      <c r="O43" s="66" t="n">
        <f aca="false">ROUND(S43*W43,0)</f>
        <v>35</v>
      </c>
      <c r="P43" s="66" t="n">
        <f aca="false">IF(F43="","",ROUND(SQRT((F43*L43/100)^2+(G43*O43)^2),0))</f>
        <v>23</v>
      </c>
      <c r="R43" s="67" t="n">
        <v>11.5931274198752</v>
      </c>
      <c r="S43" s="68" t="n">
        <f aca="false">U43*V43*$F$5</f>
        <v>483.913480885312</v>
      </c>
      <c r="T43" s="69" t="n">
        <f aca="false">MAX(0,MIN(1,R43/100+$D$5))</f>
        <v>0.541029886241792</v>
      </c>
      <c r="U43" s="69" t="n">
        <v>0.469818913480885</v>
      </c>
      <c r="V43" s="68" t="n">
        <v>1030</v>
      </c>
      <c r="W43" s="69" t="n">
        <v>0.0732058935918866</v>
      </c>
      <c r="X43" s="70" t="s">
        <v>193</v>
      </c>
      <c r="Y43" s="70" t="s">
        <v>194</v>
      </c>
    </row>
    <row r="44" customFormat="false" ht="15" hidden="false" customHeight="false" outlineLevel="0" collapsed="false">
      <c r="A44" s="32" t="s">
        <v>219</v>
      </c>
      <c r="B44" s="32" t="s">
        <v>229</v>
      </c>
      <c r="C44" s="32" t="s">
        <v>191</v>
      </c>
      <c r="D44" s="66" t="n">
        <f aca="false">ROUND(S44*T44,0)</f>
        <v>533</v>
      </c>
      <c r="E44" s="66" t="n">
        <f aca="false">ROUND(S44,0)-D44</f>
        <v>1124</v>
      </c>
      <c r="F44" s="66" t="n">
        <f aca="false">IF(COUNTA(D44:E44)=0,"",SUM(D44:E44))</f>
        <v>1657</v>
      </c>
      <c r="G44" s="47" t="n">
        <f aca="false">IF(OR(F44="",F44=0),"",D44/F44)</f>
        <v>0.32166566083283</v>
      </c>
      <c r="H44" s="47" t="n">
        <f aca="false">IF(OR(F44="",F44=0),"",E44/F44)</f>
        <v>0.67833433916717</v>
      </c>
      <c r="I44" s="32" t="s">
        <v>192</v>
      </c>
      <c r="J44" s="36" t="n">
        <v>1.3830443510296</v>
      </c>
      <c r="K44" s="36" t="n">
        <f aca="false">$K$8</f>
        <v>1.02561783880877</v>
      </c>
      <c r="L44" s="36" t="n">
        <f aca="false">SQRT(J44^2+K44^2)</f>
        <v>1.72183147497008</v>
      </c>
      <c r="M44" s="47" t="n">
        <f aca="false">IF(G44="","",MAX(0,G44-1.96*L44/100))</f>
        <v>0.287917763923417</v>
      </c>
      <c r="N44" s="47" t="n">
        <f aca="false">IF(G44="","",MIN(1,G44+1.96*L44/100))</f>
        <v>0.355413557742244</v>
      </c>
      <c r="O44" s="66" t="n">
        <f aca="false">ROUND(S44*W44,0)</f>
        <v>91</v>
      </c>
      <c r="P44" s="66" t="n">
        <f aca="false">IF(F44="","",ROUND(SQRT((F44*L44/100)^2+(G44*O44)^2),0))</f>
        <v>41</v>
      </c>
      <c r="R44" s="67" t="n">
        <v>-10.3638531588544</v>
      </c>
      <c r="S44" s="68" t="n">
        <f aca="false">U44*V44*$F$5</f>
        <v>1656.73758865248</v>
      </c>
      <c r="T44" s="69" t="n">
        <f aca="false">MAX(0,MIN(1,R44/100+$D$5))</f>
        <v>0.321460080454496</v>
      </c>
      <c r="U44" s="69" t="n">
        <v>0.66750104297038</v>
      </c>
      <c r="V44" s="68" t="n">
        <v>2482</v>
      </c>
      <c r="W44" s="69" t="n">
        <v>0.0547268472736556</v>
      </c>
      <c r="X44" s="70" t="s">
        <v>198</v>
      </c>
      <c r="Y44" s="70" t="s">
        <v>194</v>
      </c>
    </row>
    <row r="45" customFormat="false" ht="15" hidden="false" customHeight="false" outlineLevel="0" collapsed="false">
      <c r="A45" s="32" t="s">
        <v>219</v>
      </c>
      <c r="B45" s="32" t="s">
        <v>230</v>
      </c>
      <c r="C45" s="32" t="s">
        <v>191</v>
      </c>
      <c r="D45" s="66" t="n">
        <f aca="false">ROUND(S45*T45,0)</f>
        <v>8197</v>
      </c>
      <c r="E45" s="66" t="n">
        <f aca="false">ROUND(S45,0)-D45</f>
        <v>8138</v>
      </c>
      <c r="F45" s="66" t="n">
        <f aca="false">IF(COUNTA(D45:E45)=0,"",SUM(D45:E45))</f>
        <v>16335</v>
      </c>
      <c r="G45" s="47" t="n">
        <f aca="false">IF(OR(F45="",F45=0),"",D45/F45)</f>
        <v>0.501805938169575</v>
      </c>
      <c r="H45" s="47" t="n">
        <f aca="false">IF(OR(F45="",F45=0),"",E45/F45)</f>
        <v>0.498194061830425</v>
      </c>
      <c r="I45" s="32" t="s">
        <v>192</v>
      </c>
      <c r="J45" s="36" t="n">
        <v>1.44439089223214</v>
      </c>
      <c r="K45" s="36" t="n">
        <f aca="false">$K$8</f>
        <v>1.02561783880877</v>
      </c>
      <c r="L45" s="36" t="n">
        <f aca="false">SQRT(J45^2+K45^2)</f>
        <v>1.77148440604085</v>
      </c>
      <c r="M45" s="47" t="n">
        <f aca="false">IF(G45="","",MAX(0,G45-1.96*L45/100))</f>
        <v>0.467084843811174</v>
      </c>
      <c r="N45" s="47" t="n">
        <f aca="false">IF(G45="","",MIN(1,G45+1.96*L45/100))</f>
        <v>0.536527032527975</v>
      </c>
      <c r="O45" s="66" t="n">
        <f aca="false">ROUND(S45*W45,0)</f>
        <v>794</v>
      </c>
      <c r="P45" s="66" t="n">
        <f aca="false">IF(F45="","",ROUND(SQRT((F45*L45/100)^2+(G45*O45)^2),0))</f>
        <v>492</v>
      </c>
      <c r="R45" s="67" t="n">
        <v>7.67223839526959</v>
      </c>
      <c r="S45" s="68" t="n">
        <f aca="false">U45*V45*$F$5</f>
        <v>16334.7109624891</v>
      </c>
      <c r="T45" s="69" t="n">
        <f aca="false">MAX(0,MIN(1,R45/100+$D$5))</f>
        <v>0.501820995995736</v>
      </c>
      <c r="U45" s="69" t="n">
        <v>0.662692643210236</v>
      </c>
      <c r="V45" s="68" t="n">
        <v>24649</v>
      </c>
      <c r="W45" s="69" t="n">
        <v>0.0485820274397165</v>
      </c>
      <c r="X45" s="70" t="s">
        <v>214</v>
      </c>
      <c r="Y45" s="70" t="s">
        <v>194</v>
      </c>
    </row>
    <row r="46" customFormat="false" ht="15" hidden="false" customHeight="false" outlineLevel="0" collapsed="false">
      <c r="A46" s="32" t="s">
        <v>219</v>
      </c>
      <c r="B46" s="32" t="s">
        <v>231</v>
      </c>
      <c r="C46" s="32" t="s">
        <v>191</v>
      </c>
      <c r="D46" s="66" t="n">
        <f aca="false">ROUND(S46*T46,0)</f>
        <v>847</v>
      </c>
      <c r="E46" s="66" t="n">
        <f aca="false">ROUND(S46,0)-D46</f>
        <v>1357</v>
      </c>
      <c r="F46" s="66" t="n">
        <f aca="false">IF(COUNTA(D46:E46)=0,"",SUM(D46:E46))</f>
        <v>2204</v>
      </c>
      <c r="G46" s="47" t="n">
        <f aca="false">IF(OR(F46="",F46=0),"",D46/F46)</f>
        <v>0.384301270417423</v>
      </c>
      <c r="H46" s="47" t="n">
        <f aca="false">IF(OR(F46="",F46=0),"",E46/F46)</f>
        <v>0.615698729582577</v>
      </c>
      <c r="I46" s="32" t="s">
        <v>192</v>
      </c>
      <c r="J46" s="36" t="n">
        <v>1.3830443510296</v>
      </c>
      <c r="K46" s="36" t="n">
        <f aca="false">$K$8</f>
        <v>1.02561783880877</v>
      </c>
      <c r="L46" s="36" t="n">
        <f aca="false">SQRT(J46^2+K46^2)</f>
        <v>1.72183147497008</v>
      </c>
      <c r="M46" s="47" t="n">
        <f aca="false">IF(G46="","",MAX(0,G46-1.96*L46/100))</f>
        <v>0.350553373508009</v>
      </c>
      <c r="N46" s="47" t="n">
        <f aca="false">IF(G46="","",MIN(1,G46+1.96*L46/100))</f>
        <v>0.418049167326837</v>
      </c>
      <c r="O46" s="66" t="n">
        <f aca="false">ROUND(S46*W46,0)</f>
        <v>121</v>
      </c>
      <c r="P46" s="66" t="n">
        <f aca="false">IF(F46="","",ROUND(SQRT((F46*L46/100)^2+(G46*O46)^2),0))</f>
        <v>60</v>
      </c>
      <c r="R46" s="67" t="n">
        <v>-4.06689504436331</v>
      </c>
      <c r="S46" s="68" t="n">
        <f aca="false">U46*V46*$F$5</f>
        <v>2204.10505319149</v>
      </c>
      <c r="T46" s="69" t="n">
        <f aca="false">MAX(0,MIN(1,R46/100+$D$5))</f>
        <v>0.384429661599407</v>
      </c>
      <c r="U46" s="69" t="n">
        <v>0.718417553191489</v>
      </c>
      <c r="V46" s="68" t="n">
        <v>3068</v>
      </c>
      <c r="W46" s="69" t="n">
        <v>0.0547268472736556</v>
      </c>
      <c r="X46" s="70" t="s">
        <v>198</v>
      </c>
      <c r="Y46" s="70" t="s">
        <v>194</v>
      </c>
    </row>
    <row r="47" customFormat="false" ht="15" hidden="false" customHeight="false" outlineLevel="0" collapsed="false">
      <c r="A47" s="32" t="s">
        <v>219</v>
      </c>
      <c r="B47" s="32" t="s">
        <v>232</v>
      </c>
      <c r="C47" s="32" t="s">
        <v>191</v>
      </c>
      <c r="D47" s="66" t="n">
        <f aca="false">ROUND(S47*T47,0)</f>
        <v>444</v>
      </c>
      <c r="E47" s="66" t="n">
        <f aca="false">ROUND(S47,0)-D47</f>
        <v>793</v>
      </c>
      <c r="F47" s="66" t="n">
        <f aca="false">IF(COUNTA(D47:E47)=0,"",SUM(D47:E47))</f>
        <v>1237</v>
      </c>
      <c r="G47" s="47" t="n">
        <f aca="false">IF(OR(F47="",F47=0),"",D47/F47)</f>
        <v>0.3589329021827</v>
      </c>
      <c r="H47" s="47" t="n">
        <f aca="false">IF(OR(F47="",F47=0),"",E47/F47)</f>
        <v>0.6410670978173</v>
      </c>
      <c r="I47" s="32" t="s">
        <v>192</v>
      </c>
      <c r="J47" s="36" t="n">
        <v>2.6727769877146</v>
      </c>
      <c r="K47" s="36" t="n">
        <f aca="false">$K$8</f>
        <v>1.02561783880877</v>
      </c>
      <c r="L47" s="36" t="n">
        <f aca="false">SQRT(J47^2+K47^2)</f>
        <v>2.86280086232688</v>
      </c>
      <c r="M47" s="47" t="n">
        <f aca="false">IF(G47="","",MAX(0,G47-1.96*L47/100))</f>
        <v>0.302822005281093</v>
      </c>
      <c r="N47" s="47" t="n">
        <f aca="false">IF(G47="","",MIN(1,G47+1.96*L47/100))</f>
        <v>0.415043799084307</v>
      </c>
      <c r="O47" s="66" t="n">
        <f aca="false">ROUND(S47*W47,0)</f>
        <v>91</v>
      </c>
      <c r="P47" s="66" t="n">
        <f aca="false">IF(F47="","",ROUND(SQRT((F47*L47/100)^2+(G47*O47)^2),0))</f>
        <v>48</v>
      </c>
      <c r="R47" s="67" t="n">
        <v>-6.5871856184164</v>
      </c>
      <c r="S47" s="68" t="n">
        <f aca="false">U47*V47*$F$5</f>
        <v>1236.97340124505</v>
      </c>
      <c r="T47" s="69" t="n">
        <f aca="false">MAX(0,MIN(1,R47/100+$D$5))</f>
        <v>0.359226755858876</v>
      </c>
      <c r="U47" s="69" t="n">
        <v>0.688737973967176</v>
      </c>
      <c r="V47" s="68" t="n">
        <v>1796</v>
      </c>
      <c r="W47" s="69" t="n">
        <v>0.0732058935918866</v>
      </c>
      <c r="X47" s="70" t="s">
        <v>193</v>
      </c>
      <c r="Y47" s="70" t="s">
        <v>194</v>
      </c>
    </row>
    <row r="48" customFormat="false" ht="15" hidden="false" customHeight="false" outlineLevel="0" collapsed="false">
      <c r="A48" s="32" t="s">
        <v>219</v>
      </c>
      <c r="B48" s="32" t="s">
        <v>233</v>
      </c>
      <c r="C48" s="32" t="s">
        <v>191</v>
      </c>
      <c r="D48" s="66" t="n">
        <f aca="false">ROUND(S48*T48,0)</f>
        <v>702</v>
      </c>
      <c r="E48" s="66" t="n">
        <f aca="false">ROUND(S48,0)-D48</f>
        <v>1490</v>
      </c>
      <c r="F48" s="66" t="n">
        <f aca="false">IF(COUNTA(D48:E48)=0,"",SUM(D48:E48))</f>
        <v>2192</v>
      </c>
      <c r="G48" s="47" t="n">
        <f aca="false">IF(OR(F48="",F48=0),"",D48/F48)</f>
        <v>0.320255474452555</v>
      </c>
      <c r="H48" s="47" t="n">
        <f aca="false">IF(OR(F48="",F48=0),"",E48/F48)</f>
        <v>0.679744525547445</v>
      </c>
      <c r="I48" s="32" t="s">
        <v>192</v>
      </c>
      <c r="J48" s="36" t="n">
        <v>1.3830443510296</v>
      </c>
      <c r="K48" s="36" t="n">
        <f aca="false">$K$8</f>
        <v>1.02561783880877</v>
      </c>
      <c r="L48" s="36" t="n">
        <f aca="false">SQRT(J48^2+K48^2)</f>
        <v>1.72183147497008</v>
      </c>
      <c r="M48" s="47" t="n">
        <f aca="false">IF(G48="","",MAX(0,G48-1.96*L48/100))</f>
        <v>0.286507577543141</v>
      </c>
      <c r="N48" s="47" t="n">
        <f aca="false">IF(G48="","",MIN(1,G48+1.96*L48/100))</f>
        <v>0.354003371361968</v>
      </c>
      <c r="O48" s="66" t="n">
        <f aca="false">ROUND(S48*W48,0)</f>
        <v>120</v>
      </c>
      <c r="P48" s="66" t="n">
        <f aca="false">IF(F48="","",ROUND(SQRT((F48*L48/100)^2+(G48*O48)^2),0))</f>
        <v>54</v>
      </c>
      <c r="R48" s="67" t="n">
        <v>-10.5008995834998</v>
      </c>
      <c r="S48" s="68" t="n">
        <f aca="false">U48*V48*$F$5</f>
        <v>2191.88036117382</v>
      </c>
      <c r="T48" s="69" t="n">
        <f aca="false">MAX(0,MIN(1,R48/100+$D$5))</f>
        <v>0.320089616208042</v>
      </c>
      <c r="U48" s="69" t="n">
        <v>0.694292163818123</v>
      </c>
      <c r="V48" s="68" t="n">
        <v>3157</v>
      </c>
      <c r="W48" s="69" t="n">
        <v>0.0547268472736556</v>
      </c>
      <c r="X48" s="70" t="s">
        <v>198</v>
      </c>
      <c r="Y48" s="70" t="s">
        <v>194</v>
      </c>
    </row>
    <row r="49" customFormat="false" ht="15" hidden="false" customHeight="false" outlineLevel="0" collapsed="false">
      <c r="A49" s="32" t="s">
        <v>219</v>
      </c>
      <c r="B49" s="32" t="s">
        <v>234</v>
      </c>
      <c r="C49" s="32" t="s">
        <v>191</v>
      </c>
      <c r="D49" s="66" t="n">
        <f aca="false">ROUND(S49*T49,0)</f>
        <v>809</v>
      </c>
      <c r="E49" s="66" t="n">
        <f aca="false">ROUND(S49,0)-D49</f>
        <v>704</v>
      </c>
      <c r="F49" s="66" t="n">
        <f aca="false">IF(COUNTA(D49:E49)=0,"",SUM(D49:E49))</f>
        <v>1513</v>
      </c>
      <c r="G49" s="47" t="n">
        <f aca="false">IF(OR(F49="",F49=0),"",D49/F49)</f>
        <v>0.534699272967614</v>
      </c>
      <c r="H49" s="47" t="n">
        <f aca="false">IF(OR(F49="",F49=0),"",E49/F49)</f>
        <v>0.465300727032386</v>
      </c>
      <c r="I49" s="32" t="s">
        <v>192</v>
      </c>
      <c r="J49" s="36" t="n">
        <v>1.3830443510296</v>
      </c>
      <c r="K49" s="36" t="n">
        <f aca="false">$K$8</f>
        <v>1.02561783880877</v>
      </c>
      <c r="L49" s="36" t="n">
        <f aca="false">SQRT(J49^2+K49^2)</f>
        <v>1.72183147497008</v>
      </c>
      <c r="M49" s="47" t="n">
        <f aca="false">IF(G49="","",MAX(0,G49-1.96*L49/100))</f>
        <v>0.5009513760582</v>
      </c>
      <c r="N49" s="47" t="n">
        <f aca="false">IF(G49="","",MIN(1,G49+1.96*L49/100))</f>
        <v>0.568447169877028</v>
      </c>
      <c r="O49" s="66" t="n">
        <f aca="false">ROUND(S49*W49,0)</f>
        <v>83</v>
      </c>
      <c r="P49" s="66" t="n">
        <f aca="false">IF(F49="","",ROUND(SQRT((F49*L49/100)^2+(G49*O49)^2),0))</f>
        <v>51</v>
      </c>
      <c r="R49" s="67" t="n">
        <v>10.9744722071615</v>
      </c>
      <c r="S49" s="68" t="n">
        <f aca="false">U49*V49*$F$5</f>
        <v>1512.74151436031</v>
      </c>
      <c r="T49" s="69" t="n">
        <f aca="false">MAX(0,MIN(1,R49/100+$D$5))</f>
        <v>0.534843334114654</v>
      </c>
      <c r="U49" s="69" t="n">
        <v>0.616187989556136</v>
      </c>
      <c r="V49" s="68" t="n">
        <v>2455</v>
      </c>
      <c r="W49" s="69" t="n">
        <v>0.0547268472736556</v>
      </c>
      <c r="X49" s="70" t="s">
        <v>198</v>
      </c>
      <c r="Y49" s="70" t="s">
        <v>194</v>
      </c>
    </row>
    <row r="50" customFormat="false" ht="15" hidden="false" customHeight="false" outlineLevel="0" collapsed="false">
      <c r="A50" s="32" t="s">
        <v>219</v>
      </c>
      <c r="B50" s="32" t="s">
        <v>235</v>
      </c>
      <c r="C50" s="32" t="s">
        <v>191</v>
      </c>
      <c r="D50" s="66" t="n">
        <f aca="false">ROUND(S50*T50,0)</f>
        <v>3207</v>
      </c>
      <c r="E50" s="66" t="n">
        <f aca="false">ROUND(S50,0)-D50</f>
        <v>4690</v>
      </c>
      <c r="F50" s="66" t="n">
        <f aca="false">IF(COUNTA(D50:E50)=0,"",SUM(D50:E50))</f>
        <v>7897</v>
      </c>
      <c r="G50" s="47" t="n">
        <f aca="false">IF(OR(F50="",F50=0),"",D50/F50)</f>
        <v>0.406103583639357</v>
      </c>
      <c r="H50" s="47" t="n">
        <f aca="false">IF(OR(F50="",F50=0),"",E50/F50)</f>
        <v>0.593896416360643</v>
      </c>
      <c r="I50" s="32" t="s">
        <v>192</v>
      </c>
      <c r="J50" s="36" t="n">
        <v>1.44439089223214</v>
      </c>
      <c r="K50" s="36" t="n">
        <f aca="false">$K$8</f>
        <v>1.02561783880877</v>
      </c>
      <c r="L50" s="36" t="n">
        <f aca="false">SQRT(J50^2+K50^2)</f>
        <v>1.77148440604085</v>
      </c>
      <c r="M50" s="47" t="n">
        <f aca="false">IF(G50="","",MAX(0,G50-1.96*L50/100))</f>
        <v>0.371382489280956</v>
      </c>
      <c r="N50" s="47" t="n">
        <f aca="false">IF(G50="","",MIN(1,G50+1.96*L50/100))</f>
        <v>0.440824677997757</v>
      </c>
      <c r="O50" s="66" t="n">
        <f aca="false">ROUND(S50*W50,0)</f>
        <v>384</v>
      </c>
      <c r="P50" s="66" t="n">
        <f aca="false">IF(F50="","",ROUND(SQRT((F50*L50/100)^2+(G50*O50)^2),0))</f>
        <v>209</v>
      </c>
      <c r="R50" s="67" t="n">
        <v>-1.90202051846315</v>
      </c>
      <c r="S50" s="68" t="n">
        <f aca="false">U50*V50*$F$5</f>
        <v>7896.5113304721</v>
      </c>
      <c r="T50" s="69" t="n">
        <f aca="false">MAX(0,MIN(1,R50/100+$D$5))</f>
        <v>0.406078406858408</v>
      </c>
      <c r="U50" s="69" t="n">
        <v>0.662403433476395</v>
      </c>
      <c r="V50" s="68" t="n">
        <v>11921</v>
      </c>
      <c r="W50" s="69" t="n">
        <v>0.0485820274397165</v>
      </c>
      <c r="X50" s="70" t="s">
        <v>214</v>
      </c>
      <c r="Y50" s="70" t="s">
        <v>194</v>
      </c>
    </row>
    <row r="51" customFormat="false" ht="15" hidden="false" customHeight="false" outlineLevel="0" collapsed="false">
      <c r="A51" s="32" t="s">
        <v>219</v>
      </c>
      <c r="B51" s="32" t="s">
        <v>236</v>
      </c>
      <c r="C51" s="32" t="s">
        <v>191</v>
      </c>
      <c r="D51" s="66" t="n">
        <f aca="false">ROUND(S51*T51,0)</f>
        <v>3186</v>
      </c>
      <c r="E51" s="66" t="n">
        <f aca="false">ROUND(S51,0)-D51</f>
        <v>3244</v>
      </c>
      <c r="F51" s="66" t="n">
        <f aca="false">IF(COUNTA(D51:E51)=0,"",SUM(D51:E51))</f>
        <v>6430</v>
      </c>
      <c r="G51" s="47" t="n">
        <f aca="false">IF(OR(F51="",F51=0),"",D51/F51)</f>
        <v>0.495489891135303</v>
      </c>
      <c r="H51" s="47" t="n">
        <f aca="false">IF(OR(F51="",F51=0),"",E51/F51)</f>
        <v>0.504510108864697</v>
      </c>
      <c r="I51" s="32" t="s">
        <v>192</v>
      </c>
      <c r="J51" s="36" t="n">
        <v>1.44439089223214</v>
      </c>
      <c r="K51" s="36" t="n">
        <f aca="false">$K$8</f>
        <v>1.02561783880877</v>
      </c>
      <c r="L51" s="36" t="n">
        <f aca="false">SQRT(J51^2+K51^2)</f>
        <v>1.77148440604085</v>
      </c>
      <c r="M51" s="47" t="n">
        <f aca="false">IF(G51="","",MAX(0,G51-1.96*L51/100))</f>
        <v>0.460768796776903</v>
      </c>
      <c r="N51" s="47" t="n">
        <f aca="false">IF(G51="","",MIN(1,G51+1.96*L51/100))</f>
        <v>0.530210985493704</v>
      </c>
      <c r="O51" s="66" t="n">
        <f aca="false">ROUND(S51*W51,0)</f>
        <v>312</v>
      </c>
      <c r="P51" s="66" t="n">
        <f aca="false">IF(F51="","",ROUND(SQRT((F51*L51/100)^2+(G51*O51)^2),0))</f>
        <v>192</v>
      </c>
      <c r="R51" s="67" t="n">
        <v>7.03619297918358</v>
      </c>
      <c r="S51" s="68" t="n">
        <f aca="false">U51*V51*$F$5</f>
        <v>6429.9709076009</v>
      </c>
      <c r="T51" s="69" t="n">
        <f aca="false">MAX(0,MIN(1,R51/100+$D$5))</f>
        <v>0.495460541834876</v>
      </c>
      <c r="U51" s="69" t="n">
        <v>0.652325343167384</v>
      </c>
      <c r="V51" s="68" t="n">
        <v>9857</v>
      </c>
      <c r="W51" s="69" t="n">
        <v>0.0485820274397165</v>
      </c>
      <c r="X51" s="70" t="s">
        <v>214</v>
      </c>
      <c r="Y51" s="70" t="s">
        <v>194</v>
      </c>
    </row>
    <row r="52" customFormat="false" ht="15" hidden="false" customHeight="false" outlineLevel="0" collapsed="false">
      <c r="A52" s="32" t="s">
        <v>219</v>
      </c>
      <c r="B52" s="32" t="s">
        <v>237</v>
      </c>
      <c r="C52" s="32" t="s">
        <v>191</v>
      </c>
      <c r="D52" s="66" t="n">
        <f aca="false">ROUND(S52*T52,0)</f>
        <v>592</v>
      </c>
      <c r="E52" s="66" t="n">
        <f aca="false">ROUND(S52,0)-D52</f>
        <v>798</v>
      </c>
      <c r="F52" s="66" t="n">
        <f aca="false">IF(COUNTA(D52:E52)=0,"",SUM(D52:E52))</f>
        <v>1390</v>
      </c>
      <c r="G52" s="47" t="n">
        <f aca="false">IF(OR(F52="",F52=0),"",D52/F52)</f>
        <v>0.42589928057554</v>
      </c>
      <c r="H52" s="47" t="n">
        <f aca="false">IF(OR(F52="",F52=0),"",E52/F52)</f>
        <v>0.57410071942446</v>
      </c>
      <c r="I52" s="32" t="s">
        <v>192</v>
      </c>
      <c r="J52" s="36" t="n">
        <v>1.3830443510296</v>
      </c>
      <c r="K52" s="36" t="n">
        <f aca="false">$K$8</f>
        <v>1.02561783880877</v>
      </c>
      <c r="L52" s="36" t="n">
        <f aca="false">SQRT(J52^2+K52^2)</f>
        <v>1.72183147497008</v>
      </c>
      <c r="M52" s="47" t="n">
        <f aca="false">IF(G52="","",MAX(0,G52-1.96*L52/100))</f>
        <v>0.392151383666126</v>
      </c>
      <c r="N52" s="47" t="n">
        <f aca="false">IF(G52="","",MIN(1,G52+1.96*L52/100))</f>
        <v>0.459647177484953</v>
      </c>
      <c r="O52" s="66" t="n">
        <f aca="false">ROUND(S52*W52,0)</f>
        <v>76</v>
      </c>
      <c r="P52" s="66" t="n">
        <f aca="false">IF(F52="","",ROUND(SQRT((F52*L52/100)^2+(G52*O52)^2),0))</f>
        <v>40</v>
      </c>
      <c r="R52" s="67" t="n">
        <v>0.0541058407325541</v>
      </c>
      <c r="S52" s="68" t="n">
        <f aca="false">U52*V52*$F$5</f>
        <v>1390.15942028986</v>
      </c>
      <c r="T52" s="69" t="n">
        <f aca="false">MAX(0,MIN(1,R52/100+$D$5))</f>
        <v>0.425639670450365</v>
      </c>
      <c r="U52" s="69" t="n">
        <v>0.529181355268312</v>
      </c>
      <c r="V52" s="68" t="n">
        <v>2627</v>
      </c>
      <c r="W52" s="69" t="n">
        <v>0.0547268472736556</v>
      </c>
      <c r="X52" s="70" t="s">
        <v>198</v>
      </c>
      <c r="Y52" s="70" t="s">
        <v>194</v>
      </c>
    </row>
    <row r="53" customFormat="false" ht="15" hidden="false" customHeight="false" outlineLevel="0" collapsed="false">
      <c r="A53" s="32" t="s">
        <v>219</v>
      </c>
      <c r="B53" s="32" t="s">
        <v>238</v>
      </c>
      <c r="C53" s="32" t="s">
        <v>191</v>
      </c>
      <c r="D53" s="66" t="n">
        <f aca="false">ROUND(S53*T53,0)</f>
        <v>5640</v>
      </c>
      <c r="E53" s="66" t="n">
        <f aca="false">ROUND(S53,0)-D53</f>
        <v>4846</v>
      </c>
      <c r="F53" s="66" t="n">
        <f aca="false">IF(COUNTA(D53:E53)=0,"",SUM(D53:E53))</f>
        <v>10486</v>
      </c>
      <c r="G53" s="47" t="n">
        <f aca="false">IF(OR(F53="",F53=0),"",D53/F53)</f>
        <v>0.53786000381461</v>
      </c>
      <c r="H53" s="47" t="n">
        <f aca="false">IF(OR(F53="",F53=0),"",E53/F53)</f>
        <v>0.46213999618539</v>
      </c>
      <c r="I53" s="32" t="s">
        <v>192</v>
      </c>
      <c r="J53" s="36" t="n">
        <v>1.44439089223214</v>
      </c>
      <c r="K53" s="36" t="n">
        <f aca="false">$K$8</f>
        <v>1.02561783880877</v>
      </c>
      <c r="L53" s="36" t="n">
        <f aca="false">SQRT(J53^2+K53^2)</f>
        <v>1.77148440604085</v>
      </c>
      <c r="M53" s="47" t="n">
        <f aca="false">IF(G53="","",MAX(0,G53-1.96*L53/100))</f>
        <v>0.503138909456209</v>
      </c>
      <c r="N53" s="47" t="n">
        <f aca="false">IF(G53="","",MIN(1,G53+1.96*L53/100))</f>
        <v>0.572581098173011</v>
      </c>
      <c r="O53" s="66" t="n">
        <f aca="false">ROUND(S53*W53,0)</f>
        <v>509</v>
      </c>
      <c r="P53" s="66" t="n">
        <f aca="false">IF(F53="","",ROUND(SQRT((F53*L53/100)^2+(G53*O53)^2),0))</f>
        <v>331</v>
      </c>
      <c r="R53" s="67" t="n">
        <v>11.2758198844166</v>
      </c>
      <c r="S53" s="68" t="n">
        <f aca="false">U53*V53*$F$5</f>
        <v>10486.1559171025</v>
      </c>
      <c r="T53" s="69" t="n">
        <f aca="false">MAX(0,MIN(1,R53/100+$D$5))</f>
        <v>0.537856810887206</v>
      </c>
      <c r="U53" s="69" t="n">
        <v>0.653302343598683</v>
      </c>
      <c r="V53" s="68" t="n">
        <v>16051</v>
      </c>
      <c r="W53" s="69" t="n">
        <v>0.0485820274397165</v>
      </c>
      <c r="X53" s="70" t="s">
        <v>214</v>
      </c>
      <c r="Y53" s="70" t="s">
        <v>194</v>
      </c>
    </row>
    <row r="54" customFormat="false" ht="15" hidden="false" customHeight="false" outlineLevel="0" collapsed="false">
      <c r="A54" s="32" t="s">
        <v>219</v>
      </c>
      <c r="B54" s="32" t="s">
        <v>239</v>
      </c>
      <c r="C54" s="32" t="s">
        <v>191</v>
      </c>
      <c r="D54" s="66" t="n">
        <f aca="false">ROUND(S54*T54,0)</f>
        <v>6235</v>
      </c>
      <c r="E54" s="66" t="n">
        <f aca="false">ROUND(S54,0)-D54</f>
        <v>5795</v>
      </c>
      <c r="F54" s="66" t="n">
        <f aca="false">IF(COUNTA(D54:E54)=0,"",SUM(D54:E54))</f>
        <v>12030</v>
      </c>
      <c r="G54" s="47" t="n">
        <f aca="false">IF(OR(F54="",F54=0),"",D54/F54)</f>
        <v>0.518287614297589</v>
      </c>
      <c r="H54" s="47" t="n">
        <f aca="false">IF(OR(F54="",F54=0),"",E54/F54)</f>
        <v>0.481712385702411</v>
      </c>
      <c r="I54" s="32" t="s">
        <v>192</v>
      </c>
      <c r="J54" s="36" t="n">
        <v>1.44439089223214</v>
      </c>
      <c r="K54" s="36" t="n">
        <f aca="false">$K$8</f>
        <v>1.02561783880877</v>
      </c>
      <c r="L54" s="36" t="n">
        <f aca="false">SQRT(J54^2+K54^2)</f>
        <v>1.77148440604085</v>
      </c>
      <c r="M54" s="47" t="n">
        <f aca="false">IF(G54="","",MAX(0,G54-1.96*L54/100))</f>
        <v>0.483566519939189</v>
      </c>
      <c r="N54" s="47" t="n">
        <f aca="false">IF(G54="","",MIN(1,G54+1.96*L54/100))</f>
        <v>0.55300870865599</v>
      </c>
      <c r="O54" s="66" t="n">
        <f aca="false">ROUND(S54*W54,0)</f>
        <v>584</v>
      </c>
      <c r="P54" s="66" t="n">
        <f aca="false">IF(F54="","",ROUND(SQRT((F54*L54/100)^2+(G54*O54)^2),0))</f>
        <v>370</v>
      </c>
      <c r="R54" s="67" t="n">
        <v>9.3170652612367</v>
      </c>
      <c r="S54" s="68" t="n">
        <f aca="false">U54*V54*$F$5</f>
        <v>12030.3346699902</v>
      </c>
      <c r="T54" s="69" t="n">
        <f aca="false">MAX(0,MIN(1,R54/100+$D$5))</f>
        <v>0.518269264655407</v>
      </c>
      <c r="U54" s="69" t="n">
        <v>0.610490950471443</v>
      </c>
      <c r="V54" s="68" t="n">
        <v>19706</v>
      </c>
      <c r="W54" s="69" t="n">
        <v>0.0485820274397165</v>
      </c>
      <c r="X54" s="70" t="s">
        <v>214</v>
      </c>
      <c r="Y54" s="70" t="s">
        <v>194</v>
      </c>
    </row>
    <row r="55" customFormat="false" ht="15" hidden="false" customHeight="false" outlineLevel="0" collapsed="false">
      <c r="A55" s="32" t="s">
        <v>219</v>
      </c>
      <c r="B55" s="32" t="s">
        <v>240</v>
      </c>
      <c r="C55" s="32" t="s">
        <v>191</v>
      </c>
      <c r="D55" s="66" t="n">
        <f aca="false">ROUND(S55*T55,0)</f>
        <v>1982</v>
      </c>
      <c r="E55" s="66" t="n">
        <f aca="false">ROUND(S55,0)-D55</f>
        <v>2632</v>
      </c>
      <c r="F55" s="66" t="n">
        <f aca="false">IF(COUNTA(D55:E55)=0,"",SUM(D55:E55))</f>
        <v>4614</v>
      </c>
      <c r="G55" s="47" t="n">
        <f aca="false">IF(OR(F55="",F55=0),"",D55/F55)</f>
        <v>0.429562201993932</v>
      </c>
      <c r="H55" s="47" t="n">
        <f aca="false">IF(OR(F55="",F55=0),"",E55/F55)</f>
        <v>0.570437798006069</v>
      </c>
      <c r="I55" s="32" t="s">
        <v>192</v>
      </c>
      <c r="J55" s="36" t="n">
        <v>1.44439089223214</v>
      </c>
      <c r="K55" s="36" t="n">
        <f aca="false">$K$8</f>
        <v>1.02561783880877</v>
      </c>
      <c r="L55" s="36" t="n">
        <f aca="false">SQRT(J55^2+K55^2)</f>
        <v>1.77148440604085</v>
      </c>
      <c r="M55" s="47" t="n">
        <f aca="false">IF(G55="","",MAX(0,G55-1.96*L55/100))</f>
        <v>0.394841107635531</v>
      </c>
      <c r="N55" s="47" t="n">
        <f aca="false">IF(G55="","",MIN(1,G55+1.96*L55/100))</f>
        <v>0.464283296352332</v>
      </c>
      <c r="O55" s="66" t="n">
        <f aca="false">ROUND(S55*W55,0)</f>
        <v>224</v>
      </c>
      <c r="P55" s="66" t="n">
        <f aca="false">IF(F55="","",ROUND(SQRT((F55*L55/100)^2+(G55*O55)^2),0))</f>
        <v>126</v>
      </c>
      <c r="R55" s="67" t="n">
        <v>0.441629568711476</v>
      </c>
      <c r="S55" s="68" t="n">
        <f aca="false">U55*V55*$F$5</f>
        <v>4613.50991276765</v>
      </c>
      <c r="T55" s="69" t="n">
        <f aca="false">MAX(0,MIN(1,R55/100+$D$5))</f>
        <v>0.429514907730155</v>
      </c>
      <c r="U55" s="69" t="n">
        <v>0.71086439333862</v>
      </c>
      <c r="V55" s="68" t="n">
        <v>6490</v>
      </c>
      <c r="W55" s="69" t="n">
        <v>0.0485820274397165</v>
      </c>
      <c r="X55" s="70" t="s">
        <v>214</v>
      </c>
      <c r="Y55" s="70" t="s">
        <v>194</v>
      </c>
    </row>
    <row r="56" customFormat="false" ht="15" hidden="false" customHeight="false" outlineLevel="0" collapsed="false">
      <c r="A56" s="32" t="s">
        <v>219</v>
      </c>
      <c r="B56" s="32" t="s">
        <v>241</v>
      </c>
      <c r="C56" s="32" t="s">
        <v>191</v>
      </c>
      <c r="D56" s="66" t="n">
        <f aca="false">ROUND(S56*T56,0)</f>
        <v>4577</v>
      </c>
      <c r="E56" s="66" t="n">
        <f aca="false">ROUND(S56,0)-D56</f>
        <v>4767</v>
      </c>
      <c r="F56" s="66" t="n">
        <f aca="false">IF(COUNTA(D56:E56)=0,"",SUM(D56:E56))</f>
        <v>9344</v>
      </c>
      <c r="G56" s="47" t="n">
        <f aca="false">IF(OR(F56="",F56=0),"",D56/F56)</f>
        <v>0.489833047945206</v>
      </c>
      <c r="H56" s="47" t="n">
        <f aca="false">IF(OR(F56="",F56=0),"",E56/F56)</f>
        <v>0.510166952054795</v>
      </c>
      <c r="I56" s="32" t="s">
        <v>192</v>
      </c>
      <c r="J56" s="36" t="n">
        <v>1.44439089223214</v>
      </c>
      <c r="K56" s="36" t="n">
        <f aca="false">$K$8</f>
        <v>1.02561783880877</v>
      </c>
      <c r="L56" s="36" t="n">
        <f aca="false">SQRT(J56^2+K56^2)</f>
        <v>1.77148440604085</v>
      </c>
      <c r="M56" s="47" t="n">
        <f aca="false">IF(G56="","",MAX(0,G56-1.96*L56/100))</f>
        <v>0.455111953586805</v>
      </c>
      <c r="N56" s="47" t="n">
        <f aca="false">IF(G56="","",MIN(1,G56+1.96*L56/100))</f>
        <v>0.524554142303606</v>
      </c>
      <c r="O56" s="66" t="n">
        <f aca="false">ROUND(S56*W56,0)</f>
        <v>454</v>
      </c>
      <c r="P56" s="66" t="n">
        <f aca="false">IF(F56="","",ROUND(SQRT((F56*L56/100)^2+(G56*O56)^2),0))</f>
        <v>277</v>
      </c>
      <c r="R56" s="67" t="n">
        <v>6.47076100260339</v>
      </c>
      <c r="S56" s="68" t="n">
        <f aca="false">U56*V56*$F$5</f>
        <v>9343.93860561915</v>
      </c>
      <c r="T56" s="69" t="n">
        <f aca="false">MAX(0,MIN(1,R56/100+$D$5))</f>
        <v>0.489806222069074</v>
      </c>
      <c r="U56" s="69" t="n">
        <v>0.702393340270552</v>
      </c>
      <c r="V56" s="68" t="n">
        <v>13303</v>
      </c>
      <c r="W56" s="69" t="n">
        <v>0.0485820274397165</v>
      </c>
      <c r="X56" s="70" t="s">
        <v>214</v>
      </c>
      <c r="Y56" s="70" t="s">
        <v>194</v>
      </c>
    </row>
    <row r="57" customFormat="false" ht="15" hidden="false" customHeight="false" outlineLevel="0" collapsed="false">
      <c r="A57" s="32" t="s">
        <v>219</v>
      </c>
      <c r="B57" s="32" t="s">
        <v>242</v>
      </c>
      <c r="C57" s="32" t="s">
        <v>191</v>
      </c>
      <c r="D57" s="66" t="n">
        <f aca="false">ROUND(S57*T57,0)</f>
        <v>1024</v>
      </c>
      <c r="E57" s="66" t="n">
        <f aca="false">ROUND(S57,0)-D57</f>
        <v>2079</v>
      </c>
      <c r="F57" s="66" t="n">
        <f aca="false">IF(COUNTA(D57:E57)=0,"",SUM(D57:E57))</f>
        <v>3103</v>
      </c>
      <c r="G57" s="47" t="n">
        <f aca="false">IF(OR(F57="",F57=0),"",D57/F57)</f>
        <v>0.330003222687722</v>
      </c>
      <c r="H57" s="47" t="n">
        <f aca="false">IF(OR(F57="",F57=0),"",E57/F57)</f>
        <v>0.669996777312279</v>
      </c>
      <c r="I57" s="32" t="s">
        <v>192</v>
      </c>
      <c r="J57" s="36" t="n">
        <v>1.44439089223214</v>
      </c>
      <c r="K57" s="36" t="n">
        <f aca="false">$K$8</f>
        <v>1.02561783880877</v>
      </c>
      <c r="L57" s="36" t="n">
        <f aca="false">SQRT(J57^2+K57^2)</f>
        <v>1.77148440604085</v>
      </c>
      <c r="M57" s="47" t="n">
        <f aca="false">IF(G57="","",MAX(0,G57-1.96*L57/100))</f>
        <v>0.295282128329321</v>
      </c>
      <c r="N57" s="47" t="n">
        <f aca="false">IF(G57="","",MIN(1,G57+1.96*L57/100))</f>
        <v>0.364724317046122</v>
      </c>
      <c r="O57" s="66" t="n">
        <f aca="false">ROUND(S57*W57,0)</f>
        <v>151</v>
      </c>
      <c r="P57" s="66" t="n">
        <f aca="false">IF(F57="","",ROUND(SQRT((F57*L57/100)^2+(G57*O57)^2),0))</f>
        <v>74</v>
      </c>
      <c r="R57" s="67" t="n">
        <v>-9.49834740027027</v>
      </c>
      <c r="S57" s="68" t="n">
        <f aca="false">U57*V57*$F$5</f>
        <v>3102.86358754028</v>
      </c>
      <c r="T57" s="69" t="n">
        <f aca="false">MAX(0,MIN(1,R57/100+$D$5))</f>
        <v>0.330115138040337</v>
      </c>
      <c r="U57" s="69" t="n">
        <v>0.645757250268529</v>
      </c>
      <c r="V57" s="68" t="n">
        <v>4805</v>
      </c>
      <c r="W57" s="69" t="n">
        <v>0.0485820274397165</v>
      </c>
      <c r="X57" s="70" t="s">
        <v>214</v>
      </c>
      <c r="Y57" s="70" t="s">
        <v>194</v>
      </c>
    </row>
    <row r="58" customFormat="false" ht="15" hidden="false" customHeight="false" outlineLevel="0" collapsed="false">
      <c r="A58" s="32" t="s">
        <v>219</v>
      </c>
      <c r="B58" s="32" t="s">
        <v>243</v>
      </c>
      <c r="C58" s="32" t="s">
        <v>191</v>
      </c>
      <c r="D58" s="66" t="n">
        <f aca="false">ROUND(S58*T58,0)</f>
        <v>959</v>
      </c>
      <c r="E58" s="66" t="n">
        <f aca="false">ROUND(S58,0)-D58</f>
        <v>1781</v>
      </c>
      <c r="F58" s="66" t="n">
        <f aca="false">IF(COUNTA(D58:E58)=0,"",SUM(D58:E58))</f>
        <v>2740</v>
      </c>
      <c r="G58" s="47" t="n">
        <f aca="false">IF(OR(F58="",F58=0),"",D58/F58)</f>
        <v>0.35</v>
      </c>
      <c r="H58" s="47" t="n">
        <f aca="false">IF(OR(F58="",F58=0),"",E58/F58)</f>
        <v>0.65</v>
      </c>
      <c r="I58" s="32" t="s">
        <v>192</v>
      </c>
      <c r="J58" s="36" t="n">
        <v>1.3830443510296</v>
      </c>
      <c r="K58" s="36" t="n">
        <f aca="false">$K$8</f>
        <v>1.02561783880877</v>
      </c>
      <c r="L58" s="36" t="n">
        <f aca="false">SQRT(J58^2+K58^2)</f>
        <v>1.72183147497008</v>
      </c>
      <c r="M58" s="47" t="n">
        <f aca="false">IF(G58="","",MAX(0,G58-1.96*L58/100))</f>
        <v>0.316252103090586</v>
      </c>
      <c r="N58" s="47" t="n">
        <f aca="false">IF(G58="","",MIN(1,G58+1.96*L58/100))</f>
        <v>0.383747896909414</v>
      </c>
      <c r="O58" s="66" t="n">
        <f aca="false">ROUND(S58*W58,0)</f>
        <v>150</v>
      </c>
      <c r="P58" s="66" t="n">
        <f aca="false">IF(F58="","",ROUND(SQRT((F58*L58/100)^2+(G58*O58)^2),0))</f>
        <v>71</v>
      </c>
      <c r="R58" s="67" t="n">
        <v>-7.50451547399094</v>
      </c>
      <c r="S58" s="68" t="n">
        <f aca="false">U58*V58*$F$5</f>
        <v>2739.5017118778</v>
      </c>
      <c r="T58" s="69" t="n">
        <f aca="false">MAX(0,MIN(1,R58/100+$D$5))</f>
        <v>0.35005345730313</v>
      </c>
      <c r="U58" s="69" t="n">
        <v>0.708980774295496</v>
      </c>
      <c r="V58" s="68" t="n">
        <v>3864</v>
      </c>
      <c r="W58" s="69" t="n">
        <v>0.0547268472736556</v>
      </c>
      <c r="X58" s="70" t="s">
        <v>198</v>
      </c>
      <c r="Y58" s="70" t="s">
        <v>194</v>
      </c>
    </row>
    <row r="59" customFormat="false" ht="15" hidden="false" customHeight="false" outlineLevel="0" collapsed="false">
      <c r="A59" s="32" t="s">
        <v>219</v>
      </c>
      <c r="B59" s="32" t="s">
        <v>244</v>
      </c>
      <c r="C59" s="32" t="s">
        <v>191</v>
      </c>
      <c r="D59" s="66" t="n">
        <f aca="false">ROUND(S59*T59,0)</f>
        <v>5521</v>
      </c>
      <c r="E59" s="66" t="n">
        <f aca="false">ROUND(S59,0)-D59</f>
        <v>4983</v>
      </c>
      <c r="F59" s="66" t="n">
        <f aca="false">IF(COUNTA(D59:E59)=0,"",SUM(D59:E59))</f>
        <v>10504</v>
      </c>
      <c r="G59" s="47" t="n">
        <f aca="false">IF(OR(F59="",F59=0),"",D59/F59)</f>
        <v>0.525609291698401</v>
      </c>
      <c r="H59" s="47" t="n">
        <f aca="false">IF(OR(F59="",F59=0),"",E59/F59)</f>
        <v>0.474390708301599</v>
      </c>
      <c r="I59" s="32" t="s">
        <v>192</v>
      </c>
      <c r="J59" s="36" t="n">
        <v>1.44439089223214</v>
      </c>
      <c r="K59" s="36" t="n">
        <f aca="false">$K$8</f>
        <v>1.02561783880877</v>
      </c>
      <c r="L59" s="36" t="n">
        <f aca="false">SQRT(J59^2+K59^2)</f>
        <v>1.77148440604085</v>
      </c>
      <c r="M59" s="47" t="n">
        <f aca="false">IF(G59="","",MAX(0,G59-1.96*L59/100))</f>
        <v>0.49088819734</v>
      </c>
      <c r="N59" s="47" t="n">
        <f aca="false">IF(G59="","",MIN(1,G59+1.96*L59/100))</f>
        <v>0.560330386056801</v>
      </c>
      <c r="O59" s="66" t="n">
        <f aca="false">ROUND(S59*W59,0)</f>
        <v>510</v>
      </c>
      <c r="P59" s="66" t="n">
        <f aca="false">IF(F59="","",ROUND(SQRT((F59*L59/100)^2+(G59*O59)^2),0))</f>
        <v>326</v>
      </c>
      <c r="R59" s="67" t="n">
        <v>10.0518814654291</v>
      </c>
      <c r="S59" s="68" t="n">
        <f aca="false">U59*V59*$F$5</f>
        <v>10504.2978562557</v>
      </c>
      <c r="T59" s="69" t="n">
        <f aca="false">MAX(0,MIN(1,R59/100+$D$5))</f>
        <v>0.52561742669733</v>
      </c>
      <c r="U59" s="69" t="n">
        <v>0.555753550407689</v>
      </c>
      <c r="V59" s="68" t="n">
        <v>18901</v>
      </c>
      <c r="W59" s="69" t="n">
        <v>0.0485820274397165</v>
      </c>
      <c r="X59" s="70" t="s">
        <v>214</v>
      </c>
      <c r="Y59" s="70" t="s">
        <v>194</v>
      </c>
    </row>
    <row r="60" customFormat="false" ht="15" hidden="false" customHeight="false" outlineLevel="0" collapsed="false">
      <c r="A60" s="32" t="s">
        <v>245</v>
      </c>
      <c r="B60" s="32" t="s">
        <v>246</v>
      </c>
      <c r="C60" s="32" t="s">
        <v>191</v>
      </c>
      <c r="D60" s="66" t="n">
        <f aca="false">ROUND(S60*T60,0)</f>
        <v>381</v>
      </c>
      <c r="E60" s="66" t="n">
        <f aca="false">ROUND(S60,0)-D60</f>
        <v>853</v>
      </c>
      <c r="F60" s="66" t="n">
        <f aca="false">IF(COUNTA(D60:E60)=0,"",SUM(D60:E60))</f>
        <v>1234</v>
      </c>
      <c r="G60" s="47" t="n">
        <f aca="false">IF(OR(F60="",F60=0),"",D60/F60)</f>
        <v>0.308752025931929</v>
      </c>
      <c r="H60" s="47" t="n">
        <f aca="false">IF(OR(F60="",F60=0),"",E60/F60)</f>
        <v>0.691247974068071</v>
      </c>
      <c r="I60" s="32" t="s">
        <v>192</v>
      </c>
      <c r="J60" s="36" t="n">
        <v>2.6727769877146</v>
      </c>
      <c r="K60" s="36" t="n">
        <f aca="false">$K$8</f>
        <v>1.02561783880877</v>
      </c>
      <c r="L60" s="36" t="n">
        <f aca="false">SQRT(J60^2+K60^2)</f>
        <v>2.86280086232688</v>
      </c>
      <c r="M60" s="47" t="n">
        <f aca="false">IF(G60="","",MAX(0,G60-1.96*L60/100))</f>
        <v>0.252641129030322</v>
      </c>
      <c r="N60" s="47" t="n">
        <f aca="false">IF(G60="","",MIN(1,G60+1.96*L60/100))</f>
        <v>0.364862922833535</v>
      </c>
      <c r="O60" s="66" t="n">
        <f aca="false">ROUND(S60*W60,0)</f>
        <v>90</v>
      </c>
      <c r="P60" s="66" t="n">
        <f aca="false">IF(F60="","",ROUND(SQRT((F60*L60/100)^2+(G60*O60)^2),0))</f>
        <v>45</v>
      </c>
      <c r="R60" s="67" t="n">
        <v>-11.6527362620036</v>
      </c>
      <c r="S60" s="68" t="n">
        <f aca="false">U60*V60*$F$5</f>
        <v>1234.45226917058</v>
      </c>
      <c r="T60" s="69" t="n">
        <f aca="false">MAX(0,MIN(1,R60/100+$D$5))</f>
        <v>0.308571249423003</v>
      </c>
      <c r="U60" s="69" t="n">
        <v>0.618153364632238</v>
      </c>
      <c r="V60" s="68" t="n">
        <v>1997</v>
      </c>
      <c r="W60" s="69" t="n">
        <v>0.0732058935918866</v>
      </c>
      <c r="X60" s="70" t="s">
        <v>193</v>
      </c>
      <c r="Y60" s="70" t="s">
        <v>194</v>
      </c>
    </row>
    <row r="61" customFormat="false" ht="15" hidden="false" customHeight="false" outlineLevel="0" collapsed="false">
      <c r="A61" s="32" t="s">
        <v>245</v>
      </c>
      <c r="B61" s="32" t="s">
        <v>247</v>
      </c>
      <c r="C61" s="32" t="s">
        <v>191</v>
      </c>
      <c r="D61" s="66" t="n">
        <f aca="false">ROUND(S61*T61,0)</f>
        <v>1102</v>
      </c>
      <c r="E61" s="66" t="n">
        <f aca="false">ROUND(S61,0)-D61</f>
        <v>2048</v>
      </c>
      <c r="F61" s="66" t="n">
        <f aca="false">IF(COUNTA(D61:E61)=0,"",SUM(D61:E61))</f>
        <v>3150</v>
      </c>
      <c r="G61" s="47" t="n">
        <f aca="false">IF(OR(F61="",F61=0),"",D61/F61)</f>
        <v>0.34984126984127</v>
      </c>
      <c r="H61" s="47" t="n">
        <f aca="false">IF(OR(F61="",F61=0),"",E61/F61)</f>
        <v>0.65015873015873</v>
      </c>
      <c r="I61" s="32" t="s">
        <v>192</v>
      </c>
      <c r="J61" s="36" t="n">
        <v>1.44439089223214</v>
      </c>
      <c r="K61" s="36" t="n">
        <f aca="false">$K$8</f>
        <v>1.02561783880877</v>
      </c>
      <c r="L61" s="36" t="n">
        <f aca="false">SQRT(J61^2+K61^2)</f>
        <v>1.77148440604085</v>
      </c>
      <c r="M61" s="47" t="n">
        <f aca="false">IF(G61="","",MAX(0,G61-1.96*L61/100))</f>
        <v>0.315120175482869</v>
      </c>
      <c r="N61" s="47" t="n">
        <f aca="false">IF(G61="","",MIN(1,G61+1.96*L61/100))</f>
        <v>0.384562364199671</v>
      </c>
      <c r="O61" s="66" t="n">
        <f aca="false">ROUND(S61*W61,0)</f>
        <v>153</v>
      </c>
      <c r="P61" s="66" t="n">
        <f aca="false">IF(F61="","",ROUND(SQRT((F61*L61/100)^2+(G61*O61)^2),0))</f>
        <v>77</v>
      </c>
      <c r="R61" s="67" t="n">
        <v>-7.54554436120509</v>
      </c>
      <c r="S61" s="68" t="n">
        <f aca="false">U61*V61*$F$5</f>
        <v>3150.44851429639</v>
      </c>
      <c r="T61" s="69" t="n">
        <f aca="false">MAX(0,MIN(1,R61/100+$D$5))</f>
        <v>0.349643168430989</v>
      </c>
      <c r="U61" s="69" t="n">
        <v>0.56157727527565</v>
      </c>
      <c r="V61" s="68" t="n">
        <v>5610</v>
      </c>
      <c r="W61" s="69" t="n">
        <v>0.0485820274397165</v>
      </c>
      <c r="X61" s="70" t="s">
        <v>214</v>
      </c>
      <c r="Y61" s="70" t="s">
        <v>194</v>
      </c>
    </row>
    <row r="62" customFormat="false" ht="15" hidden="false" customHeight="false" outlineLevel="0" collapsed="false">
      <c r="A62" s="32" t="s">
        <v>245</v>
      </c>
      <c r="B62" s="32" t="s">
        <v>248</v>
      </c>
      <c r="C62" s="32" t="s">
        <v>191</v>
      </c>
      <c r="D62" s="66" t="n">
        <f aca="false">ROUND(S62*T62,0)</f>
        <v>408</v>
      </c>
      <c r="E62" s="66" t="n">
        <f aca="false">ROUND(S62,0)-D62</f>
        <v>763</v>
      </c>
      <c r="F62" s="66" t="n">
        <f aca="false">IF(COUNTA(D62:E62)=0,"",SUM(D62:E62))</f>
        <v>1171</v>
      </c>
      <c r="G62" s="47" t="n">
        <f aca="false">IF(OR(F62="",F62=0),"",D62/F62)</f>
        <v>0.348420153714774</v>
      </c>
      <c r="H62" s="47" t="n">
        <f aca="false">IF(OR(F62="",F62=0),"",E62/F62)</f>
        <v>0.651579846285226</v>
      </c>
      <c r="I62" s="32" t="s">
        <v>192</v>
      </c>
      <c r="J62" s="36" t="n">
        <v>2.6727769877146</v>
      </c>
      <c r="K62" s="36" t="n">
        <f aca="false">$K$8</f>
        <v>1.02561783880877</v>
      </c>
      <c r="L62" s="36" t="n">
        <f aca="false">SQRT(J62^2+K62^2)</f>
        <v>2.86280086232688</v>
      </c>
      <c r="M62" s="47" t="n">
        <f aca="false">IF(G62="","",MAX(0,G62-1.96*L62/100))</f>
        <v>0.292309256813167</v>
      </c>
      <c r="N62" s="47" t="n">
        <f aca="false">IF(G62="","",MIN(1,G62+1.96*L62/100))</f>
        <v>0.40453105061638</v>
      </c>
      <c r="O62" s="66" t="n">
        <f aca="false">ROUND(S62*W62,0)</f>
        <v>86</v>
      </c>
      <c r="P62" s="66" t="n">
        <f aca="false">IF(F62="","",ROUND(SQRT((F62*L62/100)^2+(G62*O62)^2),0))</f>
        <v>45</v>
      </c>
      <c r="R62" s="67" t="n">
        <v>-7.67639152505918</v>
      </c>
      <c r="S62" s="68" t="n">
        <f aca="false">U62*V62*$F$5</f>
        <v>1170.82273494654</v>
      </c>
      <c r="T62" s="69" t="n">
        <f aca="false">MAX(0,MIN(1,R62/100+$D$5))</f>
        <v>0.348334696792448</v>
      </c>
      <c r="U62" s="69" t="n">
        <v>0.625773776027012</v>
      </c>
      <c r="V62" s="68" t="n">
        <v>1871</v>
      </c>
      <c r="W62" s="69" t="n">
        <v>0.0732058935918866</v>
      </c>
      <c r="X62" s="70" t="s">
        <v>193</v>
      </c>
      <c r="Y62" s="70" t="s">
        <v>194</v>
      </c>
    </row>
    <row r="63" customFormat="false" ht="15" hidden="false" customHeight="false" outlineLevel="0" collapsed="false">
      <c r="A63" s="32" t="s">
        <v>249</v>
      </c>
      <c r="B63" s="32" t="s">
        <v>250</v>
      </c>
      <c r="C63" s="32" t="s">
        <v>191</v>
      </c>
      <c r="D63" s="66" t="n">
        <f aca="false">ROUND(S63*T63,0)</f>
        <v>1170</v>
      </c>
      <c r="E63" s="66" t="n">
        <f aca="false">ROUND(S63,0)-D63</f>
        <v>1537</v>
      </c>
      <c r="F63" s="66" t="n">
        <f aca="false">IF(COUNTA(D63:E63)=0,"",SUM(D63:E63))</f>
        <v>2707</v>
      </c>
      <c r="G63" s="47" t="n">
        <f aca="false">IF(OR(F63="",F63=0),"",D63/F63)</f>
        <v>0.432212781677133</v>
      </c>
      <c r="H63" s="47" t="n">
        <f aca="false">IF(OR(F63="",F63=0),"",E63/F63)</f>
        <v>0.567787218322867</v>
      </c>
      <c r="I63" s="32" t="s">
        <v>192</v>
      </c>
      <c r="J63" s="36" t="n">
        <v>1.3830443510296</v>
      </c>
      <c r="K63" s="36" t="n">
        <f aca="false">$K$8</f>
        <v>1.02561783880877</v>
      </c>
      <c r="L63" s="36" t="n">
        <f aca="false">SQRT(J63^2+K63^2)</f>
        <v>1.72183147497008</v>
      </c>
      <c r="M63" s="47" t="n">
        <f aca="false">IF(G63="","",MAX(0,G63-1.96*L63/100))</f>
        <v>0.39846488476772</v>
      </c>
      <c r="N63" s="47" t="n">
        <f aca="false">IF(G63="","",MIN(1,G63+1.96*L63/100))</f>
        <v>0.465960678586547</v>
      </c>
      <c r="O63" s="66" t="n">
        <f aca="false">ROUND(S63*W63,0)</f>
        <v>148</v>
      </c>
      <c r="P63" s="66" t="n">
        <f aca="false">IF(F63="","",ROUND(SQRT((F63*L63/100)^2+(G63*O63)^2),0))</f>
        <v>79</v>
      </c>
      <c r="R63" s="67" t="n">
        <v>0.688463956138117</v>
      </c>
      <c r="S63" s="68" t="n">
        <f aca="false">U63*V63*$F$5</f>
        <v>2707.41725054361</v>
      </c>
      <c r="T63" s="69" t="n">
        <f aca="false">MAX(0,MIN(1,R63/100+$D$5))</f>
        <v>0.431983251604421</v>
      </c>
      <c r="U63" s="69" t="n">
        <v>0.628171055810582</v>
      </c>
      <c r="V63" s="68" t="n">
        <v>4310</v>
      </c>
      <c r="W63" s="69" t="n">
        <v>0.0547268472736556</v>
      </c>
      <c r="X63" s="70" t="s">
        <v>198</v>
      </c>
      <c r="Y63" s="70" t="s">
        <v>194</v>
      </c>
    </row>
    <row r="64" customFormat="false" ht="15" hidden="false" customHeight="false" outlineLevel="0" collapsed="false">
      <c r="A64" s="32" t="s">
        <v>249</v>
      </c>
      <c r="B64" s="32" t="s">
        <v>251</v>
      </c>
      <c r="C64" s="32" t="s">
        <v>191</v>
      </c>
      <c r="D64" s="66" t="n">
        <f aca="false">ROUND(S64*T64,0)</f>
        <v>710</v>
      </c>
      <c r="E64" s="66" t="n">
        <f aca="false">ROUND(S64,0)-D64</f>
        <v>978</v>
      </c>
      <c r="F64" s="66" t="n">
        <f aca="false">IF(COUNTA(D64:E64)=0,"",SUM(D64:E64))</f>
        <v>1688</v>
      </c>
      <c r="G64" s="47" t="n">
        <f aca="false">IF(OR(F64="",F64=0),"",D64/F64)</f>
        <v>0.420616113744076</v>
      </c>
      <c r="H64" s="47" t="n">
        <f aca="false">IF(OR(F64="",F64=0),"",E64/F64)</f>
        <v>0.579383886255924</v>
      </c>
      <c r="I64" s="32" t="s">
        <v>192</v>
      </c>
      <c r="J64" s="36" t="n">
        <v>1.3830443510296</v>
      </c>
      <c r="K64" s="36" t="n">
        <f aca="false">$K$8</f>
        <v>1.02561783880877</v>
      </c>
      <c r="L64" s="36" t="n">
        <f aca="false">SQRT(J64^2+K64^2)</f>
        <v>1.72183147497008</v>
      </c>
      <c r="M64" s="47" t="n">
        <f aca="false">IF(G64="","",MAX(0,G64-1.96*L64/100))</f>
        <v>0.386868216834662</v>
      </c>
      <c r="N64" s="47" t="n">
        <f aca="false">IF(G64="","",MIN(1,G64+1.96*L64/100))</f>
        <v>0.454364010653489</v>
      </c>
      <c r="O64" s="66" t="n">
        <f aca="false">ROUND(S64*W64,0)</f>
        <v>92</v>
      </c>
      <c r="P64" s="66" t="n">
        <f aca="false">IF(F64="","",ROUND(SQRT((F64*L64/100)^2+(G64*O64)^2),0))</f>
        <v>48</v>
      </c>
      <c r="R64" s="67" t="n">
        <v>-0.437965493672494</v>
      </c>
      <c r="S64" s="68" t="n">
        <f aca="false">U64*V64*$F$5</f>
        <v>1687.9765578635</v>
      </c>
      <c r="T64" s="69" t="n">
        <f aca="false">MAX(0,MIN(1,R64/100+$D$5))</f>
        <v>0.420718957106315</v>
      </c>
      <c r="U64" s="69" t="n">
        <v>0.491691394658754</v>
      </c>
      <c r="V64" s="68" t="n">
        <v>3433</v>
      </c>
      <c r="W64" s="69" t="n">
        <v>0.0547268472736556</v>
      </c>
      <c r="X64" s="70" t="s">
        <v>198</v>
      </c>
      <c r="Y64" s="70" t="s">
        <v>194</v>
      </c>
    </row>
    <row r="65" customFormat="false" ht="15" hidden="false" customHeight="false" outlineLevel="0" collapsed="false">
      <c r="A65" s="32" t="s">
        <v>249</v>
      </c>
      <c r="B65" s="32" t="s">
        <v>252</v>
      </c>
      <c r="C65" s="32" t="s">
        <v>191</v>
      </c>
      <c r="D65" s="66" t="n">
        <f aca="false">ROUND(S65*T65,0)</f>
        <v>467</v>
      </c>
      <c r="E65" s="66" t="n">
        <f aca="false">ROUND(S65,0)-D65</f>
        <v>549</v>
      </c>
      <c r="F65" s="66" t="n">
        <f aca="false">IF(COUNTA(D65:E65)=0,"",SUM(D65:E65))</f>
        <v>1016</v>
      </c>
      <c r="G65" s="47" t="n">
        <f aca="false">IF(OR(F65="",F65=0),"",D65/F65)</f>
        <v>0.459645669291339</v>
      </c>
      <c r="H65" s="47" t="n">
        <f aca="false">IF(OR(F65="",F65=0),"",E65/F65)</f>
        <v>0.540354330708662</v>
      </c>
      <c r="I65" s="32" t="s">
        <v>192</v>
      </c>
      <c r="J65" s="36" t="n">
        <v>2.6727769877146</v>
      </c>
      <c r="K65" s="36" t="n">
        <f aca="false">$K$8</f>
        <v>1.02561783880877</v>
      </c>
      <c r="L65" s="36" t="n">
        <f aca="false">SQRT(J65^2+K65^2)</f>
        <v>2.86280086232688</v>
      </c>
      <c r="M65" s="47" t="n">
        <f aca="false">IF(G65="","",MAX(0,G65-1.96*L65/100))</f>
        <v>0.403534772389732</v>
      </c>
      <c r="N65" s="47" t="n">
        <f aca="false">IF(G65="","",MIN(1,G65+1.96*L65/100))</f>
        <v>0.515756566192945</v>
      </c>
      <c r="O65" s="66" t="n">
        <f aca="false">ROUND(S65*W65,0)</f>
        <v>74</v>
      </c>
      <c r="P65" s="66" t="n">
        <f aca="false">IF(F65="","",ROUND(SQRT((F65*L65/100)^2+(G65*O65)^2),0))</f>
        <v>45</v>
      </c>
      <c r="R65" s="67" t="n">
        <v>3.44948279302841</v>
      </c>
      <c r="S65" s="68" t="n">
        <f aca="false">U65*V65*$F$5</f>
        <v>1015.97556912826</v>
      </c>
      <c r="T65" s="69" t="n">
        <f aca="false">MAX(0,MIN(1,R65/100+$D$5))</f>
        <v>0.459593439973324</v>
      </c>
      <c r="U65" s="69" t="n">
        <v>0.529705719044975</v>
      </c>
      <c r="V65" s="68" t="n">
        <v>1918</v>
      </c>
      <c r="W65" s="69" t="n">
        <v>0.0732058935918866</v>
      </c>
      <c r="X65" s="70" t="s">
        <v>193</v>
      </c>
      <c r="Y65" s="70" t="s">
        <v>194</v>
      </c>
    </row>
    <row r="66" customFormat="false" ht="15" hidden="false" customHeight="false" outlineLevel="0" collapsed="false">
      <c r="A66" s="32" t="s">
        <v>249</v>
      </c>
      <c r="B66" s="32" t="s">
        <v>222</v>
      </c>
      <c r="C66" s="32" t="s">
        <v>191</v>
      </c>
      <c r="D66" s="66" t="n">
        <f aca="false">ROUND(S66*T66,0)</f>
        <v>12705</v>
      </c>
      <c r="E66" s="66" t="n">
        <f aca="false">ROUND(S66,0)-D66</f>
        <v>6267</v>
      </c>
      <c r="F66" s="66" t="n">
        <f aca="false">IF(COUNTA(D66:E66)=0,"",SUM(D66:E66))</f>
        <v>18972</v>
      </c>
      <c r="G66" s="47" t="n">
        <f aca="false">IF(OR(F66="",F66=0),"",D66/F66)</f>
        <v>0.669671094244149</v>
      </c>
      <c r="H66" s="47" t="n">
        <f aca="false">IF(OR(F66="",F66=0),"",E66/F66)</f>
        <v>0.330328905755851</v>
      </c>
      <c r="I66" s="32" t="s">
        <v>192</v>
      </c>
      <c r="J66" s="36" t="n">
        <v>1.44439089223214</v>
      </c>
      <c r="K66" s="36" t="n">
        <f aca="false">$K$8</f>
        <v>1.02561783880877</v>
      </c>
      <c r="L66" s="36" t="n">
        <f aca="false">SQRT(J66^2+K66^2)</f>
        <v>1.77148440604085</v>
      </c>
      <c r="M66" s="47" t="n">
        <f aca="false">IF(G66="","",MAX(0,G66-1.96*L66/100))</f>
        <v>0.634949999885749</v>
      </c>
      <c r="N66" s="47" t="n">
        <f aca="false">IF(G66="","",MIN(1,G66+1.96*L66/100))</f>
        <v>0.70439218860255</v>
      </c>
      <c r="O66" s="66" t="n">
        <f aca="false">ROUND(S66*W66,0)</f>
        <v>922</v>
      </c>
      <c r="P66" s="66" t="n">
        <f aca="false">IF(F66="","",ROUND(SQRT((F66*L66/100)^2+(G66*O66)^2),0))</f>
        <v>703</v>
      </c>
      <c r="R66" s="67" t="n">
        <v>24.4564946320284</v>
      </c>
      <c r="S66" s="68" t="n">
        <f aca="false">U66*V66*$F$5</f>
        <v>18972.4050126369</v>
      </c>
      <c r="T66" s="69" t="n">
        <f aca="false">MAX(0,MIN(1,R66/100+$D$5))</f>
        <v>0.669663558363324</v>
      </c>
      <c r="U66" s="69" t="n">
        <v>0.476358466722831</v>
      </c>
      <c r="V66" s="68" t="n">
        <v>39828</v>
      </c>
      <c r="W66" s="69" t="n">
        <v>0.0485820274397165</v>
      </c>
      <c r="X66" s="70" t="s">
        <v>214</v>
      </c>
      <c r="Y66" s="70" t="s">
        <v>194</v>
      </c>
    </row>
    <row r="67" customFormat="false" ht="15" hidden="false" customHeight="false" outlineLevel="0" collapsed="false">
      <c r="A67" s="32" t="s">
        <v>249</v>
      </c>
      <c r="B67" s="32" t="s">
        <v>253</v>
      </c>
      <c r="C67" s="32" t="s">
        <v>191</v>
      </c>
      <c r="D67" s="66" t="n">
        <f aca="false">ROUND(S67*T67,0)</f>
        <v>6795</v>
      </c>
      <c r="E67" s="66" t="n">
        <f aca="false">ROUND(S67,0)-D67</f>
        <v>5954</v>
      </c>
      <c r="F67" s="66" t="n">
        <f aca="false">IF(COUNTA(D67:E67)=0,"",SUM(D67:E67))</f>
        <v>12749</v>
      </c>
      <c r="G67" s="47" t="n">
        <f aca="false">IF(OR(F67="",F67=0),"",D67/F67)</f>
        <v>0.532982979057181</v>
      </c>
      <c r="H67" s="47" t="n">
        <f aca="false">IF(OR(F67="",F67=0),"",E67/F67)</f>
        <v>0.467017020942819</v>
      </c>
      <c r="I67" s="32" t="s">
        <v>192</v>
      </c>
      <c r="J67" s="36" t="n">
        <v>1.44439089223214</v>
      </c>
      <c r="K67" s="36" t="n">
        <f aca="false">$K$8</f>
        <v>1.02561783880877</v>
      </c>
      <c r="L67" s="36" t="n">
        <f aca="false">SQRT(J67^2+K67^2)</f>
        <v>1.77148440604085</v>
      </c>
      <c r="M67" s="47" t="n">
        <f aca="false">IF(G67="","",MAX(0,G67-1.96*L67/100))</f>
        <v>0.49826188469878</v>
      </c>
      <c r="N67" s="47" t="n">
        <f aca="false">IF(G67="","",MIN(1,G67+1.96*L67/100))</f>
        <v>0.567704073415582</v>
      </c>
      <c r="O67" s="66" t="n">
        <f aca="false">ROUND(S67*W67,0)</f>
        <v>619</v>
      </c>
      <c r="P67" s="66" t="n">
        <f aca="false">IF(F67="","",ROUND(SQRT((F67*L67/100)^2+(G67*O67)^2),0))</f>
        <v>400</v>
      </c>
      <c r="R67" s="67" t="n">
        <v>10.789863676656</v>
      </c>
      <c r="S67" s="68" t="n">
        <f aca="false">U67*V67*$F$5</f>
        <v>12748.560475162</v>
      </c>
      <c r="T67" s="69" t="n">
        <f aca="false">MAX(0,MIN(1,R67/100+$D$5))</f>
        <v>0.5329972488096</v>
      </c>
      <c r="U67" s="69" t="n">
        <v>0.629589632829374</v>
      </c>
      <c r="V67" s="68" t="n">
        <v>20249</v>
      </c>
      <c r="W67" s="69" t="n">
        <v>0.0485820274397165</v>
      </c>
      <c r="X67" s="70" t="s">
        <v>214</v>
      </c>
      <c r="Y67" s="70" t="s">
        <v>194</v>
      </c>
    </row>
    <row r="68" customFormat="false" ht="15" hidden="false" customHeight="false" outlineLevel="0" collapsed="false">
      <c r="A68" s="32" t="s">
        <v>249</v>
      </c>
      <c r="B68" s="32" t="s">
        <v>254</v>
      </c>
      <c r="C68" s="32" t="s">
        <v>191</v>
      </c>
      <c r="D68" s="66" t="n">
        <f aca="false">ROUND(S68*T68,0)</f>
        <v>1705</v>
      </c>
      <c r="E68" s="66" t="n">
        <f aca="false">ROUND(S68,0)-D68</f>
        <v>2718</v>
      </c>
      <c r="F68" s="66" t="n">
        <f aca="false">IF(COUNTA(D68:E68)=0,"",SUM(D68:E68))</f>
        <v>4423</v>
      </c>
      <c r="G68" s="47" t="n">
        <f aca="false">IF(OR(F68="",F68=0),"",D68/F68)</f>
        <v>0.385484964955912</v>
      </c>
      <c r="H68" s="47" t="n">
        <f aca="false">IF(OR(F68="",F68=0),"",E68/F68)</f>
        <v>0.614515035044088</v>
      </c>
      <c r="I68" s="32" t="s">
        <v>192</v>
      </c>
      <c r="J68" s="36" t="n">
        <v>1.44439089223214</v>
      </c>
      <c r="K68" s="36" t="n">
        <f aca="false">$K$8</f>
        <v>1.02561783880877</v>
      </c>
      <c r="L68" s="36" t="n">
        <f aca="false">SQRT(J68^2+K68^2)</f>
        <v>1.77148440604085</v>
      </c>
      <c r="M68" s="47" t="n">
        <f aca="false">IF(G68="","",MAX(0,G68-1.96*L68/100))</f>
        <v>0.350763870597512</v>
      </c>
      <c r="N68" s="47" t="n">
        <f aca="false">IF(G68="","",MIN(1,G68+1.96*L68/100))</f>
        <v>0.420206059314313</v>
      </c>
      <c r="O68" s="66" t="n">
        <f aca="false">ROUND(S68*W68,0)</f>
        <v>215</v>
      </c>
      <c r="P68" s="66" t="n">
        <f aca="false">IF(F68="","",ROUND(SQRT((F68*L68/100)^2+(G68*O68)^2),0))</f>
        <v>114</v>
      </c>
      <c r="R68" s="67" t="n">
        <v>-3.96739617519253</v>
      </c>
      <c r="S68" s="68" t="n">
        <f aca="false">U68*V68*$F$5</f>
        <v>4422.68236877524</v>
      </c>
      <c r="T68" s="69" t="n">
        <f aca="false">MAX(0,MIN(1,R68/100+$D$5))</f>
        <v>0.385424650291115</v>
      </c>
      <c r="U68" s="69" t="n">
        <v>0.657843577089876</v>
      </c>
      <c r="V68" s="68" t="n">
        <v>6723</v>
      </c>
      <c r="W68" s="69" t="n">
        <v>0.0485820274397165</v>
      </c>
      <c r="X68" s="70" t="s">
        <v>214</v>
      </c>
      <c r="Y68" s="70" t="s">
        <v>194</v>
      </c>
    </row>
    <row r="69" customFormat="false" ht="15" hidden="false" customHeight="false" outlineLevel="0" collapsed="false">
      <c r="A69" s="32" t="s">
        <v>249</v>
      </c>
      <c r="B69" s="32" t="s">
        <v>255</v>
      </c>
      <c r="C69" s="32" t="s">
        <v>191</v>
      </c>
      <c r="D69" s="66" t="n">
        <f aca="false">ROUND(S69*T69,0)</f>
        <v>34</v>
      </c>
      <c r="E69" s="66" t="n">
        <f aca="false">ROUND(S69,0)-D69</f>
        <v>63</v>
      </c>
      <c r="F69" s="66" t="n">
        <f aca="false">IF(COUNTA(D69:E69)=0,"",SUM(D69:E69))</f>
        <v>97</v>
      </c>
      <c r="G69" s="47" t="n">
        <f aca="false">IF(OR(F69="",F69=0),"",D69/F69)</f>
        <v>0.350515463917526</v>
      </c>
      <c r="H69" s="47" t="n">
        <f aca="false">IF(OR(F69="",F69=0),"",E69/F69)</f>
        <v>0.649484536082474</v>
      </c>
      <c r="I69" s="32" t="s">
        <v>192</v>
      </c>
      <c r="J69" s="36" t="n">
        <v>2.6727769877146</v>
      </c>
      <c r="K69" s="36" t="n">
        <f aca="false">$K$8</f>
        <v>1.02561783880877</v>
      </c>
      <c r="L69" s="36" t="n">
        <f aca="false">SQRT(J69^2+K69^2)</f>
        <v>2.86280086232688</v>
      </c>
      <c r="M69" s="47" t="n">
        <f aca="false">IF(G69="","",MAX(0,G69-1.96*L69/100))</f>
        <v>0.294404567015919</v>
      </c>
      <c r="N69" s="47" t="n">
        <f aca="false">IF(G69="","",MIN(1,G69+1.96*L69/100))</f>
        <v>0.406626360819133</v>
      </c>
      <c r="O69" s="66" t="n">
        <f aca="false">ROUND(S69*W69,0)</f>
        <v>7</v>
      </c>
      <c r="P69" s="66" t="n">
        <f aca="false">IF(F69="","",ROUND(SQRT((F69*L69/100)^2+(G69*O69)^2),0))</f>
        <v>4</v>
      </c>
      <c r="R69" s="67" t="n">
        <v>-7.14576977852448</v>
      </c>
      <c r="S69" s="68" t="n">
        <f aca="false">U69*V69*$F$5</f>
        <v>97.2992700729927</v>
      </c>
      <c r="T69" s="69" t="n">
        <f aca="false">MAX(0,MIN(1,R69/100+$D$5))</f>
        <v>0.353640914257795</v>
      </c>
      <c r="U69" s="69" t="n">
        <v>0.627737226277372</v>
      </c>
      <c r="V69" s="68" t="n">
        <v>155</v>
      </c>
      <c r="W69" s="69" t="n">
        <v>0.0732058935918866</v>
      </c>
      <c r="X69" s="70" t="s">
        <v>193</v>
      </c>
      <c r="Y69" s="70" t="s">
        <v>194</v>
      </c>
    </row>
    <row r="70" customFormat="false" ht="15" hidden="false" customHeight="false" outlineLevel="0" collapsed="false">
      <c r="A70" s="32" t="s">
        <v>249</v>
      </c>
      <c r="B70" s="32" t="s">
        <v>256</v>
      </c>
      <c r="C70" s="32" t="s">
        <v>191</v>
      </c>
      <c r="D70" s="66" t="n">
        <f aca="false">ROUND(S70*T70,0)</f>
        <v>1114</v>
      </c>
      <c r="E70" s="66" t="n">
        <f aca="false">ROUND(S70,0)-D70</f>
        <v>1527</v>
      </c>
      <c r="F70" s="66" t="n">
        <f aca="false">IF(COUNTA(D70:E70)=0,"",SUM(D70:E70))</f>
        <v>2641</v>
      </c>
      <c r="G70" s="47" t="n">
        <f aca="false">IF(OR(F70="",F70=0),"",D70/F70)</f>
        <v>0.421809920484665</v>
      </c>
      <c r="H70" s="47" t="n">
        <f aca="false">IF(OR(F70="",F70=0),"",E70/F70)</f>
        <v>0.578190079515335</v>
      </c>
      <c r="I70" s="32" t="s">
        <v>192</v>
      </c>
      <c r="J70" s="36" t="n">
        <v>1.3830443510296</v>
      </c>
      <c r="K70" s="36" t="n">
        <f aca="false">$K$8</f>
        <v>1.02561783880877</v>
      </c>
      <c r="L70" s="36" t="n">
        <f aca="false">SQRT(J70^2+K70^2)</f>
        <v>1.72183147497008</v>
      </c>
      <c r="M70" s="47" t="n">
        <f aca="false">IF(G70="","",MAX(0,G70-1.96*L70/100))</f>
        <v>0.388062023575251</v>
      </c>
      <c r="N70" s="47" t="n">
        <f aca="false">IF(G70="","",MIN(1,G70+1.96*L70/100))</f>
        <v>0.455557817394079</v>
      </c>
      <c r="O70" s="66" t="n">
        <f aca="false">ROUND(S70*W70,0)</f>
        <v>145</v>
      </c>
      <c r="P70" s="66" t="n">
        <f aca="false">IF(F70="","",ROUND(SQRT((F70*L70/100)^2+(G70*O70)^2),0))</f>
        <v>76</v>
      </c>
      <c r="R70" s="67" t="n">
        <v>-0.309149868565736</v>
      </c>
      <c r="S70" s="68" t="n">
        <f aca="false">U70*V70*$F$5</f>
        <v>2640.91189093663</v>
      </c>
      <c r="T70" s="69" t="n">
        <f aca="false">MAX(0,MIN(1,R70/100+$D$5))</f>
        <v>0.422007113357382</v>
      </c>
      <c r="U70" s="69" t="n">
        <v>0.635445594546832</v>
      </c>
      <c r="V70" s="68" t="n">
        <v>4156</v>
      </c>
      <c r="W70" s="69" t="n">
        <v>0.0547268472736556</v>
      </c>
      <c r="X70" s="70" t="s">
        <v>198</v>
      </c>
      <c r="Y70" s="70" t="s">
        <v>194</v>
      </c>
    </row>
    <row r="71" customFormat="false" ht="15" hidden="false" customHeight="false" outlineLevel="0" collapsed="false">
      <c r="A71" s="32" t="s">
        <v>249</v>
      </c>
      <c r="B71" s="32" t="s">
        <v>257</v>
      </c>
      <c r="C71" s="32" t="s">
        <v>191</v>
      </c>
      <c r="D71" s="66" t="n">
        <f aca="false">ROUND(S71*T71,0)</f>
        <v>142</v>
      </c>
      <c r="E71" s="66" t="n">
        <f aca="false">ROUND(S71,0)-D71</f>
        <v>218</v>
      </c>
      <c r="F71" s="66" t="n">
        <f aca="false">IF(COUNTA(D71:E71)=0,"",SUM(D71:E71))</f>
        <v>360</v>
      </c>
      <c r="G71" s="47" t="n">
        <f aca="false">IF(OR(F71="",F71=0),"",D71/F71)</f>
        <v>0.394444444444444</v>
      </c>
      <c r="H71" s="47" t="n">
        <f aca="false">IF(OR(F71="",F71=0),"",E71/F71)</f>
        <v>0.605555555555556</v>
      </c>
      <c r="I71" s="32" t="s">
        <v>192</v>
      </c>
      <c r="J71" s="36" t="n">
        <v>2.6727769877146</v>
      </c>
      <c r="K71" s="36" t="n">
        <f aca="false">$K$8</f>
        <v>1.02561783880877</v>
      </c>
      <c r="L71" s="36" t="n">
        <f aca="false">SQRT(J71^2+K71^2)</f>
        <v>2.86280086232688</v>
      </c>
      <c r="M71" s="47" t="n">
        <f aca="false">IF(G71="","",MAX(0,G71-1.96*L71/100))</f>
        <v>0.338333547542838</v>
      </c>
      <c r="N71" s="47" t="n">
        <f aca="false">IF(G71="","",MIN(1,G71+1.96*L71/100))</f>
        <v>0.450555341346051</v>
      </c>
      <c r="O71" s="66" t="n">
        <f aca="false">ROUND(S71*W71,0)</f>
        <v>26</v>
      </c>
      <c r="P71" s="66" t="n">
        <f aca="false">IF(F71="","",ROUND(SQRT((F71*L71/100)^2+(G71*O71)^2),0))</f>
        <v>15</v>
      </c>
      <c r="R71" s="67" t="n">
        <v>-3.02802710803773</v>
      </c>
      <c r="S71" s="68" t="n">
        <f aca="false">U71*V71*$F$5</f>
        <v>360.236842105263</v>
      </c>
      <c r="T71" s="69" t="n">
        <f aca="false">MAX(0,MIN(1,R71/100+$D$5))</f>
        <v>0.394818340962663</v>
      </c>
      <c r="U71" s="69" t="n">
        <v>0.513157894736842</v>
      </c>
      <c r="V71" s="68" t="n">
        <v>702</v>
      </c>
      <c r="W71" s="69" t="n">
        <v>0.0732058935918866</v>
      </c>
      <c r="X71" s="70" t="s">
        <v>193</v>
      </c>
      <c r="Y71" s="70" t="s">
        <v>194</v>
      </c>
    </row>
    <row r="72" customFormat="false" ht="15" hidden="false" customHeight="false" outlineLevel="0" collapsed="false">
      <c r="A72" s="32" t="s">
        <v>249</v>
      </c>
      <c r="B72" s="32" t="s">
        <v>258</v>
      </c>
      <c r="C72" s="32" t="s">
        <v>191</v>
      </c>
      <c r="D72" s="66" t="n">
        <f aca="false">ROUND(S72*T72,0)</f>
        <v>5138</v>
      </c>
      <c r="E72" s="66" t="n">
        <f aca="false">ROUND(S72,0)-D72</f>
        <v>2159</v>
      </c>
      <c r="F72" s="66" t="n">
        <f aca="false">IF(COUNTA(D72:E72)=0,"",SUM(D72:E72))</f>
        <v>7297</v>
      </c>
      <c r="G72" s="47" t="n">
        <f aca="false">IF(OR(F72="",F72=0),"",D72/F72)</f>
        <v>0.704124982869673</v>
      </c>
      <c r="H72" s="47" t="n">
        <f aca="false">IF(OR(F72="",F72=0),"",E72/F72)</f>
        <v>0.295875017130328</v>
      </c>
      <c r="I72" s="32" t="s">
        <v>192</v>
      </c>
      <c r="J72" s="36" t="n">
        <v>1.44439089223214</v>
      </c>
      <c r="K72" s="36" t="n">
        <f aca="false">$K$8</f>
        <v>1.02561783880877</v>
      </c>
      <c r="L72" s="36" t="n">
        <f aca="false">SQRT(J72^2+K72^2)</f>
        <v>1.77148440604085</v>
      </c>
      <c r="M72" s="47" t="n">
        <f aca="false">IF(G72="","",MAX(0,G72-1.96*L72/100))</f>
        <v>0.669403888511272</v>
      </c>
      <c r="N72" s="47" t="n">
        <f aca="false">IF(G72="","",MIN(1,G72+1.96*L72/100))</f>
        <v>0.738846077228073</v>
      </c>
      <c r="O72" s="66" t="n">
        <f aca="false">ROUND(S72*W72,0)</f>
        <v>355</v>
      </c>
      <c r="P72" s="66" t="n">
        <f aca="false">IF(F72="","",ROUND(SQRT((F72*L72/100)^2+(G72*O72)^2),0))</f>
        <v>281</v>
      </c>
      <c r="R72" s="67" t="n">
        <v>27.8961377221799</v>
      </c>
      <c r="S72" s="68" t="n">
        <f aca="false">U72*V72*$F$5</f>
        <v>7297.15979682392</v>
      </c>
      <c r="T72" s="69" t="n">
        <f aca="false">MAX(0,MIN(1,R72/100+$D$5))</f>
        <v>0.704059989264839</v>
      </c>
      <c r="U72" s="69" t="n">
        <v>0.414117234936945</v>
      </c>
      <c r="V72" s="68" t="n">
        <v>17621</v>
      </c>
      <c r="W72" s="69" t="n">
        <v>0.0485820274397165</v>
      </c>
      <c r="X72" s="70" t="s">
        <v>214</v>
      </c>
      <c r="Y72" s="70" t="s">
        <v>194</v>
      </c>
    </row>
    <row r="73" customFormat="false" ht="15" hidden="false" customHeight="false" outlineLevel="0" collapsed="false">
      <c r="A73" s="32" t="s">
        <v>249</v>
      </c>
      <c r="B73" s="32" t="s">
        <v>259</v>
      </c>
      <c r="C73" s="32" t="s">
        <v>191</v>
      </c>
      <c r="D73" s="66" t="n">
        <f aca="false">ROUND(S73*T73,0)</f>
        <v>4227</v>
      </c>
      <c r="E73" s="66" t="n">
        <f aca="false">ROUND(S73,0)-D73</f>
        <v>3948</v>
      </c>
      <c r="F73" s="66" t="n">
        <f aca="false">IF(COUNTA(D73:E73)=0,"",SUM(D73:E73))</f>
        <v>8175</v>
      </c>
      <c r="G73" s="47" t="n">
        <f aca="false">IF(OR(F73="",F73=0),"",D73/F73)</f>
        <v>0.517064220183486</v>
      </c>
      <c r="H73" s="47" t="n">
        <f aca="false">IF(OR(F73="",F73=0),"",E73/F73)</f>
        <v>0.482935779816514</v>
      </c>
      <c r="I73" s="32" t="s">
        <v>192</v>
      </c>
      <c r="J73" s="36" t="n">
        <v>1.44439089223214</v>
      </c>
      <c r="K73" s="36" t="n">
        <f aca="false">$K$8</f>
        <v>1.02561783880877</v>
      </c>
      <c r="L73" s="36" t="n">
        <f aca="false">SQRT(J73^2+K73^2)</f>
        <v>1.77148440604085</v>
      </c>
      <c r="M73" s="47" t="n">
        <f aca="false">IF(G73="","",MAX(0,G73-1.96*L73/100))</f>
        <v>0.482343125825086</v>
      </c>
      <c r="N73" s="47" t="n">
        <f aca="false">IF(G73="","",MIN(1,G73+1.96*L73/100))</f>
        <v>0.551785314541887</v>
      </c>
      <c r="O73" s="66" t="n">
        <f aca="false">ROUND(S73*W73,0)</f>
        <v>397</v>
      </c>
      <c r="P73" s="66" t="n">
        <f aca="false">IF(F73="","",ROUND(SQRT((F73*L73/100)^2+(G73*O73)^2),0))</f>
        <v>251</v>
      </c>
      <c r="R73" s="67" t="n">
        <v>9.19229596692108</v>
      </c>
      <c r="S73" s="68" t="n">
        <f aca="false">U73*V73*$F$5</f>
        <v>8175.00272606901</v>
      </c>
      <c r="T73" s="69" t="n">
        <f aca="false">MAX(0,MIN(1,R73/100+$D$5))</f>
        <v>0.517021571712251</v>
      </c>
      <c r="U73" s="69" t="n">
        <v>0.618428226497391</v>
      </c>
      <c r="V73" s="68" t="n">
        <v>13219</v>
      </c>
      <c r="W73" s="69" t="n">
        <v>0.0485820274397165</v>
      </c>
      <c r="X73" s="70" t="s">
        <v>214</v>
      </c>
      <c r="Y73" s="70" t="s">
        <v>194</v>
      </c>
    </row>
    <row r="74" customFormat="false" ht="15" hidden="false" customHeight="false" outlineLevel="0" collapsed="false">
      <c r="A74" s="32" t="s">
        <v>249</v>
      </c>
      <c r="B74" s="32" t="s">
        <v>260</v>
      </c>
      <c r="C74" s="32" t="s">
        <v>191</v>
      </c>
      <c r="D74" s="66" t="n">
        <f aca="false">ROUND(S74*T74,0)</f>
        <v>485</v>
      </c>
      <c r="E74" s="66" t="n">
        <f aca="false">ROUND(S74,0)-D74</f>
        <v>326</v>
      </c>
      <c r="F74" s="66" t="n">
        <f aca="false">IF(COUNTA(D74:E74)=0,"",SUM(D74:E74))</f>
        <v>811</v>
      </c>
      <c r="G74" s="47" t="n">
        <f aca="false">IF(OR(F74="",F74=0),"",D74/F74)</f>
        <v>0.598027127003699</v>
      </c>
      <c r="H74" s="47" t="n">
        <f aca="false">IF(OR(F74="",F74=0),"",E74/F74)</f>
        <v>0.401972872996301</v>
      </c>
      <c r="I74" s="32" t="s">
        <v>192</v>
      </c>
      <c r="J74" s="36" t="n">
        <v>2.6727769877146</v>
      </c>
      <c r="K74" s="36" t="n">
        <f aca="false">$K$8</f>
        <v>1.02561783880877</v>
      </c>
      <c r="L74" s="36" t="n">
        <f aca="false">SQRT(J74^2+K74^2)</f>
        <v>2.86280086232688</v>
      </c>
      <c r="M74" s="47" t="n">
        <f aca="false">IF(G74="","",MAX(0,G74-1.96*L74/100))</f>
        <v>0.541916230102092</v>
      </c>
      <c r="N74" s="47" t="n">
        <f aca="false">IF(G74="","",MIN(1,G74+1.96*L74/100))</f>
        <v>0.654138023905306</v>
      </c>
      <c r="O74" s="66" t="n">
        <f aca="false">ROUND(S74*W74,0)</f>
        <v>59</v>
      </c>
      <c r="P74" s="66" t="n">
        <f aca="false">IF(F74="","",ROUND(SQRT((F74*L74/100)^2+(G74*O74)^2),0))</f>
        <v>42</v>
      </c>
      <c r="R74" s="67" t="n">
        <v>17.2915521213673</v>
      </c>
      <c r="S74" s="68" t="n">
        <f aca="false">U74*V74*$F$5</f>
        <v>811.272251308901</v>
      </c>
      <c r="T74" s="69" t="n">
        <f aca="false">MAX(0,MIN(1,R74/100+$D$5))</f>
        <v>0.598014133256713</v>
      </c>
      <c r="U74" s="69" t="n">
        <v>0.424083769633508</v>
      </c>
      <c r="V74" s="68" t="n">
        <v>1913</v>
      </c>
      <c r="W74" s="69" t="n">
        <v>0.0732058935918866</v>
      </c>
      <c r="X74" s="70" t="s">
        <v>193</v>
      </c>
      <c r="Y74" s="70" t="s">
        <v>194</v>
      </c>
    </row>
    <row r="75" customFormat="false" ht="15" hidden="false" customHeight="false" outlineLevel="0" collapsed="false">
      <c r="A75" s="32" t="s">
        <v>249</v>
      </c>
      <c r="B75" s="32" t="s">
        <v>261</v>
      </c>
      <c r="C75" s="32" t="s">
        <v>191</v>
      </c>
      <c r="D75" s="66" t="n">
        <f aca="false">ROUND(S75*T75,0)</f>
        <v>77</v>
      </c>
      <c r="E75" s="66" t="n">
        <f aca="false">ROUND(S75,0)-D75</f>
        <v>67</v>
      </c>
      <c r="F75" s="66" t="n">
        <f aca="false">IF(COUNTA(D75:E75)=0,"",SUM(D75:E75))</f>
        <v>144</v>
      </c>
      <c r="G75" s="47" t="n">
        <f aca="false">IF(OR(F75="",F75=0),"",D75/F75)</f>
        <v>0.534722222222222</v>
      </c>
      <c r="H75" s="47" t="n">
        <f aca="false">IF(OR(F75="",F75=0),"",E75/F75)</f>
        <v>0.465277777777778</v>
      </c>
      <c r="I75" s="32" t="s">
        <v>192</v>
      </c>
      <c r="J75" s="36" t="n">
        <v>2.6727769877146</v>
      </c>
      <c r="K75" s="36" t="n">
        <f aca="false">$K$8</f>
        <v>1.02561783880877</v>
      </c>
      <c r="L75" s="36" t="n">
        <f aca="false">SQRT(J75^2+K75^2)</f>
        <v>2.86280086232688</v>
      </c>
      <c r="M75" s="47" t="n">
        <f aca="false">IF(G75="","",MAX(0,G75-1.96*L75/100))</f>
        <v>0.478611325320615</v>
      </c>
      <c r="N75" s="47" t="n">
        <f aca="false">IF(G75="","",MIN(1,G75+1.96*L75/100))</f>
        <v>0.590833119123829</v>
      </c>
      <c r="O75" s="66" t="n">
        <f aca="false">ROUND(S75*W75,0)</f>
        <v>11</v>
      </c>
      <c r="P75" s="66" t="n">
        <f aca="false">IF(F75="","",ROUND(SQRT((F75*L75/100)^2+(G75*O75)^2),0))</f>
        <v>7</v>
      </c>
      <c r="R75" s="67" t="n">
        <v>10.8266841850569</v>
      </c>
      <c r="S75" s="68" t="n">
        <f aca="false">U75*V75*$F$5</f>
        <v>143.630597014925</v>
      </c>
      <c r="T75" s="69" t="n">
        <f aca="false">MAX(0,MIN(1,R75/100+$D$5))</f>
        <v>0.533365453893609</v>
      </c>
      <c r="U75" s="69" t="n">
        <v>0.526119402985075</v>
      </c>
      <c r="V75" s="68" t="n">
        <v>273</v>
      </c>
      <c r="W75" s="69" t="n">
        <v>0.0732058935918866</v>
      </c>
      <c r="X75" s="70" t="s">
        <v>193</v>
      </c>
      <c r="Y75" s="70" t="s">
        <v>194</v>
      </c>
    </row>
    <row r="76" customFormat="false" ht="15" hidden="false" customHeight="false" outlineLevel="0" collapsed="false">
      <c r="A76" s="32" t="s">
        <v>249</v>
      </c>
      <c r="B76" s="32" t="s">
        <v>228</v>
      </c>
      <c r="C76" s="32" t="s">
        <v>191</v>
      </c>
      <c r="D76" s="66" t="n">
        <f aca="false">ROUND(S76*T76,0)</f>
        <v>3448</v>
      </c>
      <c r="E76" s="66" t="n">
        <f aca="false">ROUND(S76,0)-D76</f>
        <v>2975</v>
      </c>
      <c r="F76" s="66" t="n">
        <f aca="false">IF(COUNTA(D76:E76)=0,"",SUM(D76:E76))</f>
        <v>6423</v>
      </c>
      <c r="G76" s="47" t="n">
        <f aca="false">IF(OR(F76="",F76=0),"",D76/F76)</f>
        <v>0.536820800249105</v>
      </c>
      <c r="H76" s="47" t="n">
        <f aca="false">IF(OR(F76="",F76=0),"",E76/F76)</f>
        <v>0.463179199750895</v>
      </c>
      <c r="I76" s="32" t="s">
        <v>192</v>
      </c>
      <c r="J76" s="36" t="n">
        <v>1.44439089223214</v>
      </c>
      <c r="K76" s="36" t="n">
        <f aca="false">$K$8</f>
        <v>1.02561783880877</v>
      </c>
      <c r="L76" s="36" t="n">
        <f aca="false">SQRT(J76^2+K76^2)</f>
        <v>1.77148440604085</v>
      </c>
      <c r="M76" s="47" t="n">
        <f aca="false">IF(G76="","",MAX(0,G76-1.96*L76/100))</f>
        <v>0.502099705890704</v>
      </c>
      <c r="N76" s="47" t="n">
        <f aca="false">IF(G76="","",MIN(1,G76+1.96*L76/100))</f>
        <v>0.571541894607506</v>
      </c>
      <c r="O76" s="66" t="n">
        <f aca="false">ROUND(S76*W76,0)</f>
        <v>312</v>
      </c>
      <c r="P76" s="66" t="n">
        <f aca="false">IF(F76="","",ROUND(SQRT((F76*L76/100)^2+(G76*O76)^2),0))</f>
        <v>202</v>
      </c>
      <c r="R76" s="67" t="n">
        <v>11.1801748642571</v>
      </c>
      <c r="S76" s="68" t="n">
        <f aca="false">U76*V76*$F$5</f>
        <v>6422.70106427379</v>
      </c>
      <c r="T76" s="69" t="n">
        <f aca="false">MAX(0,MIN(1,R76/100+$D$5))</f>
        <v>0.536900360685611</v>
      </c>
      <c r="U76" s="69" t="n">
        <v>0.673309682804674</v>
      </c>
      <c r="V76" s="68" t="n">
        <v>9539</v>
      </c>
      <c r="W76" s="69" t="n">
        <v>0.0485820274397165</v>
      </c>
      <c r="X76" s="70" t="s">
        <v>214</v>
      </c>
      <c r="Y76" s="70" t="s">
        <v>194</v>
      </c>
    </row>
    <row r="77" customFormat="false" ht="15" hidden="false" customHeight="false" outlineLevel="0" collapsed="false">
      <c r="A77" s="32" t="s">
        <v>249</v>
      </c>
      <c r="B77" s="32" t="s">
        <v>262</v>
      </c>
      <c r="C77" s="32" t="s">
        <v>191</v>
      </c>
      <c r="D77" s="66" t="n">
        <f aca="false">ROUND(S77*T77,0)</f>
        <v>1367</v>
      </c>
      <c r="E77" s="66" t="n">
        <f aca="false">ROUND(S77,0)-D77</f>
        <v>1261</v>
      </c>
      <c r="F77" s="66" t="n">
        <f aca="false">IF(COUNTA(D77:E77)=0,"",SUM(D77:E77))</f>
        <v>2628</v>
      </c>
      <c r="G77" s="47" t="n">
        <f aca="false">IF(OR(F77="",F77=0),"",D77/F77)</f>
        <v>0.520167427701674</v>
      </c>
      <c r="H77" s="47" t="n">
        <f aca="false">IF(OR(F77="",F77=0),"",E77/F77)</f>
        <v>0.479832572298326</v>
      </c>
      <c r="I77" s="32" t="s">
        <v>192</v>
      </c>
      <c r="J77" s="36" t="n">
        <v>1.3830443510296</v>
      </c>
      <c r="K77" s="36" t="n">
        <f aca="false">$K$8</f>
        <v>1.02561783880877</v>
      </c>
      <c r="L77" s="36" t="n">
        <f aca="false">SQRT(J77^2+K77^2)</f>
        <v>1.72183147497008</v>
      </c>
      <c r="M77" s="47" t="n">
        <f aca="false">IF(G77="","",MAX(0,G77-1.96*L77/100))</f>
        <v>0.486419530792261</v>
      </c>
      <c r="N77" s="47" t="n">
        <f aca="false">IF(G77="","",MIN(1,G77+1.96*L77/100))</f>
        <v>0.553915324611088</v>
      </c>
      <c r="O77" s="66" t="n">
        <f aca="false">ROUND(S77*W77,0)</f>
        <v>144</v>
      </c>
      <c r="P77" s="66" t="n">
        <f aca="false">IF(F77="","",ROUND(SQRT((F77*L77/100)^2+(G77*O77)^2),0))</f>
        <v>88</v>
      </c>
      <c r="R77" s="67" t="n">
        <v>9.52425950362711</v>
      </c>
      <c r="S77" s="68" t="n">
        <f aca="false">U77*V77*$F$5</f>
        <v>2628.02463970246</v>
      </c>
      <c r="T77" s="69" t="n">
        <f aca="false">MAX(0,MIN(1,R77/100+$D$5))</f>
        <v>0.520341207079311</v>
      </c>
      <c r="U77" s="69" t="n">
        <v>0.598093909809391</v>
      </c>
      <c r="V77" s="68" t="n">
        <v>4394</v>
      </c>
      <c r="W77" s="69" t="n">
        <v>0.0547268472736556</v>
      </c>
      <c r="X77" s="70" t="s">
        <v>198</v>
      </c>
      <c r="Y77" s="70" t="s">
        <v>194</v>
      </c>
    </row>
    <row r="78" customFormat="false" ht="15" hidden="false" customHeight="false" outlineLevel="0" collapsed="false">
      <c r="A78" s="32" t="s">
        <v>249</v>
      </c>
      <c r="B78" s="32" t="s">
        <v>263</v>
      </c>
      <c r="C78" s="32" t="s">
        <v>191</v>
      </c>
      <c r="D78" s="66" t="n">
        <f aca="false">ROUND(S78*T78,0)</f>
        <v>1826</v>
      </c>
      <c r="E78" s="66" t="n">
        <f aca="false">ROUND(S78,0)-D78</f>
        <v>3513</v>
      </c>
      <c r="F78" s="66" t="n">
        <f aca="false">IF(COUNTA(D78:E78)=0,"",SUM(D78:E78))</f>
        <v>5339</v>
      </c>
      <c r="G78" s="47" t="n">
        <f aca="false">IF(OR(F78="",F78=0),"",D78/F78)</f>
        <v>0.342011612661547</v>
      </c>
      <c r="H78" s="47" t="n">
        <f aca="false">IF(OR(F78="",F78=0),"",E78/F78)</f>
        <v>0.657988387338453</v>
      </c>
      <c r="I78" s="32" t="s">
        <v>192</v>
      </c>
      <c r="J78" s="36" t="n">
        <v>1.44439089223214</v>
      </c>
      <c r="K78" s="36" t="n">
        <f aca="false">$K$8</f>
        <v>1.02561783880877</v>
      </c>
      <c r="L78" s="36" t="n">
        <f aca="false">SQRT(J78^2+K78^2)</f>
        <v>1.77148440604085</v>
      </c>
      <c r="M78" s="47" t="n">
        <f aca="false">IF(G78="","",MAX(0,G78-1.96*L78/100))</f>
        <v>0.307290518303146</v>
      </c>
      <c r="N78" s="47" t="n">
        <f aca="false">IF(G78="","",MIN(1,G78+1.96*L78/100))</f>
        <v>0.376732707019948</v>
      </c>
      <c r="O78" s="66" t="n">
        <f aca="false">ROUND(S78*W78,0)</f>
        <v>259</v>
      </c>
      <c r="P78" s="66" t="n">
        <f aca="false">IF(F78="","",ROUND(SQRT((F78*L78/100)^2+(G78*O78)^2),0))</f>
        <v>130</v>
      </c>
      <c r="R78" s="67" t="n">
        <v>-8.31265453423308</v>
      </c>
      <c r="S78" s="68" t="n">
        <f aca="false">U78*V78*$F$5</f>
        <v>5339.13569131833</v>
      </c>
      <c r="T78" s="69" t="n">
        <f aca="false">MAX(0,MIN(1,R78/100+$D$5))</f>
        <v>0.341972066700709</v>
      </c>
      <c r="U78" s="69" t="n">
        <v>0.656720257234727</v>
      </c>
      <c r="V78" s="68" t="n">
        <v>8130</v>
      </c>
      <c r="W78" s="69" t="n">
        <v>0.0485820274397165</v>
      </c>
      <c r="X78" s="70" t="s">
        <v>214</v>
      </c>
      <c r="Y78" s="70" t="s">
        <v>194</v>
      </c>
    </row>
    <row r="79" customFormat="false" ht="15" hidden="false" customHeight="false" outlineLevel="0" collapsed="false">
      <c r="A79" s="32" t="s">
        <v>249</v>
      </c>
      <c r="B79" s="32" t="s">
        <v>264</v>
      </c>
      <c r="C79" s="32" t="s">
        <v>191</v>
      </c>
      <c r="D79" s="66" t="n">
        <f aca="false">ROUND(S79*T79,0)</f>
        <v>506</v>
      </c>
      <c r="E79" s="66" t="n">
        <f aca="false">ROUND(S79,0)-D79</f>
        <v>932</v>
      </c>
      <c r="F79" s="66" t="n">
        <f aca="false">IF(COUNTA(D79:E79)=0,"",SUM(D79:E79))</f>
        <v>1438</v>
      </c>
      <c r="G79" s="47" t="n">
        <f aca="false">IF(OR(F79="",F79=0),"",D79/F79)</f>
        <v>0.351877607788595</v>
      </c>
      <c r="H79" s="47" t="n">
        <f aca="false">IF(OR(F79="",F79=0),"",E79/F79)</f>
        <v>0.648122392211405</v>
      </c>
      <c r="I79" s="32" t="s">
        <v>192</v>
      </c>
      <c r="J79" s="36" t="n">
        <v>1.3830443510296</v>
      </c>
      <c r="K79" s="36" t="n">
        <f aca="false">$K$8</f>
        <v>1.02561783880877</v>
      </c>
      <c r="L79" s="36" t="n">
        <f aca="false">SQRT(J79^2+K79^2)</f>
        <v>1.72183147497008</v>
      </c>
      <c r="M79" s="47" t="n">
        <f aca="false">IF(G79="","",MAX(0,G79-1.96*L79/100))</f>
        <v>0.318129710879182</v>
      </c>
      <c r="N79" s="47" t="n">
        <f aca="false">IF(G79="","",MIN(1,G79+1.96*L79/100))</f>
        <v>0.385625504698009</v>
      </c>
      <c r="O79" s="66" t="n">
        <f aca="false">ROUND(S79*W79,0)</f>
        <v>79</v>
      </c>
      <c r="P79" s="66" t="n">
        <f aca="false">IF(F79="","",ROUND(SQRT((F79*L79/100)^2+(G79*O79)^2),0))</f>
        <v>37</v>
      </c>
      <c r="R79" s="67" t="n">
        <v>-7.28521208601534</v>
      </c>
      <c r="S79" s="68" t="n">
        <f aca="false">U79*V79*$F$5</f>
        <v>1437.5</v>
      </c>
      <c r="T79" s="69" t="n">
        <f aca="false">MAX(0,MIN(1,R79/100+$D$5))</f>
        <v>0.352246491182886</v>
      </c>
      <c r="U79" s="69" t="n">
        <v>0.625</v>
      </c>
      <c r="V79" s="68" t="n">
        <v>2300</v>
      </c>
      <c r="W79" s="69" t="n">
        <v>0.0547268472736556</v>
      </c>
      <c r="X79" s="70" t="s">
        <v>198</v>
      </c>
      <c r="Y79" s="70" t="s">
        <v>194</v>
      </c>
    </row>
    <row r="80" customFormat="false" ht="15" hidden="false" customHeight="false" outlineLevel="0" collapsed="false">
      <c r="A80" s="32" t="s">
        <v>249</v>
      </c>
      <c r="B80" s="32" t="s">
        <v>265</v>
      </c>
      <c r="C80" s="32" t="s">
        <v>191</v>
      </c>
      <c r="D80" s="66" t="n">
        <f aca="false">ROUND(S80*T80,0)</f>
        <v>1615</v>
      </c>
      <c r="E80" s="66" t="n">
        <f aca="false">ROUND(S80,0)-D80</f>
        <v>2107</v>
      </c>
      <c r="F80" s="66" t="n">
        <f aca="false">IF(COUNTA(D80:E80)=0,"",SUM(D80:E80))</f>
        <v>3722</v>
      </c>
      <c r="G80" s="47" t="n">
        <f aca="false">IF(OR(F80="",F80=0),"",D80/F80)</f>
        <v>0.433906501880709</v>
      </c>
      <c r="H80" s="47" t="n">
        <f aca="false">IF(OR(F80="",F80=0),"",E80/F80)</f>
        <v>0.566093498119291</v>
      </c>
      <c r="I80" s="32" t="s">
        <v>192</v>
      </c>
      <c r="J80" s="36" t="n">
        <v>1.44439089223214</v>
      </c>
      <c r="K80" s="36" t="n">
        <f aca="false">$K$8</f>
        <v>1.02561783880877</v>
      </c>
      <c r="L80" s="36" t="n">
        <f aca="false">SQRT(J80^2+K80^2)</f>
        <v>1.77148440604085</v>
      </c>
      <c r="M80" s="47" t="n">
        <f aca="false">IF(G80="","",MAX(0,G80-1.96*L80/100))</f>
        <v>0.399185407522309</v>
      </c>
      <c r="N80" s="47" t="n">
        <f aca="false">IF(G80="","",MIN(1,G80+1.96*L80/100))</f>
        <v>0.46862759623911</v>
      </c>
      <c r="O80" s="66" t="n">
        <f aca="false">ROUND(S80*W80,0)</f>
        <v>181</v>
      </c>
      <c r="P80" s="66" t="n">
        <f aca="false">IF(F80="","",ROUND(SQRT((F80*L80/100)^2+(G80*O80)^2),0))</f>
        <v>103</v>
      </c>
      <c r="R80" s="67" t="n">
        <v>0.874327476637828</v>
      </c>
      <c r="S80" s="68" t="n">
        <f aca="false">U80*V80*$F$5</f>
        <v>3721.57991120977</v>
      </c>
      <c r="T80" s="69" t="n">
        <f aca="false">MAX(0,MIN(1,R80/100+$D$5))</f>
        <v>0.433841886809418</v>
      </c>
      <c r="U80" s="69" t="n">
        <v>0.684239733629301</v>
      </c>
      <c r="V80" s="68" t="n">
        <v>5439</v>
      </c>
      <c r="W80" s="69" t="n">
        <v>0.0485820274397165</v>
      </c>
      <c r="X80" s="70" t="s">
        <v>214</v>
      </c>
      <c r="Y80" s="70" t="s">
        <v>194</v>
      </c>
    </row>
    <row r="81" customFormat="false" ht="15" hidden="false" customHeight="false" outlineLevel="0" collapsed="false">
      <c r="A81" s="32" t="s">
        <v>249</v>
      </c>
      <c r="B81" s="32" t="s">
        <v>266</v>
      </c>
      <c r="C81" s="32" t="s">
        <v>191</v>
      </c>
      <c r="D81" s="66" t="n">
        <f aca="false">ROUND(S81*T81,0)</f>
        <v>2871</v>
      </c>
      <c r="E81" s="66" t="n">
        <f aca="false">ROUND(S81,0)-D81</f>
        <v>3053</v>
      </c>
      <c r="F81" s="66" t="n">
        <f aca="false">IF(COUNTA(D81:E81)=0,"",SUM(D81:E81))</f>
        <v>5924</v>
      </c>
      <c r="G81" s="47" t="n">
        <f aca="false">IF(OR(F81="",F81=0),"",D81/F81)</f>
        <v>0.484638757596219</v>
      </c>
      <c r="H81" s="47" t="n">
        <f aca="false">IF(OR(F81="",F81=0),"",E81/F81)</f>
        <v>0.515361242403781</v>
      </c>
      <c r="I81" s="32" t="s">
        <v>192</v>
      </c>
      <c r="J81" s="36" t="n">
        <v>1.44439089223214</v>
      </c>
      <c r="K81" s="36" t="n">
        <f aca="false">$K$8</f>
        <v>1.02561783880877</v>
      </c>
      <c r="L81" s="36" t="n">
        <f aca="false">SQRT(J81^2+K81^2)</f>
        <v>1.77148440604085</v>
      </c>
      <c r="M81" s="47" t="n">
        <f aca="false">IF(G81="","",MAX(0,G81-1.96*L81/100))</f>
        <v>0.449917663237818</v>
      </c>
      <c r="N81" s="47" t="n">
        <f aca="false">IF(G81="","",MIN(1,G81+1.96*L81/100))</f>
        <v>0.51935985195462</v>
      </c>
      <c r="O81" s="66" t="n">
        <f aca="false">ROUND(S81*W81,0)</f>
        <v>288</v>
      </c>
      <c r="P81" s="66" t="n">
        <f aca="false">IF(F81="","",ROUND(SQRT((F81*L81/100)^2+(G81*O81)^2),0))</f>
        <v>175</v>
      </c>
      <c r="R81" s="67" t="n">
        <v>5.9476516287808</v>
      </c>
      <c r="S81" s="68" t="n">
        <f aca="false">U81*V81*$F$5</f>
        <v>5924.29823361823</v>
      </c>
      <c r="T81" s="69" t="n">
        <f aca="false">MAX(0,MIN(1,R81/100+$D$5))</f>
        <v>0.484575128330848</v>
      </c>
      <c r="U81" s="69" t="n">
        <v>0.675441595441595</v>
      </c>
      <c r="V81" s="68" t="n">
        <v>8771</v>
      </c>
      <c r="W81" s="69" t="n">
        <v>0.0485820274397165</v>
      </c>
      <c r="X81" s="70" t="s">
        <v>214</v>
      </c>
      <c r="Y81" s="70" t="s">
        <v>194</v>
      </c>
    </row>
    <row r="82" customFormat="false" ht="15" hidden="false" customHeight="false" outlineLevel="0" collapsed="false">
      <c r="A82" s="32" t="s">
        <v>249</v>
      </c>
      <c r="B82" s="32" t="s">
        <v>267</v>
      </c>
      <c r="C82" s="32" t="s">
        <v>191</v>
      </c>
      <c r="D82" s="66" t="n">
        <f aca="false">ROUND(S82*T82,0)</f>
        <v>1628</v>
      </c>
      <c r="E82" s="66" t="n">
        <f aca="false">ROUND(S82,0)-D82</f>
        <v>3220</v>
      </c>
      <c r="F82" s="66" t="n">
        <f aca="false">IF(COUNTA(D82:E82)=0,"",SUM(D82:E82))</f>
        <v>4848</v>
      </c>
      <c r="G82" s="47" t="n">
        <f aca="false">IF(OR(F82="",F82=0),"",D82/F82)</f>
        <v>0.335808580858086</v>
      </c>
      <c r="H82" s="47" t="n">
        <f aca="false">IF(OR(F82="",F82=0),"",E82/F82)</f>
        <v>0.664191419141914</v>
      </c>
      <c r="I82" s="32" t="s">
        <v>192</v>
      </c>
      <c r="J82" s="36" t="n">
        <v>1.44439089223214</v>
      </c>
      <c r="K82" s="36" t="n">
        <f aca="false">$K$8</f>
        <v>1.02561783880877</v>
      </c>
      <c r="L82" s="36" t="n">
        <f aca="false">SQRT(J82^2+K82^2)</f>
        <v>1.77148440604085</v>
      </c>
      <c r="M82" s="47" t="n">
        <f aca="false">IF(G82="","",MAX(0,G82-1.96*L82/100))</f>
        <v>0.301087486499685</v>
      </c>
      <c r="N82" s="47" t="n">
        <f aca="false">IF(G82="","",MIN(1,G82+1.96*L82/100))</f>
        <v>0.370529675216487</v>
      </c>
      <c r="O82" s="66" t="n">
        <f aca="false">ROUND(S82*W82,0)</f>
        <v>236</v>
      </c>
      <c r="P82" s="66" t="n">
        <f aca="false">IF(F82="","",ROUND(SQRT((F82*L82/100)^2+(G82*O82)^2),0))</f>
        <v>117</v>
      </c>
      <c r="R82" s="67" t="n">
        <v>-8.93656942557162</v>
      </c>
      <c r="S82" s="68" t="n">
        <f aca="false">U82*V82*$F$5</f>
        <v>4848.29721362229</v>
      </c>
      <c r="T82" s="69" t="n">
        <f aca="false">MAX(0,MIN(1,R82/100+$D$5))</f>
        <v>0.335732917787324</v>
      </c>
      <c r="U82" s="69" t="n">
        <v>0.668730650154799</v>
      </c>
      <c r="V82" s="68" t="n">
        <v>7250</v>
      </c>
      <c r="W82" s="69" t="n">
        <v>0.0485820274397165</v>
      </c>
      <c r="X82" s="70" t="s">
        <v>214</v>
      </c>
      <c r="Y82" s="70" t="s">
        <v>194</v>
      </c>
    </row>
    <row r="83" customFormat="false" ht="15" hidden="false" customHeight="false" outlineLevel="0" collapsed="false">
      <c r="A83" s="32" t="s">
        <v>249</v>
      </c>
      <c r="B83" s="32" t="s">
        <v>268</v>
      </c>
      <c r="C83" s="32" t="s">
        <v>191</v>
      </c>
      <c r="D83" s="66" t="n">
        <f aca="false">ROUND(S83*T83,0)</f>
        <v>1249</v>
      </c>
      <c r="E83" s="66" t="n">
        <f aca="false">ROUND(S83,0)-D83</f>
        <v>1266</v>
      </c>
      <c r="F83" s="66" t="n">
        <f aca="false">IF(COUNTA(D83:E83)=0,"",SUM(D83:E83))</f>
        <v>2515</v>
      </c>
      <c r="G83" s="47" t="n">
        <f aca="false">IF(OR(F83="",F83=0),"",D83/F83)</f>
        <v>0.49662027833002</v>
      </c>
      <c r="H83" s="47" t="n">
        <f aca="false">IF(OR(F83="",F83=0),"",E83/F83)</f>
        <v>0.50337972166998</v>
      </c>
      <c r="I83" s="32" t="s">
        <v>192</v>
      </c>
      <c r="J83" s="36" t="n">
        <v>1.3830443510296</v>
      </c>
      <c r="K83" s="36" t="n">
        <f aca="false">$K$8</f>
        <v>1.02561783880877</v>
      </c>
      <c r="L83" s="36" t="n">
        <f aca="false">SQRT(J83^2+K83^2)</f>
        <v>1.72183147497008</v>
      </c>
      <c r="M83" s="47" t="n">
        <f aca="false">IF(G83="","",MAX(0,G83-1.96*L83/100))</f>
        <v>0.462872381420606</v>
      </c>
      <c r="N83" s="47" t="n">
        <f aca="false">IF(G83="","",MIN(1,G83+1.96*L83/100))</f>
        <v>0.530368175239434</v>
      </c>
      <c r="O83" s="66" t="n">
        <f aca="false">ROUND(S83*W83,0)</f>
        <v>138</v>
      </c>
      <c r="P83" s="66" t="n">
        <f aca="false">IF(F83="","",ROUND(SQRT((F83*L83/100)^2+(G83*O83)^2),0))</f>
        <v>81</v>
      </c>
      <c r="R83" s="67" t="n">
        <v>7.15887039385851</v>
      </c>
      <c r="S83" s="68" t="n">
        <f aca="false">U83*V83*$F$5</f>
        <v>2514.75925477861</v>
      </c>
      <c r="T83" s="69" t="n">
        <f aca="false">MAX(0,MIN(1,R83/100+$D$5))</f>
        <v>0.496687315981625</v>
      </c>
      <c r="U83" s="69" t="n">
        <v>0.595209291071861</v>
      </c>
      <c r="V83" s="68" t="n">
        <v>4225</v>
      </c>
      <c r="W83" s="69" t="n">
        <v>0.0547268472736556</v>
      </c>
      <c r="X83" s="70" t="s">
        <v>198</v>
      </c>
      <c r="Y83" s="70" t="s">
        <v>194</v>
      </c>
    </row>
    <row r="84" customFormat="false" ht="15" hidden="false" customHeight="false" outlineLevel="0" collapsed="false">
      <c r="A84" s="32" t="s">
        <v>249</v>
      </c>
      <c r="B84" s="32" t="s">
        <v>269</v>
      </c>
      <c r="C84" s="32" t="s">
        <v>191</v>
      </c>
      <c r="D84" s="66" t="n">
        <f aca="false">ROUND(S84*T84,0)</f>
        <v>698</v>
      </c>
      <c r="E84" s="66" t="n">
        <f aca="false">ROUND(S84,0)-D84</f>
        <v>730</v>
      </c>
      <c r="F84" s="66" t="n">
        <f aca="false">IF(COUNTA(D84:E84)=0,"",SUM(D84:E84))</f>
        <v>1428</v>
      </c>
      <c r="G84" s="47" t="n">
        <f aca="false">IF(OR(F84="",F84=0),"",D84/F84)</f>
        <v>0.488795518207283</v>
      </c>
      <c r="H84" s="47" t="n">
        <f aca="false">IF(OR(F84="",F84=0),"",E84/F84)</f>
        <v>0.511204481792717</v>
      </c>
      <c r="I84" s="32" t="s">
        <v>192</v>
      </c>
      <c r="J84" s="36" t="n">
        <v>1.3830443510296</v>
      </c>
      <c r="K84" s="36" t="n">
        <f aca="false">$K$8</f>
        <v>1.02561783880877</v>
      </c>
      <c r="L84" s="36" t="n">
        <f aca="false">SQRT(J84^2+K84^2)</f>
        <v>1.72183147497008</v>
      </c>
      <c r="M84" s="47" t="n">
        <f aca="false">IF(G84="","",MAX(0,G84-1.96*L84/100))</f>
        <v>0.455047621297869</v>
      </c>
      <c r="N84" s="47" t="n">
        <f aca="false">IF(G84="","",MIN(1,G84+1.96*L84/100))</f>
        <v>0.522543415116697</v>
      </c>
      <c r="O84" s="66" t="n">
        <f aca="false">ROUND(S84*W84,0)</f>
        <v>78</v>
      </c>
      <c r="P84" s="66" t="n">
        <f aca="false">IF(F84="","",ROUND(SQRT((F84*L84/100)^2+(G84*O84)^2),0))</f>
        <v>45</v>
      </c>
      <c r="R84" s="67" t="n">
        <v>6.40539540330258</v>
      </c>
      <c r="S84" s="68" t="n">
        <f aca="false">U84*V84*$F$5</f>
        <v>1427.54656265236</v>
      </c>
      <c r="T84" s="69" t="n">
        <f aca="false">MAX(0,MIN(1,R84/100+$D$5))</f>
        <v>0.489152566076066</v>
      </c>
      <c r="U84" s="69" t="n">
        <v>0.623110677718186</v>
      </c>
      <c r="V84" s="68" t="n">
        <v>2291</v>
      </c>
      <c r="W84" s="69" t="n">
        <v>0.0547268472736556</v>
      </c>
      <c r="X84" s="70" t="s">
        <v>198</v>
      </c>
      <c r="Y84" s="70" t="s">
        <v>194</v>
      </c>
    </row>
    <row r="85" customFormat="false" ht="15" hidden="false" customHeight="false" outlineLevel="0" collapsed="false">
      <c r="A85" s="32" t="s">
        <v>249</v>
      </c>
      <c r="B85" s="32" t="s">
        <v>270</v>
      </c>
      <c r="C85" s="32" t="s">
        <v>191</v>
      </c>
      <c r="D85" s="66" t="n">
        <f aca="false">ROUND(S85*T85,0)</f>
        <v>1971</v>
      </c>
      <c r="E85" s="66" t="n">
        <f aca="false">ROUND(S85,0)-D85</f>
        <v>2193</v>
      </c>
      <c r="F85" s="66" t="n">
        <f aca="false">IF(COUNTA(D85:E85)=0,"",SUM(D85:E85))</f>
        <v>4164</v>
      </c>
      <c r="G85" s="47" t="n">
        <f aca="false">IF(OR(F85="",F85=0),"",D85/F85)</f>
        <v>0.473342939481268</v>
      </c>
      <c r="H85" s="47" t="n">
        <f aca="false">IF(OR(F85="",F85=0),"",E85/F85)</f>
        <v>0.526657060518732</v>
      </c>
      <c r="I85" s="32" t="s">
        <v>192</v>
      </c>
      <c r="J85" s="36" t="n">
        <v>1.44439089223214</v>
      </c>
      <c r="K85" s="36" t="n">
        <f aca="false">$K$8</f>
        <v>1.02561783880877</v>
      </c>
      <c r="L85" s="36" t="n">
        <f aca="false">SQRT(J85^2+K85^2)</f>
        <v>1.77148440604085</v>
      </c>
      <c r="M85" s="47" t="n">
        <f aca="false">IF(G85="","",MAX(0,G85-1.96*L85/100))</f>
        <v>0.438621845122867</v>
      </c>
      <c r="N85" s="47" t="n">
        <f aca="false">IF(G85="","",MIN(1,G85+1.96*L85/100))</f>
        <v>0.508064033839669</v>
      </c>
      <c r="O85" s="66" t="n">
        <f aca="false">ROUND(S85*W85,0)</f>
        <v>202</v>
      </c>
      <c r="P85" s="66" t="n">
        <f aca="false">IF(F85="","",ROUND(SQRT((F85*L85/100)^2+(G85*O85)^2),0))</f>
        <v>121</v>
      </c>
      <c r="R85" s="67" t="n">
        <v>4.8292766451182</v>
      </c>
      <c r="S85" s="68" t="n">
        <f aca="false">U85*V85*$F$5</f>
        <v>4163.88109359178</v>
      </c>
      <c r="T85" s="69" t="n">
        <f aca="false">MAX(0,MIN(1,R85/100+$D$5))</f>
        <v>0.473391378494222</v>
      </c>
      <c r="U85" s="69" t="n">
        <v>0.568060176479097</v>
      </c>
      <c r="V85" s="68" t="n">
        <v>7330</v>
      </c>
      <c r="W85" s="69" t="n">
        <v>0.0485820274397165</v>
      </c>
      <c r="X85" s="70" t="s">
        <v>214</v>
      </c>
      <c r="Y85" s="70" t="s">
        <v>194</v>
      </c>
    </row>
    <row r="86" customFormat="false" ht="15" hidden="false" customHeight="false" outlineLevel="0" collapsed="false">
      <c r="A86" s="32" t="s">
        <v>249</v>
      </c>
      <c r="B86" s="32" t="s">
        <v>271</v>
      </c>
      <c r="C86" s="32" t="s">
        <v>191</v>
      </c>
      <c r="D86" s="66" t="n">
        <f aca="false">ROUND(S86*T86,0)</f>
        <v>5501</v>
      </c>
      <c r="E86" s="66" t="n">
        <f aca="false">ROUND(S86,0)-D86</f>
        <v>5156</v>
      </c>
      <c r="F86" s="66" t="n">
        <f aca="false">IF(COUNTA(D86:E86)=0,"",SUM(D86:E86))</f>
        <v>10657</v>
      </c>
      <c r="G86" s="47" t="n">
        <f aca="false">IF(OR(F86="",F86=0),"",D86/F86)</f>
        <v>0.51618654405555</v>
      </c>
      <c r="H86" s="47" t="n">
        <f aca="false">IF(OR(F86="",F86=0),"",E86/F86)</f>
        <v>0.48381345594445</v>
      </c>
      <c r="I86" s="32" t="s">
        <v>192</v>
      </c>
      <c r="J86" s="36" t="n">
        <v>1.44439089223214</v>
      </c>
      <c r="K86" s="36" t="n">
        <f aca="false">$K$8</f>
        <v>1.02561783880877</v>
      </c>
      <c r="L86" s="36" t="n">
        <f aca="false">SQRT(J86^2+K86^2)</f>
        <v>1.77148440604085</v>
      </c>
      <c r="M86" s="47" t="n">
        <f aca="false">IF(G86="","",MAX(0,G86-1.96*L86/100))</f>
        <v>0.48146544969715</v>
      </c>
      <c r="N86" s="47" t="n">
        <f aca="false">IF(G86="","",MIN(1,G86+1.96*L86/100))</f>
        <v>0.550907638413951</v>
      </c>
      <c r="O86" s="66" t="n">
        <f aca="false">ROUND(S86*W86,0)</f>
        <v>518</v>
      </c>
      <c r="P86" s="66" t="n">
        <f aca="false">IF(F86="","",ROUND(SQRT((F86*L86/100)^2+(G86*O86)^2),0))</f>
        <v>327</v>
      </c>
      <c r="R86" s="67" t="n">
        <v>9.10978036453061</v>
      </c>
      <c r="S86" s="68" t="n">
        <f aca="false">U86*V86*$F$5</f>
        <v>10656.5050635134</v>
      </c>
      <c r="T86" s="69" t="n">
        <f aca="false">MAX(0,MIN(1,R86/100+$D$5))</f>
        <v>0.516196415688346</v>
      </c>
      <c r="U86" s="69" t="n">
        <v>0.603699584382134</v>
      </c>
      <c r="V86" s="68" t="n">
        <v>17652</v>
      </c>
      <c r="W86" s="69" t="n">
        <v>0.0485820274397165</v>
      </c>
      <c r="X86" s="70" t="s">
        <v>214</v>
      </c>
      <c r="Y86" s="70" t="s">
        <v>194</v>
      </c>
    </row>
    <row r="87" customFormat="false" ht="15" hidden="false" customHeight="false" outlineLevel="0" collapsed="false">
      <c r="A87" s="32" t="s">
        <v>249</v>
      </c>
      <c r="B87" s="32" t="s">
        <v>272</v>
      </c>
      <c r="C87" s="32" t="s">
        <v>191</v>
      </c>
      <c r="D87" s="66" t="n">
        <f aca="false">ROUND(S87*T87,0)</f>
        <v>517</v>
      </c>
      <c r="E87" s="66" t="n">
        <f aca="false">ROUND(S87,0)-D87</f>
        <v>845</v>
      </c>
      <c r="F87" s="66" t="n">
        <f aca="false">IF(COUNTA(D87:E87)=0,"",SUM(D87:E87))</f>
        <v>1362</v>
      </c>
      <c r="G87" s="47" t="n">
        <f aca="false">IF(OR(F87="",F87=0),"",D87/F87)</f>
        <v>0.379588839941263</v>
      </c>
      <c r="H87" s="47" t="n">
        <f aca="false">IF(OR(F87="",F87=0),"",E87/F87)</f>
        <v>0.620411160058737</v>
      </c>
      <c r="I87" s="32" t="s">
        <v>192</v>
      </c>
      <c r="J87" s="36" t="n">
        <v>1.3830443510296</v>
      </c>
      <c r="K87" s="36" t="n">
        <f aca="false">$K$8</f>
        <v>1.02561783880877</v>
      </c>
      <c r="L87" s="36" t="n">
        <f aca="false">SQRT(J87^2+K87^2)</f>
        <v>1.72183147497008</v>
      </c>
      <c r="M87" s="47" t="n">
        <f aca="false">IF(G87="","",MAX(0,G87-1.96*L87/100))</f>
        <v>0.345840943031849</v>
      </c>
      <c r="N87" s="47" t="n">
        <f aca="false">IF(G87="","",MIN(1,G87+1.96*L87/100))</f>
        <v>0.413336736850677</v>
      </c>
      <c r="O87" s="66" t="n">
        <f aca="false">ROUND(S87*W87,0)</f>
        <v>75</v>
      </c>
      <c r="P87" s="66" t="n">
        <f aca="false">IF(F87="","",ROUND(SQRT((F87*L87/100)^2+(G87*O87)^2),0))</f>
        <v>37</v>
      </c>
      <c r="R87" s="67" t="n">
        <v>-4.54368566019692</v>
      </c>
      <c r="S87" s="68" t="n">
        <f aca="false">U87*V87*$F$5</f>
        <v>1362.06750324535</v>
      </c>
      <c r="T87" s="69" t="n">
        <f aca="false">MAX(0,MIN(1,R87/100+$D$5))</f>
        <v>0.379661755441071</v>
      </c>
      <c r="U87" s="69" t="n">
        <v>0.55776720034617</v>
      </c>
      <c r="V87" s="68" t="n">
        <v>2442</v>
      </c>
      <c r="W87" s="69" t="n">
        <v>0.0547268472736556</v>
      </c>
      <c r="X87" s="70" t="s">
        <v>198</v>
      </c>
      <c r="Y87" s="70" t="s">
        <v>194</v>
      </c>
    </row>
    <row r="88" customFormat="false" ht="15" hidden="false" customHeight="false" outlineLevel="0" collapsed="false">
      <c r="A88" s="32" t="s">
        <v>249</v>
      </c>
      <c r="B88" s="32" t="s">
        <v>273</v>
      </c>
      <c r="C88" s="32" t="s">
        <v>191</v>
      </c>
      <c r="D88" s="66" t="n">
        <f aca="false">ROUND(S88*T88,0)</f>
        <v>1096</v>
      </c>
      <c r="E88" s="66" t="n">
        <f aca="false">ROUND(S88,0)-D88</f>
        <v>2025</v>
      </c>
      <c r="F88" s="66" t="n">
        <f aca="false">IF(COUNTA(D88:E88)=0,"",SUM(D88:E88))</f>
        <v>3121</v>
      </c>
      <c r="G88" s="47" t="n">
        <f aca="false">IF(OR(F88="",F88=0),"",D88/F88)</f>
        <v>0.351169496956104</v>
      </c>
      <c r="H88" s="47" t="n">
        <f aca="false">IF(OR(F88="",F88=0),"",E88/F88)</f>
        <v>0.648830503043896</v>
      </c>
      <c r="I88" s="32" t="s">
        <v>192</v>
      </c>
      <c r="J88" s="36" t="n">
        <v>1.44439089223214</v>
      </c>
      <c r="K88" s="36" t="n">
        <f aca="false">$K$8</f>
        <v>1.02561783880877</v>
      </c>
      <c r="L88" s="36" t="n">
        <f aca="false">SQRT(J88^2+K88^2)</f>
        <v>1.77148440604085</v>
      </c>
      <c r="M88" s="47" t="n">
        <f aca="false">IF(G88="","",MAX(0,G88-1.96*L88/100))</f>
        <v>0.316448402597703</v>
      </c>
      <c r="N88" s="47" t="n">
        <f aca="false">IF(G88="","",MIN(1,G88+1.96*L88/100))</f>
        <v>0.385890591314505</v>
      </c>
      <c r="O88" s="66" t="n">
        <f aca="false">ROUND(S88*W88,0)</f>
        <v>152</v>
      </c>
      <c r="P88" s="66" t="n">
        <f aca="false">IF(F88="","",ROUND(SQRT((F88*L88/100)^2+(G88*O88)^2),0))</f>
        <v>77</v>
      </c>
      <c r="R88" s="67" t="n">
        <v>-7.38375726044408</v>
      </c>
      <c r="S88" s="68" t="n">
        <f aca="false">U88*V88*$F$5</f>
        <v>3121.34219409283</v>
      </c>
      <c r="T88" s="69" t="n">
        <f aca="false">MAX(0,MIN(1,R88/100+$D$5))</f>
        <v>0.351261039438599</v>
      </c>
      <c r="U88" s="69" t="n">
        <v>0.648523206751055</v>
      </c>
      <c r="V88" s="68" t="n">
        <v>4813</v>
      </c>
      <c r="W88" s="69" t="n">
        <v>0.0485820274397165</v>
      </c>
      <c r="X88" s="70" t="s">
        <v>214</v>
      </c>
      <c r="Y88" s="70" t="s">
        <v>194</v>
      </c>
    </row>
    <row r="89" customFormat="false" ht="15" hidden="false" customHeight="false" outlineLevel="0" collapsed="false">
      <c r="A89" s="32" t="s">
        <v>249</v>
      </c>
      <c r="B89" s="32" t="s">
        <v>274</v>
      </c>
      <c r="C89" s="32" t="s">
        <v>191</v>
      </c>
      <c r="D89" s="66" t="n">
        <f aca="false">ROUND(S89*T89,0)</f>
        <v>68</v>
      </c>
      <c r="E89" s="66" t="n">
        <f aca="false">ROUND(S89,0)-D89</f>
        <v>128</v>
      </c>
      <c r="F89" s="66" t="n">
        <f aca="false">IF(COUNTA(D89:E89)=0,"",SUM(D89:E89))</f>
        <v>196</v>
      </c>
      <c r="G89" s="47" t="n">
        <f aca="false">IF(OR(F89="",F89=0),"",D89/F89)</f>
        <v>0.346938775510204</v>
      </c>
      <c r="H89" s="47" t="n">
        <f aca="false">IF(OR(F89="",F89=0),"",E89/F89)</f>
        <v>0.653061224489796</v>
      </c>
      <c r="I89" s="32" t="s">
        <v>192</v>
      </c>
      <c r="J89" s="36" t="n">
        <v>2.6727769877146</v>
      </c>
      <c r="K89" s="36" t="n">
        <f aca="false">$K$8</f>
        <v>1.02561783880877</v>
      </c>
      <c r="L89" s="36" t="n">
        <f aca="false">SQRT(J89^2+K89^2)</f>
        <v>2.86280086232688</v>
      </c>
      <c r="M89" s="47" t="n">
        <f aca="false">IF(G89="","",MAX(0,G89-1.96*L89/100))</f>
        <v>0.290827878608597</v>
      </c>
      <c r="N89" s="47" t="n">
        <f aca="false">IF(G89="","",MIN(1,G89+1.96*L89/100))</f>
        <v>0.403049672411811</v>
      </c>
      <c r="O89" s="66" t="n">
        <f aca="false">ROUND(S89*W89,0)</f>
        <v>14</v>
      </c>
      <c r="P89" s="66" t="n">
        <f aca="false">IF(F89="","",ROUND(SQRT((F89*L89/100)^2+(G89*O89)^2),0))</f>
        <v>7</v>
      </c>
      <c r="R89" s="67" t="n">
        <v>-7.8652448353451</v>
      </c>
      <c r="S89" s="68" t="n">
        <f aca="false">U89*V89*$F$5</f>
        <v>196.10298102981</v>
      </c>
      <c r="T89" s="69" t="n">
        <f aca="false">MAX(0,MIN(1,R89/100+$D$5))</f>
        <v>0.346446163689589</v>
      </c>
      <c r="U89" s="69" t="n">
        <v>0.525745257452575</v>
      </c>
      <c r="V89" s="68" t="n">
        <v>373</v>
      </c>
      <c r="W89" s="69" t="n">
        <v>0.0732058935918866</v>
      </c>
      <c r="X89" s="70" t="s">
        <v>193</v>
      </c>
      <c r="Y89" s="70" t="s">
        <v>194</v>
      </c>
    </row>
    <row r="90" customFormat="false" ht="15" hidden="false" customHeight="false" outlineLevel="0" collapsed="false">
      <c r="A90" s="32" t="s">
        <v>249</v>
      </c>
      <c r="B90" s="32" t="s">
        <v>275</v>
      </c>
      <c r="C90" s="32" t="s">
        <v>191</v>
      </c>
      <c r="D90" s="66" t="n">
        <f aca="false">ROUND(S90*T90,0)</f>
        <v>257</v>
      </c>
      <c r="E90" s="66" t="n">
        <f aca="false">ROUND(S90,0)-D90</f>
        <v>427</v>
      </c>
      <c r="F90" s="66" t="n">
        <f aca="false">IF(COUNTA(D90:E90)=0,"",SUM(D90:E90))</f>
        <v>684</v>
      </c>
      <c r="G90" s="47" t="n">
        <f aca="false">IF(OR(F90="",F90=0),"",D90/F90)</f>
        <v>0.375730994152047</v>
      </c>
      <c r="H90" s="47" t="n">
        <f aca="false">IF(OR(F90="",F90=0),"",E90/F90)</f>
        <v>0.624269005847953</v>
      </c>
      <c r="I90" s="32" t="s">
        <v>192</v>
      </c>
      <c r="J90" s="36" t="n">
        <v>2.6727769877146</v>
      </c>
      <c r="K90" s="36" t="n">
        <f aca="false">$K$8</f>
        <v>1.02561783880877</v>
      </c>
      <c r="L90" s="36" t="n">
        <f aca="false">SQRT(J90^2+K90^2)</f>
        <v>2.86280086232688</v>
      </c>
      <c r="M90" s="47" t="n">
        <f aca="false">IF(G90="","",MAX(0,G90-1.96*L90/100))</f>
        <v>0.31962009725044</v>
      </c>
      <c r="N90" s="47" t="n">
        <f aca="false">IF(G90="","",MIN(1,G90+1.96*L90/100))</f>
        <v>0.431841891053654</v>
      </c>
      <c r="O90" s="66" t="n">
        <f aca="false">ROUND(S90*W90,0)</f>
        <v>50</v>
      </c>
      <c r="P90" s="66" t="n">
        <f aca="false">IF(F90="","",ROUND(SQRT((F90*L90/100)^2+(G90*O90)^2),0))</f>
        <v>27</v>
      </c>
      <c r="R90" s="67" t="n">
        <v>-5.00404635617602</v>
      </c>
      <c r="S90" s="68" t="n">
        <f aca="false">U90*V90*$F$5</f>
        <v>683.952941176471</v>
      </c>
      <c r="T90" s="69" t="n">
        <f aca="false">MAX(0,MIN(1,R90/100+$D$5))</f>
        <v>0.37505814848128</v>
      </c>
      <c r="U90" s="69" t="n">
        <v>0.568067226890756</v>
      </c>
      <c r="V90" s="68" t="n">
        <v>1204</v>
      </c>
      <c r="W90" s="69" t="n">
        <v>0.0732058935918866</v>
      </c>
      <c r="X90" s="70" t="s">
        <v>193</v>
      </c>
      <c r="Y90" s="70" t="s">
        <v>194</v>
      </c>
    </row>
    <row r="91" customFormat="false" ht="15" hidden="false" customHeight="false" outlineLevel="0" collapsed="false">
      <c r="A91" s="32" t="s">
        <v>249</v>
      </c>
      <c r="B91" s="32" t="s">
        <v>276</v>
      </c>
      <c r="C91" s="32" t="s">
        <v>191</v>
      </c>
      <c r="D91" s="66" t="n">
        <f aca="false">ROUND(S91*T91,0)</f>
        <v>159</v>
      </c>
      <c r="E91" s="66" t="n">
        <f aca="false">ROUND(S91,0)-D91</f>
        <v>230</v>
      </c>
      <c r="F91" s="66" t="n">
        <f aca="false">IF(COUNTA(D91:E91)=0,"",SUM(D91:E91))</f>
        <v>389</v>
      </c>
      <c r="G91" s="47" t="n">
        <f aca="false">IF(OR(F91="",F91=0),"",D91/F91)</f>
        <v>0.408740359897172</v>
      </c>
      <c r="H91" s="47" t="n">
        <f aca="false">IF(OR(F91="",F91=0),"",E91/F91)</f>
        <v>0.591259640102828</v>
      </c>
      <c r="I91" s="32" t="s">
        <v>192</v>
      </c>
      <c r="J91" s="36" t="n">
        <v>2.6727769877146</v>
      </c>
      <c r="K91" s="36" t="n">
        <f aca="false">$K$8</f>
        <v>1.02561783880877</v>
      </c>
      <c r="L91" s="36" t="n">
        <f aca="false">SQRT(J91^2+K91^2)</f>
        <v>2.86280086232688</v>
      </c>
      <c r="M91" s="47" t="n">
        <f aca="false">IF(G91="","",MAX(0,G91-1.96*L91/100))</f>
        <v>0.352629462995565</v>
      </c>
      <c r="N91" s="47" t="n">
        <f aca="false">IF(G91="","",MIN(1,G91+1.96*L91/100))</f>
        <v>0.464851256798779</v>
      </c>
      <c r="O91" s="66" t="n">
        <f aca="false">ROUND(S91*W91,0)</f>
        <v>28</v>
      </c>
      <c r="P91" s="66" t="n">
        <f aca="false">IF(F91="","",ROUND(SQRT((F91*L91/100)^2+(G91*O91)^2),0))</f>
        <v>16</v>
      </c>
      <c r="R91" s="67" t="n">
        <v>-1.66169198875817</v>
      </c>
      <c r="S91" s="68" t="n">
        <f aca="false">U91*V91*$F$5</f>
        <v>388.819749216301</v>
      </c>
      <c r="T91" s="69" t="n">
        <f aca="false">MAX(0,MIN(1,R91/100+$D$5))</f>
        <v>0.408481692155458</v>
      </c>
      <c r="U91" s="69" t="n">
        <v>0.606583072100314</v>
      </c>
      <c r="V91" s="68" t="n">
        <v>641</v>
      </c>
      <c r="W91" s="69" t="n">
        <v>0.0732058935918866</v>
      </c>
      <c r="X91" s="70" t="s">
        <v>193</v>
      </c>
      <c r="Y91" s="70" t="s">
        <v>194</v>
      </c>
    </row>
    <row r="92" customFormat="false" ht="15" hidden="false" customHeight="false" outlineLevel="0" collapsed="false">
      <c r="A92" s="32" t="s">
        <v>249</v>
      </c>
      <c r="B92" s="32" t="s">
        <v>277</v>
      </c>
      <c r="C92" s="32" t="s">
        <v>191</v>
      </c>
      <c r="D92" s="66" t="n">
        <f aca="false">ROUND(S92*T92,0)</f>
        <v>252</v>
      </c>
      <c r="E92" s="66" t="n">
        <f aca="false">ROUND(S92,0)-D92</f>
        <v>350</v>
      </c>
      <c r="F92" s="66" t="n">
        <f aca="false">IF(COUNTA(D92:E92)=0,"",SUM(D92:E92))</f>
        <v>602</v>
      </c>
      <c r="G92" s="47" t="n">
        <f aca="false">IF(OR(F92="",F92=0),"",D92/F92)</f>
        <v>0.418604651162791</v>
      </c>
      <c r="H92" s="47" t="n">
        <f aca="false">IF(OR(F92="",F92=0),"",E92/F92)</f>
        <v>0.581395348837209</v>
      </c>
      <c r="I92" s="32" t="s">
        <v>192</v>
      </c>
      <c r="J92" s="36" t="n">
        <v>2.6727769877146</v>
      </c>
      <c r="K92" s="36" t="n">
        <f aca="false">$K$8</f>
        <v>1.02561783880877</v>
      </c>
      <c r="L92" s="36" t="n">
        <f aca="false">SQRT(J92^2+K92^2)</f>
        <v>2.86280086232688</v>
      </c>
      <c r="M92" s="47" t="n">
        <f aca="false">IF(G92="","",MAX(0,G92-1.96*L92/100))</f>
        <v>0.362493754261184</v>
      </c>
      <c r="N92" s="47" t="n">
        <f aca="false">IF(G92="","",MIN(1,G92+1.96*L92/100))</f>
        <v>0.474715548064398</v>
      </c>
      <c r="O92" s="66" t="n">
        <f aca="false">ROUND(S92*W92,0)</f>
        <v>44</v>
      </c>
      <c r="P92" s="66" t="n">
        <f aca="false">IF(F92="","",ROUND(SQRT((F92*L92/100)^2+(G92*O92)^2),0))</f>
        <v>25</v>
      </c>
      <c r="R92" s="67" t="n">
        <v>-0.61322444583619</v>
      </c>
      <c r="S92" s="68" t="n">
        <f aca="false">U92*V92*$F$5</f>
        <v>602.07868852459</v>
      </c>
      <c r="T92" s="69" t="n">
        <f aca="false">MAX(0,MIN(1,R92/100+$D$5))</f>
        <v>0.418966367584678</v>
      </c>
      <c r="U92" s="69" t="n">
        <v>0.613114754098361</v>
      </c>
      <c r="V92" s="68" t="n">
        <v>982</v>
      </c>
      <c r="W92" s="69" t="n">
        <v>0.0732058935918866</v>
      </c>
      <c r="X92" s="70" t="s">
        <v>193</v>
      </c>
      <c r="Y92" s="70" t="s">
        <v>194</v>
      </c>
    </row>
    <row r="93" customFormat="false" ht="15" hidden="false" customHeight="false" outlineLevel="0" collapsed="false">
      <c r="A93" s="32" t="s">
        <v>249</v>
      </c>
      <c r="B93" s="32" t="s">
        <v>278</v>
      </c>
      <c r="C93" s="32" t="s">
        <v>191</v>
      </c>
      <c r="D93" s="66" t="n">
        <f aca="false">ROUND(S93*T93,0)</f>
        <v>1008</v>
      </c>
      <c r="E93" s="66" t="n">
        <f aca="false">ROUND(S93,0)-D93</f>
        <v>2138</v>
      </c>
      <c r="F93" s="66" t="n">
        <f aca="false">IF(COUNTA(D93:E93)=0,"",SUM(D93:E93))</f>
        <v>3146</v>
      </c>
      <c r="G93" s="47" t="n">
        <f aca="false">IF(OR(F93="",F93=0),"",D93/F93)</f>
        <v>0.320406865861411</v>
      </c>
      <c r="H93" s="47" t="n">
        <f aca="false">IF(OR(F93="",F93=0),"",E93/F93)</f>
        <v>0.679593134138589</v>
      </c>
      <c r="I93" s="32" t="s">
        <v>192</v>
      </c>
      <c r="J93" s="36" t="n">
        <v>1.44439089223214</v>
      </c>
      <c r="K93" s="36" t="n">
        <f aca="false">$K$8</f>
        <v>1.02561783880877</v>
      </c>
      <c r="L93" s="36" t="n">
        <f aca="false">SQRT(J93^2+K93^2)</f>
        <v>1.77148440604085</v>
      </c>
      <c r="M93" s="47" t="n">
        <f aca="false">IF(G93="","",MAX(0,G93-1.96*L93/100))</f>
        <v>0.285685771503011</v>
      </c>
      <c r="N93" s="47" t="n">
        <f aca="false">IF(G93="","",MIN(1,G93+1.96*L93/100))</f>
        <v>0.355127960219812</v>
      </c>
      <c r="O93" s="66" t="n">
        <f aca="false">ROUND(S93*W93,0)</f>
        <v>153</v>
      </c>
      <c r="P93" s="66" t="n">
        <f aca="false">IF(F93="","",ROUND(SQRT((F93*L93/100)^2+(G93*O93)^2),0))</f>
        <v>74</v>
      </c>
      <c r="R93" s="67" t="n">
        <v>-10.4838026610452</v>
      </c>
      <c r="S93" s="68" t="n">
        <f aca="false">U93*V93*$F$5</f>
        <v>3146.26275765459</v>
      </c>
      <c r="T93" s="69" t="n">
        <f aca="false">MAX(0,MIN(1,R93/100+$D$5))</f>
        <v>0.320260585432588</v>
      </c>
      <c r="U93" s="69" t="n">
        <v>0.625375225135081</v>
      </c>
      <c r="V93" s="68" t="n">
        <v>5031</v>
      </c>
      <c r="W93" s="69" t="n">
        <v>0.0485820274397165</v>
      </c>
      <c r="X93" s="70" t="s">
        <v>214</v>
      </c>
      <c r="Y93" s="70" t="s">
        <v>194</v>
      </c>
    </row>
    <row r="94" customFormat="false" ht="15" hidden="false" customHeight="false" outlineLevel="0" collapsed="false">
      <c r="A94" s="32" t="s">
        <v>249</v>
      </c>
      <c r="B94" s="32" t="s">
        <v>279</v>
      </c>
      <c r="C94" s="32" t="s">
        <v>191</v>
      </c>
      <c r="D94" s="66" t="n">
        <f aca="false">ROUND(S94*T94,0)</f>
        <v>1587</v>
      </c>
      <c r="E94" s="66" t="n">
        <f aca="false">ROUND(S94,0)-D94</f>
        <v>1690</v>
      </c>
      <c r="F94" s="66" t="n">
        <f aca="false">IF(COUNTA(D94:E94)=0,"",SUM(D94:E94))</f>
        <v>3277</v>
      </c>
      <c r="G94" s="47" t="n">
        <f aca="false">IF(OR(F94="",F94=0),"",D94/F94)</f>
        <v>0.484284406469332</v>
      </c>
      <c r="H94" s="47" t="n">
        <f aca="false">IF(OR(F94="",F94=0),"",E94/F94)</f>
        <v>0.515715593530668</v>
      </c>
      <c r="I94" s="32" t="s">
        <v>192</v>
      </c>
      <c r="J94" s="36" t="n">
        <v>1.44439089223214</v>
      </c>
      <c r="K94" s="36" t="n">
        <f aca="false">$K$8</f>
        <v>1.02561783880877</v>
      </c>
      <c r="L94" s="36" t="n">
        <f aca="false">SQRT(J94^2+K94^2)</f>
        <v>1.77148440604085</v>
      </c>
      <c r="M94" s="47" t="n">
        <f aca="false">IF(G94="","",MAX(0,G94-1.96*L94/100))</f>
        <v>0.449563312110931</v>
      </c>
      <c r="N94" s="47" t="n">
        <f aca="false">IF(G94="","",MIN(1,G94+1.96*L94/100))</f>
        <v>0.519005500827732</v>
      </c>
      <c r="O94" s="66" t="n">
        <f aca="false">ROUND(S94*W94,0)</f>
        <v>159</v>
      </c>
      <c r="P94" s="66" t="n">
        <f aca="false">IF(F94="","",ROUND(SQRT((F94*L94/100)^2+(G94*O94)^2),0))</f>
        <v>96</v>
      </c>
      <c r="R94" s="67" t="n">
        <v>5.90602624863762</v>
      </c>
      <c r="S94" s="68" t="n">
        <f aca="false">U94*V94*$F$5</f>
        <v>3277.36336396324</v>
      </c>
      <c r="T94" s="69" t="n">
        <f aca="false">MAX(0,MIN(1,R94/100+$D$5))</f>
        <v>0.484158874529416</v>
      </c>
      <c r="U94" s="69" t="n">
        <v>0.631841789852177</v>
      </c>
      <c r="V94" s="68" t="n">
        <v>5187</v>
      </c>
      <c r="W94" s="69" t="n">
        <v>0.0485820274397165</v>
      </c>
      <c r="X94" s="70" t="s">
        <v>214</v>
      </c>
      <c r="Y94" s="70" t="s">
        <v>194</v>
      </c>
    </row>
    <row r="95" customFormat="false" ht="15" hidden="false" customHeight="false" outlineLevel="0" collapsed="false">
      <c r="A95" s="32" t="s">
        <v>249</v>
      </c>
      <c r="B95" s="32" t="s">
        <v>280</v>
      </c>
      <c r="C95" s="32" t="s">
        <v>191</v>
      </c>
      <c r="D95" s="66" t="n">
        <f aca="false">ROUND(S95*T95,0)</f>
        <v>312</v>
      </c>
      <c r="E95" s="66" t="n">
        <f aca="false">ROUND(S95,0)-D95</f>
        <v>449</v>
      </c>
      <c r="F95" s="66" t="n">
        <f aca="false">IF(COUNTA(D95:E95)=0,"",SUM(D95:E95))</f>
        <v>761</v>
      </c>
      <c r="G95" s="47" t="n">
        <f aca="false">IF(OR(F95="",F95=0),"",D95/F95)</f>
        <v>0.409986859395532</v>
      </c>
      <c r="H95" s="47" t="n">
        <f aca="false">IF(OR(F95="",F95=0),"",E95/F95)</f>
        <v>0.590013140604468</v>
      </c>
      <c r="I95" s="32" t="s">
        <v>192</v>
      </c>
      <c r="J95" s="36" t="n">
        <v>2.6727769877146</v>
      </c>
      <c r="K95" s="36" t="n">
        <f aca="false">$K$8</f>
        <v>1.02561783880877</v>
      </c>
      <c r="L95" s="36" t="n">
        <f aca="false">SQRT(J95^2+K95^2)</f>
        <v>2.86280086232688</v>
      </c>
      <c r="M95" s="47" t="n">
        <f aca="false">IF(G95="","",MAX(0,G95-1.96*L95/100))</f>
        <v>0.353875962493925</v>
      </c>
      <c r="N95" s="47" t="n">
        <f aca="false">IF(G95="","",MIN(1,G95+1.96*L95/100))</f>
        <v>0.466097756297139</v>
      </c>
      <c r="O95" s="66" t="n">
        <f aca="false">ROUND(S95*W95,0)</f>
        <v>56</v>
      </c>
      <c r="P95" s="66" t="n">
        <f aca="false">IF(F95="","",ROUND(SQRT((F95*L95/100)^2+(G95*O95)^2),0))</f>
        <v>32</v>
      </c>
      <c r="R95" s="67" t="n">
        <v>-1.59644288364055</v>
      </c>
      <c r="S95" s="68" t="n">
        <f aca="false">U95*V95*$F$5</f>
        <v>761.429837518464</v>
      </c>
      <c r="T95" s="69" t="n">
        <f aca="false">MAX(0,MIN(1,R95/100+$D$5))</f>
        <v>0.409134183206634</v>
      </c>
      <c r="U95" s="69" t="n">
        <v>0.534711964549483</v>
      </c>
      <c r="V95" s="68" t="n">
        <v>1424</v>
      </c>
      <c r="W95" s="69" t="n">
        <v>0.0732058935918866</v>
      </c>
      <c r="X95" s="70" t="s">
        <v>193</v>
      </c>
      <c r="Y95" s="70" t="s">
        <v>194</v>
      </c>
    </row>
    <row r="96" customFormat="false" ht="15" hidden="false" customHeight="false" outlineLevel="0" collapsed="false">
      <c r="A96" s="32" t="s">
        <v>249</v>
      </c>
      <c r="B96" s="32" t="s">
        <v>242</v>
      </c>
      <c r="C96" s="32" t="s">
        <v>191</v>
      </c>
      <c r="D96" s="66" t="n">
        <f aca="false">ROUND(S96*T96,0)</f>
        <v>814</v>
      </c>
      <c r="E96" s="66" t="n">
        <f aca="false">ROUND(S96,0)-D96</f>
        <v>1573</v>
      </c>
      <c r="F96" s="66" t="n">
        <f aca="false">IF(COUNTA(D96:E96)=0,"",SUM(D96:E96))</f>
        <v>2387</v>
      </c>
      <c r="G96" s="47" t="n">
        <f aca="false">IF(OR(F96="",F96=0),"",D96/F96)</f>
        <v>0.341013824884793</v>
      </c>
      <c r="H96" s="47" t="n">
        <f aca="false">IF(OR(F96="",F96=0),"",E96/F96)</f>
        <v>0.658986175115207</v>
      </c>
      <c r="I96" s="32" t="s">
        <v>192</v>
      </c>
      <c r="J96" s="36" t="n">
        <v>1.3830443510296</v>
      </c>
      <c r="K96" s="36" t="n">
        <f aca="false">$K$8</f>
        <v>1.02561783880877</v>
      </c>
      <c r="L96" s="36" t="n">
        <f aca="false">SQRT(J96^2+K96^2)</f>
        <v>1.72183147497008</v>
      </c>
      <c r="M96" s="47" t="n">
        <f aca="false">IF(G96="","",MAX(0,G96-1.96*L96/100))</f>
        <v>0.307265927975379</v>
      </c>
      <c r="N96" s="47" t="n">
        <f aca="false">IF(G96="","",MIN(1,G96+1.96*L96/100))</f>
        <v>0.374761721794206</v>
      </c>
      <c r="O96" s="66" t="n">
        <f aca="false">ROUND(S96*W96,0)</f>
        <v>131</v>
      </c>
      <c r="P96" s="66" t="n">
        <f aca="false">IF(F96="","",ROUND(SQRT((F96*L96/100)^2+(G96*O96)^2),0))</f>
        <v>61</v>
      </c>
      <c r="R96" s="67" t="n">
        <v>-8.42455860854022</v>
      </c>
      <c r="S96" s="68" t="n">
        <f aca="false">U96*V96*$F$5</f>
        <v>2386.68081761006</v>
      </c>
      <c r="T96" s="69" t="n">
        <f aca="false">MAX(0,MIN(1,R96/100+$D$5))</f>
        <v>0.340853025957638</v>
      </c>
      <c r="U96" s="69" t="n">
        <v>0.62185534591195</v>
      </c>
      <c r="V96" s="68" t="n">
        <v>3838</v>
      </c>
      <c r="W96" s="69" t="n">
        <v>0.0547268472736556</v>
      </c>
      <c r="X96" s="70" t="s">
        <v>198</v>
      </c>
      <c r="Y96" s="70" t="s">
        <v>194</v>
      </c>
    </row>
    <row r="97" customFormat="false" ht="15" hidden="false" customHeight="false" outlineLevel="0" collapsed="false">
      <c r="A97" s="32" t="s">
        <v>249</v>
      </c>
      <c r="B97" s="32" t="s">
        <v>281</v>
      </c>
      <c r="C97" s="32" t="s">
        <v>191</v>
      </c>
      <c r="D97" s="66" t="n">
        <f aca="false">ROUND(S97*T97,0)</f>
        <v>209</v>
      </c>
      <c r="E97" s="66" t="n">
        <f aca="false">ROUND(S97,0)-D97</f>
        <v>229</v>
      </c>
      <c r="F97" s="66" t="n">
        <f aca="false">IF(COUNTA(D97:E97)=0,"",SUM(D97:E97))</f>
        <v>438</v>
      </c>
      <c r="G97" s="47" t="n">
        <f aca="false">IF(OR(F97="",F97=0),"",D97/F97)</f>
        <v>0.47716894977169</v>
      </c>
      <c r="H97" s="47" t="n">
        <f aca="false">IF(OR(F97="",F97=0),"",E97/F97)</f>
        <v>0.522831050228311</v>
      </c>
      <c r="I97" s="32" t="s">
        <v>192</v>
      </c>
      <c r="J97" s="36" t="n">
        <v>2.6727769877146</v>
      </c>
      <c r="K97" s="36" t="n">
        <f aca="false">$K$8</f>
        <v>1.02561783880877</v>
      </c>
      <c r="L97" s="36" t="n">
        <f aca="false">SQRT(J97^2+K97^2)</f>
        <v>2.86280086232688</v>
      </c>
      <c r="M97" s="47" t="n">
        <f aca="false">IF(G97="","",MAX(0,G97-1.96*L97/100))</f>
        <v>0.421058052870083</v>
      </c>
      <c r="N97" s="47" t="n">
        <f aca="false">IF(G97="","",MIN(1,G97+1.96*L97/100))</f>
        <v>0.533279846673296</v>
      </c>
      <c r="O97" s="66" t="n">
        <f aca="false">ROUND(S97*W97,0)</f>
        <v>32</v>
      </c>
      <c r="P97" s="66" t="n">
        <f aca="false">IF(F97="","",ROUND(SQRT((F97*L97/100)^2+(G97*O97)^2),0))</f>
        <v>20</v>
      </c>
      <c r="R97" s="67" t="n">
        <v>5.24020366694982</v>
      </c>
      <c r="S97" s="68" t="n">
        <f aca="false">U97*V97*$F$5</f>
        <v>438.292134831461</v>
      </c>
      <c r="T97" s="69" t="n">
        <f aca="false">MAX(0,MIN(1,R97/100+$D$5))</f>
        <v>0.477500648712538</v>
      </c>
      <c r="U97" s="69" t="n">
        <v>0.51685393258427</v>
      </c>
      <c r="V97" s="68" t="n">
        <v>848</v>
      </c>
      <c r="W97" s="69" t="n">
        <v>0.0732058935918866</v>
      </c>
      <c r="X97" s="70" t="s">
        <v>193</v>
      </c>
      <c r="Y97" s="70" t="s">
        <v>194</v>
      </c>
    </row>
    <row r="98" customFormat="false" ht="15" hidden="false" customHeight="false" outlineLevel="0" collapsed="false">
      <c r="A98" s="32" t="s">
        <v>249</v>
      </c>
      <c r="B98" s="32" t="s">
        <v>282</v>
      </c>
      <c r="C98" s="32" t="s">
        <v>191</v>
      </c>
      <c r="D98" s="66" t="n">
        <f aca="false">ROUND(S98*T98,0)</f>
        <v>1438</v>
      </c>
      <c r="E98" s="66" t="n">
        <f aca="false">ROUND(S98,0)-D98</f>
        <v>1928</v>
      </c>
      <c r="F98" s="66" t="n">
        <f aca="false">IF(COUNTA(D98:E98)=0,"",SUM(D98:E98))</f>
        <v>3366</v>
      </c>
      <c r="G98" s="47" t="n">
        <f aca="false">IF(OR(F98="",F98=0),"",D98/F98)</f>
        <v>0.427213309566251</v>
      </c>
      <c r="H98" s="47" t="n">
        <f aca="false">IF(OR(F98="",F98=0),"",E98/F98)</f>
        <v>0.572786690433749</v>
      </c>
      <c r="I98" s="32" t="s">
        <v>192</v>
      </c>
      <c r="J98" s="36" t="n">
        <v>1.44439089223214</v>
      </c>
      <c r="K98" s="36" t="n">
        <f aca="false">$K$8</f>
        <v>1.02561783880877</v>
      </c>
      <c r="L98" s="36" t="n">
        <f aca="false">SQRT(J98^2+K98^2)</f>
        <v>1.77148440604085</v>
      </c>
      <c r="M98" s="47" t="n">
        <f aca="false">IF(G98="","",MAX(0,G98-1.96*L98/100))</f>
        <v>0.39249221520785</v>
      </c>
      <c r="N98" s="47" t="n">
        <f aca="false">IF(G98="","",MIN(1,G98+1.96*L98/100))</f>
        <v>0.461934403924651</v>
      </c>
      <c r="O98" s="66" t="n">
        <f aca="false">ROUND(S98*W98,0)</f>
        <v>164</v>
      </c>
      <c r="P98" s="66" t="n">
        <f aca="false">IF(F98="","",ROUND(SQRT((F98*L98/100)^2+(G98*O98)^2),0))</f>
        <v>92</v>
      </c>
      <c r="R98" s="67" t="n">
        <v>0.225448199297812</v>
      </c>
      <c r="S98" s="68" t="n">
        <f aca="false">U98*V98*$F$5</f>
        <v>3365.72741078208</v>
      </c>
      <c r="T98" s="69" t="n">
        <f aca="false">MAX(0,MIN(1,R98/100+$D$5))</f>
        <v>0.427353094036018</v>
      </c>
      <c r="U98" s="69" t="n">
        <v>0.629460895975702</v>
      </c>
      <c r="V98" s="68" t="n">
        <v>5347</v>
      </c>
      <c r="W98" s="69" t="n">
        <v>0.0485820274397165</v>
      </c>
      <c r="X98" s="70" t="s">
        <v>214</v>
      </c>
      <c r="Y98" s="70" t="s">
        <v>194</v>
      </c>
    </row>
    <row r="99" customFormat="false" ht="15" hidden="false" customHeight="false" outlineLevel="0" collapsed="false">
      <c r="A99" s="32" t="s">
        <v>249</v>
      </c>
      <c r="B99" s="32" t="s">
        <v>283</v>
      </c>
      <c r="C99" s="32" t="s">
        <v>191</v>
      </c>
      <c r="D99" s="66" t="n">
        <f aca="false">ROUND(S99*T99,0)</f>
        <v>1306</v>
      </c>
      <c r="E99" s="66" t="n">
        <f aca="false">ROUND(S99,0)-D99</f>
        <v>1044</v>
      </c>
      <c r="F99" s="66" t="n">
        <f aca="false">IF(COUNTA(D99:E99)=0,"",SUM(D99:E99))</f>
        <v>2350</v>
      </c>
      <c r="G99" s="47" t="n">
        <f aca="false">IF(OR(F99="",F99=0),"",D99/F99)</f>
        <v>0.555744680851064</v>
      </c>
      <c r="H99" s="47" t="n">
        <f aca="false">IF(OR(F99="",F99=0),"",E99/F99)</f>
        <v>0.444255319148936</v>
      </c>
      <c r="I99" s="32" t="s">
        <v>192</v>
      </c>
      <c r="J99" s="36" t="n">
        <v>1.3830443510296</v>
      </c>
      <c r="K99" s="36" t="n">
        <f aca="false">$K$8</f>
        <v>1.02561783880877</v>
      </c>
      <c r="L99" s="36" t="n">
        <f aca="false">SQRT(J99^2+K99^2)</f>
        <v>1.72183147497008</v>
      </c>
      <c r="M99" s="47" t="n">
        <f aca="false">IF(G99="","",MAX(0,G99-1.96*L99/100))</f>
        <v>0.52199678394165</v>
      </c>
      <c r="N99" s="47" t="n">
        <f aca="false">IF(G99="","",MIN(1,G99+1.96*L99/100))</f>
        <v>0.589492577760478</v>
      </c>
      <c r="O99" s="66" t="n">
        <f aca="false">ROUND(S99*W99,0)</f>
        <v>129</v>
      </c>
      <c r="P99" s="66" t="n">
        <f aca="false">IF(F99="","",ROUND(SQRT((F99*L99/100)^2+(G99*O99)^2),0))</f>
        <v>82</v>
      </c>
      <c r="R99" s="67" t="n">
        <v>13.0555623831006</v>
      </c>
      <c r="S99" s="68" t="n">
        <f aca="false">U99*V99*$F$5</f>
        <v>2350.25573902537</v>
      </c>
      <c r="T99" s="69" t="n">
        <f aca="false">MAX(0,MIN(1,R99/100+$D$5))</f>
        <v>0.555654235874046</v>
      </c>
      <c r="U99" s="69" t="n">
        <v>0.461739830849779</v>
      </c>
      <c r="V99" s="68" t="n">
        <v>5090</v>
      </c>
      <c r="W99" s="69" t="n">
        <v>0.0547268472736556</v>
      </c>
      <c r="X99" s="70" t="s">
        <v>198</v>
      </c>
      <c r="Y99" s="70" t="s">
        <v>194</v>
      </c>
    </row>
    <row r="100" customFormat="false" ht="15" hidden="false" customHeight="false" outlineLevel="0" collapsed="false">
      <c r="A100" s="32" t="s">
        <v>249</v>
      </c>
      <c r="B100" s="32" t="s">
        <v>284</v>
      </c>
      <c r="C100" s="32" t="s">
        <v>191</v>
      </c>
      <c r="D100" s="66" t="n">
        <f aca="false">ROUND(S100*T100,0)</f>
        <v>492</v>
      </c>
      <c r="E100" s="66" t="n">
        <f aca="false">ROUND(S100,0)-D100</f>
        <v>653</v>
      </c>
      <c r="F100" s="66" t="n">
        <f aca="false">IF(COUNTA(D100:E100)=0,"",SUM(D100:E100))</f>
        <v>1145</v>
      </c>
      <c r="G100" s="47" t="n">
        <f aca="false">IF(OR(F100="",F100=0),"",D100/F100)</f>
        <v>0.429694323144105</v>
      </c>
      <c r="H100" s="47" t="n">
        <f aca="false">IF(OR(F100="",F100=0),"",E100/F100)</f>
        <v>0.570305676855895</v>
      </c>
      <c r="I100" s="32" t="s">
        <v>192</v>
      </c>
      <c r="J100" s="36" t="n">
        <v>2.6727769877146</v>
      </c>
      <c r="K100" s="36" t="n">
        <f aca="false">$K$8</f>
        <v>1.02561783880877</v>
      </c>
      <c r="L100" s="36" t="n">
        <f aca="false">SQRT(J100^2+K100^2)</f>
        <v>2.86280086232688</v>
      </c>
      <c r="M100" s="47" t="n">
        <f aca="false">IF(G100="","",MAX(0,G100-1.96*L100/100))</f>
        <v>0.373583426242498</v>
      </c>
      <c r="N100" s="47" t="n">
        <f aca="false">IF(G100="","",MIN(1,G100+1.96*L100/100))</f>
        <v>0.485805220045712</v>
      </c>
      <c r="O100" s="66" t="n">
        <f aca="false">ROUND(S100*W100,0)</f>
        <v>84</v>
      </c>
      <c r="P100" s="66" t="n">
        <f aca="false">IF(F100="","",ROUND(SQRT((F100*L100/100)^2+(G100*O100)^2),0))</f>
        <v>49</v>
      </c>
      <c r="R100" s="67" t="n">
        <v>0.427794900919935</v>
      </c>
      <c r="S100" s="68" t="n">
        <f aca="false">U100*V100*$F$5</f>
        <v>1145.48062775871</v>
      </c>
      <c r="T100" s="69" t="n">
        <f aca="false">MAX(0,MIN(1,R100/100+$D$5))</f>
        <v>0.429376561052239</v>
      </c>
      <c r="U100" s="69" t="n">
        <v>0.537027954879843</v>
      </c>
      <c r="V100" s="68" t="n">
        <v>2133</v>
      </c>
      <c r="W100" s="69" t="n">
        <v>0.0732058935918866</v>
      </c>
      <c r="X100" s="70" t="s">
        <v>193</v>
      </c>
      <c r="Y100" s="70" t="s">
        <v>194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285</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286</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B5-SUMPRODUCT(R12:R100,S12:S100)/SUM(S12:S100)/100</f>
        <v>0.424432919661439</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SUM(D12:D100)</f>
        <v>151521</v>
      </c>
      <c r="E8" s="60" t="n">
        <f aca="false">SUM(E12:E100)</f>
        <v>154608</v>
      </c>
      <c r="F8" s="60" t="n">
        <f aca="false">D8+E8</f>
        <v>306129</v>
      </c>
      <c r="G8" s="61" t="n">
        <f aca="false">IF(F8=0,"",D8/F8)</f>
        <v>0.494958007898631</v>
      </c>
      <c r="H8" s="61" t="n">
        <f aca="false">IF(F8=0,"",E8/F8)</f>
        <v>0.505041992101369</v>
      </c>
      <c r="I8" s="20" t="s">
        <v>176</v>
      </c>
      <c r="J8" s="62" t="n">
        <v>0</v>
      </c>
      <c r="K8" s="62" t="n">
        <v>1.02577399392356</v>
      </c>
      <c r="L8" s="62" t="n">
        <f aca="false">SQRT(J8^2+K8^2)</f>
        <v>1.02577399392356</v>
      </c>
      <c r="M8" s="61" t="n">
        <f aca="false">G8-1.96*L8/100</f>
        <v>0.474852837617729</v>
      </c>
      <c r="N8" s="61" t="n">
        <f aca="false">G8+1.96*L8/100</f>
        <v>0.515063178179533</v>
      </c>
      <c r="O8" s="60" t="n">
        <f aca="false">ROUND(F8*0.035,0)</f>
        <v>10715</v>
      </c>
      <c r="P8" s="60" t="n">
        <f aca="false">ROUND(SQRT((F8*L8/100)^2+(G8*O8)^2),0)</f>
        <v>6163</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191</v>
      </c>
      <c r="D12" s="66" t="n">
        <f aca="false">ROUND(S12*T12,0)</f>
        <v>132</v>
      </c>
      <c r="E12" s="66" t="n">
        <f aca="false">ROUND(S12,0)-D12</f>
        <v>232</v>
      </c>
      <c r="F12" s="66" t="n">
        <f aca="false">IF(COUNTA(D12:E12)=0,"",SUM(D12:E12))</f>
        <v>364</v>
      </c>
      <c r="G12" s="47" t="n">
        <f aca="false">IF(OR(F12="",F12=0),"",D12/F12)</f>
        <v>0.362637362637363</v>
      </c>
      <c r="H12" s="47" t="n">
        <f aca="false">IF(OR(F12="",F12=0),"",E12/F12)</f>
        <v>0.637362637362637</v>
      </c>
      <c r="I12" s="32" t="s">
        <v>192</v>
      </c>
      <c r="J12" s="36" t="n">
        <v>2.60296228516591</v>
      </c>
      <c r="K12" s="36" t="n">
        <f aca="false">$K$8</f>
        <v>1.02577399392356</v>
      </c>
      <c r="L12" s="36" t="n">
        <f aca="false">SQRT(J12^2+K12^2)</f>
        <v>2.79778929596316</v>
      </c>
      <c r="M12" s="47" t="n">
        <f aca="false">IF(G12="","",MAX(0,G12-1.96*L12/100))</f>
        <v>0.307800692436485</v>
      </c>
      <c r="N12" s="47" t="n">
        <f aca="false">IF(G12="","",MIN(1,G12+1.96*L12/100))</f>
        <v>0.417474032838241</v>
      </c>
      <c r="O12" s="66" t="n">
        <f aca="false">ROUND(S12*W12,0)</f>
        <v>27</v>
      </c>
      <c r="P12" s="66" t="n">
        <f aca="false">IF(F12="","",ROUND(SQRT((F12*L12/100)^2+(G12*O12)^2),0))</f>
        <v>14</v>
      </c>
      <c r="R12" s="67" t="n">
        <v>-6.3435706783149</v>
      </c>
      <c r="S12" s="68" t="n">
        <f aca="false">U12*V12*$F$5</f>
        <v>364.490963855422</v>
      </c>
      <c r="T12" s="69" t="n">
        <f aca="false">MAX(0,MIN(1,R12/100+$D$5))</f>
        <v>0.36099721287829</v>
      </c>
      <c r="U12" s="69" t="n">
        <v>0.581325301204819</v>
      </c>
      <c r="V12" s="68" t="n">
        <v>627</v>
      </c>
      <c r="W12" s="69" t="n">
        <v>0.0732058935918866</v>
      </c>
      <c r="X12" s="70" t="s">
        <v>193</v>
      </c>
      <c r="Y12" s="70" t="s">
        <v>194</v>
      </c>
    </row>
    <row r="13" customFormat="false" ht="15" hidden="false" customHeight="false" outlineLevel="0" collapsed="false">
      <c r="A13" s="32" t="s">
        <v>189</v>
      </c>
      <c r="B13" s="32" t="s">
        <v>195</v>
      </c>
      <c r="C13" s="32" t="s">
        <v>191</v>
      </c>
      <c r="D13" s="66" t="n">
        <f aca="false">ROUND(S13*T13,0)</f>
        <v>94</v>
      </c>
      <c r="E13" s="66" t="n">
        <f aca="false">ROUND(S13,0)-D13</f>
        <v>236</v>
      </c>
      <c r="F13" s="66" t="n">
        <f aca="false">IF(COUNTA(D13:E13)=0,"",SUM(D13:E13))</f>
        <v>330</v>
      </c>
      <c r="G13" s="47" t="n">
        <f aca="false">IF(OR(F13="",F13=0),"",D13/F13)</f>
        <v>0.284848484848485</v>
      </c>
      <c r="H13" s="47" t="n">
        <f aca="false">IF(OR(F13="",F13=0),"",E13/F13)</f>
        <v>0.715151515151515</v>
      </c>
      <c r="I13" s="32" t="s">
        <v>192</v>
      </c>
      <c r="J13" s="36" t="n">
        <v>2.60296228516591</v>
      </c>
      <c r="K13" s="36" t="n">
        <f aca="false">$K$8</f>
        <v>1.02577399392356</v>
      </c>
      <c r="L13" s="36" t="n">
        <f aca="false">SQRT(J13^2+K13^2)</f>
        <v>2.79778929596316</v>
      </c>
      <c r="M13" s="47" t="n">
        <f aca="false">IF(G13="","",MAX(0,G13-1.96*L13/100))</f>
        <v>0.230011814647607</v>
      </c>
      <c r="N13" s="47" t="n">
        <f aca="false">IF(G13="","",MIN(1,G13+1.96*L13/100))</f>
        <v>0.339685155049363</v>
      </c>
      <c r="O13" s="66" t="n">
        <f aca="false">ROUND(S13*W13,0)</f>
        <v>24</v>
      </c>
      <c r="P13" s="66" t="n">
        <f aca="false">IF(F13="","",ROUND(SQRT((F13*L13/100)^2+(G13*O13)^2),0))</f>
        <v>11</v>
      </c>
      <c r="R13" s="67" t="n">
        <v>-14.0393427744066</v>
      </c>
      <c r="S13" s="68" t="n">
        <f aca="false">U13*V13*$F$5</f>
        <v>330.130136986301</v>
      </c>
      <c r="T13" s="69" t="n">
        <f aca="false">MAX(0,MIN(1,R13/100+$D$5))</f>
        <v>0.284039491917373</v>
      </c>
      <c r="U13" s="69" t="n">
        <v>0.537671232876712</v>
      </c>
      <c r="V13" s="68" t="n">
        <v>614</v>
      </c>
      <c r="W13" s="69" t="n">
        <v>0.0732058935918866</v>
      </c>
      <c r="X13" s="70" t="s">
        <v>193</v>
      </c>
      <c r="Y13" s="70" t="s">
        <v>194</v>
      </c>
    </row>
    <row r="14" customFormat="false" ht="15" hidden="false" customHeight="false" outlineLevel="0" collapsed="false">
      <c r="A14" s="32" t="s">
        <v>189</v>
      </c>
      <c r="B14" s="32" t="s">
        <v>196</v>
      </c>
      <c r="C14" s="32" t="s">
        <v>191</v>
      </c>
      <c r="D14" s="66" t="n">
        <f aca="false">ROUND(S14*T14,0)</f>
        <v>124</v>
      </c>
      <c r="E14" s="66" t="n">
        <f aca="false">ROUND(S14,0)-D14</f>
        <v>232</v>
      </c>
      <c r="F14" s="66" t="n">
        <f aca="false">IF(COUNTA(D14:E14)=0,"",SUM(D14:E14))</f>
        <v>356</v>
      </c>
      <c r="G14" s="47" t="n">
        <f aca="false">IF(OR(F14="",F14=0),"",D14/F14)</f>
        <v>0.348314606741573</v>
      </c>
      <c r="H14" s="47" t="n">
        <f aca="false">IF(OR(F14="",F14=0),"",E14/F14)</f>
        <v>0.651685393258427</v>
      </c>
      <c r="I14" s="32" t="s">
        <v>192</v>
      </c>
      <c r="J14" s="36" t="n">
        <v>2.60296228516591</v>
      </c>
      <c r="K14" s="36" t="n">
        <f aca="false">$K$8</f>
        <v>1.02577399392356</v>
      </c>
      <c r="L14" s="36" t="n">
        <f aca="false">SQRT(J14^2+K14^2)</f>
        <v>2.79778929596316</v>
      </c>
      <c r="M14" s="47" t="n">
        <f aca="false">IF(G14="","",MAX(0,G14-1.96*L14/100))</f>
        <v>0.293477936540695</v>
      </c>
      <c r="N14" s="47" t="n">
        <f aca="false">IF(G14="","",MIN(1,G14+1.96*L14/100))</f>
        <v>0.403151276942451</v>
      </c>
      <c r="O14" s="66" t="n">
        <f aca="false">ROUND(S14*W14,0)</f>
        <v>26</v>
      </c>
      <c r="P14" s="66" t="n">
        <f aca="false">IF(F14="","",ROUND(SQRT((F14*L14/100)^2+(G14*O14)^2),0))</f>
        <v>13</v>
      </c>
      <c r="R14" s="67" t="n">
        <v>-7.65647187986165</v>
      </c>
      <c r="S14" s="68" t="n">
        <f aca="false">U14*V14*$F$5</f>
        <v>355.63436928702</v>
      </c>
      <c r="T14" s="69" t="n">
        <f aca="false">MAX(0,MIN(1,R14/100+$D$5))</f>
        <v>0.347868200862823</v>
      </c>
      <c r="U14" s="69" t="n">
        <v>0.636197440585009</v>
      </c>
      <c r="V14" s="68" t="n">
        <v>559</v>
      </c>
      <c r="W14" s="69" t="n">
        <v>0.0732058935918866</v>
      </c>
      <c r="X14" s="70" t="s">
        <v>193</v>
      </c>
      <c r="Y14" s="70" t="s">
        <v>194</v>
      </c>
    </row>
    <row r="15" customFormat="false" ht="15" hidden="false" customHeight="false" outlineLevel="0" collapsed="false">
      <c r="A15" s="32" t="s">
        <v>189</v>
      </c>
      <c r="B15" s="32" t="s">
        <v>197</v>
      </c>
      <c r="C15" s="32" t="s">
        <v>191</v>
      </c>
      <c r="D15" s="66" t="n">
        <f aca="false">ROUND(S15*T15,0)</f>
        <v>369</v>
      </c>
      <c r="E15" s="66" t="n">
        <f aca="false">ROUND(S15,0)-D15</f>
        <v>966</v>
      </c>
      <c r="F15" s="66" t="n">
        <f aca="false">IF(COUNTA(D15:E15)=0,"",SUM(D15:E15))</f>
        <v>1335</v>
      </c>
      <c r="G15" s="47" t="n">
        <f aca="false">IF(OR(F15="",F15=0),"",D15/F15)</f>
        <v>0.276404494382022</v>
      </c>
      <c r="H15" s="47" t="n">
        <f aca="false">IF(OR(F15="",F15=0),"",E15/F15)</f>
        <v>0.723595505617978</v>
      </c>
      <c r="I15" s="32" t="s">
        <v>192</v>
      </c>
      <c r="J15" s="36" t="n">
        <v>1.44715751761421</v>
      </c>
      <c r="K15" s="36" t="n">
        <f aca="false">$K$8</f>
        <v>1.02577399392356</v>
      </c>
      <c r="L15" s="36" t="n">
        <f aca="false">SQRT(J15^2+K15^2)</f>
        <v>1.77383121164253</v>
      </c>
      <c r="M15" s="47" t="n">
        <f aca="false">IF(G15="","",MAX(0,G15-1.96*L15/100))</f>
        <v>0.241637402633829</v>
      </c>
      <c r="N15" s="47" t="n">
        <f aca="false">IF(G15="","",MIN(1,G15+1.96*L15/100))</f>
        <v>0.311171586130216</v>
      </c>
      <c r="O15" s="66" t="n">
        <f aca="false">ROUND(S15*W15,0)</f>
        <v>73</v>
      </c>
      <c r="P15" s="66" t="n">
        <f aca="false">IF(F15="","",ROUND(SQRT((F15*L15/100)^2+(G15*O15)^2),0))</f>
        <v>31</v>
      </c>
      <c r="R15" s="67" t="n">
        <v>-14.8140054033094</v>
      </c>
      <c r="S15" s="68" t="n">
        <f aca="false">U15*V15*$F$5</f>
        <v>1334.82101558572</v>
      </c>
      <c r="T15" s="69" t="n">
        <f aca="false">MAX(0,MIN(1,R15/100+$D$5))</f>
        <v>0.276292865628345</v>
      </c>
      <c r="U15" s="69" t="n">
        <v>0.652086475615887</v>
      </c>
      <c r="V15" s="68" t="n">
        <v>2047</v>
      </c>
      <c r="W15" s="69" t="n">
        <v>0.0547268472736556</v>
      </c>
      <c r="X15" s="70" t="s">
        <v>198</v>
      </c>
      <c r="Y15" s="70" t="s">
        <v>194</v>
      </c>
    </row>
    <row r="16" customFormat="false" ht="15" hidden="false" customHeight="false" outlineLevel="0" collapsed="false">
      <c r="A16" s="32" t="s">
        <v>189</v>
      </c>
      <c r="B16" s="32" t="s">
        <v>199</v>
      </c>
      <c r="C16" s="32" t="s">
        <v>191</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192</v>
      </c>
      <c r="J16" s="36" t="n">
        <v>2.60296228516591</v>
      </c>
      <c r="K16" s="36" t="n">
        <f aca="false">$K$8</f>
        <v>1.02577399392356</v>
      </c>
      <c r="L16" s="36" t="n">
        <f aca="false">SQRT(J16^2+K16^2)</f>
        <v>2.79778929596316</v>
      </c>
      <c r="M16" s="47" t="n">
        <f aca="false">IF(G16="","",MAX(0,G16-1.96*L16/100))</f>
        <v>0.300002039476541</v>
      </c>
      <c r="N16" s="47" t="n">
        <f aca="false">IF(G16="","",MIN(1,G16+1.96*L16/100))</f>
        <v>0.409675379878297</v>
      </c>
      <c r="O16" s="66" t="n">
        <f aca="false">ROUND(S16*W16,0)</f>
        <v>7</v>
      </c>
      <c r="P16" s="66" t="n">
        <f aca="false">IF(F16="","",ROUND(SQRT((F16*L16/100)^2+(G16*O16)^2),0))</f>
        <v>4</v>
      </c>
      <c r="R16" s="67" t="n">
        <v>-7.06433752788621</v>
      </c>
      <c r="S16" s="68" t="n">
        <f aca="false">U16*V16*$F$5</f>
        <v>93.4268292682927</v>
      </c>
      <c r="T16" s="69" t="n">
        <f aca="false">MAX(0,MIN(1,R16/100+$D$5))</f>
        <v>0.353789544382577</v>
      </c>
      <c r="U16" s="69" t="n">
        <v>0.573170731707317</v>
      </c>
      <c r="V16" s="68" t="n">
        <v>163</v>
      </c>
      <c r="W16" s="69" t="n">
        <v>0.0732058935918866</v>
      </c>
      <c r="X16" s="70" t="s">
        <v>193</v>
      </c>
      <c r="Y16" s="70" t="s">
        <v>194</v>
      </c>
    </row>
    <row r="17" customFormat="false" ht="15" hidden="false" customHeight="false" outlineLevel="0" collapsed="false">
      <c r="A17" s="32" t="s">
        <v>189</v>
      </c>
      <c r="B17" s="32" t="s">
        <v>200</v>
      </c>
      <c r="C17" s="32" t="s">
        <v>191</v>
      </c>
      <c r="D17" s="66" t="n">
        <f aca="false">ROUND(S17*T17,0)</f>
        <v>549</v>
      </c>
      <c r="E17" s="66" t="n">
        <f aca="false">ROUND(S17,0)-D17</f>
        <v>1433</v>
      </c>
      <c r="F17" s="66" t="n">
        <f aca="false">IF(COUNTA(D17:E17)=0,"",SUM(D17:E17))</f>
        <v>1982</v>
      </c>
      <c r="G17" s="47" t="n">
        <f aca="false">IF(OR(F17="",F17=0),"",D17/F17)</f>
        <v>0.276992936427851</v>
      </c>
      <c r="H17" s="47" t="n">
        <f aca="false">IF(OR(F17="",F17=0),"",E17/F17)</f>
        <v>0.723007063572149</v>
      </c>
      <c r="I17" s="32" t="s">
        <v>192</v>
      </c>
      <c r="J17" s="36" t="n">
        <v>1.44715751761421</v>
      </c>
      <c r="K17" s="36" t="n">
        <f aca="false">$K$8</f>
        <v>1.02577399392356</v>
      </c>
      <c r="L17" s="36" t="n">
        <f aca="false">SQRT(J17^2+K17^2)</f>
        <v>1.77383121164253</v>
      </c>
      <c r="M17" s="47" t="n">
        <f aca="false">IF(G17="","",MAX(0,G17-1.96*L17/100))</f>
        <v>0.242225844679657</v>
      </c>
      <c r="N17" s="47" t="n">
        <f aca="false">IF(G17="","",MIN(1,G17+1.96*L17/100))</f>
        <v>0.311760028176044</v>
      </c>
      <c r="O17" s="66" t="n">
        <f aca="false">ROUND(S17*W17,0)</f>
        <v>108</v>
      </c>
      <c r="P17" s="66" t="n">
        <f aca="false">IF(F17="","",ROUND(SQRT((F17*L17/100)^2+(G17*O17)^2),0))</f>
        <v>46</v>
      </c>
      <c r="R17" s="67" t="n">
        <v>-14.7191132838663</v>
      </c>
      <c r="S17" s="68" t="n">
        <f aca="false">U17*V17*$F$5</f>
        <v>1982.00903517264</v>
      </c>
      <c r="T17" s="69" t="n">
        <f aca="false">MAX(0,MIN(1,R17/100+$D$5))</f>
        <v>0.277241786822776</v>
      </c>
      <c r="U17" s="69" t="n">
        <v>0.631816715069377</v>
      </c>
      <c r="V17" s="68" t="n">
        <v>3137</v>
      </c>
      <c r="W17" s="69" t="n">
        <v>0.0547268472736556</v>
      </c>
      <c r="X17" s="70" t="s">
        <v>198</v>
      </c>
      <c r="Y17" s="70" t="s">
        <v>194</v>
      </c>
    </row>
    <row r="18" customFormat="false" ht="15" hidden="false" customHeight="false" outlineLevel="0" collapsed="false">
      <c r="A18" s="32" t="s">
        <v>189</v>
      </c>
      <c r="B18" s="32" t="s">
        <v>201</v>
      </c>
      <c r="C18" s="32" t="s">
        <v>191</v>
      </c>
      <c r="D18" s="66" t="n">
        <f aca="false">ROUND(S18*T18,0)</f>
        <v>918</v>
      </c>
      <c r="E18" s="66" t="n">
        <f aca="false">ROUND(S18,0)-D18</f>
        <v>1190</v>
      </c>
      <c r="F18" s="66" t="n">
        <f aca="false">IF(COUNTA(D18:E18)=0,"",SUM(D18:E18))</f>
        <v>2108</v>
      </c>
      <c r="G18" s="47" t="n">
        <f aca="false">IF(OR(F18="",F18=0),"",D18/F18)</f>
        <v>0.435483870967742</v>
      </c>
      <c r="H18" s="47" t="n">
        <f aca="false">IF(OR(F18="",F18=0),"",E18/F18)</f>
        <v>0.564516129032258</v>
      </c>
      <c r="I18" s="32" t="s">
        <v>192</v>
      </c>
      <c r="J18" s="36" t="n">
        <v>1.44715751761421</v>
      </c>
      <c r="K18" s="36" t="n">
        <f aca="false">$K$8</f>
        <v>1.02577399392356</v>
      </c>
      <c r="L18" s="36" t="n">
        <f aca="false">SQRT(J18^2+K18^2)</f>
        <v>1.77383121164253</v>
      </c>
      <c r="M18" s="47" t="n">
        <f aca="false">IF(G18="","",MAX(0,G18-1.96*L18/100))</f>
        <v>0.400716779219548</v>
      </c>
      <c r="N18" s="47" t="n">
        <f aca="false">IF(G18="","",MIN(1,G18+1.96*L18/100))</f>
        <v>0.470250962715936</v>
      </c>
      <c r="O18" s="66" t="n">
        <f aca="false">ROUND(S18*W18,0)</f>
        <v>115</v>
      </c>
      <c r="P18" s="66" t="n">
        <f aca="false">IF(F18="","",ROUND(SQRT((F18*L18/100)^2+(G18*O18)^2),0))</f>
        <v>63</v>
      </c>
      <c r="R18" s="67" t="n">
        <v>1.11978941051568</v>
      </c>
      <c r="S18" s="68" t="n">
        <f aca="false">U18*V18*$F$5</f>
        <v>2107.72563176895</v>
      </c>
      <c r="T18" s="69" t="n">
        <f aca="false">MAX(0,MIN(1,R18/100+$D$5))</f>
        <v>0.435630813766596</v>
      </c>
      <c r="U18" s="69" t="n">
        <v>0.642599277978339</v>
      </c>
      <c r="V18" s="68" t="n">
        <v>3280</v>
      </c>
      <c r="W18" s="69" t="n">
        <v>0.0547268472736556</v>
      </c>
      <c r="X18" s="70" t="s">
        <v>198</v>
      </c>
      <c r="Y18" s="70" t="s">
        <v>194</v>
      </c>
    </row>
    <row r="19" customFormat="false" ht="15" hidden="false" customHeight="false" outlineLevel="0" collapsed="false">
      <c r="A19" s="32" t="s">
        <v>189</v>
      </c>
      <c r="B19" s="32" t="s">
        <v>202</v>
      </c>
      <c r="C19" s="32" t="s">
        <v>191</v>
      </c>
      <c r="D19" s="66" t="n">
        <f aca="false">ROUND(S19*T19,0)</f>
        <v>267</v>
      </c>
      <c r="E19" s="66" t="n">
        <f aca="false">ROUND(S19,0)-D19</f>
        <v>538</v>
      </c>
      <c r="F19" s="66" t="n">
        <f aca="false">IF(COUNTA(D19:E19)=0,"",SUM(D19:E19))</f>
        <v>805</v>
      </c>
      <c r="G19" s="47" t="n">
        <f aca="false">IF(OR(F19="",F19=0),"",D19/F19)</f>
        <v>0.33167701863354</v>
      </c>
      <c r="H19" s="47" t="n">
        <f aca="false">IF(OR(F19="",F19=0),"",E19/F19)</f>
        <v>0.66832298136646</v>
      </c>
      <c r="I19" s="32" t="s">
        <v>192</v>
      </c>
      <c r="J19" s="36" t="n">
        <v>2.60296228516591</v>
      </c>
      <c r="K19" s="36" t="n">
        <f aca="false">$K$8</f>
        <v>1.02577399392356</v>
      </c>
      <c r="L19" s="36" t="n">
        <f aca="false">SQRT(J19^2+K19^2)</f>
        <v>2.79778929596316</v>
      </c>
      <c r="M19" s="47" t="n">
        <f aca="false">IF(G19="","",MAX(0,G19-1.96*L19/100))</f>
        <v>0.276840348432662</v>
      </c>
      <c r="N19" s="47" t="n">
        <f aca="false">IF(G19="","",MIN(1,G19+1.96*L19/100))</f>
        <v>0.386513688834418</v>
      </c>
      <c r="O19" s="66" t="n">
        <f aca="false">ROUND(S19*W19,0)</f>
        <v>59</v>
      </c>
      <c r="P19" s="66" t="n">
        <f aca="false">IF(F19="","",ROUND(SQRT((F19*L19/100)^2+(G19*O19)^2),0))</f>
        <v>30</v>
      </c>
      <c r="R19" s="67" t="n">
        <v>-9.2743709594307</v>
      </c>
      <c r="S19" s="68" t="n">
        <f aca="false">U19*V19*$F$5</f>
        <v>804.850331125828</v>
      </c>
      <c r="T19" s="69" t="n">
        <f aca="false">MAX(0,MIN(1,R19/100+$D$5))</f>
        <v>0.331689210067132</v>
      </c>
      <c r="U19" s="69" t="n">
        <v>0.554304635761589</v>
      </c>
      <c r="V19" s="68" t="n">
        <v>1452</v>
      </c>
      <c r="W19" s="69" t="n">
        <v>0.0732058935918866</v>
      </c>
      <c r="X19" s="70" t="s">
        <v>193</v>
      </c>
      <c r="Y19" s="70" t="s">
        <v>194</v>
      </c>
    </row>
    <row r="20" customFormat="false" ht="15" hidden="false" customHeight="false" outlineLevel="0" collapsed="false">
      <c r="A20" s="32" t="s">
        <v>189</v>
      </c>
      <c r="B20" s="32" t="s">
        <v>203</v>
      </c>
      <c r="C20" s="32" t="s">
        <v>191</v>
      </c>
      <c r="D20" s="66" t="n">
        <f aca="false">ROUND(S20*T20,0)</f>
        <v>446</v>
      </c>
      <c r="E20" s="66" t="n">
        <f aca="false">ROUND(S20,0)-D20</f>
        <v>637</v>
      </c>
      <c r="F20" s="66" t="n">
        <f aca="false">IF(COUNTA(D20:E20)=0,"",SUM(D20:E20))</f>
        <v>1083</v>
      </c>
      <c r="G20" s="47" t="n">
        <f aca="false">IF(OR(F20="",F20=0),"",D20/F20)</f>
        <v>0.411819021237304</v>
      </c>
      <c r="H20" s="47" t="n">
        <f aca="false">IF(OR(F20="",F20=0),"",E20/F20)</f>
        <v>0.588180978762696</v>
      </c>
      <c r="I20" s="32" t="s">
        <v>192</v>
      </c>
      <c r="J20" s="36" t="n">
        <v>2.60296228516591</v>
      </c>
      <c r="K20" s="36" t="n">
        <f aca="false">$K$8</f>
        <v>1.02577399392356</v>
      </c>
      <c r="L20" s="36" t="n">
        <f aca="false">SQRT(J20^2+K20^2)</f>
        <v>2.79778929596316</v>
      </c>
      <c r="M20" s="47" t="n">
        <f aca="false">IF(G20="","",MAX(0,G20-1.96*L20/100))</f>
        <v>0.356982351036426</v>
      </c>
      <c r="N20" s="47" t="n">
        <f aca="false">IF(G20="","",MIN(1,G20+1.96*L20/100))</f>
        <v>0.466655691438182</v>
      </c>
      <c r="O20" s="66" t="n">
        <f aca="false">ROUND(S20*W20,0)</f>
        <v>79</v>
      </c>
      <c r="P20" s="66" t="n">
        <f aca="false">IF(F20="","",ROUND(SQRT((F20*L20/100)^2+(G20*O20)^2),0))</f>
        <v>44</v>
      </c>
      <c r="R20" s="67" t="n">
        <v>-1.24372014025971</v>
      </c>
      <c r="S20" s="68" t="n">
        <f aca="false">U20*V20*$F$5</f>
        <v>1083.4829443447</v>
      </c>
      <c r="T20" s="69" t="n">
        <f aca="false">MAX(0,MIN(1,R20/100+$D$5))</f>
        <v>0.411995718258842</v>
      </c>
      <c r="U20" s="69" t="n">
        <v>0.448833034111311</v>
      </c>
      <c r="V20" s="68" t="n">
        <v>2414</v>
      </c>
      <c r="W20" s="69" t="n">
        <v>0.0732058935918866</v>
      </c>
      <c r="X20" s="70" t="s">
        <v>193</v>
      </c>
      <c r="Y20" s="70" t="s">
        <v>194</v>
      </c>
    </row>
    <row r="21" customFormat="false" ht="15" hidden="false" customHeight="false" outlineLevel="0" collapsed="false">
      <c r="A21" s="32" t="s">
        <v>189</v>
      </c>
      <c r="B21" s="32" t="s">
        <v>204</v>
      </c>
      <c r="C21" s="32" t="s">
        <v>191</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192</v>
      </c>
      <c r="J21" s="36" t="n">
        <v>2.60296228516591</v>
      </c>
      <c r="K21" s="36" t="n">
        <f aca="false">$K$8</f>
        <v>1.02577399392356</v>
      </c>
      <c r="L21" s="36" t="n">
        <f aca="false">SQRT(J21^2+K21^2)</f>
        <v>2.79778929596316</v>
      </c>
      <c r="M21" s="47" t="n">
        <f aca="false">IF(G21="","",MAX(0,G21-1.96*L21/100))</f>
        <v>0.233298923019461</v>
      </c>
      <c r="N21" s="47" t="n">
        <f aca="false">IF(G21="","",MIN(1,G21+1.96*L21/100))</f>
        <v>0.342972263421217</v>
      </c>
      <c r="O21" s="66" t="n">
        <f aca="false">ROUND(S21*W21,0)</f>
        <v>9</v>
      </c>
      <c r="P21" s="66" t="n">
        <f aca="false">IF(F21="","",ROUND(SQRT((F21*L21/100)^2+(G21*O21)^2),0))</f>
        <v>4</v>
      </c>
      <c r="R21" s="67" t="n">
        <v>-13.8531865131988</v>
      </c>
      <c r="S21" s="68" t="n">
        <f aca="false">U21*V21*$F$5</f>
        <v>118.285714285714</v>
      </c>
      <c r="T21" s="69" t="n">
        <f aca="false">MAX(0,MIN(1,R21/100+$D$5))</f>
        <v>0.285901054529451</v>
      </c>
      <c r="U21" s="69" t="n">
        <v>0.657142857142857</v>
      </c>
      <c r="V21" s="68" t="n">
        <v>180</v>
      </c>
      <c r="W21" s="69" t="n">
        <v>0.0732058935918866</v>
      </c>
      <c r="X21" s="70" t="s">
        <v>193</v>
      </c>
      <c r="Y21" s="70" t="s">
        <v>194</v>
      </c>
    </row>
    <row r="22" customFormat="false" ht="15" hidden="false" customHeight="false" outlineLevel="0" collapsed="false">
      <c r="A22" s="32" t="s">
        <v>189</v>
      </c>
      <c r="B22" s="32" t="s">
        <v>205</v>
      </c>
      <c r="C22" s="32" t="s">
        <v>191</v>
      </c>
      <c r="D22" s="66" t="n">
        <f aca="false">ROUND(S22*T22,0)</f>
        <v>47</v>
      </c>
      <c r="E22" s="66" t="n">
        <f aca="false">ROUND(S22,0)-D22</f>
        <v>190</v>
      </c>
      <c r="F22" s="66" t="n">
        <f aca="false">IF(COUNTA(D22:E22)=0,"",SUM(D22:E22))</f>
        <v>237</v>
      </c>
      <c r="G22" s="47" t="n">
        <f aca="false">IF(OR(F22="",F22=0),"",D22/F22)</f>
        <v>0.19831223628692</v>
      </c>
      <c r="H22" s="47" t="n">
        <f aca="false">IF(OR(F22="",F22=0),"",E22/F22)</f>
        <v>0.80168776371308</v>
      </c>
      <c r="I22" s="32" t="s">
        <v>192</v>
      </c>
      <c r="J22" s="36" t="n">
        <v>2.60296228516591</v>
      </c>
      <c r="K22" s="36" t="n">
        <f aca="false">$K$8</f>
        <v>1.02577399392356</v>
      </c>
      <c r="L22" s="36" t="n">
        <f aca="false">SQRT(J22^2+K22^2)</f>
        <v>2.79778929596316</v>
      </c>
      <c r="M22" s="47" t="n">
        <f aca="false">IF(G22="","",MAX(0,G22-1.96*L22/100))</f>
        <v>0.143475566086042</v>
      </c>
      <c r="N22" s="47" t="n">
        <f aca="false">IF(G22="","",MIN(1,G22+1.96*L22/100))</f>
        <v>0.253148906487798</v>
      </c>
      <c r="O22" s="66" t="n">
        <f aca="false">ROUND(S22*W22,0)</f>
        <v>17</v>
      </c>
      <c r="P22" s="66" t="n">
        <f aca="false">IF(F22="","",ROUND(SQRT((F22*L22/100)^2+(G22*O22)^2),0))</f>
        <v>7</v>
      </c>
      <c r="R22" s="67" t="n">
        <v>-22.5118535863474</v>
      </c>
      <c r="S22" s="68" t="n">
        <f aca="false">U22*V22*$F$5</f>
        <v>236.844827586207</v>
      </c>
      <c r="T22" s="69" t="n">
        <f aca="false">MAX(0,MIN(1,R22/100+$D$5))</f>
        <v>0.199314383797965</v>
      </c>
      <c r="U22" s="69" t="n">
        <v>0.692528735632184</v>
      </c>
      <c r="V22" s="68" t="n">
        <v>342</v>
      </c>
      <c r="W22" s="69" t="n">
        <v>0.0732058935918866</v>
      </c>
      <c r="X22" s="70" t="s">
        <v>193</v>
      </c>
      <c r="Y22" s="70" t="s">
        <v>194</v>
      </c>
    </row>
    <row r="23" customFormat="false" ht="15" hidden="false" customHeight="false" outlineLevel="0" collapsed="false">
      <c r="A23" s="32" t="s">
        <v>189</v>
      </c>
      <c r="B23" s="32" t="s">
        <v>206</v>
      </c>
      <c r="C23" s="32" t="s">
        <v>191</v>
      </c>
      <c r="D23" s="66" t="n">
        <f aca="false">ROUND(S23*T23,0)</f>
        <v>736</v>
      </c>
      <c r="E23" s="66" t="n">
        <f aca="false">ROUND(S23,0)-D23</f>
        <v>1018</v>
      </c>
      <c r="F23" s="66" t="n">
        <f aca="false">IF(COUNTA(D23:E23)=0,"",SUM(D23:E23))</f>
        <v>1754</v>
      </c>
      <c r="G23" s="47" t="n">
        <f aca="false">IF(OR(F23="",F23=0),"",D23/F23)</f>
        <v>0.419612314709236</v>
      </c>
      <c r="H23" s="47" t="n">
        <f aca="false">IF(OR(F23="",F23=0),"",E23/F23)</f>
        <v>0.580387685290764</v>
      </c>
      <c r="I23" s="32" t="s">
        <v>192</v>
      </c>
      <c r="J23" s="36" t="n">
        <v>1.44715751761421</v>
      </c>
      <c r="K23" s="36" t="n">
        <f aca="false">$K$8</f>
        <v>1.02577399392356</v>
      </c>
      <c r="L23" s="36" t="n">
        <f aca="false">SQRT(J23^2+K23^2)</f>
        <v>1.77383121164253</v>
      </c>
      <c r="M23" s="47" t="n">
        <f aca="false">IF(G23="","",MAX(0,G23-1.96*L23/100))</f>
        <v>0.384845222961042</v>
      </c>
      <c r="N23" s="47" t="n">
        <f aca="false">IF(G23="","",MIN(1,G23+1.96*L23/100))</f>
        <v>0.45437940645743</v>
      </c>
      <c r="O23" s="66" t="n">
        <f aca="false">ROUND(S23*W23,0)</f>
        <v>96</v>
      </c>
      <c r="P23" s="66" t="n">
        <f aca="false">IF(F23="","",ROUND(SQRT((F23*L23/100)^2+(G23*O23)^2),0))</f>
        <v>51</v>
      </c>
      <c r="R23" s="67" t="n">
        <v>-0.456989733551928</v>
      </c>
      <c r="S23" s="68" t="n">
        <f aca="false">U23*V23*$F$5</f>
        <v>1753.74077578051</v>
      </c>
      <c r="T23" s="69" t="n">
        <f aca="false">MAX(0,MIN(1,R23/100+$D$5))</f>
        <v>0.41986302232592</v>
      </c>
      <c r="U23" s="69" t="n">
        <v>0.525701671397036</v>
      </c>
      <c r="V23" s="68" t="n">
        <v>3336</v>
      </c>
      <c r="W23" s="69" t="n">
        <v>0.0547268472736556</v>
      </c>
      <c r="X23" s="70" t="s">
        <v>198</v>
      </c>
      <c r="Y23" s="70" t="s">
        <v>194</v>
      </c>
    </row>
    <row r="24" customFormat="false" ht="15" hidden="false" customHeight="false" outlineLevel="0" collapsed="false">
      <c r="A24" s="32" t="s">
        <v>189</v>
      </c>
      <c r="B24" s="32" t="s">
        <v>207</v>
      </c>
      <c r="C24" s="32" t="s">
        <v>191</v>
      </c>
      <c r="D24" s="66" t="n">
        <f aca="false">ROUND(S24*T24,0)</f>
        <v>434</v>
      </c>
      <c r="E24" s="66" t="n">
        <f aca="false">ROUND(S24,0)-D24</f>
        <v>967</v>
      </c>
      <c r="F24" s="66" t="n">
        <f aca="false">IF(COUNTA(D24:E24)=0,"",SUM(D24:E24))</f>
        <v>1401</v>
      </c>
      <c r="G24" s="47" t="n">
        <f aca="false">IF(OR(F24="",F24=0),"",D24/F24)</f>
        <v>0.309778729478944</v>
      </c>
      <c r="H24" s="47" t="n">
        <f aca="false">IF(OR(F24="",F24=0),"",E24/F24)</f>
        <v>0.690221270521056</v>
      </c>
      <c r="I24" s="32" t="s">
        <v>192</v>
      </c>
      <c r="J24" s="36" t="n">
        <v>1.44715751761421</v>
      </c>
      <c r="K24" s="36" t="n">
        <f aca="false">$K$8</f>
        <v>1.02577399392356</v>
      </c>
      <c r="L24" s="36" t="n">
        <f aca="false">SQRT(J24^2+K24^2)</f>
        <v>1.77383121164253</v>
      </c>
      <c r="M24" s="47" t="n">
        <f aca="false">IF(G24="","",MAX(0,G24-1.96*L24/100))</f>
        <v>0.27501163773075</v>
      </c>
      <c r="N24" s="47" t="n">
        <f aca="false">IF(G24="","",MIN(1,G24+1.96*L24/100))</f>
        <v>0.344545821227137</v>
      </c>
      <c r="O24" s="66" t="n">
        <f aca="false">ROUND(S24*W24,0)</f>
        <v>77</v>
      </c>
      <c r="P24" s="66" t="n">
        <f aca="false">IF(F24="","",ROUND(SQRT((F24*L24/100)^2+(G24*O24)^2),0))</f>
        <v>34</v>
      </c>
      <c r="R24" s="67" t="n">
        <v>-11.4879363722584</v>
      </c>
      <c r="S24" s="68" t="n">
        <f aca="false">U24*V24*$F$5</f>
        <v>1401.11772917636</v>
      </c>
      <c r="T24" s="69" t="n">
        <f aca="false">MAX(0,MIN(1,R24/100+$D$5))</f>
        <v>0.309553555938855</v>
      </c>
      <c r="U24" s="69" t="n">
        <v>0.626337831549558</v>
      </c>
      <c r="V24" s="68" t="n">
        <v>2237</v>
      </c>
      <c r="W24" s="69" t="n">
        <v>0.0547268472736556</v>
      </c>
      <c r="X24" s="70" t="s">
        <v>198</v>
      </c>
      <c r="Y24" s="70" t="s">
        <v>194</v>
      </c>
    </row>
    <row r="25" customFormat="false" ht="15" hidden="false" customHeight="false" outlineLevel="0" collapsed="false">
      <c r="A25" s="32" t="s">
        <v>189</v>
      </c>
      <c r="B25" s="32" t="s">
        <v>208</v>
      </c>
      <c r="C25" s="32" t="s">
        <v>191</v>
      </c>
      <c r="D25" s="66" t="n">
        <f aca="false">ROUND(S25*T25,0)</f>
        <v>541</v>
      </c>
      <c r="E25" s="66" t="n">
        <f aca="false">ROUND(S25,0)-D25</f>
        <v>1337</v>
      </c>
      <c r="F25" s="66" t="n">
        <f aca="false">IF(COUNTA(D25:E25)=0,"",SUM(D25:E25))</f>
        <v>1878</v>
      </c>
      <c r="G25" s="47" t="n">
        <f aca="false">IF(OR(F25="",F25=0),"",D25/F25)</f>
        <v>0.288072417465389</v>
      </c>
      <c r="H25" s="47" t="n">
        <f aca="false">IF(OR(F25="",F25=0),"",E25/F25)</f>
        <v>0.711927582534611</v>
      </c>
      <c r="I25" s="32" t="s">
        <v>192</v>
      </c>
      <c r="J25" s="36" t="n">
        <v>1.44715751761421</v>
      </c>
      <c r="K25" s="36" t="n">
        <f aca="false">$K$8</f>
        <v>1.02577399392356</v>
      </c>
      <c r="L25" s="36" t="n">
        <f aca="false">SQRT(J25^2+K25^2)</f>
        <v>1.77383121164253</v>
      </c>
      <c r="M25" s="47" t="n">
        <f aca="false">IF(G25="","",MAX(0,G25-1.96*L25/100))</f>
        <v>0.253305325717195</v>
      </c>
      <c r="N25" s="47" t="n">
        <f aca="false">IF(G25="","",MIN(1,G25+1.96*L25/100))</f>
        <v>0.322839509213582</v>
      </c>
      <c r="O25" s="66" t="n">
        <f aca="false">ROUND(S25*W25,0)</f>
        <v>103</v>
      </c>
      <c r="P25" s="66" t="n">
        <f aca="false">IF(F25="","",ROUND(SQRT((F25*L25/100)^2+(G25*O25)^2),0))</f>
        <v>45</v>
      </c>
      <c r="R25" s="67" t="n">
        <v>-13.6398187693653</v>
      </c>
      <c r="S25" s="68" t="n">
        <f aca="false">U25*V25*$F$5</f>
        <v>1878.41828929068</v>
      </c>
      <c r="T25" s="69" t="n">
        <f aca="false">MAX(0,MIN(1,R25/100+$D$5))</f>
        <v>0.288034731967786</v>
      </c>
      <c r="U25" s="69" t="n">
        <v>0.616481223922114</v>
      </c>
      <c r="V25" s="68" t="n">
        <v>3047</v>
      </c>
      <c r="W25" s="69" t="n">
        <v>0.0547268472736556</v>
      </c>
      <c r="X25" s="70" t="s">
        <v>198</v>
      </c>
      <c r="Y25" s="70" t="s">
        <v>194</v>
      </c>
    </row>
    <row r="26" customFormat="false" ht="15" hidden="false" customHeight="false" outlineLevel="0" collapsed="false">
      <c r="A26" s="32" t="s">
        <v>189</v>
      </c>
      <c r="B26" s="32" t="s">
        <v>209</v>
      </c>
      <c r="C26" s="32" t="s">
        <v>191</v>
      </c>
      <c r="D26" s="66" t="n">
        <f aca="false">ROUND(S26*T26,0)</f>
        <v>495</v>
      </c>
      <c r="E26" s="66" t="n">
        <f aca="false">ROUND(S26,0)-D26</f>
        <v>719</v>
      </c>
      <c r="F26" s="66" t="n">
        <f aca="false">IF(COUNTA(D26:E26)=0,"",SUM(D26:E26))</f>
        <v>1214</v>
      </c>
      <c r="G26" s="47" t="n">
        <f aca="false">IF(OR(F26="",F26=0),"",D26/F26)</f>
        <v>0.407742998352554</v>
      </c>
      <c r="H26" s="47" t="n">
        <f aca="false">IF(OR(F26="",F26=0),"",E26/F26)</f>
        <v>0.592257001647446</v>
      </c>
      <c r="I26" s="32" t="s">
        <v>192</v>
      </c>
      <c r="J26" s="36" t="n">
        <v>2.60296228516591</v>
      </c>
      <c r="K26" s="36" t="n">
        <f aca="false">$K$8</f>
        <v>1.02577399392356</v>
      </c>
      <c r="L26" s="36" t="n">
        <f aca="false">SQRT(J26^2+K26^2)</f>
        <v>2.79778929596316</v>
      </c>
      <c r="M26" s="47" t="n">
        <f aca="false">IF(G26="","",MAX(0,G26-1.96*L26/100))</f>
        <v>0.352906328151676</v>
      </c>
      <c r="N26" s="47" t="n">
        <f aca="false">IF(G26="","",MIN(1,G26+1.96*L26/100))</f>
        <v>0.462579668553432</v>
      </c>
      <c r="O26" s="66" t="n">
        <f aca="false">ROUND(S26*W26,0)</f>
        <v>89</v>
      </c>
      <c r="P26" s="66" t="n">
        <f aca="false">IF(F26="","",ROUND(SQRT((F26*L26/100)^2+(G26*O26)^2),0))</f>
        <v>50</v>
      </c>
      <c r="R26" s="67" t="n">
        <v>-1.66158920254199</v>
      </c>
      <c r="S26" s="68" t="n">
        <f aca="false">U26*V26*$F$5</f>
        <v>1214.17865765331</v>
      </c>
      <c r="T26" s="69" t="n">
        <f aca="false">MAX(0,MIN(1,R26/100+$D$5))</f>
        <v>0.407817027636019</v>
      </c>
      <c r="U26" s="69" t="n">
        <v>0.576533075808788</v>
      </c>
      <c r="V26" s="68" t="n">
        <v>2106</v>
      </c>
      <c r="W26" s="69" t="n">
        <v>0.0732058935918866</v>
      </c>
      <c r="X26" s="70" t="s">
        <v>193</v>
      </c>
      <c r="Y26" s="70" t="s">
        <v>194</v>
      </c>
    </row>
    <row r="27" customFormat="false" ht="15" hidden="false" customHeight="false" outlineLevel="0" collapsed="false">
      <c r="A27" s="32" t="s">
        <v>189</v>
      </c>
      <c r="B27" s="32" t="s">
        <v>210</v>
      </c>
      <c r="C27" s="32" t="s">
        <v>191</v>
      </c>
      <c r="D27" s="66" t="n">
        <f aca="false">ROUND(S27*T27,0)</f>
        <v>107</v>
      </c>
      <c r="E27" s="66" t="n">
        <f aca="false">ROUND(S27,0)-D27</f>
        <v>423</v>
      </c>
      <c r="F27" s="66" t="n">
        <f aca="false">IF(COUNTA(D27:E27)=0,"",SUM(D27:E27))</f>
        <v>530</v>
      </c>
      <c r="G27" s="47" t="n">
        <f aca="false">IF(OR(F27="",F27=0),"",D27/F27)</f>
        <v>0.20188679245283</v>
      </c>
      <c r="H27" s="47" t="n">
        <f aca="false">IF(OR(F27="",F27=0),"",E27/F27)</f>
        <v>0.79811320754717</v>
      </c>
      <c r="I27" s="32" t="s">
        <v>192</v>
      </c>
      <c r="J27" s="36" t="n">
        <v>2.60296228516591</v>
      </c>
      <c r="K27" s="36" t="n">
        <f aca="false">$K$8</f>
        <v>1.02577399392356</v>
      </c>
      <c r="L27" s="36" t="n">
        <f aca="false">SQRT(J27^2+K27^2)</f>
        <v>2.79778929596316</v>
      </c>
      <c r="M27" s="47" t="n">
        <f aca="false">IF(G27="","",MAX(0,G27-1.96*L27/100))</f>
        <v>0.147050122251952</v>
      </c>
      <c r="N27" s="47" t="n">
        <f aca="false">IF(G27="","",MIN(1,G27+1.96*L27/100))</f>
        <v>0.256723462653708</v>
      </c>
      <c r="O27" s="66" t="n">
        <f aca="false">ROUND(S27*W27,0)</f>
        <v>39</v>
      </c>
      <c r="P27" s="66" t="n">
        <f aca="false">IF(F27="","",ROUND(SQRT((F27*L27/100)^2+(G27*O27)^2),0))</f>
        <v>17</v>
      </c>
      <c r="R27" s="67" t="n">
        <v>-22.3223435410848</v>
      </c>
      <c r="S27" s="68" t="n">
        <f aca="false">U27*V27*$F$5</f>
        <v>530.117647058824</v>
      </c>
      <c r="T27" s="69" t="n">
        <f aca="false">MAX(0,MIN(1,R27/100+$D$5))</f>
        <v>0.201209484250591</v>
      </c>
      <c r="U27" s="69" t="n">
        <v>0.705882352941177</v>
      </c>
      <c r="V27" s="68" t="n">
        <v>751</v>
      </c>
      <c r="W27" s="69" t="n">
        <v>0.0732058935918866</v>
      </c>
      <c r="X27" s="70" t="s">
        <v>193</v>
      </c>
      <c r="Y27" s="70" t="s">
        <v>194</v>
      </c>
    </row>
    <row r="28" customFormat="false" ht="15" hidden="false" customHeight="false" outlineLevel="0" collapsed="false">
      <c r="A28" s="32" t="s">
        <v>189</v>
      </c>
      <c r="B28" s="32" t="s">
        <v>211</v>
      </c>
      <c r="C28" s="32" t="s">
        <v>191</v>
      </c>
      <c r="D28" s="66" t="n">
        <f aca="false">ROUND(S28*T28,0)</f>
        <v>737</v>
      </c>
      <c r="E28" s="66" t="n">
        <f aca="false">ROUND(S28,0)-D28</f>
        <v>1254</v>
      </c>
      <c r="F28" s="66" t="n">
        <f aca="false">IF(COUNTA(D28:E28)=0,"",SUM(D28:E28))</f>
        <v>1991</v>
      </c>
      <c r="G28" s="47" t="n">
        <f aca="false">IF(OR(F28="",F28=0),"",D28/F28)</f>
        <v>0.370165745856354</v>
      </c>
      <c r="H28" s="47" t="n">
        <f aca="false">IF(OR(F28="",F28=0),"",E28/F28)</f>
        <v>0.629834254143646</v>
      </c>
      <c r="I28" s="32" t="s">
        <v>192</v>
      </c>
      <c r="J28" s="36" t="n">
        <v>1.44715751761421</v>
      </c>
      <c r="K28" s="36" t="n">
        <f aca="false">$K$8</f>
        <v>1.02577399392356</v>
      </c>
      <c r="L28" s="36" t="n">
        <f aca="false">SQRT(J28^2+K28^2)</f>
        <v>1.77383121164253</v>
      </c>
      <c r="M28" s="47" t="n">
        <f aca="false">IF(G28="","",MAX(0,G28-1.96*L28/100))</f>
        <v>0.33539865410816</v>
      </c>
      <c r="N28" s="47" t="n">
        <f aca="false">IF(G28="","",MIN(1,G28+1.96*L28/100))</f>
        <v>0.404932837604547</v>
      </c>
      <c r="O28" s="66" t="n">
        <f aca="false">ROUND(S28*W28,0)</f>
        <v>109</v>
      </c>
      <c r="P28" s="66" t="n">
        <f aca="false">IF(F28="","",ROUND(SQRT((F28*L28/100)^2+(G28*O28)^2),0))</f>
        <v>54</v>
      </c>
      <c r="R28" s="67" t="n">
        <v>-5.41541984121187</v>
      </c>
      <c r="S28" s="68" t="n">
        <f aca="false">U28*V28*$F$5</f>
        <v>1991.47057118005</v>
      </c>
      <c r="T28" s="69" t="n">
        <f aca="false">MAX(0,MIN(1,R28/100+$D$5))</f>
        <v>0.37027872124932</v>
      </c>
      <c r="U28" s="69" t="n">
        <v>0.553493766309075</v>
      </c>
      <c r="V28" s="68" t="n">
        <v>3598</v>
      </c>
      <c r="W28" s="69" t="n">
        <v>0.0547268472736556</v>
      </c>
      <c r="X28" s="70" t="s">
        <v>198</v>
      </c>
      <c r="Y28" s="70" t="s">
        <v>194</v>
      </c>
    </row>
    <row r="29" customFormat="false" ht="15" hidden="false" customHeight="false" outlineLevel="0" collapsed="false">
      <c r="A29" s="32" t="s">
        <v>189</v>
      </c>
      <c r="B29" s="32" t="s">
        <v>212</v>
      </c>
      <c r="C29" s="32" t="s">
        <v>191</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192</v>
      </c>
      <c r="J29" s="36" t="n">
        <v>2.60296228516591</v>
      </c>
      <c r="K29" s="36" t="n">
        <f aca="false">$K$8</f>
        <v>1.02577399392356</v>
      </c>
      <c r="L29" s="36" t="n">
        <f aca="false">SQRT(J29^2+K29^2)</f>
        <v>2.79778929596316</v>
      </c>
      <c r="M29" s="47" t="n">
        <f aca="false">IF(G29="","",MAX(0,G29-1.96*L29/100))</f>
        <v>0.237055221691014</v>
      </c>
      <c r="N29" s="47" t="n">
        <f aca="false">IF(G29="","",MIN(1,G29+1.96*L29/100))</f>
        <v>0.34672856209277</v>
      </c>
      <c r="O29" s="66" t="n">
        <f aca="false">ROUND(S29*W29,0)</f>
        <v>14</v>
      </c>
      <c r="P29" s="66" t="n">
        <f aca="false">IF(F29="","",ROUND(SQRT((F29*L29/100)^2+(G29*O29)^2),0))</f>
        <v>7</v>
      </c>
      <c r="R29" s="67" t="n">
        <v>-13.3433120338355</v>
      </c>
      <c r="S29" s="68" t="n">
        <f aca="false">U29*V29*$F$5</f>
        <v>184.547540983607</v>
      </c>
      <c r="T29" s="69" t="n">
        <f aca="false">MAX(0,MIN(1,R29/100+$D$5))</f>
        <v>0.290999799323084</v>
      </c>
      <c r="U29" s="69" t="n">
        <v>0.613114754098361</v>
      </c>
      <c r="V29" s="68" t="n">
        <v>301</v>
      </c>
      <c r="W29" s="69" t="n">
        <v>0.0732058935918866</v>
      </c>
      <c r="X29" s="70" t="s">
        <v>193</v>
      </c>
      <c r="Y29" s="70" t="s">
        <v>194</v>
      </c>
    </row>
    <row r="30" customFormat="false" ht="15" hidden="false" customHeight="false" outlineLevel="0" collapsed="false">
      <c r="A30" s="32" t="s">
        <v>189</v>
      </c>
      <c r="B30" s="32" t="s">
        <v>213</v>
      </c>
      <c r="C30" s="32" t="s">
        <v>191</v>
      </c>
      <c r="D30" s="66" t="n">
        <f aca="false">ROUND(S30*T30,0)</f>
        <v>1618</v>
      </c>
      <c r="E30" s="66" t="n">
        <f aca="false">ROUND(S30,0)-D30</f>
        <v>2854</v>
      </c>
      <c r="F30" s="66" t="n">
        <f aca="false">IF(COUNTA(D30:E30)=0,"",SUM(D30:E30))</f>
        <v>4472</v>
      </c>
      <c r="G30" s="47" t="n">
        <f aca="false">IF(OR(F30="",F30=0),"",D30/F30)</f>
        <v>0.36180679785331</v>
      </c>
      <c r="H30" s="47" t="n">
        <f aca="false">IF(OR(F30="",F30=0),"",E30/F30)</f>
        <v>0.638193202146691</v>
      </c>
      <c r="I30" s="32" t="s">
        <v>192</v>
      </c>
      <c r="J30" s="36" t="n">
        <v>1.45633855732547</v>
      </c>
      <c r="K30" s="36" t="n">
        <f aca="false">$K$8</f>
        <v>1.02577399392356</v>
      </c>
      <c r="L30" s="36" t="n">
        <f aca="false">SQRT(J30^2+K30^2)</f>
        <v>1.78132935757617</v>
      </c>
      <c r="M30" s="47" t="n">
        <f aca="false">IF(G30="","",MAX(0,G30-1.96*L30/100))</f>
        <v>0.326892742444817</v>
      </c>
      <c r="N30" s="47" t="n">
        <f aca="false">IF(G30="","",MIN(1,G30+1.96*L30/100))</f>
        <v>0.396720853261802</v>
      </c>
      <c r="O30" s="66" t="n">
        <f aca="false">ROUND(S30*W30,0)</f>
        <v>217</v>
      </c>
      <c r="P30" s="66" t="n">
        <f aca="false">IF(F30="","",ROUND(SQRT((F30*L30/100)^2+(G30*O30)^2),0))</f>
        <v>112</v>
      </c>
      <c r="R30" s="67" t="n">
        <v>-6.25868760289254</v>
      </c>
      <c r="S30" s="68" t="n">
        <f aca="false">U30*V30*$F$5</f>
        <v>4472.46592381446</v>
      </c>
      <c r="T30" s="69" t="n">
        <f aca="false">MAX(0,MIN(1,R30/100+$D$5))</f>
        <v>0.361846043632514</v>
      </c>
      <c r="U30" s="69" t="n">
        <v>0.560248769111169</v>
      </c>
      <c r="V30" s="68" t="n">
        <v>7983</v>
      </c>
      <c r="W30" s="69" t="n">
        <v>0.0485820274397165</v>
      </c>
      <c r="X30" s="70" t="s">
        <v>214</v>
      </c>
      <c r="Y30" s="70" t="s">
        <v>194</v>
      </c>
    </row>
    <row r="31" customFormat="false" ht="15" hidden="false" customHeight="false" outlineLevel="0" collapsed="false">
      <c r="A31" s="32" t="s">
        <v>189</v>
      </c>
      <c r="B31" s="32" t="s">
        <v>215</v>
      </c>
      <c r="C31" s="32" t="s">
        <v>191</v>
      </c>
      <c r="D31" s="66" t="n">
        <f aca="false">ROUND(S31*T31,0)</f>
        <v>565</v>
      </c>
      <c r="E31" s="66" t="n">
        <f aca="false">ROUND(S31,0)-D31</f>
        <v>728</v>
      </c>
      <c r="F31" s="66" t="n">
        <f aca="false">IF(COUNTA(D31:E31)=0,"",SUM(D31:E31))</f>
        <v>1293</v>
      </c>
      <c r="G31" s="47" t="n">
        <f aca="false">IF(OR(F31="",F31=0),"",D31/F31)</f>
        <v>0.436968290796597</v>
      </c>
      <c r="H31" s="47" t="n">
        <f aca="false">IF(OR(F31="",F31=0),"",E31/F31)</f>
        <v>0.563031709203403</v>
      </c>
      <c r="I31" s="32" t="s">
        <v>192</v>
      </c>
      <c r="J31" s="36" t="n">
        <v>1.44715751761421</v>
      </c>
      <c r="K31" s="36" t="n">
        <f aca="false">$K$8</f>
        <v>1.02577399392356</v>
      </c>
      <c r="L31" s="36" t="n">
        <f aca="false">SQRT(J31^2+K31^2)</f>
        <v>1.77383121164253</v>
      </c>
      <c r="M31" s="47" t="n">
        <f aca="false">IF(G31="","",MAX(0,G31-1.96*L31/100))</f>
        <v>0.402201199048403</v>
      </c>
      <c r="N31" s="47" t="n">
        <f aca="false">IF(G31="","",MIN(1,G31+1.96*L31/100))</f>
        <v>0.471735382544791</v>
      </c>
      <c r="O31" s="66" t="n">
        <f aca="false">ROUND(S31*W31,0)</f>
        <v>71</v>
      </c>
      <c r="P31" s="66" t="n">
        <f aca="false">IF(F31="","",ROUND(SQRT((F31*L31/100)^2+(G31*O31)^2),0))</f>
        <v>39</v>
      </c>
      <c r="R31" s="67" t="n">
        <v>1.26434915974176</v>
      </c>
      <c r="S31" s="68" t="n">
        <f aca="false">U31*V31*$F$5</f>
        <v>1293.28908554572</v>
      </c>
      <c r="T31" s="69" t="n">
        <f aca="false">MAX(0,MIN(1,R31/100+$D$5))</f>
        <v>0.437076411258857</v>
      </c>
      <c r="U31" s="69" t="n">
        <v>0.607177974434612</v>
      </c>
      <c r="V31" s="68" t="n">
        <v>2130</v>
      </c>
      <c r="W31" s="69" t="n">
        <v>0.0547268472736556</v>
      </c>
      <c r="X31" s="70" t="s">
        <v>198</v>
      </c>
      <c r="Y31" s="70" t="s">
        <v>194</v>
      </c>
    </row>
    <row r="32" customFormat="false" ht="15" hidden="false" customHeight="false" outlineLevel="0" collapsed="false">
      <c r="A32" s="32" t="s">
        <v>189</v>
      </c>
      <c r="B32" s="32" t="s">
        <v>216</v>
      </c>
      <c r="C32" s="32" t="s">
        <v>191</v>
      </c>
      <c r="D32" s="66" t="n">
        <f aca="false">ROUND(S32*T32,0)</f>
        <v>659</v>
      </c>
      <c r="E32" s="66" t="n">
        <f aca="false">ROUND(S32,0)-D32</f>
        <v>1599</v>
      </c>
      <c r="F32" s="66" t="n">
        <f aca="false">IF(COUNTA(D32:E32)=0,"",SUM(D32:E32))</f>
        <v>2258</v>
      </c>
      <c r="G32" s="47" t="n">
        <f aca="false">IF(OR(F32="",F32=0),"",D32/F32)</f>
        <v>0.29185119574845</v>
      </c>
      <c r="H32" s="47" t="n">
        <f aca="false">IF(OR(F32="",F32=0),"",E32/F32)</f>
        <v>0.70814880425155</v>
      </c>
      <c r="I32" s="32" t="s">
        <v>192</v>
      </c>
      <c r="J32" s="36" t="n">
        <v>1.44715751761421</v>
      </c>
      <c r="K32" s="36" t="n">
        <f aca="false">$K$8</f>
        <v>1.02577399392356</v>
      </c>
      <c r="L32" s="36" t="n">
        <f aca="false">SQRT(J32^2+K32^2)</f>
        <v>1.77383121164253</v>
      </c>
      <c r="M32" s="47" t="n">
        <f aca="false">IF(G32="","",MAX(0,G32-1.96*L32/100))</f>
        <v>0.257084104000256</v>
      </c>
      <c r="N32" s="47" t="n">
        <f aca="false">IF(G32="","",MIN(1,G32+1.96*L32/100))</f>
        <v>0.326618287496644</v>
      </c>
      <c r="O32" s="66" t="n">
        <f aca="false">ROUND(S32*W32,0)</f>
        <v>124</v>
      </c>
      <c r="P32" s="66" t="n">
        <f aca="false">IF(F32="","",ROUND(SQRT((F32*L32/100)^2+(G32*O32)^2),0))</f>
        <v>54</v>
      </c>
      <c r="R32" s="67" t="n">
        <v>-13.2459020083811</v>
      </c>
      <c r="S32" s="68" t="n">
        <f aca="false">U32*V32*$F$5</f>
        <v>2258.11685530743</v>
      </c>
      <c r="T32" s="69" t="n">
        <f aca="false">MAX(0,MIN(1,R32/100+$D$5))</f>
        <v>0.291973899577628</v>
      </c>
      <c r="U32" s="69" t="n">
        <v>0.65188130926889</v>
      </c>
      <c r="V32" s="68" t="n">
        <v>3464</v>
      </c>
      <c r="W32" s="69" t="n">
        <v>0.0547268472736556</v>
      </c>
      <c r="X32" s="70" t="s">
        <v>198</v>
      </c>
      <c r="Y32" s="70" t="s">
        <v>194</v>
      </c>
    </row>
    <row r="33" customFormat="false" ht="15" hidden="false" customHeight="false" outlineLevel="0" collapsed="false">
      <c r="A33" s="32" t="s">
        <v>189</v>
      </c>
      <c r="B33" s="32" t="s">
        <v>217</v>
      </c>
      <c r="C33" s="32" t="s">
        <v>191</v>
      </c>
      <c r="D33" s="66" t="n">
        <f aca="false">ROUND(S33*T33,0)</f>
        <v>264</v>
      </c>
      <c r="E33" s="66" t="n">
        <f aca="false">ROUND(S33,0)-D33</f>
        <v>650</v>
      </c>
      <c r="F33" s="66" t="n">
        <f aca="false">IF(COUNTA(D33:E33)=0,"",SUM(D33:E33))</f>
        <v>914</v>
      </c>
      <c r="G33" s="47" t="n">
        <f aca="false">IF(OR(F33="",F33=0),"",D33/F33)</f>
        <v>0.288840262582057</v>
      </c>
      <c r="H33" s="47" t="n">
        <f aca="false">IF(OR(F33="",F33=0),"",E33/F33)</f>
        <v>0.711159737417943</v>
      </c>
      <c r="I33" s="32" t="s">
        <v>192</v>
      </c>
      <c r="J33" s="36" t="n">
        <v>2.60296228516591</v>
      </c>
      <c r="K33" s="36" t="n">
        <f aca="false">$K$8</f>
        <v>1.02577399392356</v>
      </c>
      <c r="L33" s="36" t="n">
        <f aca="false">SQRT(J33^2+K33^2)</f>
        <v>2.79778929596316</v>
      </c>
      <c r="M33" s="47" t="n">
        <f aca="false">IF(G33="","",MAX(0,G33-1.96*L33/100))</f>
        <v>0.234003592381179</v>
      </c>
      <c r="N33" s="47" t="n">
        <f aca="false">IF(G33="","",MIN(1,G33+1.96*L33/100))</f>
        <v>0.343676932782935</v>
      </c>
      <c r="O33" s="66" t="n">
        <f aca="false">ROUND(S33*W33,0)</f>
        <v>67</v>
      </c>
      <c r="P33" s="66" t="n">
        <f aca="false">IF(F33="","",ROUND(SQRT((F33*L33/100)^2+(G33*O33)^2),0))</f>
        <v>32</v>
      </c>
      <c r="R33" s="67" t="n">
        <v>-13.5202440288247</v>
      </c>
      <c r="S33" s="68" t="n">
        <f aca="false">U33*V33*$F$5</f>
        <v>913.771907216495</v>
      </c>
      <c r="T33" s="69" t="n">
        <f aca="false">MAX(0,MIN(1,R33/100+$D$5))</f>
        <v>0.289230479373192</v>
      </c>
      <c r="U33" s="69" t="n">
        <v>0.580541237113402</v>
      </c>
      <c r="V33" s="68" t="n">
        <v>1574</v>
      </c>
      <c r="W33" s="69" t="n">
        <v>0.0732058935918866</v>
      </c>
      <c r="X33" s="70" t="s">
        <v>193</v>
      </c>
      <c r="Y33" s="70" t="s">
        <v>194</v>
      </c>
    </row>
    <row r="34" customFormat="false" ht="15" hidden="false" customHeight="false" outlineLevel="0" collapsed="false">
      <c r="A34" s="32" t="s">
        <v>189</v>
      </c>
      <c r="B34" s="32" t="s">
        <v>218</v>
      </c>
      <c r="C34" s="32" t="s">
        <v>191</v>
      </c>
      <c r="D34" s="66" t="n">
        <f aca="false">ROUND(S34*T34,0)</f>
        <v>44</v>
      </c>
      <c r="E34" s="66" t="n">
        <f aca="false">ROUND(S34,0)-D34</f>
        <v>63</v>
      </c>
      <c r="F34" s="66" t="n">
        <f aca="false">IF(COUNTA(D34:E34)=0,"",SUM(D34:E34))</f>
        <v>107</v>
      </c>
      <c r="G34" s="47" t="n">
        <f aca="false">IF(OR(F34="",F34=0),"",D34/F34)</f>
        <v>0.411214953271028</v>
      </c>
      <c r="H34" s="47" t="n">
        <f aca="false">IF(OR(F34="",F34=0),"",E34/F34)</f>
        <v>0.588785046728972</v>
      </c>
      <c r="I34" s="32" t="s">
        <v>192</v>
      </c>
      <c r="J34" s="36" t="n">
        <v>2.60296228516591</v>
      </c>
      <c r="K34" s="36" t="n">
        <f aca="false">$K$8</f>
        <v>1.02577399392356</v>
      </c>
      <c r="L34" s="36" t="n">
        <f aca="false">SQRT(J34^2+K34^2)</f>
        <v>2.79778929596316</v>
      </c>
      <c r="M34" s="47" t="n">
        <f aca="false">IF(G34="","",MAX(0,G34-1.96*L34/100))</f>
        <v>0.35637828307015</v>
      </c>
      <c r="N34" s="47" t="n">
        <f aca="false">IF(G34="","",MIN(1,G34+1.96*L34/100))</f>
        <v>0.466051623471906</v>
      </c>
      <c r="O34" s="66" t="n">
        <f aca="false">ROUND(S34*W34,0)</f>
        <v>8</v>
      </c>
      <c r="P34" s="66" t="n">
        <f aca="false">IF(F34="","",ROUND(SQRT((F34*L34/100)^2+(G34*O34)^2),0))</f>
        <v>4</v>
      </c>
      <c r="R34" s="67" t="n">
        <v>-1.54765160118863</v>
      </c>
      <c r="S34" s="68" t="n">
        <f aca="false">U34*V34*$F$5</f>
        <v>106.666666666667</v>
      </c>
      <c r="T34" s="69" t="n">
        <f aca="false">MAX(0,MIN(1,R34/100+$D$5))</f>
        <v>0.408956403649553</v>
      </c>
      <c r="U34" s="69" t="n">
        <v>0.444444444444444</v>
      </c>
      <c r="V34" s="68" t="n">
        <v>240</v>
      </c>
      <c r="W34" s="69" t="n">
        <v>0.0732058935918866</v>
      </c>
      <c r="X34" s="70" t="s">
        <v>193</v>
      </c>
      <c r="Y34" s="70" t="s">
        <v>194</v>
      </c>
    </row>
    <row r="35" customFormat="false" ht="15" hidden="false" customHeight="false" outlineLevel="0" collapsed="false">
      <c r="A35" s="32" t="s">
        <v>219</v>
      </c>
      <c r="B35" s="32" t="s">
        <v>220</v>
      </c>
      <c r="C35" s="32" t="s">
        <v>191</v>
      </c>
      <c r="D35" s="66" t="n">
        <f aca="false">ROUND(S35*T35,0)</f>
        <v>503</v>
      </c>
      <c r="E35" s="66" t="n">
        <f aca="false">ROUND(S35,0)-D35</f>
        <v>558</v>
      </c>
      <c r="F35" s="66" t="n">
        <f aca="false">IF(COUNTA(D35:E35)=0,"",SUM(D35:E35))</f>
        <v>1061</v>
      </c>
      <c r="G35" s="47" t="n">
        <f aca="false">IF(OR(F35="",F35=0),"",D35/F35)</f>
        <v>0.474081055607917</v>
      </c>
      <c r="H35" s="47" t="n">
        <f aca="false">IF(OR(F35="",F35=0),"",E35/F35)</f>
        <v>0.525918944392083</v>
      </c>
      <c r="I35" s="32" t="s">
        <v>192</v>
      </c>
      <c r="J35" s="36" t="n">
        <v>2.60296228516591</v>
      </c>
      <c r="K35" s="36" t="n">
        <f aca="false">$K$8</f>
        <v>1.02577399392356</v>
      </c>
      <c r="L35" s="36" t="n">
        <f aca="false">SQRT(J35^2+K35^2)</f>
        <v>2.79778929596316</v>
      </c>
      <c r="M35" s="47" t="n">
        <f aca="false">IF(G35="","",MAX(0,G35-1.96*L35/100))</f>
        <v>0.419244385407039</v>
      </c>
      <c r="N35" s="47" t="n">
        <f aca="false">IF(G35="","",MIN(1,G35+1.96*L35/100))</f>
        <v>0.528917725808795</v>
      </c>
      <c r="O35" s="66" t="n">
        <f aca="false">ROUND(S35*W35,0)</f>
        <v>78</v>
      </c>
      <c r="P35" s="66" t="n">
        <f aca="false">IF(F35="","",ROUND(SQRT((F35*L35/100)^2+(G35*O35)^2),0))</f>
        <v>47</v>
      </c>
      <c r="R35" s="67" t="n">
        <v>4.97738215964462</v>
      </c>
      <c r="S35" s="68" t="n">
        <f aca="false">U35*V35*$F$5</f>
        <v>1060.80585424134</v>
      </c>
      <c r="T35" s="69" t="n">
        <f aca="false">MAX(0,MIN(1,R35/100+$D$5))</f>
        <v>0.474206741257885</v>
      </c>
      <c r="U35" s="69" t="n">
        <v>0.605137395459976</v>
      </c>
      <c r="V35" s="68" t="n">
        <v>1753</v>
      </c>
      <c r="W35" s="69" t="n">
        <v>0.0732058935918866</v>
      </c>
      <c r="X35" s="70" t="s">
        <v>193</v>
      </c>
      <c r="Y35" s="70" t="s">
        <v>194</v>
      </c>
    </row>
    <row r="36" customFormat="false" ht="15" hidden="false" customHeight="false" outlineLevel="0" collapsed="false">
      <c r="A36" s="32" t="s">
        <v>219</v>
      </c>
      <c r="B36" s="32" t="s">
        <v>221</v>
      </c>
      <c r="C36" s="32" t="s">
        <v>191</v>
      </c>
      <c r="D36" s="66" t="n">
        <f aca="false">ROUND(S36*T36,0)</f>
        <v>16674</v>
      </c>
      <c r="E36" s="66" t="n">
        <f aca="false">ROUND(S36,0)-D36</f>
        <v>8699</v>
      </c>
      <c r="F36" s="66" t="n">
        <f aca="false">IF(COUNTA(D36:E36)=0,"",SUM(D36:E36))</f>
        <v>25373</v>
      </c>
      <c r="G36" s="47" t="n">
        <f aca="false">IF(OR(F36="",F36=0),"",D36/F36)</f>
        <v>0.657155243763055</v>
      </c>
      <c r="H36" s="47" t="n">
        <f aca="false">IF(OR(F36="",F36=0),"",E36/F36)</f>
        <v>0.342844756236945</v>
      </c>
      <c r="I36" s="32" t="s">
        <v>192</v>
      </c>
      <c r="J36" s="36" t="n">
        <v>1.45633855732547</v>
      </c>
      <c r="K36" s="36" t="n">
        <f aca="false">$K$8</f>
        <v>1.02577399392356</v>
      </c>
      <c r="L36" s="36" t="n">
        <f aca="false">SQRT(J36^2+K36^2)</f>
        <v>1.78132935757617</v>
      </c>
      <c r="M36" s="47" t="n">
        <f aca="false">IF(G36="","",MAX(0,G36-1.96*L36/100))</f>
        <v>0.622241188354562</v>
      </c>
      <c r="N36" s="47" t="n">
        <f aca="false">IF(G36="","",MIN(1,G36+1.96*L36/100))</f>
        <v>0.692069299171548</v>
      </c>
      <c r="O36" s="66" t="n">
        <f aca="false">ROUND(S36*W36,0)</f>
        <v>1233</v>
      </c>
      <c r="P36" s="66" t="n">
        <f aca="false">IF(F36="","",ROUND(SQRT((F36*L36/100)^2+(G36*O36)^2),0))</f>
        <v>928</v>
      </c>
      <c r="R36" s="67" t="n">
        <v>23.2696160350044</v>
      </c>
      <c r="S36" s="68" t="n">
        <f aca="false">U36*V36*$F$5</f>
        <v>25373.374760008</v>
      </c>
      <c r="T36" s="69" t="n">
        <f aca="false">MAX(0,MIN(1,R36/100+$D$5))</f>
        <v>0.657129080011483</v>
      </c>
      <c r="U36" s="69" t="n">
        <v>0.356778519643522</v>
      </c>
      <c r="V36" s="68" t="n">
        <v>71118</v>
      </c>
      <c r="W36" s="69" t="n">
        <v>0.0485820274397165</v>
      </c>
      <c r="X36" s="70" t="s">
        <v>214</v>
      </c>
      <c r="Y36" s="70" t="s">
        <v>194</v>
      </c>
    </row>
    <row r="37" customFormat="false" ht="15" hidden="false" customHeight="false" outlineLevel="0" collapsed="false">
      <c r="A37" s="32" t="s">
        <v>219</v>
      </c>
      <c r="B37" s="32" t="s">
        <v>222</v>
      </c>
      <c r="C37" s="32" t="s">
        <v>191</v>
      </c>
      <c r="D37" s="66" t="n">
        <f aca="false">ROUND(S37*T37,0)</f>
        <v>5119</v>
      </c>
      <c r="E37" s="66" t="n">
        <f aca="false">ROUND(S37,0)-D37</f>
        <v>2858</v>
      </c>
      <c r="F37" s="66" t="n">
        <f aca="false">IF(COUNTA(D37:E37)=0,"",SUM(D37:E37))</f>
        <v>7977</v>
      </c>
      <c r="G37" s="47" t="n">
        <f aca="false">IF(OR(F37="",F37=0),"",D37/F37)</f>
        <v>0.641719944841419</v>
      </c>
      <c r="H37" s="47" t="n">
        <f aca="false">IF(OR(F37="",F37=0),"",E37/F37)</f>
        <v>0.358280055158581</v>
      </c>
      <c r="I37" s="32" t="s">
        <v>192</v>
      </c>
      <c r="J37" s="36" t="n">
        <v>1.45633855732547</v>
      </c>
      <c r="K37" s="36" t="n">
        <f aca="false">$K$8</f>
        <v>1.02577399392356</v>
      </c>
      <c r="L37" s="36" t="n">
        <f aca="false">SQRT(J37^2+K37^2)</f>
        <v>1.78132935757617</v>
      </c>
      <c r="M37" s="47" t="n">
        <f aca="false">IF(G37="","",MAX(0,G37-1.96*L37/100))</f>
        <v>0.606805889432926</v>
      </c>
      <c r="N37" s="47" t="n">
        <f aca="false">IF(G37="","",MIN(1,G37+1.96*L37/100))</f>
        <v>0.676634000249912</v>
      </c>
      <c r="O37" s="66" t="n">
        <f aca="false">ROUND(S37*W37,0)</f>
        <v>388</v>
      </c>
      <c r="P37" s="66" t="n">
        <f aca="false">IF(F37="","",ROUND(SQRT((F37*L37/100)^2+(G37*O37)^2),0))</f>
        <v>287</v>
      </c>
      <c r="R37" s="67" t="n">
        <v>21.7313154489802</v>
      </c>
      <c r="S37" s="68" t="n">
        <f aca="false">U37*V37*$F$5</f>
        <v>7976.55329986175</v>
      </c>
      <c r="T37" s="69" t="n">
        <f aca="false">MAX(0,MIN(1,R37/100+$D$5))</f>
        <v>0.641746074151241</v>
      </c>
      <c r="U37" s="69" t="n">
        <v>0.574183220548643</v>
      </c>
      <c r="V37" s="68" t="n">
        <v>13892</v>
      </c>
      <c r="W37" s="69" t="n">
        <v>0.0485820274397165</v>
      </c>
      <c r="X37" s="70" t="s">
        <v>214</v>
      </c>
      <c r="Y37" s="70" t="s">
        <v>194</v>
      </c>
    </row>
    <row r="38" customFormat="false" ht="15" hidden="false" customHeight="false" outlineLevel="0" collapsed="false">
      <c r="A38" s="32" t="s">
        <v>219</v>
      </c>
      <c r="B38" s="32" t="s">
        <v>223</v>
      </c>
      <c r="C38" s="32" t="s">
        <v>191</v>
      </c>
      <c r="D38" s="66" t="n">
        <f aca="false">ROUND(S38*T38,0)</f>
        <v>1157</v>
      </c>
      <c r="E38" s="66" t="n">
        <f aca="false">ROUND(S38,0)-D38</f>
        <v>1021</v>
      </c>
      <c r="F38" s="66" t="n">
        <f aca="false">IF(COUNTA(D38:E38)=0,"",SUM(D38:E38))</f>
        <v>2178</v>
      </c>
      <c r="G38" s="47" t="n">
        <f aca="false">IF(OR(F38="",F38=0),"",D38/F38)</f>
        <v>0.531221303948577</v>
      </c>
      <c r="H38" s="47" t="n">
        <f aca="false">IF(OR(F38="",F38=0),"",E38/F38)</f>
        <v>0.468778696051423</v>
      </c>
      <c r="I38" s="32" t="s">
        <v>192</v>
      </c>
      <c r="J38" s="36" t="n">
        <v>1.44715751761421</v>
      </c>
      <c r="K38" s="36" t="n">
        <f aca="false">$K$8</f>
        <v>1.02577399392356</v>
      </c>
      <c r="L38" s="36" t="n">
        <f aca="false">SQRT(J38^2+K38^2)</f>
        <v>1.77383121164253</v>
      </c>
      <c r="M38" s="47" t="n">
        <f aca="false">IF(G38="","",MAX(0,G38-1.96*L38/100))</f>
        <v>0.496454212200383</v>
      </c>
      <c r="N38" s="47" t="n">
        <f aca="false">IF(G38="","",MIN(1,G38+1.96*L38/100))</f>
        <v>0.56598839569677</v>
      </c>
      <c r="O38" s="66" t="n">
        <f aca="false">ROUND(S38*W38,0)</f>
        <v>119</v>
      </c>
      <c r="P38" s="66" t="n">
        <f aca="false">IF(F38="","",ROUND(SQRT((F38*L38/100)^2+(G38*O38)^2),0))</f>
        <v>74</v>
      </c>
      <c r="R38" s="67" t="n">
        <v>10.669933399262</v>
      </c>
      <c r="S38" s="68" t="n">
        <f aca="false">U38*V38*$F$5</f>
        <v>2177.82706204834</v>
      </c>
      <c r="T38" s="69" t="n">
        <f aca="false">MAX(0,MIN(1,R38/100+$D$5))</f>
        <v>0.531132253654059</v>
      </c>
      <c r="U38" s="69" t="n">
        <v>0.525791178669325</v>
      </c>
      <c r="V38" s="68" t="n">
        <v>4142</v>
      </c>
      <c r="W38" s="69" t="n">
        <v>0.0547268472736556</v>
      </c>
      <c r="X38" s="70" t="s">
        <v>198</v>
      </c>
      <c r="Y38" s="70" t="s">
        <v>194</v>
      </c>
    </row>
    <row r="39" customFormat="false" ht="15" hidden="false" customHeight="false" outlineLevel="0" collapsed="false">
      <c r="A39" s="32" t="s">
        <v>219</v>
      </c>
      <c r="B39" s="32" t="s">
        <v>224</v>
      </c>
      <c r="C39" s="32" t="s">
        <v>191</v>
      </c>
      <c r="D39" s="66" t="n">
        <f aca="false">ROUND(S39*T39,0)</f>
        <v>626</v>
      </c>
      <c r="E39" s="66" t="n">
        <f aca="false">ROUND(S39,0)-D39</f>
        <v>644</v>
      </c>
      <c r="F39" s="66" t="n">
        <f aca="false">IF(COUNTA(D39:E39)=0,"",SUM(D39:E39))</f>
        <v>1270</v>
      </c>
      <c r="G39" s="47" t="n">
        <f aca="false">IF(OR(F39="",F39=0),"",D39/F39)</f>
        <v>0.492913385826772</v>
      </c>
      <c r="H39" s="47" t="n">
        <f aca="false">IF(OR(F39="",F39=0),"",E39/F39)</f>
        <v>0.507086614173228</v>
      </c>
      <c r="I39" s="32" t="s">
        <v>192</v>
      </c>
      <c r="J39" s="36" t="n">
        <v>1.44715751761421</v>
      </c>
      <c r="K39" s="36" t="n">
        <f aca="false">$K$8</f>
        <v>1.02577399392356</v>
      </c>
      <c r="L39" s="36" t="n">
        <f aca="false">SQRT(J39^2+K39^2)</f>
        <v>1.77383121164253</v>
      </c>
      <c r="M39" s="47" t="n">
        <f aca="false">IF(G39="","",MAX(0,G39-1.96*L39/100))</f>
        <v>0.458146294078578</v>
      </c>
      <c r="N39" s="47" t="n">
        <f aca="false">IF(G39="","",MIN(1,G39+1.96*L39/100))</f>
        <v>0.527680477574965</v>
      </c>
      <c r="O39" s="66" t="n">
        <f aca="false">ROUND(S39*W39,0)</f>
        <v>70</v>
      </c>
      <c r="P39" s="66" t="n">
        <f aca="false">IF(F39="","",ROUND(SQRT((F39*L39/100)^2+(G39*O39)^2),0))</f>
        <v>41</v>
      </c>
      <c r="R39" s="67" t="n">
        <v>6.81168243000995</v>
      </c>
      <c r="S39" s="68" t="n">
        <f aca="false">U39*V39*$F$5</f>
        <v>1270.44031093837</v>
      </c>
      <c r="T39" s="69" t="n">
        <f aca="false">MAX(0,MIN(1,R39/100+$D$5))</f>
        <v>0.492549743961539</v>
      </c>
      <c r="U39" s="69" t="n">
        <v>0.676846196557468</v>
      </c>
      <c r="V39" s="68" t="n">
        <v>1877</v>
      </c>
      <c r="W39" s="69" t="n">
        <v>0.0547268472736556</v>
      </c>
      <c r="X39" s="70" t="s">
        <v>198</v>
      </c>
      <c r="Y39" s="70" t="s">
        <v>194</v>
      </c>
    </row>
    <row r="40" customFormat="false" ht="15" hidden="false" customHeight="false" outlineLevel="0" collapsed="false">
      <c r="A40" s="32" t="s">
        <v>219</v>
      </c>
      <c r="B40" s="32" t="s">
        <v>225</v>
      </c>
      <c r="C40" s="32" t="s">
        <v>191</v>
      </c>
      <c r="D40" s="66" t="n">
        <f aca="false">ROUND(S40*T40,0)</f>
        <v>714</v>
      </c>
      <c r="E40" s="66" t="n">
        <f aca="false">ROUND(S40,0)-D40</f>
        <v>650</v>
      </c>
      <c r="F40" s="66" t="n">
        <f aca="false">IF(COUNTA(D40:E40)=0,"",SUM(D40:E40))</f>
        <v>1364</v>
      </c>
      <c r="G40" s="47" t="n">
        <f aca="false">IF(OR(F40="",F40=0),"",D40/F40)</f>
        <v>0.523460410557185</v>
      </c>
      <c r="H40" s="47" t="n">
        <f aca="false">IF(OR(F40="",F40=0),"",E40/F40)</f>
        <v>0.476539589442815</v>
      </c>
      <c r="I40" s="32" t="s">
        <v>192</v>
      </c>
      <c r="J40" s="36" t="n">
        <v>1.44715751761421</v>
      </c>
      <c r="K40" s="36" t="n">
        <f aca="false">$K$8</f>
        <v>1.02577399392356</v>
      </c>
      <c r="L40" s="36" t="n">
        <f aca="false">SQRT(J40^2+K40^2)</f>
        <v>1.77383121164253</v>
      </c>
      <c r="M40" s="47" t="n">
        <f aca="false">IF(G40="","",MAX(0,G40-1.96*L40/100))</f>
        <v>0.488693318808991</v>
      </c>
      <c r="N40" s="47" t="n">
        <f aca="false">IF(G40="","",MIN(1,G40+1.96*L40/100))</f>
        <v>0.558227502305378</v>
      </c>
      <c r="O40" s="66" t="n">
        <f aca="false">ROUND(S40*W40,0)</f>
        <v>75</v>
      </c>
      <c r="P40" s="66" t="n">
        <f aca="false">IF(F40="","",ROUND(SQRT((F40*L40/100)^2+(G40*O40)^2),0))</f>
        <v>46</v>
      </c>
      <c r="R40" s="67" t="n">
        <v>9.87526801121201</v>
      </c>
      <c r="S40" s="68" t="n">
        <f aca="false">U40*V40*$F$5</f>
        <v>1363.93435943866</v>
      </c>
      <c r="T40" s="69" t="n">
        <f aca="false">MAX(0,MIN(1,R40/100+$D$5))</f>
        <v>0.523185599773559</v>
      </c>
      <c r="U40" s="69" t="n">
        <v>0.587143503847895</v>
      </c>
      <c r="V40" s="68" t="n">
        <v>2323</v>
      </c>
      <c r="W40" s="69" t="n">
        <v>0.0547268472736556</v>
      </c>
      <c r="X40" s="70" t="s">
        <v>198</v>
      </c>
      <c r="Y40" s="70" t="s">
        <v>194</v>
      </c>
    </row>
    <row r="41" customFormat="false" ht="15" hidden="false" customHeight="false" outlineLevel="0" collapsed="false">
      <c r="A41" s="32" t="s">
        <v>219</v>
      </c>
      <c r="B41" s="32" t="s">
        <v>226</v>
      </c>
      <c r="C41" s="32" t="s">
        <v>191</v>
      </c>
      <c r="D41" s="66" t="n">
        <f aca="false">ROUND(S41*T41,0)</f>
        <v>2901</v>
      </c>
      <c r="E41" s="66" t="n">
        <f aca="false">ROUND(S41,0)-D41</f>
        <v>2487</v>
      </c>
      <c r="F41" s="66" t="n">
        <f aca="false">IF(COUNTA(D41:E41)=0,"",SUM(D41:E41))</f>
        <v>5388</v>
      </c>
      <c r="G41" s="47" t="n">
        <f aca="false">IF(OR(F41="",F41=0),"",D41/F41)</f>
        <v>0.538418708240535</v>
      </c>
      <c r="H41" s="47" t="n">
        <f aca="false">IF(OR(F41="",F41=0),"",E41/F41)</f>
        <v>0.461581291759466</v>
      </c>
      <c r="I41" s="32" t="s">
        <v>192</v>
      </c>
      <c r="J41" s="36" t="n">
        <v>1.45633855732547</v>
      </c>
      <c r="K41" s="36" t="n">
        <f aca="false">$K$8</f>
        <v>1.02577399392356</v>
      </c>
      <c r="L41" s="36" t="n">
        <f aca="false">SQRT(J41^2+K41^2)</f>
        <v>1.78132935757617</v>
      </c>
      <c r="M41" s="47" t="n">
        <f aca="false">IF(G41="","",MAX(0,G41-1.96*L41/100))</f>
        <v>0.503504652832042</v>
      </c>
      <c r="N41" s="47" t="n">
        <f aca="false">IF(G41="","",MIN(1,G41+1.96*L41/100))</f>
        <v>0.573332763649027</v>
      </c>
      <c r="O41" s="66" t="n">
        <f aca="false">ROUND(S41*W41,0)</f>
        <v>262</v>
      </c>
      <c r="P41" s="66" t="n">
        <f aca="false">IF(F41="","",ROUND(SQRT((F41*L41/100)^2+(G41*O41)^2),0))</f>
        <v>171</v>
      </c>
      <c r="R41" s="67" t="n">
        <v>11.3984218019487</v>
      </c>
      <c r="S41" s="68" t="n">
        <f aca="false">U41*V41*$F$5</f>
        <v>5388.18679314119</v>
      </c>
      <c r="T41" s="69" t="n">
        <f aca="false">MAX(0,MIN(1,R41/100+$D$5))</f>
        <v>0.538417137680926</v>
      </c>
      <c r="U41" s="69" t="n">
        <v>0.618265839717865</v>
      </c>
      <c r="V41" s="68" t="n">
        <v>8715</v>
      </c>
      <c r="W41" s="69" t="n">
        <v>0.0485820274397165</v>
      </c>
      <c r="X41" s="70" t="s">
        <v>214</v>
      </c>
      <c r="Y41" s="70" t="s">
        <v>194</v>
      </c>
    </row>
    <row r="42" customFormat="false" ht="15" hidden="false" customHeight="false" outlineLevel="0" collapsed="false">
      <c r="A42" s="32" t="s">
        <v>219</v>
      </c>
      <c r="B42" s="32" t="s">
        <v>227</v>
      </c>
      <c r="C42" s="32" t="s">
        <v>191</v>
      </c>
      <c r="D42" s="66" t="n">
        <f aca="false">ROUND(S42*T42,0)</f>
        <v>1066</v>
      </c>
      <c r="E42" s="66" t="n">
        <f aca="false">ROUND(S42,0)-D42</f>
        <v>539</v>
      </c>
      <c r="F42" s="66" t="n">
        <f aca="false">IF(COUNTA(D42:E42)=0,"",SUM(D42:E42))</f>
        <v>1605</v>
      </c>
      <c r="G42" s="47" t="n">
        <f aca="false">IF(OR(F42="",F42=0),"",D42/F42)</f>
        <v>0.66417445482866</v>
      </c>
      <c r="H42" s="47" t="n">
        <f aca="false">IF(OR(F42="",F42=0),"",E42/F42)</f>
        <v>0.33582554517134</v>
      </c>
      <c r="I42" s="32" t="s">
        <v>192</v>
      </c>
      <c r="J42" s="36" t="n">
        <v>1.44715751761421</v>
      </c>
      <c r="K42" s="36" t="n">
        <f aca="false">$K$8</f>
        <v>1.02577399392356</v>
      </c>
      <c r="L42" s="36" t="n">
        <f aca="false">SQRT(J42^2+K42^2)</f>
        <v>1.77383121164253</v>
      </c>
      <c r="M42" s="47" t="n">
        <f aca="false">IF(G42="","",MAX(0,G42-1.96*L42/100))</f>
        <v>0.629407363080467</v>
      </c>
      <c r="N42" s="47" t="n">
        <f aca="false">IF(G42="","",MIN(1,G42+1.96*L42/100))</f>
        <v>0.698941546576854</v>
      </c>
      <c r="O42" s="66" t="n">
        <f aca="false">ROUND(S42*W42,0)</f>
        <v>88</v>
      </c>
      <c r="P42" s="66" t="n">
        <f aca="false">IF(F42="","",ROUND(SQRT((F42*L42/100)^2+(G42*O42)^2),0))</f>
        <v>65</v>
      </c>
      <c r="R42" s="67" t="n">
        <v>23.9720210094564</v>
      </c>
      <c r="S42" s="68" t="n">
        <f aca="false">U42*V42*$F$5</f>
        <v>1605.4392182842</v>
      </c>
      <c r="T42" s="69" t="n">
        <f aca="false">MAX(0,MIN(1,R42/100+$D$5))</f>
        <v>0.664153129756003</v>
      </c>
      <c r="U42" s="69" t="n">
        <v>0.513083802583637</v>
      </c>
      <c r="V42" s="68" t="n">
        <v>3129</v>
      </c>
      <c r="W42" s="69" t="n">
        <v>0.0547268472736556</v>
      </c>
      <c r="X42" s="70" t="s">
        <v>198</v>
      </c>
      <c r="Y42" s="70" t="s">
        <v>194</v>
      </c>
    </row>
    <row r="43" customFormat="false" ht="15" hidden="false" customHeight="false" outlineLevel="0" collapsed="false">
      <c r="A43" s="32" t="s">
        <v>219</v>
      </c>
      <c r="B43" s="32" t="s">
        <v>228</v>
      </c>
      <c r="C43" s="32" t="s">
        <v>191</v>
      </c>
      <c r="D43" s="66" t="n">
        <f aca="false">ROUND(S43*T43,0)</f>
        <v>259</v>
      </c>
      <c r="E43" s="66" t="n">
        <f aca="false">ROUND(S43,0)-D43</f>
        <v>225</v>
      </c>
      <c r="F43" s="66" t="n">
        <f aca="false">IF(COUNTA(D43:E43)=0,"",SUM(D43:E43))</f>
        <v>484</v>
      </c>
      <c r="G43" s="47" t="n">
        <f aca="false">IF(OR(F43="",F43=0),"",D43/F43)</f>
        <v>0.535123966942149</v>
      </c>
      <c r="H43" s="47" t="n">
        <f aca="false">IF(OR(F43="",F43=0),"",E43/F43)</f>
        <v>0.464876033057851</v>
      </c>
      <c r="I43" s="32" t="s">
        <v>192</v>
      </c>
      <c r="J43" s="36" t="n">
        <v>2.60296228516591</v>
      </c>
      <c r="K43" s="36" t="n">
        <f aca="false">$K$8</f>
        <v>1.02577399392356</v>
      </c>
      <c r="L43" s="36" t="n">
        <f aca="false">SQRT(J43^2+K43^2)</f>
        <v>2.79778929596316</v>
      </c>
      <c r="M43" s="47" t="n">
        <f aca="false">IF(G43="","",MAX(0,G43-1.96*L43/100))</f>
        <v>0.480287296741271</v>
      </c>
      <c r="N43" s="47" t="n">
        <f aca="false">IF(G43="","",MIN(1,G43+1.96*L43/100))</f>
        <v>0.589960637143027</v>
      </c>
      <c r="O43" s="66" t="n">
        <f aca="false">ROUND(S43*W43,0)</f>
        <v>35</v>
      </c>
      <c r="P43" s="66" t="n">
        <f aca="false">IF(F43="","",ROUND(SQRT((F43*L43/100)^2+(G43*O43)^2),0))</f>
        <v>23</v>
      </c>
      <c r="R43" s="67" t="n">
        <v>10.991685786523</v>
      </c>
      <c r="S43" s="68" t="n">
        <f aca="false">U43*V43*$F$5</f>
        <v>483.913480885312</v>
      </c>
      <c r="T43" s="69" t="n">
        <f aca="false">MAX(0,MIN(1,R43/100+$D$5))</f>
        <v>0.53434977752667</v>
      </c>
      <c r="U43" s="69" t="n">
        <v>0.469818913480885</v>
      </c>
      <c r="V43" s="68" t="n">
        <v>1030</v>
      </c>
      <c r="W43" s="69" t="n">
        <v>0.0732058935918866</v>
      </c>
      <c r="X43" s="70" t="s">
        <v>193</v>
      </c>
      <c r="Y43" s="70" t="s">
        <v>194</v>
      </c>
    </row>
    <row r="44" customFormat="false" ht="15" hidden="false" customHeight="false" outlineLevel="0" collapsed="false">
      <c r="A44" s="32" t="s">
        <v>219</v>
      </c>
      <c r="B44" s="32" t="s">
        <v>229</v>
      </c>
      <c r="C44" s="32" t="s">
        <v>191</v>
      </c>
      <c r="D44" s="66" t="n">
        <f aca="false">ROUND(S44*T44,0)</f>
        <v>531</v>
      </c>
      <c r="E44" s="66" t="n">
        <f aca="false">ROUND(S44,0)-D44</f>
        <v>1126</v>
      </c>
      <c r="F44" s="66" t="n">
        <f aca="false">IF(COUNTA(D44:E44)=0,"",SUM(D44:E44))</f>
        <v>1657</v>
      </c>
      <c r="G44" s="47" t="n">
        <f aca="false">IF(OR(F44="",F44=0),"",D44/F44)</f>
        <v>0.32045866022933</v>
      </c>
      <c r="H44" s="47" t="n">
        <f aca="false">IF(OR(F44="",F44=0),"",E44/F44)</f>
        <v>0.67954133977067</v>
      </c>
      <c r="I44" s="32" t="s">
        <v>192</v>
      </c>
      <c r="J44" s="36" t="n">
        <v>1.44715751761421</v>
      </c>
      <c r="K44" s="36" t="n">
        <f aca="false">$K$8</f>
        <v>1.02577399392356</v>
      </c>
      <c r="L44" s="36" t="n">
        <f aca="false">SQRT(J44^2+K44^2)</f>
        <v>1.77383121164253</v>
      </c>
      <c r="M44" s="47" t="n">
        <f aca="false">IF(G44="","",MAX(0,G44-1.96*L44/100))</f>
        <v>0.285691568481136</v>
      </c>
      <c r="N44" s="47" t="n">
        <f aca="false">IF(G44="","",MIN(1,G44+1.96*L44/100))</f>
        <v>0.355225751977524</v>
      </c>
      <c r="O44" s="66" t="n">
        <f aca="false">ROUND(S44*W44,0)</f>
        <v>91</v>
      </c>
      <c r="P44" s="66" t="n">
        <f aca="false">IF(F44="","",ROUND(SQRT((F44*L44/100)^2+(G44*O44)^2),0))</f>
        <v>41</v>
      </c>
      <c r="R44" s="67" t="n">
        <v>-10.3816040917491</v>
      </c>
      <c r="S44" s="68" t="n">
        <f aca="false">U44*V44*$F$5</f>
        <v>1656.73758865248</v>
      </c>
      <c r="T44" s="69" t="n">
        <f aca="false">MAX(0,MIN(1,R44/100+$D$5))</f>
        <v>0.320616878743948</v>
      </c>
      <c r="U44" s="69" t="n">
        <v>0.66750104297038</v>
      </c>
      <c r="V44" s="68" t="n">
        <v>2482</v>
      </c>
      <c r="W44" s="69" t="n">
        <v>0.0547268472736556</v>
      </c>
      <c r="X44" s="70" t="s">
        <v>198</v>
      </c>
      <c r="Y44" s="70" t="s">
        <v>194</v>
      </c>
    </row>
    <row r="45" customFormat="false" ht="15" hidden="false" customHeight="false" outlineLevel="0" collapsed="false">
      <c r="A45" s="32" t="s">
        <v>219</v>
      </c>
      <c r="B45" s="32" t="s">
        <v>230</v>
      </c>
      <c r="C45" s="32" t="s">
        <v>191</v>
      </c>
      <c r="D45" s="66" t="n">
        <f aca="false">ROUND(S45*T45,0)</f>
        <v>8175</v>
      </c>
      <c r="E45" s="66" t="n">
        <f aca="false">ROUND(S45,0)-D45</f>
        <v>8160</v>
      </c>
      <c r="F45" s="66" t="n">
        <f aca="false">IF(COUNTA(D45:E45)=0,"",SUM(D45:E45))</f>
        <v>16335</v>
      </c>
      <c r="G45" s="47" t="n">
        <f aca="false">IF(OR(F45="",F45=0),"",D45/F45)</f>
        <v>0.500459136822773</v>
      </c>
      <c r="H45" s="47" t="n">
        <f aca="false">IF(OR(F45="",F45=0),"",E45/F45)</f>
        <v>0.499540863177227</v>
      </c>
      <c r="I45" s="32" t="s">
        <v>192</v>
      </c>
      <c r="J45" s="36" t="n">
        <v>1.45633855732547</v>
      </c>
      <c r="K45" s="36" t="n">
        <f aca="false">$K$8</f>
        <v>1.02577399392356</v>
      </c>
      <c r="L45" s="36" t="n">
        <f aca="false">SQRT(J45^2+K45^2)</f>
        <v>1.78132935757617</v>
      </c>
      <c r="M45" s="47" t="n">
        <f aca="false">IF(G45="","",MAX(0,G45-1.96*L45/100))</f>
        <v>0.46554508141428</v>
      </c>
      <c r="N45" s="47" t="n">
        <f aca="false">IF(G45="","",MIN(1,G45+1.96*L45/100))</f>
        <v>0.535373192231266</v>
      </c>
      <c r="O45" s="66" t="n">
        <f aca="false">ROUND(S45*W45,0)</f>
        <v>794</v>
      </c>
      <c r="P45" s="66" t="n">
        <f aca="false">IF(F45="","",ROUND(SQRT((F45*L45/100)^2+(G45*O45)^2),0))</f>
        <v>493</v>
      </c>
      <c r="R45" s="67" t="n">
        <v>7.60420950356911</v>
      </c>
      <c r="S45" s="68" t="n">
        <f aca="false">U45*V45*$F$5</f>
        <v>16334.7109624891</v>
      </c>
      <c r="T45" s="69" t="n">
        <f aca="false">MAX(0,MIN(1,R45/100+$D$5))</f>
        <v>0.50047501469713</v>
      </c>
      <c r="U45" s="69" t="n">
        <v>0.662692643210236</v>
      </c>
      <c r="V45" s="68" t="n">
        <v>24649</v>
      </c>
      <c r="W45" s="69" t="n">
        <v>0.0485820274397165</v>
      </c>
      <c r="X45" s="70" t="s">
        <v>214</v>
      </c>
      <c r="Y45" s="70" t="s">
        <v>194</v>
      </c>
    </row>
    <row r="46" customFormat="false" ht="15" hidden="false" customHeight="false" outlineLevel="0" collapsed="false">
      <c r="A46" s="32" t="s">
        <v>219</v>
      </c>
      <c r="B46" s="32" t="s">
        <v>231</v>
      </c>
      <c r="C46" s="32" t="s">
        <v>191</v>
      </c>
      <c r="D46" s="66" t="n">
        <f aca="false">ROUND(S46*T46,0)</f>
        <v>851</v>
      </c>
      <c r="E46" s="66" t="n">
        <f aca="false">ROUND(S46,0)-D46</f>
        <v>1353</v>
      </c>
      <c r="F46" s="66" t="n">
        <f aca="false">IF(COUNTA(D46:E46)=0,"",SUM(D46:E46))</f>
        <v>2204</v>
      </c>
      <c r="G46" s="47" t="n">
        <f aca="false">IF(OR(F46="",F46=0),"",D46/F46)</f>
        <v>0.386116152450091</v>
      </c>
      <c r="H46" s="47" t="n">
        <f aca="false">IF(OR(F46="",F46=0),"",E46/F46)</f>
        <v>0.613883847549909</v>
      </c>
      <c r="I46" s="32" t="s">
        <v>192</v>
      </c>
      <c r="J46" s="36" t="n">
        <v>1.44715751761421</v>
      </c>
      <c r="K46" s="36" t="n">
        <f aca="false">$K$8</f>
        <v>1.02577399392356</v>
      </c>
      <c r="L46" s="36" t="n">
        <f aca="false">SQRT(J46^2+K46^2)</f>
        <v>1.77383121164253</v>
      </c>
      <c r="M46" s="47" t="n">
        <f aca="false">IF(G46="","",MAX(0,G46-1.96*L46/100))</f>
        <v>0.351349060701897</v>
      </c>
      <c r="N46" s="47" t="n">
        <f aca="false">IF(G46="","",MIN(1,G46+1.96*L46/100))</f>
        <v>0.420883244198284</v>
      </c>
      <c r="O46" s="66" t="n">
        <f aca="false">ROUND(S46*W46,0)</f>
        <v>121</v>
      </c>
      <c r="P46" s="66" t="n">
        <f aca="false">IF(F46="","",ROUND(SQRT((F46*L46/100)^2+(G46*O46)^2),0))</f>
        <v>61</v>
      </c>
      <c r="R46" s="67" t="n">
        <v>-3.85252747320347</v>
      </c>
      <c r="S46" s="68" t="n">
        <f aca="false">U46*V46*$F$5</f>
        <v>2204.10505319149</v>
      </c>
      <c r="T46" s="69" t="n">
        <f aca="false">MAX(0,MIN(1,R46/100+$D$5))</f>
        <v>0.385907644929404</v>
      </c>
      <c r="U46" s="69" t="n">
        <v>0.718417553191489</v>
      </c>
      <c r="V46" s="68" t="n">
        <v>3068</v>
      </c>
      <c r="W46" s="69" t="n">
        <v>0.0547268472736556</v>
      </c>
      <c r="X46" s="70" t="s">
        <v>198</v>
      </c>
      <c r="Y46" s="70" t="s">
        <v>194</v>
      </c>
    </row>
    <row r="47" customFormat="false" ht="15" hidden="false" customHeight="false" outlineLevel="0" collapsed="false">
      <c r="A47" s="32" t="s">
        <v>219</v>
      </c>
      <c r="B47" s="32" t="s">
        <v>232</v>
      </c>
      <c r="C47" s="32" t="s">
        <v>191</v>
      </c>
      <c r="D47" s="66" t="n">
        <f aca="false">ROUND(S47*T47,0)</f>
        <v>446</v>
      </c>
      <c r="E47" s="66" t="n">
        <f aca="false">ROUND(S47,0)-D47</f>
        <v>791</v>
      </c>
      <c r="F47" s="66" t="n">
        <f aca="false">IF(COUNTA(D47:E47)=0,"",SUM(D47:E47))</f>
        <v>1237</v>
      </c>
      <c r="G47" s="47" t="n">
        <f aca="false">IF(OR(F47="",F47=0),"",D47/F47)</f>
        <v>0.360549717057397</v>
      </c>
      <c r="H47" s="47" t="n">
        <f aca="false">IF(OR(F47="",F47=0),"",E47/F47)</f>
        <v>0.639450282942603</v>
      </c>
      <c r="I47" s="32" t="s">
        <v>192</v>
      </c>
      <c r="J47" s="36" t="n">
        <v>2.60296228516591</v>
      </c>
      <c r="K47" s="36" t="n">
        <f aca="false">$K$8</f>
        <v>1.02577399392356</v>
      </c>
      <c r="L47" s="36" t="n">
        <f aca="false">SQRT(J47^2+K47^2)</f>
        <v>2.79778929596316</v>
      </c>
      <c r="M47" s="47" t="n">
        <f aca="false">IF(G47="","",MAX(0,G47-1.96*L47/100))</f>
        <v>0.305713046856519</v>
      </c>
      <c r="N47" s="47" t="n">
        <f aca="false">IF(G47="","",MIN(1,G47+1.96*L47/100))</f>
        <v>0.415386387258275</v>
      </c>
      <c r="O47" s="66" t="n">
        <f aca="false">ROUND(S47*W47,0)</f>
        <v>91</v>
      </c>
      <c r="P47" s="66" t="n">
        <f aca="false">IF(F47="","",ROUND(SQRT((F47*L47/100)^2+(G47*O47)^2),0))</f>
        <v>48</v>
      </c>
      <c r="R47" s="67" t="n">
        <v>-6.37537955361391</v>
      </c>
      <c r="S47" s="68" t="n">
        <f aca="false">U47*V47*$F$5</f>
        <v>1236.97340124505</v>
      </c>
      <c r="T47" s="69" t="n">
        <f aca="false">MAX(0,MIN(1,R47/100+$D$5))</f>
        <v>0.3606791241253</v>
      </c>
      <c r="U47" s="69" t="n">
        <v>0.688737973967176</v>
      </c>
      <c r="V47" s="68" t="n">
        <v>1796</v>
      </c>
      <c r="W47" s="69" t="n">
        <v>0.0732058935918866</v>
      </c>
      <c r="X47" s="70" t="s">
        <v>193</v>
      </c>
      <c r="Y47" s="70" t="s">
        <v>194</v>
      </c>
    </row>
    <row r="48" customFormat="false" ht="15" hidden="false" customHeight="false" outlineLevel="0" collapsed="false">
      <c r="A48" s="32" t="s">
        <v>219</v>
      </c>
      <c r="B48" s="32" t="s">
        <v>233</v>
      </c>
      <c r="C48" s="32" t="s">
        <v>191</v>
      </c>
      <c r="D48" s="66" t="n">
        <f aca="false">ROUND(S48*T48,0)</f>
        <v>702</v>
      </c>
      <c r="E48" s="66" t="n">
        <f aca="false">ROUND(S48,0)-D48</f>
        <v>1490</v>
      </c>
      <c r="F48" s="66" t="n">
        <f aca="false">IF(COUNTA(D48:E48)=0,"",SUM(D48:E48))</f>
        <v>2192</v>
      </c>
      <c r="G48" s="47" t="n">
        <f aca="false">IF(OR(F48="",F48=0),"",D48/F48)</f>
        <v>0.320255474452555</v>
      </c>
      <c r="H48" s="47" t="n">
        <f aca="false">IF(OR(F48="",F48=0),"",E48/F48)</f>
        <v>0.679744525547445</v>
      </c>
      <c r="I48" s="32" t="s">
        <v>192</v>
      </c>
      <c r="J48" s="36" t="n">
        <v>1.44715751761421</v>
      </c>
      <c r="K48" s="36" t="n">
        <f aca="false">$K$8</f>
        <v>1.02577399392356</v>
      </c>
      <c r="L48" s="36" t="n">
        <f aca="false">SQRT(J48^2+K48^2)</f>
        <v>1.77383121164253</v>
      </c>
      <c r="M48" s="47" t="n">
        <f aca="false">IF(G48="","",MAX(0,G48-1.96*L48/100))</f>
        <v>0.285488382704361</v>
      </c>
      <c r="N48" s="47" t="n">
        <f aca="false">IF(G48="","",MIN(1,G48+1.96*L48/100))</f>
        <v>0.355022566200748</v>
      </c>
      <c r="O48" s="66" t="n">
        <f aca="false">ROUND(S48*W48,0)</f>
        <v>120</v>
      </c>
      <c r="P48" s="66" t="n">
        <f aca="false">IF(F48="","",ROUND(SQRT((F48*L48/100)^2+(G48*O48)^2),0))</f>
        <v>55</v>
      </c>
      <c r="R48" s="67" t="n">
        <v>-10.4299502750135</v>
      </c>
      <c r="S48" s="68" t="n">
        <f aca="false">U48*V48*$F$5</f>
        <v>2191.88036117382</v>
      </c>
      <c r="T48" s="69" t="n">
        <f aca="false">MAX(0,MIN(1,R48/100+$D$5))</f>
        <v>0.320133416911304</v>
      </c>
      <c r="U48" s="69" t="n">
        <v>0.694292163818123</v>
      </c>
      <c r="V48" s="68" t="n">
        <v>3157</v>
      </c>
      <c r="W48" s="69" t="n">
        <v>0.0547268472736556</v>
      </c>
      <c r="X48" s="70" t="s">
        <v>198</v>
      </c>
      <c r="Y48" s="70" t="s">
        <v>194</v>
      </c>
    </row>
    <row r="49" customFormat="false" ht="15" hidden="false" customHeight="false" outlineLevel="0" collapsed="false">
      <c r="A49" s="32" t="s">
        <v>219</v>
      </c>
      <c r="B49" s="32" t="s">
        <v>234</v>
      </c>
      <c r="C49" s="32" t="s">
        <v>191</v>
      </c>
      <c r="D49" s="66" t="n">
        <f aca="false">ROUND(S49*T49,0)</f>
        <v>814</v>
      </c>
      <c r="E49" s="66" t="n">
        <f aca="false">ROUND(S49,0)-D49</f>
        <v>699</v>
      </c>
      <c r="F49" s="66" t="n">
        <f aca="false">IF(COUNTA(D49:E49)=0,"",SUM(D49:E49))</f>
        <v>1513</v>
      </c>
      <c r="G49" s="47" t="n">
        <f aca="false">IF(OR(F49="",F49=0),"",D49/F49)</f>
        <v>0.538003965631196</v>
      </c>
      <c r="H49" s="47" t="n">
        <f aca="false">IF(OR(F49="",F49=0),"",E49/F49)</f>
        <v>0.461996034368804</v>
      </c>
      <c r="I49" s="32" t="s">
        <v>192</v>
      </c>
      <c r="J49" s="36" t="n">
        <v>1.44715751761421</v>
      </c>
      <c r="K49" s="36" t="n">
        <f aca="false">$K$8</f>
        <v>1.02577399392356</v>
      </c>
      <c r="L49" s="36" t="n">
        <f aca="false">SQRT(J49^2+K49^2)</f>
        <v>1.77383121164253</v>
      </c>
      <c r="M49" s="47" t="n">
        <f aca="false">IF(G49="","",MAX(0,G49-1.96*L49/100))</f>
        <v>0.503236873883003</v>
      </c>
      <c r="N49" s="47" t="n">
        <f aca="false">IF(G49="","",MIN(1,G49+1.96*L49/100))</f>
        <v>0.57277105737939</v>
      </c>
      <c r="O49" s="66" t="n">
        <f aca="false">ROUND(S49*W49,0)</f>
        <v>83</v>
      </c>
      <c r="P49" s="66" t="n">
        <f aca="false">IF(F49="","",ROUND(SQRT((F49*L49/100)^2+(G49*O49)^2),0))</f>
        <v>52</v>
      </c>
      <c r="R49" s="67" t="n">
        <v>11.3625276840043</v>
      </c>
      <c r="S49" s="68" t="n">
        <f aca="false">U49*V49*$F$5</f>
        <v>1512.74151436031</v>
      </c>
      <c r="T49" s="69" t="n">
        <f aca="false">MAX(0,MIN(1,R49/100+$D$5))</f>
        <v>0.538058196501482</v>
      </c>
      <c r="U49" s="69" t="n">
        <v>0.616187989556136</v>
      </c>
      <c r="V49" s="68" t="n">
        <v>2455</v>
      </c>
      <c r="W49" s="69" t="n">
        <v>0.0547268472736556</v>
      </c>
      <c r="X49" s="70" t="s">
        <v>198</v>
      </c>
      <c r="Y49" s="70" t="s">
        <v>194</v>
      </c>
    </row>
    <row r="50" customFormat="false" ht="15" hidden="false" customHeight="false" outlineLevel="0" collapsed="false">
      <c r="A50" s="32" t="s">
        <v>219</v>
      </c>
      <c r="B50" s="32" t="s">
        <v>235</v>
      </c>
      <c r="C50" s="32" t="s">
        <v>191</v>
      </c>
      <c r="D50" s="66" t="n">
        <f aca="false">ROUND(S50*T50,0)</f>
        <v>3201</v>
      </c>
      <c r="E50" s="66" t="n">
        <f aca="false">ROUND(S50,0)-D50</f>
        <v>4696</v>
      </c>
      <c r="F50" s="66" t="n">
        <f aca="false">IF(COUNTA(D50:E50)=0,"",SUM(D50:E50))</f>
        <v>7897</v>
      </c>
      <c r="G50" s="47" t="n">
        <f aca="false">IF(OR(F50="",F50=0),"",D50/F50)</f>
        <v>0.405343801443586</v>
      </c>
      <c r="H50" s="47" t="n">
        <f aca="false">IF(OR(F50="",F50=0),"",E50/F50)</f>
        <v>0.594656198556414</v>
      </c>
      <c r="I50" s="32" t="s">
        <v>192</v>
      </c>
      <c r="J50" s="36" t="n">
        <v>1.45633855732547</v>
      </c>
      <c r="K50" s="36" t="n">
        <f aca="false">$K$8</f>
        <v>1.02577399392356</v>
      </c>
      <c r="L50" s="36" t="n">
        <f aca="false">SQRT(J50^2+K50^2)</f>
        <v>1.78132935757617</v>
      </c>
      <c r="M50" s="47" t="n">
        <f aca="false">IF(G50="","",MAX(0,G50-1.96*L50/100))</f>
        <v>0.370429746035093</v>
      </c>
      <c r="N50" s="47" t="n">
        <f aca="false">IF(G50="","",MIN(1,G50+1.96*L50/100))</f>
        <v>0.440257856852079</v>
      </c>
      <c r="O50" s="66" t="n">
        <f aca="false">ROUND(S50*W50,0)</f>
        <v>384</v>
      </c>
      <c r="P50" s="66" t="n">
        <f aca="false">IF(F50="","",ROUND(SQRT((F50*L50/100)^2+(G50*O50)^2),0))</f>
        <v>210</v>
      </c>
      <c r="R50" s="67" t="n">
        <v>-1.90123624023525</v>
      </c>
      <c r="S50" s="68" t="n">
        <f aca="false">U50*V50*$F$5</f>
        <v>7896.5113304721</v>
      </c>
      <c r="T50" s="69" t="n">
        <f aca="false">MAX(0,MIN(1,R50/100+$D$5))</f>
        <v>0.405420557259087</v>
      </c>
      <c r="U50" s="69" t="n">
        <v>0.662403433476395</v>
      </c>
      <c r="V50" s="68" t="n">
        <v>11921</v>
      </c>
      <c r="W50" s="69" t="n">
        <v>0.0485820274397165</v>
      </c>
      <c r="X50" s="70" t="s">
        <v>214</v>
      </c>
      <c r="Y50" s="70" t="s">
        <v>194</v>
      </c>
    </row>
    <row r="51" customFormat="false" ht="15" hidden="false" customHeight="false" outlineLevel="0" collapsed="false">
      <c r="A51" s="32" t="s">
        <v>219</v>
      </c>
      <c r="B51" s="32" t="s">
        <v>236</v>
      </c>
      <c r="C51" s="32" t="s">
        <v>191</v>
      </c>
      <c r="D51" s="66" t="n">
        <f aca="false">ROUND(S51*T51,0)</f>
        <v>3164</v>
      </c>
      <c r="E51" s="66" t="n">
        <f aca="false">ROUND(S51,0)-D51</f>
        <v>3266</v>
      </c>
      <c r="F51" s="66" t="n">
        <f aca="false">IF(COUNTA(D51:E51)=0,"",SUM(D51:E51))</f>
        <v>6430</v>
      </c>
      <c r="G51" s="47" t="n">
        <f aca="false">IF(OR(F51="",F51=0),"",D51/F51)</f>
        <v>0.492068429237947</v>
      </c>
      <c r="H51" s="47" t="n">
        <f aca="false">IF(OR(F51="",F51=0),"",E51/F51)</f>
        <v>0.507931570762053</v>
      </c>
      <c r="I51" s="32" t="s">
        <v>192</v>
      </c>
      <c r="J51" s="36" t="n">
        <v>1.45633855732547</v>
      </c>
      <c r="K51" s="36" t="n">
        <f aca="false">$K$8</f>
        <v>1.02577399392356</v>
      </c>
      <c r="L51" s="36" t="n">
        <f aca="false">SQRT(J51^2+K51^2)</f>
        <v>1.78132935757617</v>
      </c>
      <c r="M51" s="47" t="n">
        <f aca="false">IF(G51="","",MAX(0,G51-1.96*L51/100))</f>
        <v>0.457154373829454</v>
      </c>
      <c r="N51" s="47" t="n">
        <f aca="false">IF(G51="","",MIN(1,G51+1.96*L51/100))</f>
        <v>0.52698248464644</v>
      </c>
      <c r="O51" s="66" t="n">
        <f aca="false">ROUND(S51*W51,0)</f>
        <v>312</v>
      </c>
      <c r="P51" s="66" t="n">
        <f aca="false">IF(F51="","",ROUND(SQRT((F51*L51/100)^2+(G51*O51)^2),0))</f>
        <v>192</v>
      </c>
      <c r="R51" s="67" t="n">
        <v>6.75653182273624</v>
      </c>
      <c r="S51" s="68" t="n">
        <f aca="false">U51*V51*$F$5</f>
        <v>6429.9709076009</v>
      </c>
      <c r="T51" s="69" t="n">
        <f aca="false">MAX(0,MIN(1,R51/100+$D$5))</f>
        <v>0.491998237888802</v>
      </c>
      <c r="U51" s="69" t="n">
        <v>0.652325343167384</v>
      </c>
      <c r="V51" s="68" t="n">
        <v>9857</v>
      </c>
      <c r="W51" s="69" t="n">
        <v>0.0485820274397165</v>
      </c>
      <c r="X51" s="70" t="s">
        <v>214</v>
      </c>
      <c r="Y51" s="70" t="s">
        <v>194</v>
      </c>
    </row>
    <row r="52" customFormat="false" ht="15" hidden="false" customHeight="false" outlineLevel="0" collapsed="false">
      <c r="A52" s="32" t="s">
        <v>219</v>
      </c>
      <c r="B52" s="32" t="s">
        <v>237</v>
      </c>
      <c r="C52" s="32" t="s">
        <v>191</v>
      </c>
      <c r="D52" s="66" t="n">
        <f aca="false">ROUND(S52*T52,0)</f>
        <v>584</v>
      </c>
      <c r="E52" s="66" t="n">
        <f aca="false">ROUND(S52,0)-D52</f>
        <v>806</v>
      </c>
      <c r="F52" s="66" t="n">
        <f aca="false">IF(COUNTA(D52:E52)=0,"",SUM(D52:E52))</f>
        <v>1390</v>
      </c>
      <c r="G52" s="47" t="n">
        <f aca="false">IF(OR(F52="",F52=0),"",D52/F52)</f>
        <v>0.420143884892086</v>
      </c>
      <c r="H52" s="47" t="n">
        <f aca="false">IF(OR(F52="",F52=0),"",E52/F52)</f>
        <v>0.579856115107914</v>
      </c>
      <c r="I52" s="32" t="s">
        <v>192</v>
      </c>
      <c r="J52" s="36" t="n">
        <v>1.44715751761421</v>
      </c>
      <c r="K52" s="36" t="n">
        <f aca="false">$K$8</f>
        <v>1.02577399392356</v>
      </c>
      <c r="L52" s="36" t="n">
        <f aca="false">SQRT(J52^2+K52^2)</f>
        <v>1.77383121164253</v>
      </c>
      <c r="M52" s="47" t="n">
        <f aca="false">IF(G52="","",MAX(0,G52-1.96*L52/100))</f>
        <v>0.385376793143893</v>
      </c>
      <c r="N52" s="47" t="n">
        <f aca="false">IF(G52="","",MIN(1,G52+1.96*L52/100))</f>
        <v>0.45491097664028</v>
      </c>
      <c r="O52" s="66" t="n">
        <f aca="false">ROUND(S52*W52,0)</f>
        <v>76</v>
      </c>
      <c r="P52" s="66" t="n">
        <f aca="false">IF(F52="","",ROUND(SQRT((F52*L52/100)^2+(G52*O52)^2),0))</f>
        <v>40</v>
      </c>
      <c r="R52" s="67" t="n">
        <v>-0.435276400267411</v>
      </c>
      <c r="S52" s="68" t="n">
        <f aca="false">U52*V52*$F$5</f>
        <v>1390.15942028986</v>
      </c>
      <c r="T52" s="69" t="n">
        <f aca="false">MAX(0,MIN(1,R52/100+$D$5))</f>
        <v>0.420080155658765</v>
      </c>
      <c r="U52" s="69" t="n">
        <v>0.529181355268312</v>
      </c>
      <c r="V52" s="68" t="n">
        <v>2627</v>
      </c>
      <c r="W52" s="69" t="n">
        <v>0.0547268472736556</v>
      </c>
      <c r="X52" s="70" t="s">
        <v>198</v>
      </c>
      <c r="Y52" s="70" t="s">
        <v>194</v>
      </c>
    </row>
    <row r="53" customFormat="false" ht="15" hidden="false" customHeight="false" outlineLevel="0" collapsed="false">
      <c r="A53" s="32" t="s">
        <v>219</v>
      </c>
      <c r="B53" s="32" t="s">
        <v>238</v>
      </c>
      <c r="C53" s="32" t="s">
        <v>191</v>
      </c>
      <c r="D53" s="66" t="n">
        <f aca="false">ROUND(S53*T53,0)</f>
        <v>5627</v>
      </c>
      <c r="E53" s="66" t="n">
        <f aca="false">ROUND(S53,0)-D53</f>
        <v>4859</v>
      </c>
      <c r="F53" s="66" t="n">
        <f aca="false">IF(COUNTA(D53:E53)=0,"",SUM(D53:E53))</f>
        <v>10486</v>
      </c>
      <c r="G53" s="47" t="n">
        <f aca="false">IF(OR(F53="",F53=0),"",D53/F53)</f>
        <v>0.536620255578867</v>
      </c>
      <c r="H53" s="47" t="n">
        <f aca="false">IF(OR(F53="",F53=0),"",E53/F53)</f>
        <v>0.463379744421133</v>
      </c>
      <c r="I53" s="32" t="s">
        <v>192</v>
      </c>
      <c r="J53" s="36" t="n">
        <v>1.45633855732547</v>
      </c>
      <c r="K53" s="36" t="n">
        <f aca="false">$K$8</f>
        <v>1.02577399392356</v>
      </c>
      <c r="L53" s="36" t="n">
        <f aca="false">SQRT(J53^2+K53^2)</f>
        <v>1.78132935757617</v>
      </c>
      <c r="M53" s="47" t="n">
        <f aca="false">IF(G53="","",MAX(0,G53-1.96*L53/100))</f>
        <v>0.501706200170374</v>
      </c>
      <c r="N53" s="47" t="n">
        <f aca="false">IF(G53="","",MIN(1,G53+1.96*L53/100))</f>
        <v>0.57153431098736</v>
      </c>
      <c r="O53" s="66" t="n">
        <f aca="false">ROUND(S53*W53,0)</f>
        <v>509</v>
      </c>
      <c r="P53" s="66" t="n">
        <f aca="false">IF(F53="","",ROUND(SQRT((F53*L53/100)^2+(G53*O53)^2),0))</f>
        <v>331</v>
      </c>
      <c r="R53" s="67" t="n">
        <v>11.2192479942834</v>
      </c>
      <c r="S53" s="68" t="n">
        <f aca="false">U53*V53*$F$5</f>
        <v>10486.1559171025</v>
      </c>
      <c r="T53" s="69" t="n">
        <f aca="false">MAX(0,MIN(1,R53/100+$D$5))</f>
        <v>0.536625399604273</v>
      </c>
      <c r="U53" s="69" t="n">
        <v>0.653302343598683</v>
      </c>
      <c r="V53" s="68" t="n">
        <v>16051</v>
      </c>
      <c r="W53" s="69" t="n">
        <v>0.0485820274397165</v>
      </c>
      <c r="X53" s="70" t="s">
        <v>214</v>
      </c>
      <c r="Y53" s="70" t="s">
        <v>194</v>
      </c>
    </row>
    <row r="54" customFormat="false" ht="15" hidden="false" customHeight="false" outlineLevel="0" collapsed="false">
      <c r="A54" s="32" t="s">
        <v>219</v>
      </c>
      <c r="B54" s="32" t="s">
        <v>239</v>
      </c>
      <c r="C54" s="32" t="s">
        <v>191</v>
      </c>
      <c r="D54" s="66" t="n">
        <f aca="false">ROUND(S54*T54,0)</f>
        <v>6189</v>
      </c>
      <c r="E54" s="66" t="n">
        <f aca="false">ROUND(S54,0)-D54</f>
        <v>5841</v>
      </c>
      <c r="F54" s="66" t="n">
        <f aca="false">IF(COUNTA(D54:E54)=0,"",SUM(D54:E54))</f>
        <v>12030</v>
      </c>
      <c r="G54" s="47" t="n">
        <f aca="false">IF(OR(F54="",F54=0),"",D54/F54)</f>
        <v>0.514463840399003</v>
      </c>
      <c r="H54" s="47" t="n">
        <f aca="false">IF(OR(F54="",F54=0),"",E54/F54)</f>
        <v>0.485536159600998</v>
      </c>
      <c r="I54" s="32" t="s">
        <v>192</v>
      </c>
      <c r="J54" s="36" t="n">
        <v>1.45633855732547</v>
      </c>
      <c r="K54" s="36" t="n">
        <f aca="false">$K$8</f>
        <v>1.02577399392356</v>
      </c>
      <c r="L54" s="36" t="n">
        <f aca="false">SQRT(J54^2+K54^2)</f>
        <v>1.78132935757617</v>
      </c>
      <c r="M54" s="47" t="n">
        <f aca="false">IF(G54="","",MAX(0,G54-1.96*L54/100))</f>
        <v>0.47954978499051</v>
      </c>
      <c r="N54" s="47" t="n">
        <f aca="false">IF(G54="","",MIN(1,G54+1.96*L54/100))</f>
        <v>0.549377895807495</v>
      </c>
      <c r="O54" s="66" t="n">
        <f aca="false">ROUND(S54*W54,0)</f>
        <v>584</v>
      </c>
      <c r="P54" s="66" t="n">
        <f aca="false">IF(F54="","",ROUND(SQRT((F54*L54/100)^2+(G54*O54)^2),0))</f>
        <v>369</v>
      </c>
      <c r="R54" s="67" t="n">
        <v>9.00440495055405</v>
      </c>
      <c r="S54" s="68" t="n">
        <f aca="false">U54*V54*$F$5</f>
        <v>12030.3346699902</v>
      </c>
      <c r="T54" s="69" t="n">
        <f aca="false">MAX(0,MIN(1,R54/100+$D$5))</f>
        <v>0.51447696916698</v>
      </c>
      <c r="U54" s="69" t="n">
        <v>0.610490950471443</v>
      </c>
      <c r="V54" s="68" t="n">
        <v>19706</v>
      </c>
      <c r="W54" s="69" t="n">
        <v>0.0485820274397165</v>
      </c>
      <c r="X54" s="70" t="s">
        <v>214</v>
      </c>
      <c r="Y54" s="70" t="s">
        <v>194</v>
      </c>
    </row>
    <row r="55" customFormat="false" ht="15" hidden="false" customHeight="false" outlineLevel="0" collapsed="false">
      <c r="A55" s="32" t="s">
        <v>219</v>
      </c>
      <c r="B55" s="32" t="s">
        <v>240</v>
      </c>
      <c r="C55" s="32" t="s">
        <v>191</v>
      </c>
      <c r="D55" s="66" t="n">
        <f aca="false">ROUND(S55*T55,0)</f>
        <v>1988</v>
      </c>
      <c r="E55" s="66" t="n">
        <f aca="false">ROUND(S55,0)-D55</f>
        <v>2626</v>
      </c>
      <c r="F55" s="66" t="n">
        <f aca="false">IF(COUNTA(D55:E55)=0,"",SUM(D55:E55))</f>
        <v>4614</v>
      </c>
      <c r="G55" s="47" t="n">
        <f aca="false">IF(OR(F55="",F55=0),"",D55/F55)</f>
        <v>0.430862592110967</v>
      </c>
      <c r="H55" s="47" t="n">
        <f aca="false">IF(OR(F55="",F55=0),"",E55/F55)</f>
        <v>0.569137407889033</v>
      </c>
      <c r="I55" s="32" t="s">
        <v>192</v>
      </c>
      <c r="J55" s="36" t="n">
        <v>1.45633855732547</v>
      </c>
      <c r="K55" s="36" t="n">
        <f aca="false">$K$8</f>
        <v>1.02577399392356</v>
      </c>
      <c r="L55" s="36" t="n">
        <f aca="false">SQRT(J55^2+K55^2)</f>
        <v>1.78132935757617</v>
      </c>
      <c r="M55" s="47" t="n">
        <f aca="false">IF(G55="","",MAX(0,G55-1.96*L55/100))</f>
        <v>0.395948536702474</v>
      </c>
      <c r="N55" s="47" t="n">
        <f aca="false">IF(G55="","",MIN(1,G55+1.96*L55/100))</f>
        <v>0.465776647519459</v>
      </c>
      <c r="O55" s="66" t="n">
        <f aca="false">ROUND(S55*W55,0)</f>
        <v>224</v>
      </c>
      <c r="P55" s="66" t="n">
        <f aca="false">IF(F55="","",ROUND(SQRT((F55*L55/100)^2+(G55*O55)^2),0))</f>
        <v>127</v>
      </c>
      <c r="R55" s="67" t="n">
        <v>0.638471432219415</v>
      </c>
      <c r="S55" s="68" t="n">
        <f aca="false">U55*V55*$F$5</f>
        <v>4613.50991276765</v>
      </c>
      <c r="T55" s="69" t="n">
        <f aca="false">MAX(0,MIN(1,R55/100+$D$5))</f>
        <v>0.430817633983633</v>
      </c>
      <c r="U55" s="69" t="n">
        <v>0.71086439333862</v>
      </c>
      <c r="V55" s="68" t="n">
        <v>6490</v>
      </c>
      <c r="W55" s="69" t="n">
        <v>0.0485820274397165</v>
      </c>
      <c r="X55" s="70" t="s">
        <v>214</v>
      </c>
      <c r="Y55" s="70" t="s">
        <v>194</v>
      </c>
    </row>
    <row r="56" customFormat="false" ht="15" hidden="false" customHeight="false" outlineLevel="0" collapsed="false">
      <c r="A56" s="32" t="s">
        <v>219</v>
      </c>
      <c r="B56" s="32" t="s">
        <v>241</v>
      </c>
      <c r="C56" s="32" t="s">
        <v>191</v>
      </c>
      <c r="D56" s="66" t="n">
        <f aca="false">ROUND(S56*T56,0)</f>
        <v>4584</v>
      </c>
      <c r="E56" s="66" t="n">
        <f aca="false">ROUND(S56,0)-D56</f>
        <v>4760</v>
      </c>
      <c r="F56" s="66" t="n">
        <f aca="false">IF(COUNTA(D56:E56)=0,"",SUM(D56:E56))</f>
        <v>9344</v>
      </c>
      <c r="G56" s="47" t="n">
        <f aca="false">IF(OR(F56="",F56=0),"",D56/F56)</f>
        <v>0.490582191780822</v>
      </c>
      <c r="H56" s="47" t="n">
        <f aca="false">IF(OR(F56="",F56=0),"",E56/F56)</f>
        <v>0.509417808219178</v>
      </c>
      <c r="I56" s="32" t="s">
        <v>192</v>
      </c>
      <c r="J56" s="36" t="n">
        <v>1.45633855732547</v>
      </c>
      <c r="K56" s="36" t="n">
        <f aca="false">$K$8</f>
        <v>1.02577399392356</v>
      </c>
      <c r="L56" s="36" t="n">
        <f aca="false">SQRT(J56^2+K56^2)</f>
        <v>1.78132935757617</v>
      </c>
      <c r="M56" s="47" t="n">
        <f aca="false">IF(G56="","",MAX(0,G56-1.96*L56/100))</f>
        <v>0.455668136372329</v>
      </c>
      <c r="N56" s="47" t="n">
        <f aca="false">IF(G56="","",MIN(1,G56+1.96*L56/100))</f>
        <v>0.525496247189315</v>
      </c>
      <c r="O56" s="66" t="n">
        <f aca="false">ROUND(S56*W56,0)</f>
        <v>454</v>
      </c>
      <c r="P56" s="66" t="n">
        <f aca="false">IF(F56="","",ROUND(SQRT((F56*L56/100)^2+(G56*O56)^2),0))</f>
        <v>278</v>
      </c>
      <c r="R56" s="67" t="n">
        <v>6.61232408903022</v>
      </c>
      <c r="S56" s="68" t="n">
        <f aca="false">U56*V56*$F$5</f>
        <v>9343.93860561915</v>
      </c>
      <c r="T56" s="69" t="n">
        <f aca="false">MAX(0,MIN(1,R56/100+$D$5))</f>
        <v>0.490556160551741</v>
      </c>
      <c r="U56" s="69" t="n">
        <v>0.702393340270552</v>
      </c>
      <c r="V56" s="68" t="n">
        <v>13303</v>
      </c>
      <c r="W56" s="69" t="n">
        <v>0.0485820274397165</v>
      </c>
      <c r="X56" s="70" t="s">
        <v>214</v>
      </c>
      <c r="Y56" s="70" t="s">
        <v>194</v>
      </c>
    </row>
    <row r="57" customFormat="false" ht="15" hidden="false" customHeight="false" outlineLevel="0" collapsed="false">
      <c r="A57" s="32" t="s">
        <v>219</v>
      </c>
      <c r="B57" s="32" t="s">
        <v>242</v>
      </c>
      <c r="C57" s="32" t="s">
        <v>191</v>
      </c>
      <c r="D57" s="66" t="n">
        <f aca="false">ROUND(S57*T57,0)</f>
        <v>1022</v>
      </c>
      <c r="E57" s="66" t="n">
        <f aca="false">ROUND(S57,0)-D57</f>
        <v>2081</v>
      </c>
      <c r="F57" s="66" t="n">
        <f aca="false">IF(COUNTA(D57:E57)=0,"",SUM(D57:E57))</f>
        <v>3103</v>
      </c>
      <c r="G57" s="47" t="n">
        <f aca="false">IF(OR(F57="",F57=0),"",D57/F57)</f>
        <v>0.32935868514341</v>
      </c>
      <c r="H57" s="47" t="n">
        <f aca="false">IF(OR(F57="",F57=0),"",E57/F57)</f>
        <v>0.67064131485659</v>
      </c>
      <c r="I57" s="32" t="s">
        <v>192</v>
      </c>
      <c r="J57" s="36" t="n">
        <v>1.45633855732547</v>
      </c>
      <c r="K57" s="36" t="n">
        <f aca="false">$K$8</f>
        <v>1.02577399392356</v>
      </c>
      <c r="L57" s="36" t="n">
        <f aca="false">SQRT(J57^2+K57^2)</f>
        <v>1.78132935757617</v>
      </c>
      <c r="M57" s="47" t="n">
        <f aca="false">IF(G57="","",MAX(0,G57-1.96*L57/100))</f>
        <v>0.294444629734917</v>
      </c>
      <c r="N57" s="47" t="n">
        <f aca="false">IF(G57="","",MIN(1,G57+1.96*L57/100))</f>
        <v>0.364272740551902</v>
      </c>
      <c r="O57" s="66" t="n">
        <f aca="false">ROUND(S57*W57,0)</f>
        <v>151</v>
      </c>
      <c r="P57" s="66" t="n">
        <f aca="false">IF(F57="","",ROUND(SQRT((F57*L57/100)^2+(G57*O57)^2),0))</f>
        <v>74</v>
      </c>
      <c r="R57" s="67" t="n">
        <v>-9.49316066281925</v>
      </c>
      <c r="S57" s="68" t="n">
        <f aca="false">U57*V57*$F$5</f>
        <v>3102.86358754028</v>
      </c>
      <c r="T57" s="69" t="n">
        <f aca="false">MAX(0,MIN(1,R57/100+$D$5))</f>
        <v>0.329501313033247</v>
      </c>
      <c r="U57" s="69" t="n">
        <v>0.645757250268529</v>
      </c>
      <c r="V57" s="68" t="n">
        <v>4805</v>
      </c>
      <c r="W57" s="69" t="n">
        <v>0.0485820274397165</v>
      </c>
      <c r="X57" s="70" t="s">
        <v>214</v>
      </c>
      <c r="Y57" s="70" t="s">
        <v>194</v>
      </c>
    </row>
    <row r="58" customFormat="false" ht="15" hidden="false" customHeight="false" outlineLevel="0" collapsed="false">
      <c r="A58" s="32" t="s">
        <v>219</v>
      </c>
      <c r="B58" s="32" t="s">
        <v>243</v>
      </c>
      <c r="C58" s="32" t="s">
        <v>191</v>
      </c>
      <c r="D58" s="66" t="n">
        <f aca="false">ROUND(S58*T58,0)</f>
        <v>960</v>
      </c>
      <c r="E58" s="66" t="n">
        <f aca="false">ROUND(S58,0)-D58</f>
        <v>1780</v>
      </c>
      <c r="F58" s="66" t="n">
        <f aca="false">IF(COUNTA(D58:E58)=0,"",SUM(D58:E58))</f>
        <v>2740</v>
      </c>
      <c r="G58" s="47" t="n">
        <f aca="false">IF(OR(F58="",F58=0),"",D58/F58)</f>
        <v>0.35036496350365</v>
      </c>
      <c r="H58" s="47" t="n">
        <f aca="false">IF(OR(F58="",F58=0),"",E58/F58)</f>
        <v>0.64963503649635</v>
      </c>
      <c r="I58" s="32" t="s">
        <v>192</v>
      </c>
      <c r="J58" s="36" t="n">
        <v>1.44715751761421</v>
      </c>
      <c r="K58" s="36" t="n">
        <f aca="false">$K$8</f>
        <v>1.02577399392356</v>
      </c>
      <c r="L58" s="36" t="n">
        <f aca="false">SQRT(J58^2+K58^2)</f>
        <v>1.77383121164253</v>
      </c>
      <c r="M58" s="47" t="n">
        <f aca="false">IF(G58="","",MAX(0,G58-1.96*L58/100))</f>
        <v>0.315597871755456</v>
      </c>
      <c r="N58" s="47" t="n">
        <f aca="false">IF(G58="","",MIN(1,G58+1.96*L58/100))</f>
        <v>0.385132055251843</v>
      </c>
      <c r="O58" s="66" t="n">
        <f aca="false">ROUND(S58*W58,0)</f>
        <v>150</v>
      </c>
      <c r="P58" s="66" t="n">
        <f aca="false">IF(F58="","",ROUND(SQRT((F58*L58/100)^2+(G58*O58)^2),0))</f>
        <v>72</v>
      </c>
      <c r="R58" s="67" t="n">
        <v>-7.38524036458237</v>
      </c>
      <c r="S58" s="68" t="n">
        <f aca="false">U58*V58*$F$5</f>
        <v>2739.5017118778</v>
      </c>
      <c r="T58" s="69" t="n">
        <f aca="false">MAX(0,MIN(1,R58/100+$D$5))</f>
        <v>0.350580516015615</v>
      </c>
      <c r="U58" s="69" t="n">
        <v>0.708980774295496</v>
      </c>
      <c r="V58" s="68" t="n">
        <v>3864</v>
      </c>
      <c r="W58" s="69" t="n">
        <v>0.0547268472736556</v>
      </c>
      <c r="X58" s="70" t="s">
        <v>198</v>
      </c>
      <c r="Y58" s="70" t="s">
        <v>194</v>
      </c>
    </row>
    <row r="59" customFormat="false" ht="15" hidden="false" customHeight="false" outlineLevel="0" collapsed="false">
      <c r="A59" s="32" t="s">
        <v>219</v>
      </c>
      <c r="B59" s="32" t="s">
        <v>244</v>
      </c>
      <c r="C59" s="32" t="s">
        <v>191</v>
      </c>
      <c r="D59" s="66" t="n">
        <f aca="false">ROUND(S59*T59,0)</f>
        <v>5532</v>
      </c>
      <c r="E59" s="66" t="n">
        <f aca="false">ROUND(S59,0)-D59</f>
        <v>4972</v>
      </c>
      <c r="F59" s="66" t="n">
        <f aca="false">IF(COUNTA(D59:E59)=0,"",SUM(D59:E59))</f>
        <v>10504</v>
      </c>
      <c r="G59" s="47" t="n">
        <f aca="false">IF(OR(F59="",F59=0),"",D59/F59)</f>
        <v>0.526656511805027</v>
      </c>
      <c r="H59" s="47" t="n">
        <f aca="false">IF(OR(F59="",F59=0),"",E59/F59)</f>
        <v>0.473343488194973</v>
      </c>
      <c r="I59" s="32" t="s">
        <v>192</v>
      </c>
      <c r="J59" s="36" t="n">
        <v>1.45633855732547</v>
      </c>
      <c r="K59" s="36" t="n">
        <f aca="false">$K$8</f>
        <v>1.02577399392356</v>
      </c>
      <c r="L59" s="36" t="n">
        <f aca="false">SQRT(J59^2+K59^2)</f>
        <v>1.78132935757617</v>
      </c>
      <c r="M59" s="47" t="n">
        <f aca="false">IF(G59="","",MAX(0,G59-1.96*L59/100))</f>
        <v>0.491742456396534</v>
      </c>
      <c r="N59" s="47" t="n">
        <f aca="false">IF(G59="","",MIN(1,G59+1.96*L59/100))</f>
        <v>0.56157056721352</v>
      </c>
      <c r="O59" s="66" t="n">
        <f aca="false">ROUND(S59*W59,0)</f>
        <v>510</v>
      </c>
      <c r="P59" s="66" t="n">
        <f aca="false">IF(F59="","",ROUND(SQRT((F59*L59/100)^2+(G59*O59)^2),0))</f>
        <v>327</v>
      </c>
      <c r="R59" s="67" t="n">
        <v>10.2240078712403</v>
      </c>
      <c r="S59" s="68" t="n">
        <f aca="false">U59*V59*$F$5</f>
        <v>10504.2978562557</v>
      </c>
      <c r="T59" s="69" t="n">
        <f aca="false">MAX(0,MIN(1,R59/100+$D$5))</f>
        <v>0.526672998373842</v>
      </c>
      <c r="U59" s="69" t="n">
        <v>0.555753550407689</v>
      </c>
      <c r="V59" s="68" t="n">
        <v>18901</v>
      </c>
      <c r="W59" s="69" t="n">
        <v>0.0485820274397165</v>
      </c>
      <c r="X59" s="70" t="s">
        <v>214</v>
      </c>
      <c r="Y59" s="70" t="s">
        <v>194</v>
      </c>
    </row>
    <row r="60" customFormat="false" ht="15" hidden="false" customHeight="false" outlineLevel="0" collapsed="false">
      <c r="A60" s="32" t="s">
        <v>245</v>
      </c>
      <c r="B60" s="32" t="s">
        <v>246</v>
      </c>
      <c r="C60" s="32" t="s">
        <v>191</v>
      </c>
      <c r="D60" s="66" t="n">
        <f aca="false">ROUND(S60*T60,0)</f>
        <v>381</v>
      </c>
      <c r="E60" s="66" t="n">
        <f aca="false">ROUND(S60,0)-D60</f>
        <v>853</v>
      </c>
      <c r="F60" s="66" t="n">
        <f aca="false">IF(COUNTA(D60:E60)=0,"",SUM(D60:E60))</f>
        <v>1234</v>
      </c>
      <c r="G60" s="47" t="n">
        <f aca="false">IF(OR(F60="",F60=0),"",D60/F60)</f>
        <v>0.308752025931929</v>
      </c>
      <c r="H60" s="47" t="n">
        <f aca="false">IF(OR(F60="",F60=0),"",E60/F60)</f>
        <v>0.691247974068071</v>
      </c>
      <c r="I60" s="32" t="s">
        <v>192</v>
      </c>
      <c r="J60" s="36" t="n">
        <v>2.60296228516591</v>
      </c>
      <c r="K60" s="36" t="n">
        <f aca="false">$K$8</f>
        <v>1.02577399392356</v>
      </c>
      <c r="L60" s="36" t="n">
        <f aca="false">SQRT(J60^2+K60^2)</f>
        <v>2.79778929596316</v>
      </c>
      <c r="M60" s="47" t="n">
        <f aca="false">IF(G60="","",MAX(0,G60-1.96*L60/100))</f>
        <v>0.253915355731051</v>
      </c>
      <c r="N60" s="47" t="n">
        <f aca="false">IF(G60="","",MIN(1,G60+1.96*L60/100))</f>
        <v>0.363588696132807</v>
      </c>
      <c r="O60" s="66" t="n">
        <f aca="false">ROUND(S60*W60,0)</f>
        <v>90</v>
      </c>
      <c r="P60" s="66" t="n">
        <f aca="false">IF(F60="","",ROUND(SQRT((F60*L60/100)^2+(G60*O60)^2),0))</f>
        <v>44</v>
      </c>
      <c r="R60" s="67" t="n">
        <v>-11.6016874690185</v>
      </c>
      <c r="S60" s="68" t="n">
        <f aca="false">U60*V60*$F$5</f>
        <v>1234.45226917058</v>
      </c>
      <c r="T60" s="69" t="n">
        <f aca="false">MAX(0,MIN(1,R60/100+$D$5))</f>
        <v>0.308416044971254</v>
      </c>
      <c r="U60" s="69" t="n">
        <v>0.618153364632238</v>
      </c>
      <c r="V60" s="68" t="n">
        <v>1997</v>
      </c>
      <c r="W60" s="69" t="n">
        <v>0.0732058935918866</v>
      </c>
      <c r="X60" s="70" t="s">
        <v>193</v>
      </c>
      <c r="Y60" s="70" t="s">
        <v>194</v>
      </c>
    </row>
    <row r="61" customFormat="false" ht="15" hidden="false" customHeight="false" outlineLevel="0" collapsed="false">
      <c r="A61" s="32" t="s">
        <v>245</v>
      </c>
      <c r="B61" s="32" t="s">
        <v>247</v>
      </c>
      <c r="C61" s="32" t="s">
        <v>191</v>
      </c>
      <c r="D61" s="66" t="n">
        <f aca="false">ROUND(S61*T61,0)</f>
        <v>1109</v>
      </c>
      <c r="E61" s="66" t="n">
        <f aca="false">ROUND(S61,0)-D61</f>
        <v>2041</v>
      </c>
      <c r="F61" s="66" t="n">
        <f aca="false">IF(COUNTA(D61:E61)=0,"",SUM(D61:E61))</f>
        <v>3150</v>
      </c>
      <c r="G61" s="47" t="n">
        <f aca="false">IF(OR(F61="",F61=0),"",D61/F61)</f>
        <v>0.352063492063492</v>
      </c>
      <c r="H61" s="47" t="n">
        <f aca="false">IF(OR(F61="",F61=0),"",E61/F61)</f>
        <v>0.647936507936508</v>
      </c>
      <c r="I61" s="32" t="s">
        <v>192</v>
      </c>
      <c r="J61" s="36" t="n">
        <v>1.45633855732547</v>
      </c>
      <c r="K61" s="36" t="n">
        <f aca="false">$K$8</f>
        <v>1.02577399392356</v>
      </c>
      <c r="L61" s="36" t="n">
        <f aca="false">SQRT(J61^2+K61^2)</f>
        <v>1.78132935757617</v>
      </c>
      <c r="M61" s="47" t="n">
        <f aca="false">IF(G61="","",MAX(0,G61-1.96*L61/100))</f>
        <v>0.317149436654999</v>
      </c>
      <c r="N61" s="47" t="n">
        <f aca="false">IF(G61="","",MIN(1,G61+1.96*L61/100))</f>
        <v>0.386977547471985</v>
      </c>
      <c r="O61" s="66" t="n">
        <f aca="false">ROUND(S61*W61,0)</f>
        <v>153</v>
      </c>
      <c r="P61" s="66" t="n">
        <f aca="false">IF(F61="","",ROUND(SQRT((F61*L61/100)^2+(G61*O61)^2),0))</f>
        <v>78</v>
      </c>
      <c r="R61" s="67" t="n">
        <v>-7.23982844415622</v>
      </c>
      <c r="S61" s="68" t="n">
        <f aca="false">U61*V61*$F$5</f>
        <v>3150.44851429639</v>
      </c>
      <c r="T61" s="69" t="n">
        <f aca="false">MAX(0,MIN(1,R61/100+$D$5))</f>
        <v>0.352034635219877</v>
      </c>
      <c r="U61" s="69" t="n">
        <v>0.56157727527565</v>
      </c>
      <c r="V61" s="68" t="n">
        <v>5610</v>
      </c>
      <c r="W61" s="69" t="n">
        <v>0.0485820274397165</v>
      </c>
      <c r="X61" s="70" t="s">
        <v>214</v>
      </c>
      <c r="Y61" s="70" t="s">
        <v>194</v>
      </c>
    </row>
    <row r="62" customFormat="false" ht="15" hidden="false" customHeight="false" outlineLevel="0" collapsed="false">
      <c r="A62" s="32" t="s">
        <v>245</v>
      </c>
      <c r="B62" s="32" t="s">
        <v>248</v>
      </c>
      <c r="C62" s="32" t="s">
        <v>191</v>
      </c>
      <c r="D62" s="66" t="n">
        <f aca="false">ROUND(S62*T62,0)</f>
        <v>411</v>
      </c>
      <c r="E62" s="66" t="n">
        <f aca="false">ROUND(S62,0)-D62</f>
        <v>760</v>
      </c>
      <c r="F62" s="66" t="n">
        <f aca="false">IF(COUNTA(D62:E62)=0,"",SUM(D62:E62))</f>
        <v>1171</v>
      </c>
      <c r="G62" s="47" t="n">
        <f aca="false">IF(OR(F62="",F62=0),"",D62/F62)</f>
        <v>0.350982066609735</v>
      </c>
      <c r="H62" s="47" t="n">
        <f aca="false">IF(OR(F62="",F62=0),"",E62/F62)</f>
        <v>0.649017933390265</v>
      </c>
      <c r="I62" s="32" t="s">
        <v>192</v>
      </c>
      <c r="J62" s="36" t="n">
        <v>2.60296228516591</v>
      </c>
      <c r="K62" s="36" t="n">
        <f aca="false">$K$8</f>
        <v>1.02577399392356</v>
      </c>
      <c r="L62" s="36" t="n">
        <f aca="false">SQRT(J62^2+K62^2)</f>
        <v>2.79778929596316</v>
      </c>
      <c r="M62" s="47" t="n">
        <f aca="false">IF(G62="","",MAX(0,G62-1.96*L62/100))</f>
        <v>0.296145396408857</v>
      </c>
      <c r="N62" s="47" t="n">
        <f aca="false">IF(G62="","",MIN(1,G62+1.96*L62/100))</f>
        <v>0.405818736810613</v>
      </c>
      <c r="O62" s="66" t="n">
        <f aca="false">ROUND(S62*W62,0)</f>
        <v>86</v>
      </c>
      <c r="P62" s="66" t="n">
        <f aca="false">IF(F62="","",ROUND(SQRT((F62*L62/100)^2+(G62*O62)^2),0))</f>
        <v>45</v>
      </c>
      <c r="R62" s="67" t="n">
        <v>-7.3434552386395</v>
      </c>
      <c r="S62" s="68" t="n">
        <f aca="false">U62*V62*$F$5</f>
        <v>1170.82273494654</v>
      </c>
      <c r="T62" s="69" t="n">
        <f aca="false">MAX(0,MIN(1,R62/100+$D$5))</f>
        <v>0.350998367275044</v>
      </c>
      <c r="U62" s="69" t="n">
        <v>0.625773776027012</v>
      </c>
      <c r="V62" s="68" t="n">
        <v>1871</v>
      </c>
      <c r="W62" s="69" t="n">
        <v>0.0732058935918866</v>
      </c>
      <c r="X62" s="70" t="s">
        <v>193</v>
      </c>
      <c r="Y62" s="70" t="s">
        <v>194</v>
      </c>
    </row>
    <row r="63" customFormat="false" ht="15" hidden="false" customHeight="false" outlineLevel="0" collapsed="false">
      <c r="A63" s="32" t="s">
        <v>249</v>
      </c>
      <c r="B63" s="32" t="s">
        <v>250</v>
      </c>
      <c r="C63" s="32" t="s">
        <v>191</v>
      </c>
      <c r="D63" s="66" t="n">
        <f aca="false">ROUND(S63*T63,0)</f>
        <v>1146</v>
      </c>
      <c r="E63" s="66" t="n">
        <f aca="false">ROUND(S63,0)-D63</f>
        <v>1561</v>
      </c>
      <c r="F63" s="66" t="n">
        <f aca="false">IF(COUNTA(D63:E63)=0,"",SUM(D63:E63))</f>
        <v>2707</v>
      </c>
      <c r="G63" s="47" t="n">
        <f aca="false">IF(OR(F63="",F63=0),"",D63/F63)</f>
        <v>0.423346878463243</v>
      </c>
      <c r="H63" s="47" t="n">
        <f aca="false">IF(OR(F63="",F63=0),"",E63/F63)</f>
        <v>0.576653121536757</v>
      </c>
      <c r="I63" s="32" t="s">
        <v>192</v>
      </c>
      <c r="J63" s="36" t="n">
        <v>1.44715751761421</v>
      </c>
      <c r="K63" s="36" t="n">
        <f aca="false">$K$8</f>
        <v>1.02577399392356</v>
      </c>
      <c r="L63" s="36" t="n">
        <f aca="false">SQRT(J63^2+K63^2)</f>
        <v>1.77383121164253</v>
      </c>
      <c r="M63" s="47" t="n">
        <f aca="false">IF(G63="","",MAX(0,G63-1.96*L63/100))</f>
        <v>0.38857978671505</v>
      </c>
      <c r="N63" s="47" t="n">
        <f aca="false">IF(G63="","",MIN(1,G63+1.96*L63/100))</f>
        <v>0.458113970211437</v>
      </c>
      <c r="O63" s="66" t="n">
        <f aca="false">ROUND(S63*W63,0)</f>
        <v>148</v>
      </c>
      <c r="P63" s="66" t="n">
        <f aca="false">IF(F63="","",ROUND(SQRT((F63*L63/100)^2+(G63*O63)^2),0))</f>
        <v>79</v>
      </c>
      <c r="R63" s="67" t="n">
        <v>-0.118830804942655</v>
      </c>
      <c r="S63" s="68" t="n">
        <f aca="false">U63*V63*$F$5</f>
        <v>2707.41725054361</v>
      </c>
      <c r="T63" s="69" t="n">
        <f aca="false">MAX(0,MIN(1,R63/100+$D$5))</f>
        <v>0.423244611612013</v>
      </c>
      <c r="U63" s="69" t="n">
        <v>0.628171055810582</v>
      </c>
      <c r="V63" s="68" t="n">
        <v>4310</v>
      </c>
      <c r="W63" s="69" t="n">
        <v>0.0547268472736556</v>
      </c>
      <c r="X63" s="70" t="s">
        <v>198</v>
      </c>
      <c r="Y63" s="70" t="s">
        <v>194</v>
      </c>
    </row>
    <row r="64" customFormat="false" ht="15" hidden="false" customHeight="false" outlineLevel="0" collapsed="false">
      <c r="A64" s="32" t="s">
        <v>249</v>
      </c>
      <c r="B64" s="32" t="s">
        <v>251</v>
      </c>
      <c r="C64" s="32" t="s">
        <v>191</v>
      </c>
      <c r="D64" s="66" t="n">
        <f aca="false">ROUND(S64*T64,0)</f>
        <v>712</v>
      </c>
      <c r="E64" s="66" t="n">
        <f aca="false">ROUND(S64,0)-D64</f>
        <v>976</v>
      </c>
      <c r="F64" s="66" t="n">
        <f aca="false">IF(COUNTA(D64:E64)=0,"",SUM(D64:E64))</f>
        <v>1688</v>
      </c>
      <c r="G64" s="47" t="n">
        <f aca="false">IF(OR(F64="",F64=0),"",D64/F64)</f>
        <v>0.421800947867299</v>
      </c>
      <c r="H64" s="47" t="n">
        <f aca="false">IF(OR(F64="",F64=0),"",E64/F64)</f>
        <v>0.578199052132701</v>
      </c>
      <c r="I64" s="32" t="s">
        <v>192</v>
      </c>
      <c r="J64" s="36" t="n">
        <v>1.44715751761421</v>
      </c>
      <c r="K64" s="36" t="n">
        <f aca="false">$K$8</f>
        <v>1.02577399392356</v>
      </c>
      <c r="L64" s="36" t="n">
        <f aca="false">SQRT(J64^2+K64^2)</f>
        <v>1.77383121164253</v>
      </c>
      <c r="M64" s="47" t="n">
        <f aca="false">IF(G64="","",MAX(0,G64-1.96*L64/100))</f>
        <v>0.387033856119105</v>
      </c>
      <c r="N64" s="47" t="n">
        <f aca="false">IF(G64="","",MIN(1,G64+1.96*L64/100))</f>
        <v>0.456568039615492</v>
      </c>
      <c r="O64" s="66" t="n">
        <f aca="false">ROUND(S64*W64,0)</f>
        <v>92</v>
      </c>
      <c r="P64" s="66" t="n">
        <f aca="false">IF(F64="","",ROUND(SQRT((F64*L64/100)^2+(G64*O64)^2),0))</f>
        <v>49</v>
      </c>
      <c r="R64" s="67" t="n">
        <v>-0.290834776832681</v>
      </c>
      <c r="S64" s="68" t="n">
        <f aca="false">U64*V64*$F$5</f>
        <v>1687.9765578635</v>
      </c>
      <c r="T64" s="69" t="n">
        <f aca="false">MAX(0,MIN(1,R64/100+$D$5))</f>
        <v>0.421524571893112</v>
      </c>
      <c r="U64" s="69" t="n">
        <v>0.491691394658754</v>
      </c>
      <c r="V64" s="68" t="n">
        <v>3433</v>
      </c>
      <c r="W64" s="69" t="n">
        <v>0.0547268472736556</v>
      </c>
      <c r="X64" s="70" t="s">
        <v>198</v>
      </c>
      <c r="Y64" s="70" t="s">
        <v>194</v>
      </c>
    </row>
    <row r="65" customFormat="false" ht="15" hidden="false" customHeight="false" outlineLevel="0" collapsed="false">
      <c r="A65" s="32" t="s">
        <v>249</v>
      </c>
      <c r="B65" s="32" t="s">
        <v>252</v>
      </c>
      <c r="C65" s="32" t="s">
        <v>191</v>
      </c>
      <c r="D65" s="66" t="n">
        <f aca="false">ROUND(S65*T65,0)</f>
        <v>464</v>
      </c>
      <c r="E65" s="66" t="n">
        <f aca="false">ROUND(S65,0)-D65</f>
        <v>552</v>
      </c>
      <c r="F65" s="66" t="n">
        <f aca="false">IF(COUNTA(D65:E65)=0,"",SUM(D65:E65))</f>
        <v>1016</v>
      </c>
      <c r="G65" s="47" t="n">
        <f aca="false">IF(OR(F65="",F65=0),"",D65/F65)</f>
        <v>0.456692913385827</v>
      </c>
      <c r="H65" s="47" t="n">
        <f aca="false">IF(OR(F65="",F65=0),"",E65/F65)</f>
        <v>0.543307086614173</v>
      </c>
      <c r="I65" s="32" t="s">
        <v>192</v>
      </c>
      <c r="J65" s="36" t="n">
        <v>2.60296228516591</v>
      </c>
      <c r="K65" s="36" t="n">
        <f aca="false">$K$8</f>
        <v>1.02577399392356</v>
      </c>
      <c r="L65" s="36" t="n">
        <f aca="false">SQRT(J65^2+K65^2)</f>
        <v>2.79778929596316</v>
      </c>
      <c r="M65" s="47" t="n">
        <f aca="false">IF(G65="","",MAX(0,G65-1.96*L65/100))</f>
        <v>0.401856243184949</v>
      </c>
      <c r="N65" s="47" t="n">
        <f aca="false">IF(G65="","",MIN(1,G65+1.96*L65/100))</f>
        <v>0.511529583586705</v>
      </c>
      <c r="O65" s="66" t="n">
        <f aca="false">ROUND(S65*W65,0)</f>
        <v>74</v>
      </c>
      <c r="P65" s="66" t="n">
        <f aca="false">IF(F65="","",ROUND(SQRT((F65*L65/100)^2+(G65*O65)^2),0))</f>
        <v>44</v>
      </c>
      <c r="R65" s="67" t="n">
        <v>3.23460001486458</v>
      </c>
      <c r="S65" s="68" t="n">
        <f aca="false">U65*V65*$F$5</f>
        <v>1015.97556912826</v>
      </c>
      <c r="T65" s="69" t="n">
        <f aca="false">MAX(0,MIN(1,R65/100+$D$5))</f>
        <v>0.456778919810085</v>
      </c>
      <c r="U65" s="69" t="n">
        <v>0.529705719044975</v>
      </c>
      <c r="V65" s="68" t="n">
        <v>1918</v>
      </c>
      <c r="W65" s="69" t="n">
        <v>0.0732058935918866</v>
      </c>
      <c r="X65" s="70" t="s">
        <v>193</v>
      </c>
      <c r="Y65" s="70" t="s">
        <v>194</v>
      </c>
    </row>
    <row r="66" customFormat="false" ht="15" hidden="false" customHeight="false" outlineLevel="0" collapsed="false">
      <c r="A66" s="32" t="s">
        <v>249</v>
      </c>
      <c r="B66" s="32" t="s">
        <v>222</v>
      </c>
      <c r="C66" s="32" t="s">
        <v>191</v>
      </c>
      <c r="D66" s="66" t="n">
        <f aca="false">ROUND(S66*T66,0)</f>
        <v>12720</v>
      </c>
      <c r="E66" s="66" t="n">
        <f aca="false">ROUND(S66,0)-D66</f>
        <v>6252</v>
      </c>
      <c r="F66" s="66" t="n">
        <f aca="false">IF(COUNTA(D66:E66)=0,"",SUM(D66:E66))</f>
        <v>18972</v>
      </c>
      <c r="G66" s="47" t="n">
        <f aca="false">IF(OR(F66="",F66=0),"",D66/F66)</f>
        <v>0.670461733080329</v>
      </c>
      <c r="H66" s="47" t="n">
        <f aca="false">IF(OR(F66="",F66=0),"",E66/F66)</f>
        <v>0.329538266919671</v>
      </c>
      <c r="I66" s="32" t="s">
        <v>192</v>
      </c>
      <c r="J66" s="36" t="n">
        <v>1.45633855732547</v>
      </c>
      <c r="K66" s="36" t="n">
        <f aca="false">$K$8</f>
        <v>1.02577399392356</v>
      </c>
      <c r="L66" s="36" t="n">
        <f aca="false">SQRT(J66^2+K66^2)</f>
        <v>1.78132935757617</v>
      </c>
      <c r="M66" s="47" t="n">
        <f aca="false">IF(G66="","",MAX(0,G66-1.96*L66/100))</f>
        <v>0.635547677671836</v>
      </c>
      <c r="N66" s="47" t="n">
        <f aca="false">IF(G66="","",MIN(1,G66+1.96*L66/100))</f>
        <v>0.705375788488822</v>
      </c>
      <c r="O66" s="66" t="n">
        <f aca="false">ROUND(S66*W66,0)</f>
        <v>922</v>
      </c>
      <c r="P66" s="66" t="n">
        <f aca="false">IF(F66="","",ROUND(SQRT((F66*L66/100)^2+(G66*O66)^2),0))</f>
        <v>705</v>
      </c>
      <c r="R66" s="67" t="n">
        <v>24.601709954345</v>
      </c>
      <c r="S66" s="68" t="n">
        <f aca="false">U66*V66*$F$5</f>
        <v>18972.4050126369</v>
      </c>
      <c r="T66" s="69" t="n">
        <f aca="false">MAX(0,MIN(1,R66/100+$D$5))</f>
        <v>0.670450019204889</v>
      </c>
      <c r="U66" s="69" t="n">
        <v>0.476358466722831</v>
      </c>
      <c r="V66" s="68" t="n">
        <v>39828</v>
      </c>
      <c r="W66" s="69" t="n">
        <v>0.0485820274397165</v>
      </c>
      <c r="X66" s="70" t="s">
        <v>214</v>
      </c>
      <c r="Y66" s="70" t="s">
        <v>194</v>
      </c>
    </row>
    <row r="67" customFormat="false" ht="15" hidden="false" customHeight="false" outlineLevel="0" collapsed="false">
      <c r="A67" s="32" t="s">
        <v>249</v>
      </c>
      <c r="B67" s="32" t="s">
        <v>253</v>
      </c>
      <c r="C67" s="32" t="s">
        <v>191</v>
      </c>
      <c r="D67" s="66" t="n">
        <f aca="false">ROUND(S67*T67,0)</f>
        <v>6795</v>
      </c>
      <c r="E67" s="66" t="n">
        <f aca="false">ROUND(S67,0)-D67</f>
        <v>5954</v>
      </c>
      <c r="F67" s="66" t="n">
        <f aca="false">IF(COUNTA(D67:E67)=0,"",SUM(D67:E67))</f>
        <v>12749</v>
      </c>
      <c r="G67" s="47" t="n">
        <f aca="false">IF(OR(F67="",F67=0),"",D67/F67)</f>
        <v>0.532982979057181</v>
      </c>
      <c r="H67" s="47" t="n">
        <f aca="false">IF(OR(F67="",F67=0),"",E67/F67)</f>
        <v>0.467017020942819</v>
      </c>
      <c r="I67" s="32" t="s">
        <v>192</v>
      </c>
      <c r="J67" s="36" t="n">
        <v>1.45633855732547</v>
      </c>
      <c r="K67" s="36" t="n">
        <f aca="false">$K$8</f>
        <v>1.02577399392356</v>
      </c>
      <c r="L67" s="36" t="n">
        <f aca="false">SQRT(J67^2+K67^2)</f>
        <v>1.78132935757617</v>
      </c>
      <c r="M67" s="47" t="n">
        <f aca="false">IF(G67="","",MAX(0,G67-1.96*L67/100))</f>
        <v>0.498068923648688</v>
      </c>
      <c r="N67" s="47" t="n">
        <f aca="false">IF(G67="","",MIN(1,G67+1.96*L67/100))</f>
        <v>0.567897034465674</v>
      </c>
      <c r="O67" s="66" t="n">
        <f aca="false">ROUND(S67*W67,0)</f>
        <v>619</v>
      </c>
      <c r="P67" s="66" t="n">
        <f aca="false">IF(F67="","",ROUND(SQRT((F67*L67/100)^2+(G67*O67)^2),0))</f>
        <v>401</v>
      </c>
      <c r="R67" s="67" t="n">
        <v>10.8549236802362</v>
      </c>
      <c r="S67" s="68" t="n">
        <f aca="false">U67*V67*$F$5</f>
        <v>12748.560475162</v>
      </c>
      <c r="T67" s="69" t="n">
        <f aca="false">MAX(0,MIN(1,R67/100+$D$5))</f>
        <v>0.532982156463801</v>
      </c>
      <c r="U67" s="69" t="n">
        <v>0.629589632829374</v>
      </c>
      <c r="V67" s="68" t="n">
        <v>20249</v>
      </c>
      <c r="W67" s="69" t="n">
        <v>0.0485820274397165</v>
      </c>
      <c r="X67" s="70" t="s">
        <v>214</v>
      </c>
      <c r="Y67" s="70" t="s">
        <v>194</v>
      </c>
    </row>
    <row r="68" customFormat="false" ht="15" hidden="false" customHeight="false" outlineLevel="0" collapsed="false">
      <c r="A68" s="32" t="s">
        <v>249</v>
      </c>
      <c r="B68" s="32" t="s">
        <v>254</v>
      </c>
      <c r="C68" s="32" t="s">
        <v>191</v>
      </c>
      <c r="D68" s="66" t="n">
        <f aca="false">ROUND(S68*T68,0)</f>
        <v>1691</v>
      </c>
      <c r="E68" s="66" t="n">
        <f aca="false">ROUND(S68,0)-D68</f>
        <v>2732</v>
      </c>
      <c r="F68" s="66" t="n">
        <f aca="false">IF(COUNTA(D68:E68)=0,"",SUM(D68:E68))</f>
        <v>4423</v>
      </c>
      <c r="G68" s="47" t="n">
        <f aca="false">IF(OR(F68="",F68=0),"",D68/F68)</f>
        <v>0.382319692516392</v>
      </c>
      <c r="H68" s="47" t="n">
        <f aca="false">IF(OR(F68="",F68=0),"",E68/F68)</f>
        <v>0.617680307483608</v>
      </c>
      <c r="I68" s="32" t="s">
        <v>192</v>
      </c>
      <c r="J68" s="36" t="n">
        <v>1.45633855732547</v>
      </c>
      <c r="K68" s="36" t="n">
        <f aca="false">$K$8</f>
        <v>1.02577399392356</v>
      </c>
      <c r="L68" s="36" t="n">
        <f aca="false">SQRT(J68^2+K68^2)</f>
        <v>1.78132935757617</v>
      </c>
      <c r="M68" s="47" t="n">
        <f aca="false">IF(G68="","",MAX(0,G68-1.96*L68/100))</f>
        <v>0.347405637107899</v>
      </c>
      <c r="N68" s="47" t="n">
        <f aca="false">IF(G68="","",MIN(1,G68+1.96*L68/100))</f>
        <v>0.417233747924884</v>
      </c>
      <c r="O68" s="66" t="n">
        <f aca="false">ROUND(S68*W68,0)</f>
        <v>215</v>
      </c>
      <c r="P68" s="66" t="n">
        <f aca="false">IF(F68="","",ROUND(SQRT((F68*L68/100)^2+(G68*O68)^2),0))</f>
        <v>114</v>
      </c>
      <c r="R68" s="67" t="n">
        <v>-4.21435314679452</v>
      </c>
      <c r="S68" s="68" t="n">
        <f aca="false">U68*V68*$F$5</f>
        <v>4422.68236877524</v>
      </c>
      <c r="T68" s="69" t="n">
        <f aca="false">MAX(0,MIN(1,R68/100+$D$5))</f>
        <v>0.382289388193494</v>
      </c>
      <c r="U68" s="69" t="n">
        <v>0.657843577089876</v>
      </c>
      <c r="V68" s="68" t="n">
        <v>6723</v>
      </c>
      <c r="W68" s="69" t="n">
        <v>0.0485820274397165</v>
      </c>
      <c r="X68" s="70" t="s">
        <v>214</v>
      </c>
      <c r="Y68" s="70" t="s">
        <v>194</v>
      </c>
    </row>
    <row r="69" customFormat="false" ht="15" hidden="false" customHeight="false" outlineLevel="0" collapsed="false">
      <c r="A69" s="32" t="s">
        <v>249</v>
      </c>
      <c r="B69" s="32" t="s">
        <v>255</v>
      </c>
      <c r="C69" s="32" t="s">
        <v>191</v>
      </c>
      <c r="D69" s="66" t="n">
        <f aca="false">ROUND(S69*T69,0)</f>
        <v>34</v>
      </c>
      <c r="E69" s="66" t="n">
        <f aca="false">ROUND(S69,0)-D69</f>
        <v>63</v>
      </c>
      <c r="F69" s="66" t="n">
        <f aca="false">IF(COUNTA(D69:E69)=0,"",SUM(D69:E69))</f>
        <v>97</v>
      </c>
      <c r="G69" s="47" t="n">
        <f aca="false">IF(OR(F69="",F69=0),"",D69/F69)</f>
        <v>0.350515463917526</v>
      </c>
      <c r="H69" s="47" t="n">
        <f aca="false">IF(OR(F69="",F69=0),"",E69/F69)</f>
        <v>0.649484536082474</v>
      </c>
      <c r="I69" s="32" t="s">
        <v>192</v>
      </c>
      <c r="J69" s="36" t="n">
        <v>2.60296228516591</v>
      </c>
      <c r="K69" s="36" t="n">
        <f aca="false">$K$8</f>
        <v>1.02577399392356</v>
      </c>
      <c r="L69" s="36" t="n">
        <f aca="false">SQRT(J69^2+K69^2)</f>
        <v>2.79778929596316</v>
      </c>
      <c r="M69" s="47" t="n">
        <f aca="false">IF(G69="","",MAX(0,G69-1.96*L69/100))</f>
        <v>0.295678793716648</v>
      </c>
      <c r="N69" s="47" t="n">
        <f aca="false">IF(G69="","",MIN(1,G69+1.96*L69/100))</f>
        <v>0.405352134118404</v>
      </c>
      <c r="O69" s="66" t="n">
        <f aca="false">ROUND(S69*W69,0)</f>
        <v>7</v>
      </c>
      <c r="P69" s="66" t="n">
        <f aca="false">IF(F69="","",ROUND(SQRT((F69*L69/100)^2+(G69*O69)^2),0))</f>
        <v>4</v>
      </c>
      <c r="R69" s="67" t="n">
        <v>-7.01118008074507</v>
      </c>
      <c r="S69" s="68" t="n">
        <f aca="false">U69*V69*$F$5</f>
        <v>97.2992700729927</v>
      </c>
      <c r="T69" s="69" t="n">
        <f aca="false">MAX(0,MIN(1,R69/100+$D$5))</f>
        <v>0.354321118853988</v>
      </c>
      <c r="U69" s="69" t="n">
        <v>0.627737226277372</v>
      </c>
      <c r="V69" s="68" t="n">
        <v>155</v>
      </c>
      <c r="W69" s="69" t="n">
        <v>0.0732058935918866</v>
      </c>
      <c r="X69" s="70" t="s">
        <v>193</v>
      </c>
      <c r="Y69" s="70" t="s">
        <v>194</v>
      </c>
    </row>
    <row r="70" customFormat="false" ht="15" hidden="false" customHeight="false" outlineLevel="0" collapsed="false">
      <c r="A70" s="32" t="s">
        <v>249</v>
      </c>
      <c r="B70" s="32" t="s">
        <v>256</v>
      </c>
      <c r="C70" s="32" t="s">
        <v>191</v>
      </c>
      <c r="D70" s="66" t="n">
        <f aca="false">ROUND(S70*T70,0)</f>
        <v>1130</v>
      </c>
      <c r="E70" s="66" t="n">
        <f aca="false">ROUND(S70,0)-D70</f>
        <v>1511</v>
      </c>
      <c r="F70" s="66" t="n">
        <f aca="false">IF(COUNTA(D70:E70)=0,"",SUM(D70:E70))</f>
        <v>2641</v>
      </c>
      <c r="G70" s="47" t="n">
        <f aca="false">IF(OR(F70="",F70=0),"",D70/F70)</f>
        <v>0.427868231730405</v>
      </c>
      <c r="H70" s="47" t="n">
        <f aca="false">IF(OR(F70="",F70=0),"",E70/F70)</f>
        <v>0.572131768269595</v>
      </c>
      <c r="I70" s="32" t="s">
        <v>192</v>
      </c>
      <c r="J70" s="36" t="n">
        <v>1.44715751761421</v>
      </c>
      <c r="K70" s="36" t="n">
        <f aca="false">$K$8</f>
        <v>1.02577399392356</v>
      </c>
      <c r="L70" s="36" t="n">
        <f aca="false">SQRT(J70^2+K70^2)</f>
        <v>1.77383121164253</v>
      </c>
      <c r="M70" s="47" t="n">
        <f aca="false">IF(G70="","",MAX(0,G70-1.96*L70/100))</f>
        <v>0.393101139982212</v>
      </c>
      <c r="N70" s="47" t="n">
        <f aca="false">IF(G70="","",MIN(1,G70+1.96*L70/100))</f>
        <v>0.462635323478599</v>
      </c>
      <c r="O70" s="66" t="n">
        <f aca="false">ROUND(S70*W70,0)</f>
        <v>145</v>
      </c>
      <c r="P70" s="66" t="n">
        <f aca="false">IF(F70="","",ROUND(SQRT((F70*L70/100)^2+(G70*O70)^2),0))</f>
        <v>78</v>
      </c>
      <c r="R70" s="67" t="n">
        <v>0.359590418193078</v>
      </c>
      <c r="S70" s="68" t="n">
        <f aca="false">U70*V70*$F$5</f>
        <v>2640.91189093663</v>
      </c>
      <c r="T70" s="69" t="n">
        <f aca="false">MAX(0,MIN(1,R70/100+$D$5))</f>
        <v>0.42802882384337</v>
      </c>
      <c r="U70" s="69" t="n">
        <v>0.635445594546832</v>
      </c>
      <c r="V70" s="68" t="n">
        <v>4156</v>
      </c>
      <c r="W70" s="69" t="n">
        <v>0.0547268472736556</v>
      </c>
      <c r="X70" s="70" t="s">
        <v>198</v>
      </c>
      <c r="Y70" s="70" t="s">
        <v>194</v>
      </c>
    </row>
    <row r="71" customFormat="false" ht="15" hidden="false" customHeight="false" outlineLevel="0" collapsed="false">
      <c r="A71" s="32" t="s">
        <v>249</v>
      </c>
      <c r="B71" s="32" t="s">
        <v>257</v>
      </c>
      <c r="C71" s="32" t="s">
        <v>191</v>
      </c>
      <c r="D71" s="66" t="n">
        <f aca="false">ROUND(S71*T71,0)</f>
        <v>140</v>
      </c>
      <c r="E71" s="66" t="n">
        <f aca="false">ROUND(S71,0)-D71</f>
        <v>220</v>
      </c>
      <c r="F71" s="66" t="n">
        <f aca="false">IF(COUNTA(D71:E71)=0,"",SUM(D71:E71))</f>
        <v>360</v>
      </c>
      <c r="G71" s="47" t="n">
        <f aca="false">IF(OR(F71="",F71=0),"",D71/F71)</f>
        <v>0.388888888888889</v>
      </c>
      <c r="H71" s="47" t="n">
        <f aca="false">IF(OR(F71="",F71=0),"",E71/F71)</f>
        <v>0.611111111111111</v>
      </c>
      <c r="I71" s="32" t="s">
        <v>192</v>
      </c>
      <c r="J71" s="36" t="n">
        <v>2.60296228516591</v>
      </c>
      <c r="K71" s="36" t="n">
        <f aca="false">$K$8</f>
        <v>1.02577399392356</v>
      </c>
      <c r="L71" s="36" t="n">
        <f aca="false">SQRT(J71^2+K71^2)</f>
        <v>2.79778929596316</v>
      </c>
      <c r="M71" s="47" t="n">
        <f aca="false">IF(G71="","",MAX(0,G71-1.96*L71/100))</f>
        <v>0.334052218688011</v>
      </c>
      <c r="N71" s="47" t="n">
        <f aca="false">IF(G71="","",MIN(1,G71+1.96*L71/100))</f>
        <v>0.443725559089767</v>
      </c>
      <c r="O71" s="66" t="n">
        <f aca="false">ROUND(S71*W71,0)</f>
        <v>26</v>
      </c>
      <c r="P71" s="66" t="n">
        <f aca="false">IF(F71="","",ROUND(SQRT((F71*L71/100)^2+(G71*O71)^2),0))</f>
        <v>14</v>
      </c>
      <c r="R71" s="67" t="n">
        <v>-3.49575860437357</v>
      </c>
      <c r="S71" s="68" t="n">
        <f aca="false">U71*V71*$F$5</f>
        <v>360.236842105263</v>
      </c>
      <c r="T71" s="69" t="n">
        <f aca="false">MAX(0,MIN(1,R71/100+$D$5))</f>
        <v>0.389475333617703</v>
      </c>
      <c r="U71" s="69" t="n">
        <v>0.513157894736842</v>
      </c>
      <c r="V71" s="68" t="n">
        <v>702</v>
      </c>
      <c r="W71" s="69" t="n">
        <v>0.0732058935918866</v>
      </c>
      <c r="X71" s="70" t="s">
        <v>193</v>
      </c>
      <c r="Y71" s="70" t="s">
        <v>194</v>
      </c>
    </row>
    <row r="72" customFormat="false" ht="15" hidden="false" customHeight="false" outlineLevel="0" collapsed="false">
      <c r="A72" s="32" t="s">
        <v>249</v>
      </c>
      <c r="B72" s="32" t="s">
        <v>258</v>
      </c>
      <c r="C72" s="32" t="s">
        <v>191</v>
      </c>
      <c r="D72" s="66" t="n">
        <f aca="false">ROUND(S72*T72,0)</f>
        <v>5185</v>
      </c>
      <c r="E72" s="66" t="n">
        <f aca="false">ROUND(S72,0)-D72</f>
        <v>2112</v>
      </c>
      <c r="F72" s="66" t="n">
        <f aca="false">IF(COUNTA(D72:E72)=0,"",SUM(D72:E72))</f>
        <v>7297</v>
      </c>
      <c r="G72" s="47" t="n">
        <f aca="false">IF(OR(F72="",F72=0),"",D72/F72)</f>
        <v>0.710565986021653</v>
      </c>
      <c r="H72" s="47" t="n">
        <f aca="false">IF(OR(F72="",F72=0),"",E72/F72)</f>
        <v>0.289434013978347</v>
      </c>
      <c r="I72" s="32" t="s">
        <v>192</v>
      </c>
      <c r="J72" s="36" t="n">
        <v>1.45633855732547</v>
      </c>
      <c r="K72" s="36" t="n">
        <f aca="false">$K$8</f>
        <v>1.02577399392356</v>
      </c>
      <c r="L72" s="36" t="n">
        <f aca="false">SQRT(J72^2+K72^2)</f>
        <v>1.78132935757617</v>
      </c>
      <c r="M72" s="47" t="n">
        <f aca="false">IF(G72="","",MAX(0,G72-1.96*L72/100))</f>
        <v>0.67565193061316</v>
      </c>
      <c r="N72" s="47" t="n">
        <f aca="false">IF(G72="","",MIN(1,G72+1.96*L72/100))</f>
        <v>0.745480041430146</v>
      </c>
      <c r="O72" s="66" t="n">
        <f aca="false">ROUND(S72*W72,0)</f>
        <v>355</v>
      </c>
      <c r="P72" s="66" t="n">
        <f aca="false">IF(F72="","",ROUND(SQRT((F72*L72/100)^2+(G72*O72)^2),0))</f>
        <v>284</v>
      </c>
      <c r="R72" s="67" t="n">
        <v>28.6113198127901</v>
      </c>
      <c r="S72" s="68" t="n">
        <f aca="false">U72*V72*$F$5</f>
        <v>7297.15979682392</v>
      </c>
      <c r="T72" s="69" t="n">
        <f aca="false">MAX(0,MIN(1,R72/100+$D$5))</f>
        <v>0.71054611778934</v>
      </c>
      <c r="U72" s="69" t="n">
        <v>0.414117234936945</v>
      </c>
      <c r="V72" s="68" t="n">
        <v>17621</v>
      </c>
      <c r="W72" s="69" t="n">
        <v>0.0485820274397165</v>
      </c>
      <c r="X72" s="70" t="s">
        <v>214</v>
      </c>
      <c r="Y72" s="70" t="s">
        <v>194</v>
      </c>
    </row>
    <row r="73" customFormat="false" ht="15" hidden="false" customHeight="false" outlineLevel="0" collapsed="false">
      <c r="A73" s="32" t="s">
        <v>249</v>
      </c>
      <c r="B73" s="32" t="s">
        <v>259</v>
      </c>
      <c r="C73" s="32" t="s">
        <v>191</v>
      </c>
      <c r="D73" s="66" t="n">
        <f aca="false">ROUND(S73*T73,0)</f>
        <v>4207</v>
      </c>
      <c r="E73" s="66" t="n">
        <f aca="false">ROUND(S73,0)-D73</f>
        <v>3968</v>
      </c>
      <c r="F73" s="66" t="n">
        <f aca="false">IF(COUNTA(D73:E73)=0,"",SUM(D73:E73))</f>
        <v>8175</v>
      </c>
      <c r="G73" s="47" t="n">
        <f aca="false">IF(OR(F73="",F73=0),"",D73/F73)</f>
        <v>0.514617737003058</v>
      </c>
      <c r="H73" s="47" t="n">
        <f aca="false">IF(OR(F73="",F73=0),"",E73/F73)</f>
        <v>0.485382262996942</v>
      </c>
      <c r="I73" s="32" t="s">
        <v>192</v>
      </c>
      <c r="J73" s="36" t="n">
        <v>1.45633855732547</v>
      </c>
      <c r="K73" s="36" t="n">
        <f aca="false">$K$8</f>
        <v>1.02577399392356</v>
      </c>
      <c r="L73" s="36" t="n">
        <f aca="false">SQRT(J73^2+K73^2)</f>
        <v>1.78132935757617</v>
      </c>
      <c r="M73" s="47" t="n">
        <f aca="false">IF(G73="","",MAX(0,G73-1.96*L73/100))</f>
        <v>0.479703681594565</v>
      </c>
      <c r="N73" s="47" t="n">
        <f aca="false">IF(G73="","",MIN(1,G73+1.96*L73/100))</f>
        <v>0.549531792411551</v>
      </c>
      <c r="O73" s="66" t="n">
        <f aca="false">ROUND(S73*W73,0)</f>
        <v>397</v>
      </c>
      <c r="P73" s="66" t="n">
        <f aca="false">IF(F73="","",ROUND(SQRT((F73*L73/100)^2+(G73*O73)^2),0))</f>
        <v>251</v>
      </c>
      <c r="R73" s="67" t="n">
        <v>9.01239460482072</v>
      </c>
      <c r="S73" s="68" t="n">
        <f aca="false">U73*V73*$F$5</f>
        <v>8175.00272606901</v>
      </c>
      <c r="T73" s="69" t="n">
        <f aca="false">MAX(0,MIN(1,R73/100+$D$5))</f>
        <v>0.514556865709646</v>
      </c>
      <c r="U73" s="69" t="n">
        <v>0.618428226497391</v>
      </c>
      <c r="V73" s="68" t="n">
        <v>13219</v>
      </c>
      <c r="W73" s="69" t="n">
        <v>0.0485820274397165</v>
      </c>
      <c r="X73" s="70" t="s">
        <v>214</v>
      </c>
      <c r="Y73" s="70" t="s">
        <v>194</v>
      </c>
    </row>
    <row r="74" customFormat="false" ht="15" hidden="false" customHeight="false" outlineLevel="0" collapsed="false">
      <c r="A74" s="32" t="s">
        <v>249</v>
      </c>
      <c r="B74" s="32" t="s">
        <v>260</v>
      </c>
      <c r="C74" s="32" t="s">
        <v>191</v>
      </c>
      <c r="D74" s="66" t="n">
        <f aca="false">ROUND(S74*T74,0)</f>
        <v>489</v>
      </c>
      <c r="E74" s="66" t="n">
        <f aca="false">ROUND(S74,0)-D74</f>
        <v>322</v>
      </c>
      <c r="F74" s="66" t="n">
        <f aca="false">IF(COUNTA(D74:E74)=0,"",SUM(D74:E74))</f>
        <v>811</v>
      </c>
      <c r="G74" s="47" t="n">
        <f aca="false">IF(OR(F74="",F74=0),"",D74/F74)</f>
        <v>0.602959309494451</v>
      </c>
      <c r="H74" s="47" t="n">
        <f aca="false">IF(OR(F74="",F74=0),"",E74/F74)</f>
        <v>0.397040690505549</v>
      </c>
      <c r="I74" s="32" t="s">
        <v>192</v>
      </c>
      <c r="J74" s="36" t="n">
        <v>2.60296228516591</v>
      </c>
      <c r="K74" s="36" t="n">
        <f aca="false">$K$8</f>
        <v>1.02577399392356</v>
      </c>
      <c r="L74" s="36" t="n">
        <f aca="false">SQRT(J74^2+K74^2)</f>
        <v>2.79778929596316</v>
      </c>
      <c r="M74" s="47" t="n">
        <f aca="false">IF(G74="","",MAX(0,G74-1.96*L74/100))</f>
        <v>0.548122639293573</v>
      </c>
      <c r="N74" s="47" t="n">
        <f aca="false">IF(G74="","",MIN(1,G74+1.96*L74/100))</f>
        <v>0.657795979695329</v>
      </c>
      <c r="O74" s="66" t="n">
        <f aca="false">ROUND(S74*W74,0)</f>
        <v>59</v>
      </c>
      <c r="P74" s="66" t="n">
        <f aca="false">IF(F74="","",ROUND(SQRT((F74*L74/100)^2+(G74*O74)^2),0))</f>
        <v>42</v>
      </c>
      <c r="R74" s="67" t="n">
        <v>17.8491202249563</v>
      </c>
      <c r="S74" s="68" t="n">
        <f aca="false">U74*V74*$F$5</f>
        <v>811.272251308901</v>
      </c>
      <c r="T74" s="69" t="n">
        <f aca="false">MAX(0,MIN(1,R74/100+$D$5))</f>
        <v>0.602924121911002</v>
      </c>
      <c r="U74" s="69" t="n">
        <v>0.424083769633508</v>
      </c>
      <c r="V74" s="68" t="n">
        <v>1913</v>
      </c>
      <c r="W74" s="69" t="n">
        <v>0.0732058935918866</v>
      </c>
      <c r="X74" s="70" t="s">
        <v>193</v>
      </c>
      <c r="Y74" s="70" t="s">
        <v>194</v>
      </c>
    </row>
    <row r="75" customFormat="false" ht="15" hidden="false" customHeight="false" outlineLevel="0" collapsed="false">
      <c r="A75" s="32" t="s">
        <v>249</v>
      </c>
      <c r="B75" s="32" t="s">
        <v>261</v>
      </c>
      <c r="C75" s="32" t="s">
        <v>191</v>
      </c>
      <c r="D75" s="66" t="n">
        <f aca="false">ROUND(S75*T75,0)</f>
        <v>75</v>
      </c>
      <c r="E75" s="66" t="n">
        <f aca="false">ROUND(S75,0)-D75</f>
        <v>69</v>
      </c>
      <c r="F75" s="66" t="n">
        <f aca="false">IF(COUNTA(D75:E75)=0,"",SUM(D75:E75))</f>
        <v>144</v>
      </c>
      <c r="G75" s="47" t="n">
        <f aca="false">IF(OR(F75="",F75=0),"",D75/F75)</f>
        <v>0.520833333333333</v>
      </c>
      <c r="H75" s="47" t="n">
        <f aca="false">IF(OR(F75="",F75=0),"",E75/F75)</f>
        <v>0.479166666666667</v>
      </c>
      <c r="I75" s="32" t="s">
        <v>192</v>
      </c>
      <c r="J75" s="36" t="n">
        <v>2.60296228516591</v>
      </c>
      <c r="K75" s="36" t="n">
        <f aca="false">$K$8</f>
        <v>1.02577399392356</v>
      </c>
      <c r="L75" s="36" t="n">
        <f aca="false">SQRT(J75^2+K75^2)</f>
        <v>2.79778929596316</v>
      </c>
      <c r="M75" s="47" t="n">
        <f aca="false">IF(G75="","",MAX(0,G75-1.96*L75/100))</f>
        <v>0.465996663132455</v>
      </c>
      <c r="N75" s="47" t="n">
        <f aca="false">IF(G75="","",MIN(1,G75+1.96*L75/100))</f>
        <v>0.575670003534211</v>
      </c>
      <c r="O75" s="66" t="n">
        <f aca="false">ROUND(S75*W75,0)</f>
        <v>11</v>
      </c>
      <c r="P75" s="66" t="n">
        <f aca="false">IF(F75="","",ROUND(SQRT((F75*L75/100)^2+(G75*O75)^2),0))</f>
        <v>7</v>
      </c>
      <c r="R75" s="67" t="n">
        <v>9.54354604342696</v>
      </c>
      <c r="S75" s="68" t="n">
        <f aca="false">U75*V75*$F$5</f>
        <v>143.630597014925</v>
      </c>
      <c r="T75" s="69" t="n">
        <f aca="false">MAX(0,MIN(1,R75/100+$D$5))</f>
        <v>0.519868380095709</v>
      </c>
      <c r="U75" s="69" t="n">
        <v>0.526119402985075</v>
      </c>
      <c r="V75" s="68" t="n">
        <v>273</v>
      </c>
      <c r="W75" s="69" t="n">
        <v>0.0732058935918866</v>
      </c>
      <c r="X75" s="70" t="s">
        <v>193</v>
      </c>
      <c r="Y75" s="70" t="s">
        <v>194</v>
      </c>
    </row>
    <row r="76" customFormat="false" ht="15" hidden="false" customHeight="false" outlineLevel="0" collapsed="false">
      <c r="A76" s="32" t="s">
        <v>249</v>
      </c>
      <c r="B76" s="32" t="s">
        <v>228</v>
      </c>
      <c r="C76" s="32" t="s">
        <v>191</v>
      </c>
      <c r="D76" s="66" t="n">
        <f aca="false">ROUND(S76*T76,0)</f>
        <v>3452</v>
      </c>
      <c r="E76" s="66" t="n">
        <f aca="false">ROUND(S76,0)-D76</f>
        <v>2971</v>
      </c>
      <c r="F76" s="66" t="n">
        <f aca="false">IF(COUNTA(D76:E76)=0,"",SUM(D76:E76))</f>
        <v>6423</v>
      </c>
      <c r="G76" s="47" t="n">
        <f aca="false">IF(OR(F76="",F76=0),"",D76/F76)</f>
        <v>0.53744356219835</v>
      </c>
      <c r="H76" s="47" t="n">
        <f aca="false">IF(OR(F76="",F76=0),"",E76/F76)</f>
        <v>0.46255643780165</v>
      </c>
      <c r="I76" s="32" t="s">
        <v>192</v>
      </c>
      <c r="J76" s="36" t="n">
        <v>1.45633855732547</v>
      </c>
      <c r="K76" s="36" t="n">
        <f aca="false">$K$8</f>
        <v>1.02577399392356</v>
      </c>
      <c r="L76" s="36" t="n">
        <f aca="false">SQRT(J76^2+K76^2)</f>
        <v>1.78132935757617</v>
      </c>
      <c r="M76" s="47" t="n">
        <f aca="false">IF(G76="","",MAX(0,G76-1.96*L76/100))</f>
        <v>0.502529506789857</v>
      </c>
      <c r="N76" s="47" t="n">
        <f aca="false">IF(G76="","",MIN(1,G76+1.96*L76/100))</f>
        <v>0.572357617606843</v>
      </c>
      <c r="O76" s="66" t="n">
        <f aca="false">ROUND(S76*W76,0)</f>
        <v>312</v>
      </c>
      <c r="P76" s="66" t="n">
        <f aca="false">IF(F76="","",ROUND(SQRT((F76*L76/100)^2+(G76*O76)^2),0))</f>
        <v>203</v>
      </c>
      <c r="R76" s="67" t="n">
        <v>11.3007754693402</v>
      </c>
      <c r="S76" s="68" t="n">
        <f aca="false">U76*V76*$F$5</f>
        <v>6422.70106427379</v>
      </c>
      <c r="T76" s="69" t="n">
        <f aca="false">MAX(0,MIN(1,R76/100+$D$5))</f>
        <v>0.537440674354841</v>
      </c>
      <c r="U76" s="69" t="n">
        <v>0.673309682804674</v>
      </c>
      <c r="V76" s="68" t="n">
        <v>9539</v>
      </c>
      <c r="W76" s="69" t="n">
        <v>0.0485820274397165</v>
      </c>
      <c r="X76" s="70" t="s">
        <v>214</v>
      </c>
      <c r="Y76" s="70" t="s">
        <v>194</v>
      </c>
    </row>
    <row r="77" customFormat="false" ht="15" hidden="false" customHeight="false" outlineLevel="0" collapsed="false">
      <c r="A77" s="32" t="s">
        <v>249</v>
      </c>
      <c r="B77" s="32" t="s">
        <v>262</v>
      </c>
      <c r="C77" s="32" t="s">
        <v>191</v>
      </c>
      <c r="D77" s="66" t="n">
        <f aca="false">ROUND(S77*T77,0)</f>
        <v>1372</v>
      </c>
      <c r="E77" s="66" t="n">
        <f aca="false">ROUND(S77,0)-D77</f>
        <v>1256</v>
      </c>
      <c r="F77" s="66" t="n">
        <f aca="false">IF(COUNTA(D77:E77)=0,"",SUM(D77:E77))</f>
        <v>2628</v>
      </c>
      <c r="G77" s="47" t="n">
        <f aca="false">IF(OR(F77="",F77=0),"",D77/F77)</f>
        <v>0.5220700152207</v>
      </c>
      <c r="H77" s="47" t="n">
        <f aca="false">IF(OR(F77="",F77=0),"",E77/F77)</f>
        <v>0.4779299847793</v>
      </c>
      <c r="I77" s="32" t="s">
        <v>192</v>
      </c>
      <c r="J77" s="36" t="n">
        <v>1.44715751761421</v>
      </c>
      <c r="K77" s="36" t="n">
        <f aca="false">$K$8</f>
        <v>1.02577399392356</v>
      </c>
      <c r="L77" s="36" t="n">
        <f aca="false">SQRT(J77^2+K77^2)</f>
        <v>1.77383121164253</v>
      </c>
      <c r="M77" s="47" t="n">
        <f aca="false">IF(G77="","",MAX(0,G77-1.96*L77/100))</f>
        <v>0.487302923472507</v>
      </c>
      <c r="N77" s="47" t="n">
        <f aca="false">IF(G77="","",MIN(1,G77+1.96*L77/100))</f>
        <v>0.556837106968894</v>
      </c>
      <c r="O77" s="66" t="n">
        <f aca="false">ROUND(S77*W77,0)</f>
        <v>144</v>
      </c>
      <c r="P77" s="66" t="n">
        <f aca="false">IF(F77="","",ROUND(SQRT((F77*L77/100)^2+(G77*O77)^2),0))</f>
        <v>88</v>
      </c>
      <c r="R77" s="67" t="n">
        <v>9.77854779962132</v>
      </c>
      <c r="S77" s="68" t="n">
        <f aca="false">U77*V77*$F$5</f>
        <v>2628.02463970246</v>
      </c>
      <c r="T77" s="69" t="n">
        <f aca="false">MAX(0,MIN(1,R77/100+$D$5))</f>
        <v>0.522218397657652</v>
      </c>
      <c r="U77" s="69" t="n">
        <v>0.598093909809391</v>
      </c>
      <c r="V77" s="68" t="n">
        <v>4394</v>
      </c>
      <c r="W77" s="69" t="n">
        <v>0.0547268472736556</v>
      </c>
      <c r="X77" s="70" t="s">
        <v>198</v>
      </c>
      <c r="Y77" s="70" t="s">
        <v>194</v>
      </c>
    </row>
    <row r="78" customFormat="false" ht="15" hidden="false" customHeight="false" outlineLevel="0" collapsed="false">
      <c r="A78" s="32" t="s">
        <v>249</v>
      </c>
      <c r="B78" s="32" t="s">
        <v>263</v>
      </c>
      <c r="C78" s="32" t="s">
        <v>191</v>
      </c>
      <c r="D78" s="66" t="n">
        <f aca="false">ROUND(S78*T78,0)</f>
        <v>1809</v>
      </c>
      <c r="E78" s="66" t="n">
        <f aca="false">ROUND(S78,0)-D78</f>
        <v>3530</v>
      </c>
      <c r="F78" s="66" t="n">
        <f aca="false">IF(COUNTA(D78:E78)=0,"",SUM(D78:E78))</f>
        <v>5339</v>
      </c>
      <c r="G78" s="47" t="n">
        <f aca="false">IF(OR(F78="",F78=0),"",D78/F78)</f>
        <v>0.338827495785728</v>
      </c>
      <c r="H78" s="47" t="n">
        <f aca="false">IF(OR(F78="",F78=0),"",E78/F78)</f>
        <v>0.661172504214272</v>
      </c>
      <c r="I78" s="32" t="s">
        <v>192</v>
      </c>
      <c r="J78" s="36" t="n">
        <v>1.45633855732547</v>
      </c>
      <c r="K78" s="36" t="n">
        <f aca="false">$K$8</f>
        <v>1.02577399392356</v>
      </c>
      <c r="L78" s="36" t="n">
        <f aca="false">SQRT(J78^2+K78^2)</f>
        <v>1.78132935757617</v>
      </c>
      <c r="M78" s="47" t="n">
        <f aca="false">IF(G78="","",MAX(0,G78-1.96*L78/100))</f>
        <v>0.303913440377235</v>
      </c>
      <c r="N78" s="47" t="n">
        <f aca="false">IF(G78="","",MIN(1,G78+1.96*L78/100))</f>
        <v>0.373741551194221</v>
      </c>
      <c r="O78" s="66" t="n">
        <f aca="false">ROUND(S78*W78,0)</f>
        <v>259</v>
      </c>
      <c r="P78" s="66" t="n">
        <f aca="false">IF(F78="","",ROUND(SQRT((F78*L78/100)^2+(G78*O78)^2),0))</f>
        <v>129</v>
      </c>
      <c r="R78" s="67" t="n">
        <v>-8.56321579638442</v>
      </c>
      <c r="S78" s="68" t="n">
        <f aca="false">U78*V78*$F$5</f>
        <v>5339.13569131833</v>
      </c>
      <c r="T78" s="69" t="n">
        <f aca="false">MAX(0,MIN(1,R78/100+$D$5))</f>
        <v>0.338800761697595</v>
      </c>
      <c r="U78" s="69" t="n">
        <v>0.656720257234727</v>
      </c>
      <c r="V78" s="68" t="n">
        <v>8130</v>
      </c>
      <c r="W78" s="69" t="n">
        <v>0.0485820274397165</v>
      </c>
      <c r="X78" s="70" t="s">
        <v>214</v>
      </c>
      <c r="Y78" s="70" t="s">
        <v>194</v>
      </c>
    </row>
    <row r="79" customFormat="false" ht="15" hidden="false" customHeight="false" outlineLevel="0" collapsed="false">
      <c r="A79" s="32" t="s">
        <v>249</v>
      </c>
      <c r="B79" s="32" t="s">
        <v>264</v>
      </c>
      <c r="C79" s="32" t="s">
        <v>191</v>
      </c>
      <c r="D79" s="66" t="n">
        <f aca="false">ROUND(S79*T79,0)</f>
        <v>505</v>
      </c>
      <c r="E79" s="66" t="n">
        <f aca="false">ROUND(S79,0)-D79</f>
        <v>933</v>
      </c>
      <c r="F79" s="66" t="n">
        <f aca="false">IF(COUNTA(D79:E79)=0,"",SUM(D79:E79))</f>
        <v>1438</v>
      </c>
      <c r="G79" s="47" t="n">
        <f aca="false">IF(OR(F79="",F79=0),"",D79/F79)</f>
        <v>0.351182197496523</v>
      </c>
      <c r="H79" s="47" t="n">
        <f aca="false">IF(OR(F79="",F79=0),"",E79/F79)</f>
        <v>0.648817802503477</v>
      </c>
      <c r="I79" s="32" t="s">
        <v>192</v>
      </c>
      <c r="J79" s="36" t="n">
        <v>1.44715751761421</v>
      </c>
      <c r="K79" s="36" t="n">
        <f aca="false">$K$8</f>
        <v>1.02577399392356</v>
      </c>
      <c r="L79" s="36" t="n">
        <f aca="false">SQRT(J79^2+K79^2)</f>
        <v>1.77383121164253</v>
      </c>
      <c r="M79" s="47" t="n">
        <f aca="false">IF(G79="","",MAX(0,G79-1.96*L79/100))</f>
        <v>0.316415105748329</v>
      </c>
      <c r="N79" s="47" t="n">
        <f aca="false">IF(G79="","",MIN(1,G79+1.96*L79/100))</f>
        <v>0.385949289244717</v>
      </c>
      <c r="O79" s="66" t="n">
        <f aca="false">ROUND(S79*W79,0)</f>
        <v>79</v>
      </c>
      <c r="P79" s="66" t="n">
        <f aca="false">IF(F79="","",ROUND(SQRT((F79*L79/100)^2+(G79*O79)^2),0))</f>
        <v>38</v>
      </c>
      <c r="R79" s="67" t="n">
        <v>-7.29714125319429</v>
      </c>
      <c r="S79" s="68" t="n">
        <f aca="false">U79*V79*$F$5</f>
        <v>1437.5</v>
      </c>
      <c r="T79" s="69" t="n">
        <f aca="false">MAX(0,MIN(1,R79/100+$D$5))</f>
        <v>0.351461507129496</v>
      </c>
      <c r="U79" s="69" t="n">
        <v>0.625</v>
      </c>
      <c r="V79" s="68" t="n">
        <v>2300</v>
      </c>
      <c r="W79" s="69" t="n">
        <v>0.0547268472736556</v>
      </c>
      <c r="X79" s="70" t="s">
        <v>198</v>
      </c>
      <c r="Y79" s="70" t="s">
        <v>194</v>
      </c>
    </row>
    <row r="80" customFormat="false" ht="15" hidden="false" customHeight="false" outlineLevel="0" collapsed="false">
      <c r="A80" s="32" t="s">
        <v>249</v>
      </c>
      <c r="B80" s="32" t="s">
        <v>265</v>
      </c>
      <c r="C80" s="32" t="s">
        <v>191</v>
      </c>
      <c r="D80" s="66" t="n">
        <f aca="false">ROUND(S80*T80,0)</f>
        <v>1600</v>
      </c>
      <c r="E80" s="66" t="n">
        <f aca="false">ROUND(S80,0)-D80</f>
        <v>2122</v>
      </c>
      <c r="F80" s="66" t="n">
        <f aca="false">IF(COUNTA(D80:E80)=0,"",SUM(D80:E80))</f>
        <v>3722</v>
      </c>
      <c r="G80" s="47" t="n">
        <f aca="false">IF(OR(F80="",F80=0),"",D80/F80)</f>
        <v>0.429876410531972</v>
      </c>
      <c r="H80" s="47" t="n">
        <f aca="false">IF(OR(F80="",F80=0),"",E80/F80)</f>
        <v>0.570123589468028</v>
      </c>
      <c r="I80" s="32" t="s">
        <v>192</v>
      </c>
      <c r="J80" s="36" t="n">
        <v>1.45633855732547</v>
      </c>
      <c r="K80" s="36" t="n">
        <f aca="false">$K$8</f>
        <v>1.02577399392356</v>
      </c>
      <c r="L80" s="36" t="n">
        <f aca="false">SQRT(J80^2+K80^2)</f>
        <v>1.78132935757617</v>
      </c>
      <c r="M80" s="47" t="n">
        <f aca="false">IF(G80="","",MAX(0,G80-1.96*L80/100))</f>
        <v>0.394962355123479</v>
      </c>
      <c r="N80" s="47" t="n">
        <f aca="false">IF(G80="","",MIN(1,G80+1.96*L80/100))</f>
        <v>0.464790465940465</v>
      </c>
      <c r="O80" s="66" t="n">
        <f aca="false">ROUND(S80*W80,0)</f>
        <v>181</v>
      </c>
      <c r="P80" s="66" t="n">
        <f aca="false">IF(F80="","",ROUND(SQRT((F80*L80/100)^2+(G80*O80)^2),0))</f>
        <v>102</v>
      </c>
      <c r="R80" s="67" t="n">
        <v>0.543679549167765</v>
      </c>
      <c r="S80" s="68" t="n">
        <f aca="false">U80*V80*$F$5</f>
        <v>3721.57991120977</v>
      </c>
      <c r="T80" s="69" t="n">
        <f aca="false">MAX(0,MIN(1,R80/100+$D$5))</f>
        <v>0.429869715153117</v>
      </c>
      <c r="U80" s="69" t="n">
        <v>0.684239733629301</v>
      </c>
      <c r="V80" s="68" t="n">
        <v>5439</v>
      </c>
      <c r="W80" s="69" t="n">
        <v>0.0485820274397165</v>
      </c>
      <c r="X80" s="70" t="s">
        <v>214</v>
      </c>
      <c r="Y80" s="70" t="s">
        <v>194</v>
      </c>
    </row>
    <row r="81" customFormat="false" ht="15" hidden="false" customHeight="false" outlineLevel="0" collapsed="false">
      <c r="A81" s="32" t="s">
        <v>249</v>
      </c>
      <c r="B81" s="32" t="s">
        <v>266</v>
      </c>
      <c r="C81" s="32" t="s">
        <v>191</v>
      </c>
      <c r="D81" s="66" t="n">
        <f aca="false">ROUND(S81*T81,0)</f>
        <v>2864</v>
      </c>
      <c r="E81" s="66" t="n">
        <f aca="false">ROUND(S81,0)-D81</f>
        <v>3060</v>
      </c>
      <c r="F81" s="66" t="n">
        <f aca="false">IF(COUNTA(D81:E81)=0,"",SUM(D81:E81))</f>
        <v>5924</v>
      </c>
      <c r="G81" s="47" t="n">
        <f aca="false">IF(OR(F81="",F81=0),"",D81/F81)</f>
        <v>0.483457123565159</v>
      </c>
      <c r="H81" s="47" t="n">
        <f aca="false">IF(OR(F81="",F81=0),"",E81/F81)</f>
        <v>0.516542876434841</v>
      </c>
      <c r="I81" s="32" t="s">
        <v>192</v>
      </c>
      <c r="J81" s="36" t="n">
        <v>1.45633855732547</v>
      </c>
      <c r="K81" s="36" t="n">
        <f aca="false">$K$8</f>
        <v>1.02577399392356</v>
      </c>
      <c r="L81" s="36" t="n">
        <f aca="false">SQRT(J81^2+K81^2)</f>
        <v>1.78132935757617</v>
      </c>
      <c r="M81" s="47" t="n">
        <f aca="false">IF(G81="","",MAX(0,G81-1.96*L81/100))</f>
        <v>0.448543068156666</v>
      </c>
      <c r="N81" s="47" t="n">
        <f aca="false">IF(G81="","",MIN(1,G81+1.96*L81/100))</f>
        <v>0.518371178973652</v>
      </c>
      <c r="O81" s="66" t="n">
        <f aca="false">ROUND(S81*W81,0)</f>
        <v>288</v>
      </c>
      <c r="P81" s="66" t="n">
        <f aca="false">IF(F81="","",ROUND(SQRT((F81*L81/100)^2+(G81*O81)^2),0))</f>
        <v>175</v>
      </c>
      <c r="R81" s="67" t="n">
        <v>5.90625709011697</v>
      </c>
      <c r="S81" s="68" t="n">
        <f aca="false">U81*V81*$F$5</f>
        <v>5924.29823361823</v>
      </c>
      <c r="T81" s="69" t="n">
        <f aca="false">MAX(0,MIN(1,R81/100+$D$5))</f>
        <v>0.483495490562609</v>
      </c>
      <c r="U81" s="69" t="n">
        <v>0.675441595441595</v>
      </c>
      <c r="V81" s="68" t="n">
        <v>8771</v>
      </c>
      <c r="W81" s="69" t="n">
        <v>0.0485820274397165</v>
      </c>
      <c r="X81" s="70" t="s">
        <v>214</v>
      </c>
      <c r="Y81" s="70" t="s">
        <v>194</v>
      </c>
    </row>
    <row r="82" customFormat="false" ht="15" hidden="false" customHeight="false" outlineLevel="0" collapsed="false">
      <c r="A82" s="32" t="s">
        <v>249</v>
      </c>
      <c r="B82" s="32" t="s">
        <v>267</v>
      </c>
      <c r="C82" s="32" t="s">
        <v>191</v>
      </c>
      <c r="D82" s="66" t="n">
        <f aca="false">ROUND(S82*T82,0)</f>
        <v>1631</v>
      </c>
      <c r="E82" s="66" t="n">
        <f aca="false">ROUND(S82,0)-D82</f>
        <v>3217</v>
      </c>
      <c r="F82" s="66" t="n">
        <f aca="false">IF(COUNTA(D82:E82)=0,"",SUM(D82:E82))</f>
        <v>4848</v>
      </c>
      <c r="G82" s="47" t="n">
        <f aca="false">IF(OR(F82="",F82=0),"",D82/F82)</f>
        <v>0.336427392739274</v>
      </c>
      <c r="H82" s="47" t="n">
        <f aca="false">IF(OR(F82="",F82=0),"",E82/F82)</f>
        <v>0.663572607260726</v>
      </c>
      <c r="I82" s="32" t="s">
        <v>192</v>
      </c>
      <c r="J82" s="36" t="n">
        <v>1.45633855732547</v>
      </c>
      <c r="K82" s="36" t="n">
        <f aca="false">$K$8</f>
        <v>1.02577399392356</v>
      </c>
      <c r="L82" s="36" t="n">
        <f aca="false">SQRT(J82^2+K82^2)</f>
        <v>1.78132935757617</v>
      </c>
      <c r="M82" s="47" t="n">
        <f aca="false">IF(G82="","",MAX(0,G82-1.96*L82/100))</f>
        <v>0.301513337330781</v>
      </c>
      <c r="N82" s="47" t="n">
        <f aca="false">IF(G82="","",MIN(1,G82+1.96*L82/100))</f>
        <v>0.371341448147767</v>
      </c>
      <c r="O82" s="66" t="n">
        <f aca="false">ROUND(S82*W82,0)</f>
        <v>236</v>
      </c>
      <c r="P82" s="66" t="n">
        <f aca="false">IF(F82="","",ROUND(SQRT((F82*L82/100)^2+(G82*O82)^2),0))</f>
        <v>117</v>
      </c>
      <c r="R82" s="67" t="n">
        <v>-8.80555743880873</v>
      </c>
      <c r="S82" s="68" t="n">
        <f aca="false">U82*V82*$F$5</f>
        <v>4848.29721362229</v>
      </c>
      <c r="T82" s="69" t="n">
        <f aca="false">MAX(0,MIN(1,R82/100+$D$5))</f>
        <v>0.336377345273352</v>
      </c>
      <c r="U82" s="69" t="n">
        <v>0.668730650154799</v>
      </c>
      <c r="V82" s="68" t="n">
        <v>7250</v>
      </c>
      <c r="W82" s="69" t="n">
        <v>0.0485820274397165</v>
      </c>
      <c r="X82" s="70" t="s">
        <v>214</v>
      </c>
      <c r="Y82" s="70" t="s">
        <v>194</v>
      </c>
    </row>
    <row r="83" customFormat="false" ht="15" hidden="false" customHeight="false" outlineLevel="0" collapsed="false">
      <c r="A83" s="32" t="s">
        <v>249</v>
      </c>
      <c r="B83" s="32" t="s">
        <v>268</v>
      </c>
      <c r="C83" s="32" t="s">
        <v>191</v>
      </c>
      <c r="D83" s="66" t="n">
        <f aca="false">ROUND(S83*T83,0)</f>
        <v>1256</v>
      </c>
      <c r="E83" s="66" t="n">
        <f aca="false">ROUND(S83,0)-D83</f>
        <v>1259</v>
      </c>
      <c r="F83" s="66" t="n">
        <f aca="false">IF(COUNTA(D83:E83)=0,"",SUM(D83:E83))</f>
        <v>2515</v>
      </c>
      <c r="G83" s="47" t="n">
        <f aca="false">IF(OR(F83="",F83=0),"",D83/F83)</f>
        <v>0.499403578528827</v>
      </c>
      <c r="H83" s="47" t="n">
        <f aca="false">IF(OR(F83="",F83=0),"",E83/F83)</f>
        <v>0.500596421471173</v>
      </c>
      <c r="I83" s="32" t="s">
        <v>192</v>
      </c>
      <c r="J83" s="36" t="n">
        <v>1.44715751761421</v>
      </c>
      <c r="K83" s="36" t="n">
        <f aca="false">$K$8</f>
        <v>1.02577399392356</v>
      </c>
      <c r="L83" s="36" t="n">
        <f aca="false">SQRT(J83^2+K83^2)</f>
        <v>1.77383121164253</v>
      </c>
      <c r="M83" s="47" t="n">
        <f aca="false">IF(G83="","",MAX(0,G83-1.96*L83/100))</f>
        <v>0.464636486780633</v>
      </c>
      <c r="N83" s="47" t="n">
        <f aca="false">IF(G83="","",MIN(1,G83+1.96*L83/100))</f>
        <v>0.534170670277021</v>
      </c>
      <c r="O83" s="66" t="n">
        <f aca="false">ROUND(S83*W83,0)</f>
        <v>138</v>
      </c>
      <c r="P83" s="66" t="n">
        <f aca="false">IF(F83="","",ROUND(SQRT((F83*L83/100)^2+(G83*O83)^2),0))</f>
        <v>82</v>
      </c>
      <c r="R83" s="67" t="n">
        <v>7.50835722018656</v>
      </c>
      <c r="S83" s="68" t="n">
        <f aca="false">U83*V83*$F$5</f>
        <v>2514.75925477861</v>
      </c>
      <c r="T83" s="69" t="n">
        <f aca="false">MAX(0,MIN(1,R83/100+$D$5))</f>
        <v>0.499516491863305</v>
      </c>
      <c r="U83" s="69" t="n">
        <v>0.595209291071861</v>
      </c>
      <c r="V83" s="68" t="n">
        <v>4225</v>
      </c>
      <c r="W83" s="69" t="n">
        <v>0.0547268472736556</v>
      </c>
      <c r="X83" s="70" t="s">
        <v>198</v>
      </c>
      <c r="Y83" s="70" t="s">
        <v>194</v>
      </c>
    </row>
    <row r="84" customFormat="false" ht="15" hidden="false" customHeight="false" outlineLevel="0" collapsed="false">
      <c r="A84" s="32" t="s">
        <v>249</v>
      </c>
      <c r="B84" s="32" t="s">
        <v>269</v>
      </c>
      <c r="C84" s="32" t="s">
        <v>191</v>
      </c>
      <c r="D84" s="66" t="n">
        <f aca="false">ROUND(S84*T84,0)</f>
        <v>693</v>
      </c>
      <c r="E84" s="66" t="n">
        <f aca="false">ROUND(S84,0)-D84</f>
        <v>735</v>
      </c>
      <c r="F84" s="66" t="n">
        <f aca="false">IF(COUNTA(D84:E84)=0,"",SUM(D84:E84))</f>
        <v>1428</v>
      </c>
      <c r="G84" s="47" t="n">
        <f aca="false">IF(OR(F84="",F84=0),"",D84/F84)</f>
        <v>0.485294117647059</v>
      </c>
      <c r="H84" s="47" t="n">
        <f aca="false">IF(OR(F84="",F84=0),"",E84/F84)</f>
        <v>0.514705882352941</v>
      </c>
      <c r="I84" s="32" t="s">
        <v>192</v>
      </c>
      <c r="J84" s="36" t="n">
        <v>1.44715751761421</v>
      </c>
      <c r="K84" s="36" t="n">
        <f aca="false">$K$8</f>
        <v>1.02577399392356</v>
      </c>
      <c r="L84" s="36" t="n">
        <f aca="false">SQRT(J84^2+K84^2)</f>
        <v>1.77383121164253</v>
      </c>
      <c r="M84" s="47" t="n">
        <f aca="false">IF(G84="","",MAX(0,G84-1.96*L84/100))</f>
        <v>0.450527025898865</v>
      </c>
      <c r="N84" s="47" t="n">
        <f aca="false">IF(G84="","",MIN(1,G84+1.96*L84/100))</f>
        <v>0.520061209395253</v>
      </c>
      <c r="O84" s="66" t="n">
        <f aca="false">ROUND(S84*W84,0)</f>
        <v>78</v>
      </c>
      <c r="P84" s="66" t="n">
        <f aca="false">IF(F84="","",ROUND(SQRT((F84*L84/100)^2+(G84*O84)^2),0))</f>
        <v>46</v>
      </c>
      <c r="R84" s="67" t="n">
        <v>6.12752736013735</v>
      </c>
      <c r="S84" s="68" t="n">
        <f aca="false">U84*V84*$F$5</f>
        <v>1427.54656265236</v>
      </c>
      <c r="T84" s="69" t="n">
        <f aca="false">MAX(0,MIN(1,R84/100+$D$5))</f>
        <v>0.485708193262813</v>
      </c>
      <c r="U84" s="69" t="n">
        <v>0.623110677718186</v>
      </c>
      <c r="V84" s="68" t="n">
        <v>2291</v>
      </c>
      <c r="W84" s="69" t="n">
        <v>0.0547268472736556</v>
      </c>
      <c r="X84" s="70" t="s">
        <v>198</v>
      </c>
      <c r="Y84" s="70" t="s">
        <v>194</v>
      </c>
    </row>
    <row r="85" customFormat="false" ht="15" hidden="false" customHeight="false" outlineLevel="0" collapsed="false">
      <c r="A85" s="32" t="s">
        <v>249</v>
      </c>
      <c r="B85" s="32" t="s">
        <v>270</v>
      </c>
      <c r="C85" s="32" t="s">
        <v>191</v>
      </c>
      <c r="D85" s="66" t="n">
        <f aca="false">ROUND(S85*T85,0)</f>
        <v>1968</v>
      </c>
      <c r="E85" s="66" t="n">
        <f aca="false">ROUND(S85,0)-D85</f>
        <v>2196</v>
      </c>
      <c r="F85" s="66" t="n">
        <f aca="false">IF(COUNTA(D85:E85)=0,"",SUM(D85:E85))</f>
        <v>4164</v>
      </c>
      <c r="G85" s="47" t="n">
        <f aca="false">IF(OR(F85="",F85=0),"",D85/F85)</f>
        <v>0.472622478386167</v>
      </c>
      <c r="H85" s="47" t="n">
        <f aca="false">IF(OR(F85="",F85=0),"",E85/F85)</f>
        <v>0.527377521613833</v>
      </c>
      <c r="I85" s="32" t="s">
        <v>192</v>
      </c>
      <c r="J85" s="36" t="n">
        <v>1.45633855732547</v>
      </c>
      <c r="K85" s="36" t="n">
        <f aca="false">$K$8</f>
        <v>1.02577399392356</v>
      </c>
      <c r="L85" s="36" t="n">
        <f aca="false">SQRT(J85^2+K85^2)</f>
        <v>1.78132935757617</v>
      </c>
      <c r="M85" s="47" t="n">
        <f aca="false">IF(G85="","",MAX(0,G85-1.96*L85/100))</f>
        <v>0.437708422977674</v>
      </c>
      <c r="N85" s="47" t="n">
        <f aca="false">IF(G85="","",MIN(1,G85+1.96*L85/100))</f>
        <v>0.50753653379466</v>
      </c>
      <c r="O85" s="66" t="n">
        <f aca="false">ROUND(S85*W85,0)</f>
        <v>202</v>
      </c>
      <c r="P85" s="66" t="n">
        <f aca="false">IF(F85="","",ROUND(SQRT((F85*L85/100)^2+(G85*O85)^2),0))</f>
        <v>121</v>
      </c>
      <c r="R85" s="67" t="n">
        <v>4.8180870879034</v>
      </c>
      <c r="S85" s="68" t="n">
        <f aca="false">U85*V85*$F$5</f>
        <v>4163.88109359178</v>
      </c>
      <c r="T85" s="69" t="n">
        <f aca="false">MAX(0,MIN(1,R85/100+$D$5))</f>
        <v>0.472613790540473</v>
      </c>
      <c r="U85" s="69" t="n">
        <v>0.568060176479097</v>
      </c>
      <c r="V85" s="68" t="n">
        <v>7330</v>
      </c>
      <c r="W85" s="69" t="n">
        <v>0.0485820274397165</v>
      </c>
      <c r="X85" s="70" t="s">
        <v>214</v>
      </c>
      <c r="Y85" s="70" t="s">
        <v>194</v>
      </c>
    </row>
    <row r="86" customFormat="false" ht="15" hidden="false" customHeight="false" outlineLevel="0" collapsed="false">
      <c r="A86" s="32" t="s">
        <v>249</v>
      </c>
      <c r="B86" s="32" t="s">
        <v>271</v>
      </c>
      <c r="C86" s="32" t="s">
        <v>191</v>
      </c>
      <c r="D86" s="66" t="n">
        <f aca="false">ROUND(S86*T86,0)</f>
        <v>5482</v>
      </c>
      <c r="E86" s="66" t="n">
        <f aca="false">ROUND(S86,0)-D86</f>
        <v>5175</v>
      </c>
      <c r="F86" s="66" t="n">
        <f aca="false">IF(COUNTA(D86:E86)=0,"",SUM(D86:E86))</f>
        <v>10657</v>
      </c>
      <c r="G86" s="47" t="n">
        <f aca="false">IF(OR(F86="",F86=0),"",D86/F86)</f>
        <v>0.51440367833349</v>
      </c>
      <c r="H86" s="47" t="n">
        <f aca="false">IF(OR(F86="",F86=0),"",E86/F86)</f>
        <v>0.48559632166651</v>
      </c>
      <c r="I86" s="32" t="s">
        <v>192</v>
      </c>
      <c r="J86" s="36" t="n">
        <v>1.45633855732547</v>
      </c>
      <c r="K86" s="36" t="n">
        <f aca="false">$K$8</f>
        <v>1.02577399392356</v>
      </c>
      <c r="L86" s="36" t="n">
        <f aca="false">SQRT(J86^2+K86^2)</f>
        <v>1.78132935757617</v>
      </c>
      <c r="M86" s="47" t="n">
        <f aca="false">IF(G86="","",MAX(0,G86-1.96*L86/100))</f>
        <v>0.479489622924997</v>
      </c>
      <c r="N86" s="47" t="n">
        <f aca="false">IF(G86="","",MIN(1,G86+1.96*L86/100))</f>
        <v>0.549317733741983</v>
      </c>
      <c r="O86" s="66" t="n">
        <f aca="false">ROUND(S86*W86,0)</f>
        <v>518</v>
      </c>
      <c r="P86" s="66" t="n">
        <f aca="false">IF(F86="","",ROUND(SQRT((F86*L86/100)^2+(G86*O86)^2),0))</f>
        <v>327</v>
      </c>
      <c r="R86" s="67" t="n">
        <v>8.99831044111949</v>
      </c>
      <c r="S86" s="68" t="n">
        <f aca="false">U86*V86*$F$5</f>
        <v>10656.5050635134</v>
      </c>
      <c r="T86" s="69" t="n">
        <f aca="false">MAX(0,MIN(1,R86/100+$D$5))</f>
        <v>0.514416024072634</v>
      </c>
      <c r="U86" s="69" t="n">
        <v>0.603699584382134</v>
      </c>
      <c r="V86" s="68" t="n">
        <v>17652</v>
      </c>
      <c r="W86" s="69" t="n">
        <v>0.0485820274397165</v>
      </c>
      <c r="X86" s="70" t="s">
        <v>214</v>
      </c>
      <c r="Y86" s="70" t="s">
        <v>194</v>
      </c>
    </row>
    <row r="87" customFormat="false" ht="15" hidden="false" customHeight="false" outlineLevel="0" collapsed="false">
      <c r="A87" s="32" t="s">
        <v>249</v>
      </c>
      <c r="B87" s="32" t="s">
        <v>272</v>
      </c>
      <c r="C87" s="32" t="s">
        <v>191</v>
      </c>
      <c r="D87" s="66" t="n">
        <f aca="false">ROUND(S87*T87,0)</f>
        <v>509</v>
      </c>
      <c r="E87" s="66" t="n">
        <f aca="false">ROUND(S87,0)-D87</f>
        <v>853</v>
      </c>
      <c r="F87" s="66" t="n">
        <f aca="false">IF(COUNTA(D87:E87)=0,"",SUM(D87:E87))</f>
        <v>1362</v>
      </c>
      <c r="G87" s="47" t="n">
        <f aca="false">IF(OR(F87="",F87=0),"",D87/F87)</f>
        <v>0.373715124816446</v>
      </c>
      <c r="H87" s="47" t="n">
        <f aca="false">IF(OR(F87="",F87=0),"",E87/F87)</f>
        <v>0.626284875183554</v>
      </c>
      <c r="I87" s="32" t="s">
        <v>192</v>
      </c>
      <c r="J87" s="36" t="n">
        <v>1.44715751761421</v>
      </c>
      <c r="K87" s="36" t="n">
        <f aca="false">$K$8</f>
        <v>1.02577399392356</v>
      </c>
      <c r="L87" s="36" t="n">
        <f aca="false">SQRT(J87^2+K87^2)</f>
        <v>1.77383121164253</v>
      </c>
      <c r="M87" s="47" t="n">
        <f aca="false">IF(G87="","",MAX(0,G87-1.96*L87/100))</f>
        <v>0.338948033068253</v>
      </c>
      <c r="N87" s="47" t="n">
        <f aca="false">IF(G87="","",MIN(1,G87+1.96*L87/100))</f>
        <v>0.40848221656464</v>
      </c>
      <c r="O87" s="66" t="n">
        <f aca="false">ROUND(S87*W87,0)</f>
        <v>75</v>
      </c>
      <c r="P87" s="66" t="n">
        <f aca="false">IF(F87="","",ROUND(SQRT((F87*L87/100)^2+(G87*O87)^2),0))</f>
        <v>37</v>
      </c>
      <c r="R87" s="67" t="n">
        <v>-5.04398255227284</v>
      </c>
      <c r="S87" s="68" t="n">
        <f aca="false">U87*V87*$F$5</f>
        <v>1362.06750324535</v>
      </c>
      <c r="T87" s="69" t="n">
        <f aca="false">MAX(0,MIN(1,R87/100+$D$5))</f>
        <v>0.373993094138711</v>
      </c>
      <c r="U87" s="69" t="n">
        <v>0.55776720034617</v>
      </c>
      <c r="V87" s="68" t="n">
        <v>2442</v>
      </c>
      <c r="W87" s="69" t="n">
        <v>0.0547268472736556</v>
      </c>
      <c r="X87" s="70" t="s">
        <v>198</v>
      </c>
      <c r="Y87" s="70" t="s">
        <v>194</v>
      </c>
    </row>
    <row r="88" customFormat="false" ht="15" hidden="false" customHeight="false" outlineLevel="0" collapsed="false">
      <c r="A88" s="32" t="s">
        <v>249</v>
      </c>
      <c r="B88" s="32" t="s">
        <v>273</v>
      </c>
      <c r="C88" s="32" t="s">
        <v>191</v>
      </c>
      <c r="D88" s="66" t="n">
        <f aca="false">ROUND(S88*T88,0)</f>
        <v>1129</v>
      </c>
      <c r="E88" s="66" t="n">
        <f aca="false">ROUND(S88,0)-D88</f>
        <v>1992</v>
      </c>
      <c r="F88" s="66" t="n">
        <f aca="false">IF(COUNTA(D88:E88)=0,"",SUM(D88:E88))</f>
        <v>3121</v>
      </c>
      <c r="G88" s="47" t="n">
        <f aca="false">IF(OR(F88="",F88=0),"",D88/F88)</f>
        <v>0.361743031079782</v>
      </c>
      <c r="H88" s="47" t="n">
        <f aca="false">IF(OR(F88="",F88=0),"",E88/F88)</f>
        <v>0.638256968920218</v>
      </c>
      <c r="I88" s="32" t="s">
        <v>192</v>
      </c>
      <c r="J88" s="36" t="n">
        <v>1.45633855732547</v>
      </c>
      <c r="K88" s="36" t="n">
        <f aca="false">$K$8</f>
        <v>1.02577399392356</v>
      </c>
      <c r="L88" s="36" t="n">
        <f aca="false">SQRT(J88^2+K88^2)</f>
        <v>1.78132935757617</v>
      </c>
      <c r="M88" s="47" t="n">
        <f aca="false">IF(G88="","",MAX(0,G88-1.96*L88/100))</f>
        <v>0.326828975671289</v>
      </c>
      <c r="N88" s="47" t="n">
        <f aca="false">IF(G88="","",MIN(1,G88+1.96*L88/100))</f>
        <v>0.396657086488275</v>
      </c>
      <c r="O88" s="66" t="n">
        <f aca="false">ROUND(S88*W88,0)</f>
        <v>152</v>
      </c>
      <c r="P88" s="66" t="n">
        <f aca="false">IF(F88="","",ROUND(SQRT((F88*L88/100)^2+(G88*O88)^2),0))</f>
        <v>78</v>
      </c>
      <c r="R88" s="67" t="n">
        <v>-6.26263185735764</v>
      </c>
      <c r="S88" s="68" t="n">
        <f aca="false">U88*V88*$F$5</f>
        <v>3121.34219409283</v>
      </c>
      <c r="T88" s="69" t="n">
        <f aca="false">MAX(0,MIN(1,R88/100+$D$5))</f>
        <v>0.361806601087863</v>
      </c>
      <c r="U88" s="69" t="n">
        <v>0.648523206751055</v>
      </c>
      <c r="V88" s="68" t="n">
        <v>4813</v>
      </c>
      <c r="W88" s="69" t="n">
        <v>0.0485820274397165</v>
      </c>
      <c r="X88" s="70" t="s">
        <v>214</v>
      </c>
      <c r="Y88" s="70" t="s">
        <v>194</v>
      </c>
    </row>
    <row r="89" customFormat="false" ht="15" hidden="false" customHeight="false" outlineLevel="0" collapsed="false">
      <c r="A89" s="32" t="s">
        <v>249</v>
      </c>
      <c r="B89" s="32" t="s">
        <v>274</v>
      </c>
      <c r="C89" s="32" t="s">
        <v>191</v>
      </c>
      <c r="D89" s="66" t="n">
        <f aca="false">ROUND(S89*T89,0)</f>
        <v>67</v>
      </c>
      <c r="E89" s="66" t="n">
        <f aca="false">ROUND(S89,0)-D89</f>
        <v>129</v>
      </c>
      <c r="F89" s="66" t="n">
        <f aca="false">IF(COUNTA(D89:E89)=0,"",SUM(D89:E89))</f>
        <v>196</v>
      </c>
      <c r="G89" s="47" t="n">
        <f aca="false">IF(OR(F89="",F89=0),"",D89/F89)</f>
        <v>0.341836734693878</v>
      </c>
      <c r="H89" s="47" t="n">
        <f aca="false">IF(OR(F89="",F89=0),"",E89/F89)</f>
        <v>0.658163265306123</v>
      </c>
      <c r="I89" s="32" t="s">
        <v>192</v>
      </c>
      <c r="J89" s="36" t="n">
        <v>2.60296228516591</v>
      </c>
      <c r="K89" s="36" t="n">
        <f aca="false">$K$8</f>
        <v>1.02577399392356</v>
      </c>
      <c r="L89" s="36" t="n">
        <f aca="false">SQRT(J89^2+K89^2)</f>
        <v>2.79778929596316</v>
      </c>
      <c r="M89" s="47" t="n">
        <f aca="false">IF(G89="","",MAX(0,G89-1.96*L89/100))</f>
        <v>0.287000064493</v>
      </c>
      <c r="N89" s="47" t="n">
        <f aca="false">IF(G89="","",MIN(1,G89+1.96*L89/100))</f>
        <v>0.396673404894756</v>
      </c>
      <c r="O89" s="66" t="n">
        <f aca="false">ROUND(S89*W89,0)</f>
        <v>14</v>
      </c>
      <c r="P89" s="66" t="n">
        <f aca="false">IF(F89="","",ROUND(SQRT((F89*L89/100)^2+(G89*O89)^2),0))</f>
        <v>7</v>
      </c>
      <c r="R89" s="67" t="n">
        <v>-8.0946731721379</v>
      </c>
      <c r="S89" s="68" t="n">
        <f aca="false">U89*V89*$F$5</f>
        <v>196.10298102981</v>
      </c>
      <c r="T89" s="69" t="n">
        <f aca="false">MAX(0,MIN(1,R89/100+$D$5))</f>
        <v>0.34348618794006</v>
      </c>
      <c r="U89" s="69" t="n">
        <v>0.525745257452575</v>
      </c>
      <c r="V89" s="68" t="n">
        <v>373</v>
      </c>
      <c r="W89" s="69" t="n">
        <v>0.0732058935918866</v>
      </c>
      <c r="X89" s="70" t="s">
        <v>193</v>
      </c>
      <c r="Y89" s="70" t="s">
        <v>194</v>
      </c>
    </row>
    <row r="90" customFormat="false" ht="15" hidden="false" customHeight="false" outlineLevel="0" collapsed="false">
      <c r="A90" s="32" t="s">
        <v>249</v>
      </c>
      <c r="B90" s="32" t="s">
        <v>275</v>
      </c>
      <c r="C90" s="32" t="s">
        <v>191</v>
      </c>
      <c r="D90" s="66" t="n">
        <f aca="false">ROUND(S90*T90,0)</f>
        <v>255</v>
      </c>
      <c r="E90" s="66" t="n">
        <f aca="false">ROUND(S90,0)-D90</f>
        <v>429</v>
      </c>
      <c r="F90" s="66" t="n">
        <f aca="false">IF(COUNTA(D90:E90)=0,"",SUM(D90:E90))</f>
        <v>684</v>
      </c>
      <c r="G90" s="47" t="n">
        <f aca="false">IF(OR(F90="",F90=0),"",D90/F90)</f>
        <v>0.37280701754386</v>
      </c>
      <c r="H90" s="47" t="n">
        <f aca="false">IF(OR(F90="",F90=0),"",E90/F90)</f>
        <v>0.62719298245614</v>
      </c>
      <c r="I90" s="32" t="s">
        <v>192</v>
      </c>
      <c r="J90" s="36" t="n">
        <v>2.60296228516591</v>
      </c>
      <c r="K90" s="36" t="n">
        <f aca="false">$K$8</f>
        <v>1.02577399392356</v>
      </c>
      <c r="L90" s="36" t="n">
        <f aca="false">SQRT(J90^2+K90^2)</f>
        <v>2.79778929596316</v>
      </c>
      <c r="M90" s="47" t="n">
        <f aca="false">IF(G90="","",MAX(0,G90-1.96*L90/100))</f>
        <v>0.317970347342982</v>
      </c>
      <c r="N90" s="47" t="n">
        <f aca="false">IF(G90="","",MIN(1,G90+1.96*L90/100))</f>
        <v>0.427643687744738</v>
      </c>
      <c r="O90" s="66" t="n">
        <f aca="false">ROUND(S90*W90,0)</f>
        <v>50</v>
      </c>
      <c r="P90" s="66" t="n">
        <f aca="false">IF(F90="","",ROUND(SQRT((F90*L90/100)^2+(G90*O90)^2),0))</f>
        <v>27</v>
      </c>
      <c r="R90" s="67" t="n">
        <v>-5.10925963015073</v>
      </c>
      <c r="S90" s="68" t="n">
        <f aca="false">U90*V90*$F$5</f>
        <v>683.952941176471</v>
      </c>
      <c r="T90" s="69" t="n">
        <f aca="false">MAX(0,MIN(1,R90/100+$D$5))</f>
        <v>0.373340323359932</v>
      </c>
      <c r="U90" s="69" t="n">
        <v>0.568067226890756</v>
      </c>
      <c r="V90" s="68" t="n">
        <v>1204</v>
      </c>
      <c r="W90" s="69" t="n">
        <v>0.0732058935918866</v>
      </c>
      <c r="X90" s="70" t="s">
        <v>193</v>
      </c>
      <c r="Y90" s="70" t="s">
        <v>194</v>
      </c>
    </row>
    <row r="91" customFormat="false" ht="15" hidden="false" customHeight="false" outlineLevel="0" collapsed="false">
      <c r="A91" s="32" t="s">
        <v>249</v>
      </c>
      <c r="B91" s="32" t="s">
        <v>276</v>
      </c>
      <c r="C91" s="32" t="s">
        <v>191</v>
      </c>
      <c r="D91" s="66" t="n">
        <f aca="false">ROUND(S91*T91,0)</f>
        <v>159</v>
      </c>
      <c r="E91" s="66" t="n">
        <f aca="false">ROUND(S91,0)-D91</f>
        <v>230</v>
      </c>
      <c r="F91" s="66" t="n">
        <f aca="false">IF(COUNTA(D91:E91)=0,"",SUM(D91:E91))</f>
        <v>389</v>
      </c>
      <c r="G91" s="47" t="n">
        <f aca="false">IF(OR(F91="",F91=0),"",D91/F91)</f>
        <v>0.408740359897172</v>
      </c>
      <c r="H91" s="47" t="n">
        <f aca="false">IF(OR(F91="",F91=0),"",E91/F91)</f>
        <v>0.591259640102828</v>
      </c>
      <c r="I91" s="32" t="s">
        <v>192</v>
      </c>
      <c r="J91" s="36" t="n">
        <v>2.60296228516591</v>
      </c>
      <c r="K91" s="36" t="n">
        <f aca="false">$K$8</f>
        <v>1.02577399392356</v>
      </c>
      <c r="L91" s="36" t="n">
        <f aca="false">SQRT(J91^2+K91^2)</f>
        <v>2.79778929596316</v>
      </c>
      <c r="M91" s="47" t="n">
        <f aca="false">IF(G91="","",MAX(0,G91-1.96*L91/100))</f>
        <v>0.353903689696294</v>
      </c>
      <c r="N91" s="47" t="n">
        <f aca="false">IF(G91="","",MIN(1,G91+1.96*L91/100))</f>
        <v>0.46357703009805</v>
      </c>
      <c r="O91" s="66" t="n">
        <f aca="false">ROUND(S91*W91,0)</f>
        <v>28</v>
      </c>
      <c r="P91" s="66" t="n">
        <f aca="false">IF(F91="","",ROUND(SQRT((F91*L91/100)^2+(G91*O91)^2),0))</f>
        <v>16</v>
      </c>
      <c r="R91" s="67" t="n">
        <v>-1.44827441750166</v>
      </c>
      <c r="S91" s="68" t="n">
        <f aca="false">U91*V91*$F$5</f>
        <v>388.819749216301</v>
      </c>
      <c r="T91" s="69" t="n">
        <f aca="false">MAX(0,MIN(1,R91/100+$D$5))</f>
        <v>0.409950175486423</v>
      </c>
      <c r="U91" s="69" t="n">
        <v>0.606583072100314</v>
      </c>
      <c r="V91" s="68" t="n">
        <v>641</v>
      </c>
      <c r="W91" s="69" t="n">
        <v>0.0732058935918866</v>
      </c>
      <c r="X91" s="70" t="s">
        <v>193</v>
      </c>
      <c r="Y91" s="70" t="s">
        <v>194</v>
      </c>
    </row>
    <row r="92" customFormat="false" ht="15" hidden="false" customHeight="false" outlineLevel="0" collapsed="false">
      <c r="A92" s="32" t="s">
        <v>249</v>
      </c>
      <c r="B92" s="32" t="s">
        <v>277</v>
      </c>
      <c r="C92" s="32" t="s">
        <v>191</v>
      </c>
      <c r="D92" s="66" t="n">
        <f aca="false">ROUND(S92*T92,0)</f>
        <v>258</v>
      </c>
      <c r="E92" s="66" t="n">
        <f aca="false">ROUND(S92,0)-D92</f>
        <v>344</v>
      </c>
      <c r="F92" s="66" t="n">
        <f aca="false">IF(COUNTA(D92:E92)=0,"",SUM(D92:E92))</f>
        <v>602</v>
      </c>
      <c r="G92" s="47" t="n">
        <f aca="false">IF(OR(F92="",F92=0),"",D92/F92)</f>
        <v>0.428571428571429</v>
      </c>
      <c r="H92" s="47" t="n">
        <f aca="false">IF(OR(F92="",F92=0),"",E92/F92)</f>
        <v>0.571428571428571</v>
      </c>
      <c r="I92" s="32" t="s">
        <v>192</v>
      </c>
      <c r="J92" s="36" t="n">
        <v>2.60296228516591</v>
      </c>
      <c r="K92" s="36" t="n">
        <f aca="false">$K$8</f>
        <v>1.02577399392356</v>
      </c>
      <c r="L92" s="36" t="n">
        <f aca="false">SQRT(J92^2+K92^2)</f>
        <v>2.79778929596316</v>
      </c>
      <c r="M92" s="47" t="n">
        <f aca="false">IF(G92="","",MAX(0,G92-1.96*L92/100))</f>
        <v>0.373734758370551</v>
      </c>
      <c r="N92" s="47" t="n">
        <f aca="false">IF(G92="","",MIN(1,G92+1.96*L92/100))</f>
        <v>0.483408098772307</v>
      </c>
      <c r="O92" s="66" t="n">
        <f aca="false">ROUND(S92*W92,0)</f>
        <v>44</v>
      </c>
      <c r="P92" s="66" t="n">
        <f aca="false">IF(F92="","",ROUND(SQRT((F92*L92/100)^2+(G92*O92)^2),0))</f>
        <v>25</v>
      </c>
      <c r="R92" s="67" t="n">
        <v>0.351437135039795</v>
      </c>
      <c r="S92" s="68" t="n">
        <f aca="false">U92*V92*$F$5</f>
        <v>602.07868852459</v>
      </c>
      <c r="T92" s="69" t="n">
        <f aca="false">MAX(0,MIN(1,R92/100+$D$5))</f>
        <v>0.427947291011837</v>
      </c>
      <c r="U92" s="69" t="n">
        <v>0.613114754098361</v>
      </c>
      <c r="V92" s="68" t="n">
        <v>982</v>
      </c>
      <c r="W92" s="69" t="n">
        <v>0.0732058935918866</v>
      </c>
      <c r="X92" s="70" t="s">
        <v>193</v>
      </c>
      <c r="Y92" s="70" t="s">
        <v>194</v>
      </c>
    </row>
    <row r="93" customFormat="false" ht="15" hidden="false" customHeight="false" outlineLevel="0" collapsed="false">
      <c r="A93" s="32" t="s">
        <v>249</v>
      </c>
      <c r="B93" s="32" t="s">
        <v>278</v>
      </c>
      <c r="C93" s="32" t="s">
        <v>191</v>
      </c>
      <c r="D93" s="66" t="n">
        <f aca="false">ROUND(S93*T93,0)</f>
        <v>1004</v>
      </c>
      <c r="E93" s="66" t="n">
        <f aca="false">ROUND(S93,0)-D93</f>
        <v>2142</v>
      </c>
      <c r="F93" s="66" t="n">
        <f aca="false">IF(COUNTA(D93:E93)=0,"",SUM(D93:E93))</f>
        <v>3146</v>
      </c>
      <c r="G93" s="47" t="n">
        <f aca="false">IF(OR(F93="",F93=0),"",D93/F93)</f>
        <v>0.319135410044501</v>
      </c>
      <c r="H93" s="47" t="n">
        <f aca="false">IF(OR(F93="",F93=0),"",E93/F93)</f>
        <v>0.680864589955499</v>
      </c>
      <c r="I93" s="32" t="s">
        <v>192</v>
      </c>
      <c r="J93" s="36" t="n">
        <v>1.45633855732547</v>
      </c>
      <c r="K93" s="36" t="n">
        <f aca="false">$K$8</f>
        <v>1.02577399392356</v>
      </c>
      <c r="L93" s="36" t="n">
        <f aca="false">SQRT(J93^2+K93^2)</f>
        <v>1.78132935757617</v>
      </c>
      <c r="M93" s="47" t="n">
        <f aca="false">IF(G93="","",MAX(0,G93-1.96*L93/100))</f>
        <v>0.284221354636008</v>
      </c>
      <c r="N93" s="47" t="n">
        <f aca="false">IF(G93="","",MIN(1,G93+1.96*L93/100))</f>
        <v>0.354049465452994</v>
      </c>
      <c r="O93" s="66" t="n">
        <f aca="false">ROUND(S93*W93,0)</f>
        <v>153</v>
      </c>
      <c r="P93" s="66" t="n">
        <f aca="false">IF(F93="","",ROUND(SQRT((F93*L93/100)^2+(G93*O93)^2),0))</f>
        <v>74</v>
      </c>
      <c r="R93" s="67" t="n">
        <v>-10.5375958354865</v>
      </c>
      <c r="S93" s="68" t="n">
        <f aca="false">U93*V93*$F$5</f>
        <v>3146.26275765459</v>
      </c>
      <c r="T93" s="69" t="n">
        <f aca="false">MAX(0,MIN(1,R93/100+$D$5))</f>
        <v>0.319056961306574</v>
      </c>
      <c r="U93" s="69" t="n">
        <v>0.625375225135081</v>
      </c>
      <c r="V93" s="68" t="n">
        <v>5031</v>
      </c>
      <c r="W93" s="69" t="n">
        <v>0.0485820274397165</v>
      </c>
      <c r="X93" s="70" t="s">
        <v>214</v>
      </c>
      <c r="Y93" s="70" t="s">
        <v>194</v>
      </c>
    </row>
    <row r="94" customFormat="false" ht="15" hidden="false" customHeight="false" outlineLevel="0" collapsed="false">
      <c r="A94" s="32" t="s">
        <v>249</v>
      </c>
      <c r="B94" s="32" t="s">
        <v>279</v>
      </c>
      <c r="C94" s="32" t="s">
        <v>191</v>
      </c>
      <c r="D94" s="66" t="n">
        <f aca="false">ROUND(S94*T94,0)</f>
        <v>1588</v>
      </c>
      <c r="E94" s="66" t="n">
        <f aca="false">ROUND(S94,0)-D94</f>
        <v>1689</v>
      </c>
      <c r="F94" s="66" t="n">
        <f aca="false">IF(COUNTA(D94:E94)=0,"",SUM(D94:E94))</f>
        <v>3277</v>
      </c>
      <c r="G94" s="47" t="n">
        <f aca="false">IF(OR(F94="",F94=0),"",D94/F94)</f>
        <v>0.484589563625267</v>
      </c>
      <c r="H94" s="47" t="n">
        <f aca="false">IF(OR(F94="",F94=0),"",E94/F94)</f>
        <v>0.515410436374733</v>
      </c>
      <c r="I94" s="32" t="s">
        <v>192</v>
      </c>
      <c r="J94" s="36" t="n">
        <v>1.45633855732547</v>
      </c>
      <c r="K94" s="36" t="n">
        <f aca="false">$K$8</f>
        <v>1.02577399392356</v>
      </c>
      <c r="L94" s="36" t="n">
        <f aca="false">SQRT(J94^2+K94^2)</f>
        <v>1.78132935757617</v>
      </c>
      <c r="M94" s="47" t="n">
        <f aca="false">IF(G94="","",MAX(0,G94-1.96*L94/100))</f>
        <v>0.449675508216774</v>
      </c>
      <c r="N94" s="47" t="n">
        <f aca="false">IF(G94="","",MIN(1,G94+1.96*L94/100))</f>
        <v>0.51950361903376</v>
      </c>
      <c r="O94" s="66" t="n">
        <f aca="false">ROUND(S94*W94,0)</f>
        <v>159</v>
      </c>
      <c r="P94" s="66" t="n">
        <f aca="false">IF(F94="","",ROUND(SQRT((F94*L94/100)^2+(G94*O94)^2),0))</f>
        <v>97</v>
      </c>
      <c r="R94" s="67" t="n">
        <v>6.01674099572275</v>
      </c>
      <c r="S94" s="68" t="n">
        <f aca="false">U94*V94*$F$5</f>
        <v>3277.36336396324</v>
      </c>
      <c r="T94" s="69" t="n">
        <f aca="false">MAX(0,MIN(1,R94/100+$D$5))</f>
        <v>0.484600329618667</v>
      </c>
      <c r="U94" s="69" t="n">
        <v>0.631841789852177</v>
      </c>
      <c r="V94" s="68" t="n">
        <v>5187</v>
      </c>
      <c r="W94" s="69" t="n">
        <v>0.0485820274397165</v>
      </c>
      <c r="X94" s="70" t="s">
        <v>214</v>
      </c>
      <c r="Y94" s="70" t="s">
        <v>194</v>
      </c>
    </row>
    <row r="95" customFormat="false" ht="15" hidden="false" customHeight="false" outlineLevel="0" collapsed="false">
      <c r="A95" s="32" t="s">
        <v>249</v>
      </c>
      <c r="B95" s="32" t="s">
        <v>280</v>
      </c>
      <c r="C95" s="32" t="s">
        <v>191</v>
      </c>
      <c r="D95" s="66" t="n">
        <f aca="false">ROUND(S95*T95,0)</f>
        <v>309</v>
      </c>
      <c r="E95" s="66" t="n">
        <f aca="false">ROUND(S95,0)-D95</f>
        <v>452</v>
      </c>
      <c r="F95" s="66" t="n">
        <f aca="false">IF(COUNTA(D95:E95)=0,"",SUM(D95:E95))</f>
        <v>761</v>
      </c>
      <c r="G95" s="47" t="n">
        <f aca="false">IF(OR(F95="",F95=0),"",D95/F95)</f>
        <v>0.406044678055191</v>
      </c>
      <c r="H95" s="47" t="n">
        <f aca="false">IF(OR(F95="",F95=0),"",E95/F95)</f>
        <v>0.59395532194481</v>
      </c>
      <c r="I95" s="32" t="s">
        <v>192</v>
      </c>
      <c r="J95" s="36" t="n">
        <v>2.60296228516591</v>
      </c>
      <c r="K95" s="36" t="n">
        <f aca="false">$K$8</f>
        <v>1.02577399392356</v>
      </c>
      <c r="L95" s="36" t="n">
        <f aca="false">SQRT(J95^2+K95^2)</f>
        <v>2.79778929596316</v>
      </c>
      <c r="M95" s="47" t="n">
        <f aca="false">IF(G95="","",MAX(0,G95-1.96*L95/100))</f>
        <v>0.351208007854313</v>
      </c>
      <c r="N95" s="47" t="n">
        <f aca="false">IF(G95="","",MIN(1,G95+1.96*L95/100))</f>
        <v>0.460881348256068</v>
      </c>
      <c r="O95" s="66" t="n">
        <f aca="false">ROUND(S95*W95,0)</f>
        <v>56</v>
      </c>
      <c r="P95" s="66" t="n">
        <f aca="false">IF(F95="","",ROUND(SQRT((F95*L95/100)^2+(G95*O95)^2),0))</f>
        <v>31</v>
      </c>
      <c r="R95" s="67" t="n">
        <v>-1.80631522639495</v>
      </c>
      <c r="S95" s="68" t="n">
        <f aca="false">U95*V95*$F$5</f>
        <v>761.429837518464</v>
      </c>
      <c r="T95" s="69" t="n">
        <f aca="false">MAX(0,MIN(1,R95/100+$D$5))</f>
        <v>0.40636976739749</v>
      </c>
      <c r="U95" s="69" t="n">
        <v>0.534711964549483</v>
      </c>
      <c r="V95" s="68" t="n">
        <v>1424</v>
      </c>
      <c r="W95" s="69" t="n">
        <v>0.0732058935918866</v>
      </c>
      <c r="X95" s="70" t="s">
        <v>193</v>
      </c>
      <c r="Y95" s="70" t="s">
        <v>194</v>
      </c>
    </row>
    <row r="96" customFormat="false" ht="15" hidden="false" customHeight="false" outlineLevel="0" collapsed="false">
      <c r="A96" s="32" t="s">
        <v>249</v>
      </c>
      <c r="B96" s="32" t="s">
        <v>242</v>
      </c>
      <c r="C96" s="32" t="s">
        <v>191</v>
      </c>
      <c r="D96" s="66" t="n">
        <f aca="false">ROUND(S96*T96,0)</f>
        <v>822</v>
      </c>
      <c r="E96" s="66" t="n">
        <f aca="false">ROUND(S96,0)-D96</f>
        <v>1565</v>
      </c>
      <c r="F96" s="66" t="n">
        <f aca="false">IF(COUNTA(D96:E96)=0,"",SUM(D96:E96))</f>
        <v>2387</v>
      </c>
      <c r="G96" s="47" t="n">
        <f aca="false">IF(OR(F96="",F96=0),"",D96/F96)</f>
        <v>0.344365312107248</v>
      </c>
      <c r="H96" s="47" t="n">
        <f aca="false">IF(OR(F96="",F96=0),"",E96/F96)</f>
        <v>0.655634687892752</v>
      </c>
      <c r="I96" s="32" t="s">
        <v>192</v>
      </c>
      <c r="J96" s="36" t="n">
        <v>1.44715751761421</v>
      </c>
      <c r="K96" s="36" t="n">
        <f aca="false">$K$8</f>
        <v>1.02577399392356</v>
      </c>
      <c r="L96" s="36" t="n">
        <f aca="false">SQRT(J96^2+K96^2)</f>
        <v>1.77383121164253</v>
      </c>
      <c r="M96" s="47" t="n">
        <f aca="false">IF(G96="","",MAX(0,G96-1.96*L96/100))</f>
        <v>0.309598220359054</v>
      </c>
      <c r="N96" s="47" t="n">
        <f aca="false">IF(G96="","",MIN(1,G96+1.96*L96/100))</f>
        <v>0.379132403855441</v>
      </c>
      <c r="O96" s="66" t="n">
        <f aca="false">ROUND(S96*W96,0)</f>
        <v>131</v>
      </c>
      <c r="P96" s="66" t="n">
        <f aca="false">IF(F96="","",ROUND(SQRT((F96*L96/100)^2+(G96*O96)^2),0))</f>
        <v>62</v>
      </c>
      <c r="R96" s="67" t="n">
        <v>-7.99204657210309</v>
      </c>
      <c r="S96" s="68" t="n">
        <f aca="false">U96*V96*$F$5</f>
        <v>2386.68081761006</v>
      </c>
      <c r="T96" s="69" t="n">
        <f aca="false">MAX(0,MIN(1,R96/100+$D$5))</f>
        <v>0.344512453940408</v>
      </c>
      <c r="U96" s="69" t="n">
        <v>0.62185534591195</v>
      </c>
      <c r="V96" s="68" t="n">
        <v>3838</v>
      </c>
      <c r="W96" s="69" t="n">
        <v>0.0547268472736556</v>
      </c>
      <c r="X96" s="70" t="s">
        <v>198</v>
      </c>
      <c r="Y96" s="70" t="s">
        <v>194</v>
      </c>
    </row>
    <row r="97" customFormat="false" ht="15" hidden="false" customHeight="false" outlineLevel="0" collapsed="false">
      <c r="A97" s="32" t="s">
        <v>249</v>
      </c>
      <c r="B97" s="32" t="s">
        <v>281</v>
      </c>
      <c r="C97" s="32" t="s">
        <v>191</v>
      </c>
      <c r="D97" s="66" t="n">
        <f aca="false">ROUND(S97*T97,0)</f>
        <v>207</v>
      </c>
      <c r="E97" s="66" t="n">
        <f aca="false">ROUND(S97,0)-D97</f>
        <v>231</v>
      </c>
      <c r="F97" s="66" t="n">
        <f aca="false">IF(COUNTA(D97:E97)=0,"",SUM(D97:E97))</f>
        <v>438</v>
      </c>
      <c r="G97" s="47" t="n">
        <f aca="false">IF(OR(F97="",F97=0),"",D97/F97)</f>
        <v>0.472602739726027</v>
      </c>
      <c r="H97" s="47" t="n">
        <f aca="false">IF(OR(F97="",F97=0),"",E97/F97)</f>
        <v>0.527397260273973</v>
      </c>
      <c r="I97" s="32" t="s">
        <v>192</v>
      </c>
      <c r="J97" s="36" t="n">
        <v>2.60296228516591</v>
      </c>
      <c r="K97" s="36" t="n">
        <f aca="false">$K$8</f>
        <v>1.02577399392356</v>
      </c>
      <c r="L97" s="36" t="n">
        <f aca="false">SQRT(J97^2+K97^2)</f>
        <v>2.79778929596316</v>
      </c>
      <c r="M97" s="47" t="n">
        <f aca="false">IF(G97="","",MAX(0,G97-1.96*L97/100))</f>
        <v>0.417766069525149</v>
      </c>
      <c r="N97" s="47" t="n">
        <f aca="false">IF(G97="","",MIN(1,G97+1.96*L97/100))</f>
        <v>0.527439409926905</v>
      </c>
      <c r="O97" s="66" t="n">
        <f aca="false">ROUND(S97*W97,0)</f>
        <v>32</v>
      </c>
      <c r="P97" s="66" t="n">
        <f aca="false">IF(F97="","",ROUND(SQRT((F97*L97/100)^2+(G97*O97)^2),0))</f>
        <v>19</v>
      </c>
      <c r="R97" s="67" t="n">
        <v>4.73171436520106</v>
      </c>
      <c r="S97" s="68" t="n">
        <f aca="false">U97*V97*$F$5</f>
        <v>438.292134831461</v>
      </c>
      <c r="T97" s="69" t="n">
        <f aca="false">MAX(0,MIN(1,R97/100+$D$5))</f>
        <v>0.47175006331345</v>
      </c>
      <c r="U97" s="69" t="n">
        <v>0.51685393258427</v>
      </c>
      <c r="V97" s="68" t="n">
        <v>848</v>
      </c>
      <c r="W97" s="69" t="n">
        <v>0.0732058935918866</v>
      </c>
      <c r="X97" s="70" t="s">
        <v>193</v>
      </c>
      <c r="Y97" s="70" t="s">
        <v>194</v>
      </c>
    </row>
    <row r="98" customFormat="false" ht="15" hidden="false" customHeight="false" outlineLevel="0" collapsed="false">
      <c r="A98" s="32" t="s">
        <v>249</v>
      </c>
      <c r="B98" s="32" t="s">
        <v>282</v>
      </c>
      <c r="C98" s="32" t="s">
        <v>191</v>
      </c>
      <c r="D98" s="66" t="n">
        <f aca="false">ROUND(S98*T98,0)</f>
        <v>1438</v>
      </c>
      <c r="E98" s="66" t="n">
        <f aca="false">ROUND(S98,0)-D98</f>
        <v>1928</v>
      </c>
      <c r="F98" s="66" t="n">
        <f aca="false">IF(COUNTA(D98:E98)=0,"",SUM(D98:E98))</f>
        <v>3366</v>
      </c>
      <c r="G98" s="47" t="n">
        <f aca="false">IF(OR(F98="",F98=0),"",D98/F98)</f>
        <v>0.427213309566251</v>
      </c>
      <c r="H98" s="47" t="n">
        <f aca="false">IF(OR(F98="",F98=0),"",E98/F98)</f>
        <v>0.572786690433749</v>
      </c>
      <c r="I98" s="32" t="s">
        <v>192</v>
      </c>
      <c r="J98" s="36" t="n">
        <v>1.45633855732547</v>
      </c>
      <c r="K98" s="36" t="n">
        <f aca="false">$K$8</f>
        <v>1.02577399392356</v>
      </c>
      <c r="L98" s="36" t="n">
        <f aca="false">SQRT(J98^2+K98^2)</f>
        <v>1.78132935757617</v>
      </c>
      <c r="M98" s="47" t="n">
        <f aca="false">IF(G98="","",MAX(0,G98-1.96*L98/100))</f>
        <v>0.392299254157758</v>
      </c>
      <c r="N98" s="47" t="n">
        <f aca="false">IF(G98="","",MIN(1,G98+1.96*L98/100))</f>
        <v>0.462127364974744</v>
      </c>
      <c r="O98" s="66" t="n">
        <f aca="false">ROUND(S98*W98,0)</f>
        <v>164</v>
      </c>
      <c r="P98" s="66" t="n">
        <f aca="false">IF(F98="","",ROUND(SQRT((F98*L98/100)^2+(G98*O98)^2),0))</f>
        <v>92</v>
      </c>
      <c r="R98" s="67" t="n">
        <v>0.281443819866716</v>
      </c>
      <c r="S98" s="68" t="n">
        <f aca="false">U98*V98*$F$5</f>
        <v>3365.72741078208</v>
      </c>
      <c r="T98" s="69" t="n">
        <f aca="false">MAX(0,MIN(1,R98/100+$D$5))</f>
        <v>0.427247357860106</v>
      </c>
      <c r="U98" s="69" t="n">
        <v>0.629460895975702</v>
      </c>
      <c r="V98" s="68" t="n">
        <v>5347</v>
      </c>
      <c r="W98" s="69" t="n">
        <v>0.0485820274397165</v>
      </c>
      <c r="X98" s="70" t="s">
        <v>214</v>
      </c>
      <c r="Y98" s="70" t="s">
        <v>194</v>
      </c>
    </row>
    <row r="99" customFormat="false" ht="15" hidden="false" customHeight="false" outlineLevel="0" collapsed="false">
      <c r="A99" s="32" t="s">
        <v>249</v>
      </c>
      <c r="B99" s="32" t="s">
        <v>283</v>
      </c>
      <c r="C99" s="32" t="s">
        <v>191</v>
      </c>
      <c r="D99" s="66" t="n">
        <f aca="false">ROUND(S99*T99,0)</f>
        <v>1306</v>
      </c>
      <c r="E99" s="66" t="n">
        <f aca="false">ROUND(S99,0)-D99</f>
        <v>1044</v>
      </c>
      <c r="F99" s="66" t="n">
        <f aca="false">IF(COUNTA(D99:E99)=0,"",SUM(D99:E99))</f>
        <v>2350</v>
      </c>
      <c r="G99" s="47" t="n">
        <f aca="false">IF(OR(F99="",F99=0),"",D99/F99)</f>
        <v>0.555744680851064</v>
      </c>
      <c r="H99" s="47" t="n">
        <f aca="false">IF(OR(F99="",F99=0),"",E99/F99)</f>
        <v>0.444255319148936</v>
      </c>
      <c r="I99" s="32" t="s">
        <v>192</v>
      </c>
      <c r="J99" s="36" t="n">
        <v>1.44715751761421</v>
      </c>
      <c r="K99" s="36" t="n">
        <f aca="false">$K$8</f>
        <v>1.02577399392356</v>
      </c>
      <c r="L99" s="36" t="n">
        <f aca="false">SQRT(J99^2+K99^2)</f>
        <v>1.77383121164253</v>
      </c>
      <c r="M99" s="47" t="n">
        <f aca="false">IF(G99="","",MAX(0,G99-1.96*L99/100))</f>
        <v>0.52097758910287</v>
      </c>
      <c r="N99" s="47" t="n">
        <f aca="false">IF(G99="","",MIN(1,G99+1.96*L99/100))</f>
        <v>0.590511772599258</v>
      </c>
      <c r="O99" s="66" t="n">
        <f aca="false">ROUND(S99*W99,0)</f>
        <v>129</v>
      </c>
      <c r="P99" s="66" t="n">
        <f aca="false">IF(F99="","",ROUND(SQRT((F99*L99/100)^2+(G99*O99)^2),0))</f>
        <v>83</v>
      </c>
      <c r="R99" s="67" t="n">
        <v>13.1148351182287</v>
      </c>
      <c r="S99" s="68" t="n">
        <f aca="false">U99*V99*$F$5</f>
        <v>2350.25573902537</v>
      </c>
      <c r="T99" s="69" t="n">
        <f aca="false">MAX(0,MIN(1,R99/100+$D$5))</f>
        <v>0.555581270843726</v>
      </c>
      <c r="U99" s="69" t="n">
        <v>0.461739830849779</v>
      </c>
      <c r="V99" s="68" t="n">
        <v>5090</v>
      </c>
      <c r="W99" s="69" t="n">
        <v>0.0547268472736556</v>
      </c>
      <c r="X99" s="70" t="s">
        <v>198</v>
      </c>
      <c r="Y99" s="70" t="s">
        <v>194</v>
      </c>
    </row>
    <row r="100" customFormat="false" ht="15" hidden="false" customHeight="false" outlineLevel="0" collapsed="false">
      <c r="A100" s="32" t="s">
        <v>249</v>
      </c>
      <c r="B100" s="32" t="s">
        <v>284</v>
      </c>
      <c r="C100" s="32" t="s">
        <v>191</v>
      </c>
      <c r="D100" s="66" t="n">
        <f aca="false">ROUND(S100*T100,0)</f>
        <v>493</v>
      </c>
      <c r="E100" s="66" t="n">
        <f aca="false">ROUND(S100,0)-D100</f>
        <v>652</v>
      </c>
      <c r="F100" s="66" t="n">
        <f aca="false">IF(COUNTA(D100:E100)=0,"",SUM(D100:E100))</f>
        <v>1145</v>
      </c>
      <c r="G100" s="47" t="n">
        <f aca="false">IF(OR(F100="",F100=0),"",D100/F100)</f>
        <v>0.43056768558952</v>
      </c>
      <c r="H100" s="47" t="n">
        <f aca="false">IF(OR(F100="",F100=0),"",E100/F100)</f>
        <v>0.56943231441048</v>
      </c>
      <c r="I100" s="32" t="s">
        <v>192</v>
      </c>
      <c r="J100" s="36" t="n">
        <v>2.60296228516591</v>
      </c>
      <c r="K100" s="36" t="n">
        <f aca="false">$K$8</f>
        <v>1.02577399392356</v>
      </c>
      <c r="L100" s="36" t="n">
        <f aca="false">SQRT(J100^2+K100^2)</f>
        <v>2.79778929596316</v>
      </c>
      <c r="M100" s="47" t="n">
        <f aca="false">IF(G100="","",MAX(0,G100-1.96*L100/100))</f>
        <v>0.375731015388642</v>
      </c>
      <c r="N100" s="47" t="n">
        <f aca="false">IF(G100="","",MIN(1,G100+1.96*L100/100))</f>
        <v>0.485404355790398</v>
      </c>
      <c r="O100" s="66" t="n">
        <f aca="false">ROUND(S100*W100,0)</f>
        <v>84</v>
      </c>
      <c r="P100" s="66" t="n">
        <f aca="false">IF(F100="","",ROUND(SQRT((F100*L100/100)^2+(G100*O100)^2),0))</f>
        <v>48</v>
      </c>
      <c r="R100" s="67" t="n">
        <v>0.614536734740267</v>
      </c>
      <c r="S100" s="68" t="n">
        <f aca="false">U100*V100*$F$5</f>
        <v>1145.48062775871</v>
      </c>
      <c r="T100" s="69" t="n">
        <f aca="false">MAX(0,MIN(1,R100/100+$D$5))</f>
        <v>0.430578287008842</v>
      </c>
      <c r="U100" s="69" t="n">
        <v>0.537027954879843</v>
      </c>
      <c r="V100" s="68" t="n">
        <v>2133</v>
      </c>
      <c r="W100" s="69" t="n">
        <v>0.0732058935918866</v>
      </c>
      <c r="X100" s="70" t="s">
        <v>193</v>
      </c>
      <c r="Y100" s="70" t="s">
        <v>194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Y100"/>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1" topLeftCell="D12" activePane="bottomRight" state="frozen"/>
      <selection pane="topLeft" activeCell="A1" activeCellId="0" sqref="A1"/>
      <selection pane="topRight" activeCell="D1" activeCellId="0" sqref="D1"/>
      <selection pane="bottomLeft" activeCell="A12" activeCellId="0" sqref="A1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4"/>
    <col collapsed="false" customWidth="true" hidden="false" outlineLevel="0" max="7" min="6" style="0" width="12"/>
    <col collapsed="false" customWidth="true" hidden="false" outlineLevel="0" max="8" min="8" style="0" width="13"/>
    <col collapsed="false" customWidth="true" hidden="false" outlineLevel="0" max="9" min="9" style="0" width="44"/>
    <col collapsed="false" customWidth="true" hidden="false" outlineLevel="0" max="11" min="10" style="0" width="13"/>
    <col collapsed="false" customWidth="true" hidden="false" outlineLevel="0" max="14" min="12" style="0" width="12"/>
    <col collapsed="false" customWidth="true" hidden="false" outlineLevel="0" max="16" min="15" style="0" width="13"/>
    <col collapsed="false" customWidth="true" hidden="false" outlineLevel="0" max="17" min="17" style="0" width="3"/>
    <col collapsed="false" customWidth="true" hidden="false" outlineLevel="0" max="18" min="18" style="0" width="13"/>
    <col collapsed="false" customWidth="true" hidden="false" outlineLevel="0" max="19" min="19" style="0" width="15"/>
    <col collapsed="false" customWidth="true" hidden="false" outlineLevel="0" max="21" min="20" style="0" width="14"/>
    <col collapsed="false" customWidth="true" hidden="false" outlineLevel="0" max="23" min="22" style="0" width="13"/>
    <col collapsed="false" customWidth="true" hidden="false" outlineLevel="0" max="24" min="24" style="0" width="12"/>
    <col collapsed="false" customWidth="true" hidden="false" outlineLevel="0" max="25" min="25" style="0" width="30"/>
  </cols>
  <sheetData>
    <row r="1" customFormat="false" ht="17.35" hidden="false" customHeight="false" outlineLevel="0" collapsed="false">
      <c r="A1" s="1" t="s">
        <v>287</v>
      </c>
    </row>
    <row r="2" customFormat="false" ht="15" hidden="false" customHeight="false" outlineLevel="0" collapsed="false">
      <c r="A2" s="2" t="s">
        <v>149</v>
      </c>
    </row>
    <row r="3" customFormat="false" ht="15" hidden="false" customHeight="false" outlineLevel="0" collapsed="false">
      <c r="A3" s="13" t="s">
        <v>150</v>
      </c>
      <c r="B3" s="13"/>
      <c r="C3" s="13"/>
      <c r="D3" s="13"/>
      <c r="E3" s="13"/>
      <c r="F3" s="13"/>
      <c r="G3" s="13"/>
      <c r="H3" s="13"/>
      <c r="I3" s="13"/>
    </row>
    <row r="4" customFormat="false" ht="15" hidden="false" customHeight="false" outlineLevel="0" collapsed="false">
      <c r="A4" s="0" t="s">
        <v>151</v>
      </c>
      <c r="B4" s="0" t="s">
        <v>288</v>
      </c>
      <c r="C4" s="0" t="s">
        <v>153</v>
      </c>
      <c r="D4" s="55" t="n">
        <v>46300</v>
      </c>
      <c r="E4" s="56" t="s">
        <v>154</v>
      </c>
      <c r="F4" s="56" t="s">
        <v>155</v>
      </c>
      <c r="G4" s="56" t="s">
        <v>156</v>
      </c>
      <c r="H4" s="56" t="s">
        <v>157</v>
      </c>
    </row>
    <row r="5" customFormat="false" ht="15" hidden="false" customHeight="false" outlineLevel="0" collapsed="false">
      <c r="A5" s="0" t="s">
        <v>158</v>
      </c>
      <c r="B5" s="57" t="n">
        <f aca="false">'Scenario &amp; Comparison'!$C$6</f>
        <v>0.494960810113265</v>
      </c>
      <c r="C5" s="56" t="s">
        <v>159</v>
      </c>
      <c r="D5" s="58" t="n">
        <f aca="false">B5-SUMPRODUCT(R12:R100,S12:S100)/SUM(S12:S100)/100</f>
        <v>0.425166219994372</v>
      </c>
      <c r="E5" s="56" t="s">
        <v>160</v>
      </c>
      <c r="F5" s="59" t="n">
        <f aca="false">'Scenario &amp; Comparison'!$C$7</f>
        <v>1</v>
      </c>
    </row>
    <row r="6" customFormat="false" ht="15" hidden="false" customHeight="false" outlineLevel="0" collapsed="false">
      <c r="A6" s="4" t="s">
        <v>161</v>
      </c>
      <c r="B6" s="4"/>
      <c r="C6" s="4"/>
      <c r="D6" s="4"/>
      <c r="E6" s="4"/>
      <c r="F6" s="4"/>
      <c r="G6" s="4"/>
      <c r="H6" s="4"/>
      <c r="I6" s="4"/>
      <c r="J6" s="4"/>
      <c r="K6" s="4"/>
      <c r="L6" s="4"/>
      <c r="M6" s="4"/>
      <c r="N6" s="4"/>
      <c r="O6" s="4"/>
      <c r="P6" s="4"/>
    </row>
    <row r="7" customFormat="false" ht="45" hidden="false" customHeight="true" outlineLevel="0" collapsed="false">
      <c r="A7" s="8" t="s">
        <v>162</v>
      </c>
      <c r="B7" s="8" t="s">
        <v>163</v>
      </c>
      <c r="C7" s="8" t="s">
        <v>164</v>
      </c>
      <c r="D7" s="8" t="s">
        <v>37</v>
      </c>
      <c r="E7" s="8" t="s">
        <v>38</v>
      </c>
      <c r="F7" s="8" t="s">
        <v>39</v>
      </c>
      <c r="G7" s="8" t="s">
        <v>40</v>
      </c>
      <c r="H7" s="8" t="s">
        <v>165</v>
      </c>
      <c r="I7" s="8" t="s">
        <v>166</v>
      </c>
      <c r="J7" s="8" t="s">
        <v>167</v>
      </c>
      <c r="K7" s="8" t="s">
        <v>168</v>
      </c>
      <c r="L7" s="8" t="s">
        <v>169</v>
      </c>
      <c r="M7" s="8" t="s">
        <v>170</v>
      </c>
      <c r="N7" s="8" t="s">
        <v>171</v>
      </c>
      <c r="O7" s="8" t="s">
        <v>172</v>
      </c>
      <c r="P7" s="8" t="s">
        <v>173</v>
      </c>
    </row>
    <row r="8" customFormat="false" ht="15" hidden="false" customHeight="false" outlineLevel="0" collapsed="false">
      <c r="A8" s="20" t="s">
        <v>174</v>
      </c>
      <c r="B8" s="20" t="s">
        <v>175</v>
      </c>
      <c r="C8" s="20"/>
      <c r="D8" s="60" t="n">
        <f aca="false">SUM(D12:D100)</f>
        <v>151525</v>
      </c>
      <c r="E8" s="60" t="n">
        <f aca="false">SUM(E12:E100)</f>
        <v>154604</v>
      </c>
      <c r="F8" s="60" t="n">
        <f aca="false">D8+E8</f>
        <v>306129</v>
      </c>
      <c r="G8" s="61" t="n">
        <f aca="false">IF(F8=0,"",D8/F8)</f>
        <v>0.494971074285677</v>
      </c>
      <c r="H8" s="61" t="n">
        <f aca="false">IF(F8=0,"",E8/F8)</f>
        <v>0.505028925714323</v>
      </c>
      <c r="I8" s="20" t="s">
        <v>176</v>
      </c>
      <c r="J8" s="62" t="n">
        <v>0</v>
      </c>
      <c r="K8" s="62" t="n">
        <v>1.02521134994605</v>
      </c>
      <c r="L8" s="62" t="n">
        <f aca="false">SQRT(J8^2+K8^2)</f>
        <v>1.02521134994605</v>
      </c>
      <c r="M8" s="61" t="n">
        <f aca="false">G8-1.96*L8/100</f>
        <v>0.474876931826734</v>
      </c>
      <c r="N8" s="61" t="n">
        <f aca="false">G8+1.96*L8/100</f>
        <v>0.51506521674462</v>
      </c>
      <c r="O8" s="60" t="n">
        <f aca="false">ROUND(F8*0.035,0)</f>
        <v>10715</v>
      </c>
      <c r="P8" s="60" t="n">
        <f aca="false">ROUND(SQRT((F8*L8/100)^2+(G8*O8)^2),0)</f>
        <v>6163</v>
      </c>
    </row>
    <row r="9" customFormat="false" ht="15" hidden="false" customHeight="false" outlineLevel="0" collapsed="false">
      <c r="A9" s="13" t="s">
        <v>177</v>
      </c>
      <c r="B9" s="13"/>
      <c r="C9" s="13"/>
      <c r="D9" s="13"/>
      <c r="E9" s="13"/>
      <c r="F9" s="13"/>
      <c r="G9" s="13"/>
      <c r="H9" s="13"/>
      <c r="I9" s="13"/>
      <c r="J9" s="13"/>
      <c r="K9" s="13"/>
      <c r="L9" s="13"/>
      <c r="M9" s="13"/>
      <c r="N9" s="13"/>
      <c r="O9" s="13"/>
      <c r="P9" s="13"/>
    </row>
    <row r="10" customFormat="false" ht="15" hidden="false" customHeight="false" outlineLevel="0" collapsed="false">
      <c r="A10" s="4" t="s">
        <v>178</v>
      </c>
      <c r="B10" s="4"/>
      <c r="C10" s="4"/>
      <c r="D10" s="4"/>
      <c r="E10" s="4"/>
      <c r="F10" s="4"/>
      <c r="G10" s="4"/>
      <c r="H10" s="4"/>
      <c r="I10" s="4"/>
      <c r="J10" s="4"/>
      <c r="K10" s="4"/>
      <c r="L10" s="4"/>
      <c r="M10" s="4"/>
      <c r="N10" s="4"/>
      <c r="O10" s="4"/>
      <c r="P10" s="4"/>
      <c r="R10" s="63" t="s">
        <v>179</v>
      </c>
      <c r="S10" s="64"/>
      <c r="T10" s="64"/>
      <c r="U10" s="64"/>
      <c r="V10" s="64"/>
      <c r="W10" s="64"/>
      <c r="X10" s="64"/>
      <c r="Y10" s="64"/>
    </row>
    <row r="11" customFormat="false" ht="31.5" hidden="false" customHeight="true" outlineLevel="0" collapsed="false">
      <c r="A11" s="8" t="s">
        <v>140</v>
      </c>
      <c r="B11" s="8" t="s">
        <v>141</v>
      </c>
      <c r="C11" s="8" t="s">
        <v>142</v>
      </c>
      <c r="D11" s="8" t="s">
        <v>37</v>
      </c>
      <c r="E11" s="8" t="s">
        <v>38</v>
      </c>
      <c r="F11" s="8" t="s">
        <v>39</v>
      </c>
      <c r="G11" s="8" t="s">
        <v>40</v>
      </c>
      <c r="H11" s="8" t="s">
        <v>165</v>
      </c>
      <c r="I11" s="8" t="s">
        <v>180</v>
      </c>
      <c r="J11" s="8" t="s">
        <v>167</v>
      </c>
      <c r="K11" s="8" t="s">
        <v>168</v>
      </c>
      <c r="L11" s="8" t="s">
        <v>169</v>
      </c>
      <c r="M11" s="8" t="s">
        <v>170</v>
      </c>
      <c r="N11" s="8" t="s">
        <v>171</v>
      </c>
      <c r="O11" s="8" t="s">
        <v>172</v>
      </c>
      <c r="P11" s="8" t="s">
        <v>173</v>
      </c>
      <c r="R11" s="65" t="s">
        <v>181</v>
      </c>
      <c r="S11" s="65" t="s">
        <v>182</v>
      </c>
      <c r="T11" s="65" t="s">
        <v>183</v>
      </c>
      <c r="U11" s="65" t="s">
        <v>184</v>
      </c>
      <c r="V11" s="65" t="s">
        <v>185</v>
      </c>
      <c r="W11" s="65" t="s">
        <v>186</v>
      </c>
      <c r="X11" s="65" t="s">
        <v>187</v>
      </c>
      <c r="Y11" s="65" t="s">
        <v>188</v>
      </c>
    </row>
    <row r="12" customFormat="false" ht="15" hidden="false" customHeight="false" outlineLevel="0" collapsed="false">
      <c r="A12" s="32" t="s">
        <v>189</v>
      </c>
      <c r="B12" s="32" t="s">
        <v>190</v>
      </c>
      <c r="C12" s="32" t="s">
        <v>191</v>
      </c>
      <c r="D12" s="66" t="n">
        <f aca="false">ROUND(S12*T12,0)</f>
        <v>135</v>
      </c>
      <c r="E12" s="66" t="n">
        <f aca="false">ROUND(S12,0)-D12</f>
        <v>229</v>
      </c>
      <c r="F12" s="66" t="n">
        <f aca="false">IF(COUNTA(D12:E12)=0,"",SUM(D12:E12))</f>
        <v>364</v>
      </c>
      <c r="G12" s="47" t="n">
        <f aca="false">IF(OR(F12="",F12=0),"",D12/F12)</f>
        <v>0.370879120879121</v>
      </c>
      <c r="H12" s="47" t="n">
        <f aca="false">IF(OR(F12="",F12=0),"",E12/F12)</f>
        <v>0.629120879120879</v>
      </c>
      <c r="I12" s="32" t="s">
        <v>192</v>
      </c>
      <c r="J12" s="36" t="n">
        <v>2.73724997661239</v>
      </c>
      <c r="K12" s="36" t="n">
        <f aca="false">$K$8</f>
        <v>1.02521134994605</v>
      </c>
      <c r="L12" s="36" t="n">
        <f aca="false">SQRT(J12^2+K12^2)</f>
        <v>2.92294299405971</v>
      </c>
      <c r="M12" s="47" t="n">
        <f aca="false">IF(G12="","",MAX(0,G12-1.96*L12/100))</f>
        <v>0.313589438195551</v>
      </c>
      <c r="N12" s="47" t="n">
        <f aca="false">IF(G12="","",MIN(1,G12+1.96*L12/100))</f>
        <v>0.428168803562691</v>
      </c>
      <c r="O12" s="66" t="n">
        <f aca="false">ROUND(S12*W12,0)</f>
        <v>27</v>
      </c>
      <c r="P12" s="66" t="n">
        <f aca="false">IF(F12="","",ROUND(SQRT((F12*L12/100)^2+(G12*O12)^2),0))</f>
        <v>15</v>
      </c>
      <c r="R12" s="67" t="n">
        <v>-5.52755278883526</v>
      </c>
      <c r="S12" s="68" t="n">
        <f aca="false">U12*V12*$F$5</f>
        <v>364.490963855422</v>
      </c>
      <c r="T12" s="69" t="n">
        <f aca="false">MAX(0,MIN(1,R12/100+$D$5))</f>
        <v>0.369890692106019</v>
      </c>
      <c r="U12" s="69" t="n">
        <v>0.581325301204819</v>
      </c>
      <c r="V12" s="68" t="n">
        <v>627</v>
      </c>
      <c r="W12" s="69" t="n">
        <v>0.0732058935918866</v>
      </c>
      <c r="X12" s="70" t="s">
        <v>193</v>
      </c>
      <c r="Y12" s="70" t="s">
        <v>194</v>
      </c>
    </row>
    <row r="13" customFormat="false" ht="15" hidden="false" customHeight="false" outlineLevel="0" collapsed="false">
      <c r="A13" s="32" t="s">
        <v>189</v>
      </c>
      <c r="B13" s="32" t="s">
        <v>195</v>
      </c>
      <c r="C13" s="32" t="s">
        <v>191</v>
      </c>
      <c r="D13" s="66" t="n">
        <f aca="false">ROUND(S13*T13,0)</f>
        <v>93</v>
      </c>
      <c r="E13" s="66" t="n">
        <f aca="false">ROUND(S13,0)-D13</f>
        <v>237</v>
      </c>
      <c r="F13" s="66" t="n">
        <f aca="false">IF(COUNTA(D13:E13)=0,"",SUM(D13:E13))</f>
        <v>330</v>
      </c>
      <c r="G13" s="47" t="n">
        <f aca="false">IF(OR(F13="",F13=0),"",D13/F13)</f>
        <v>0.281818181818182</v>
      </c>
      <c r="H13" s="47" t="n">
        <f aca="false">IF(OR(F13="",F13=0),"",E13/F13)</f>
        <v>0.718181818181818</v>
      </c>
      <c r="I13" s="32" t="s">
        <v>192</v>
      </c>
      <c r="J13" s="36" t="n">
        <v>2.73724997661239</v>
      </c>
      <c r="K13" s="36" t="n">
        <f aca="false">$K$8</f>
        <v>1.02521134994605</v>
      </c>
      <c r="L13" s="36" t="n">
        <f aca="false">SQRT(J13^2+K13^2)</f>
        <v>2.92294299405971</v>
      </c>
      <c r="M13" s="47" t="n">
        <f aca="false">IF(G13="","",MAX(0,G13-1.96*L13/100))</f>
        <v>0.224528499134612</v>
      </c>
      <c r="N13" s="47" t="n">
        <f aca="false">IF(G13="","",MIN(1,G13+1.96*L13/100))</f>
        <v>0.339107864501752</v>
      </c>
      <c r="O13" s="66" t="n">
        <f aca="false">ROUND(S13*W13,0)</f>
        <v>24</v>
      </c>
      <c r="P13" s="66" t="n">
        <f aca="false">IF(F13="","",ROUND(SQRT((F13*L13/100)^2+(G13*O13)^2),0))</f>
        <v>12</v>
      </c>
      <c r="R13" s="67" t="n">
        <v>-14.2887370970518</v>
      </c>
      <c r="S13" s="68" t="n">
        <f aca="false">U13*V13*$F$5</f>
        <v>330.130136986301</v>
      </c>
      <c r="T13" s="69" t="n">
        <f aca="false">MAX(0,MIN(1,R13/100+$D$5))</f>
        <v>0.282278849023853</v>
      </c>
      <c r="U13" s="69" t="n">
        <v>0.537671232876712</v>
      </c>
      <c r="V13" s="68" t="n">
        <v>614</v>
      </c>
      <c r="W13" s="69" t="n">
        <v>0.0732058935918866</v>
      </c>
      <c r="X13" s="70" t="s">
        <v>193</v>
      </c>
      <c r="Y13" s="70" t="s">
        <v>194</v>
      </c>
    </row>
    <row r="14" customFormat="false" ht="15" hidden="false" customHeight="false" outlineLevel="0" collapsed="false">
      <c r="A14" s="32" t="s">
        <v>189</v>
      </c>
      <c r="B14" s="32" t="s">
        <v>196</v>
      </c>
      <c r="C14" s="32" t="s">
        <v>191</v>
      </c>
      <c r="D14" s="66" t="n">
        <f aca="false">ROUND(S14*T14,0)</f>
        <v>123</v>
      </c>
      <c r="E14" s="66" t="n">
        <f aca="false">ROUND(S14,0)-D14</f>
        <v>233</v>
      </c>
      <c r="F14" s="66" t="n">
        <f aca="false">IF(COUNTA(D14:E14)=0,"",SUM(D14:E14))</f>
        <v>356</v>
      </c>
      <c r="G14" s="47" t="n">
        <f aca="false">IF(OR(F14="",F14=0),"",D14/F14)</f>
        <v>0.345505617977528</v>
      </c>
      <c r="H14" s="47" t="n">
        <f aca="false">IF(OR(F14="",F14=0),"",E14/F14)</f>
        <v>0.654494382022472</v>
      </c>
      <c r="I14" s="32" t="s">
        <v>192</v>
      </c>
      <c r="J14" s="36" t="n">
        <v>2.73724997661239</v>
      </c>
      <c r="K14" s="36" t="n">
        <f aca="false">$K$8</f>
        <v>1.02521134994605</v>
      </c>
      <c r="L14" s="36" t="n">
        <f aca="false">SQRT(J14^2+K14^2)</f>
        <v>2.92294299405971</v>
      </c>
      <c r="M14" s="47" t="n">
        <f aca="false">IF(G14="","",MAX(0,G14-1.96*L14/100))</f>
        <v>0.288215935293958</v>
      </c>
      <c r="N14" s="47" t="n">
        <f aca="false">IF(G14="","",MIN(1,G14+1.96*L14/100))</f>
        <v>0.402795300661098</v>
      </c>
      <c r="O14" s="66" t="n">
        <f aca="false">ROUND(S14*W14,0)</f>
        <v>26</v>
      </c>
      <c r="P14" s="66" t="n">
        <f aca="false">IF(F14="","",ROUND(SQRT((F14*L14/100)^2+(G14*O14)^2),0))</f>
        <v>14</v>
      </c>
      <c r="R14" s="67" t="n">
        <v>-7.99617961297044</v>
      </c>
      <c r="S14" s="68" t="n">
        <f aca="false">U14*V14*$F$5</f>
        <v>355.63436928702</v>
      </c>
      <c r="T14" s="69" t="n">
        <f aca="false">MAX(0,MIN(1,R14/100+$D$5))</f>
        <v>0.345204423864667</v>
      </c>
      <c r="U14" s="69" t="n">
        <v>0.636197440585009</v>
      </c>
      <c r="V14" s="68" t="n">
        <v>559</v>
      </c>
      <c r="W14" s="69" t="n">
        <v>0.0732058935918866</v>
      </c>
      <c r="X14" s="70" t="s">
        <v>193</v>
      </c>
      <c r="Y14" s="70" t="s">
        <v>194</v>
      </c>
    </row>
    <row r="15" customFormat="false" ht="15" hidden="false" customHeight="false" outlineLevel="0" collapsed="false">
      <c r="A15" s="32" t="s">
        <v>189</v>
      </c>
      <c r="B15" s="32" t="s">
        <v>197</v>
      </c>
      <c r="C15" s="32" t="s">
        <v>191</v>
      </c>
      <c r="D15" s="66" t="n">
        <f aca="false">ROUND(S15*T15,0)</f>
        <v>373</v>
      </c>
      <c r="E15" s="66" t="n">
        <f aca="false">ROUND(S15,0)-D15</f>
        <v>962</v>
      </c>
      <c r="F15" s="66" t="n">
        <f aca="false">IF(COUNTA(D15:E15)=0,"",SUM(D15:E15))</f>
        <v>1335</v>
      </c>
      <c r="G15" s="47" t="n">
        <f aca="false">IF(OR(F15="",F15=0),"",D15/F15)</f>
        <v>0.27940074906367</v>
      </c>
      <c r="H15" s="47" t="n">
        <f aca="false">IF(OR(F15="",F15=0),"",E15/F15)</f>
        <v>0.72059925093633</v>
      </c>
      <c r="I15" s="32" t="s">
        <v>192</v>
      </c>
      <c r="J15" s="36" t="n">
        <v>1.72069707213054</v>
      </c>
      <c r="K15" s="36" t="n">
        <f aca="false">$K$8</f>
        <v>1.02521134994605</v>
      </c>
      <c r="L15" s="36" t="n">
        <f aca="false">SQRT(J15^2+K15^2)</f>
        <v>2.00296198818071</v>
      </c>
      <c r="M15" s="47" t="n">
        <f aca="false">IF(G15="","",MAX(0,G15-1.96*L15/100))</f>
        <v>0.240142694095328</v>
      </c>
      <c r="N15" s="47" t="n">
        <f aca="false">IF(G15="","",MIN(1,G15+1.96*L15/100))</f>
        <v>0.318658804032012</v>
      </c>
      <c r="O15" s="66" t="n">
        <f aca="false">ROUND(S15*W15,0)</f>
        <v>73</v>
      </c>
      <c r="P15" s="66" t="n">
        <f aca="false">IF(F15="","",ROUND(SQRT((F15*L15/100)^2+(G15*O15)^2),0))</f>
        <v>34</v>
      </c>
      <c r="R15" s="67" t="n">
        <v>-14.5960860460331</v>
      </c>
      <c r="S15" s="68" t="n">
        <f aca="false">U15*V15*$F$5</f>
        <v>1334.82101558572</v>
      </c>
      <c r="T15" s="69" t="n">
        <f aca="false">MAX(0,MIN(1,R15/100+$D$5))</f>
        <v>0.279205359534041</v>
      </c>
      <c r="U15" s="69" t="n">
        <v>0.652086475615887</v>
      </c>
      <c r="V15" s="68" t="n">
        <v>2047</v>
      </c>
      <c r="W15" s="69" t="n">
        <v>0.0547268472736556</v>
      </c>
      <c r="X15" s="70" t="s">
        <v>198</v>
      </c>
      <c r="Y15" s="70" t="s">
        <v>194</v>
      </c>
    </row>
    <row r="16" customFormat="false" ht="15" hidden="false" customHeight="false" outlineLevel="0" collapsed="false">
      <c r="A16" s="32" t="s">
        <v>189</v>
      </c>
      <c r="B16" s="32" t="s">
        <v>199</v>
      </c>
      <c r="C16" s="32" t="s">
        <v>191</v>
      </c>
      <c r="D16" s="66" t="n">
        <f aca="false">ROUND(S16*T16,0)</f>
        <v>33</v>
      </c>
      <c r="E16" s="66" t="n">
        <f aca="false">ROUND(S16,0)-D16</f>
        <v>60</v>
      </c>
      <c r="F16" s="66" t="n">
        <f aca="false">IF(COUNTA(D16:E16)=0,"",SUM(D16:E16))</f>
        <v>93</v>
      </c>
      <c r="G16" s="47" t="n">
        <f aca="false">IF(OR(F16="",F16=0),"",D16/F16)</f>
        <v>0.354838709677419</v>
      </c>
      <c r="H16" s="47" t="n">
        <f aca="false">IF(OR(F16="",F16=0),"",E16/F16)</f>
        <v>0.645161290322581</v>
      </c>
      <c r="I16" s="32" t="s">
        <v>192</v>
      </c>
      <c r="J16" s="36" t="n">
        <v>2.73724997661239</v>
      </c>
      <c r="K16" s="36" t="n">
        <f aca="false">$K$8</f>
        <v>1.02521134994605</v>
      </c>
      <c r="L16" s="36" t="n">
        <f aca="false">SQRT(J16^2+K16^2)</f>
        <v>2.92294299405971</v>
      </c>
      <c r="M16" s="47" t="n">
        <f aca="false">IF(G16="","",MAX(0,G16-1.96*L16/100))</f>
        <v>0.297549026993849</v>
      </c>
      <c r="N16" s="47" t="n">
        <f aca="false">IF(G16="","",MIN(1,G16+1.96*L16/100))</f>
        <v>0.41212839236099</v>
      </c>
      <c r="O16" s="66" t="n">
        <f aca="false">ROUND(S16*W16,0)</f>
        <v>7</v>
      </c>
      <c r="P16" s="66" t="n">
        <f aca="false">IF(F16="","",ROUND(SQRT((F16*L16/100)^2+(G16*O16)^2),0))</f>
        <v>4</v>
      </c>
      <c r="R16" s="67" t="n">
        <v>-7.2589722097687</v>
      </c>
      <c r="S16" s="68" t="n">
        <f aca="false">U16*V16*$F$5</f>
        <v>93.4268292682927</v>
      </c>
      <c r="T16" s="69" t="n">
        <f aca="false">MAX(0,MIN(1,R16/100+$D$5))</f>
        <v>0.352576497896685</v>
      </c>
      <c r="U16" s="69" t="n">
        <v>0.573170731707317</v>
      </c>
      <c r="V16" s="68" t="n">
        <v>163</v>
      </c>
      <c r="W16" s="69" t="n">
        <v>0.0732058935918866</v>
      </c>
      <c r="X16" s="70" t="s">
        <v>193</v>
      </c>
      <c r="Y16" s="70" t="s">
        <v>194</v>
      </c>
    </row>
    <row r="17" customFormat="false" ht="15" hidden="false" customHeight="false" outlineLevel="0" collapsed="false">
      <c r="A17" s="32" t="s">
        <v>189</v>
      </c>
      <c r="B17" s="32" t="s">
        <v>200</v>
      </c>
      <c r="C17" s="32" t="s">
        <v>191</v>
      </c>
      <c r="D17" s="66" t="n">
        <f aca="false">ROUND(S17*T17,0)</f>
        <v>559</v>
      </c>
      <c r="E17" s="66" t="n">
        <f aca="false">ROUND(S17,0)-D17</f>
        <v>1423</v>
      </c>
      <c r="F17" s="66" t="n">
        <f aca="false">IF(COUNTA(D17:E17)=0,"",SUM(D17:E17))</f>
        <v>1982</v>
      </c>
      <c r="G17" s="47" t="n">
        <f aca="false">IF(OR(F17="",F17=0),"",D17/F17)</f>
        <v>0.282038345105954</v>
      </c>
      <c r="H17" s="47" t="n">
        <f aca="false">IF(OR(F17="",F17=0),"",E17/F17)</f>
        <v>0.717961654894046</v>
      </c>
      <c r="I17" s="32" t="s">
        <v>192</v>
      </c>
      <c r="J17" s="36" t="n">
        <v>1.72069707213054</v>
      </c>
      <c r="K17" s="36" t="n">
        <f aca="false">$K$8</f>
        <v>1.02521134994605</v>
      </c>
      <c r="L17" s="36" t="n">
        <f aca="false">SQRT(J17^2+K17^2)</f>
        <v>2.00296198818071</v>
      </c>
      <c r="M17" s="47" t="n">
        <f aca="false">IF(G17="","",MAX(0,G17-1.96*L17/100))</f>
        <v>0.242780290137612</v>
      </c>
      <c r="N17" s="47" t="n">
        <f aca="false">IF(G17="","",MIN(1,G17+1.96*L17/100))</f>
        <v>0.321296400074296</v>
      </c>
      <c r="O17" s="66" t="n">
        <f aca="false">ROUND(S17*W17,0)</f>
        <v>108</v>
      </c>
      <c r="P17" s="66" t="n">
        <f aca="false">IF(F17="","",ROUND(SQRT((F17*L17/100)^2+(G17*O17)^2),0))</f>
        <v>50</v>
      </c>
      <c r="R17" s="67" t="n">
        <v>-14.2987287842436</v>
      </c>
      <c r="S17" s="68" t="n">
        <f aca="false">U17*V17*$F$5</f>
        <v>1982.00903517264</v>
      </c>
      <c r="T17" s="69" t="n">
        <f aca="false">MAX(0,MIN(1,R17/100+$D$5))</f>
        <v>0.282178932151935</v>
      </c>
      <c r="U17" s="69" t="n">
        <v>0.631816715069377</v>
      </c>
      <c r="V17" s="68" t="n">
        <v>3137</v>
      </c>
      <c r="W17" s="69" t="n">
        <v>0.0547268472736556</v>
      </c>
      <c r="X17" s="70" t="s">
        <v>198</v>
      </c>
      <c r="Y17" s="70" t="s">
        <v>194</v>
      </c>
    </row>
    <row r="18" customFormat="false" ht="15" hidden="false" customHeight="false" outlineLevel="0" collapsed="false">
      <c r="A18" s="32" t="s">
        <v>189</v>
      </c>
      <c r="B18" s="32" t="s">
        <v>201</v>
      </c>
      <c r="C18" s="32" t="s">
        <v>191</v>
      </c>
      <c r="D18" s="66" t="n">
        <f aca="false">ROUND(S18*T18,0)</f>
        <v>918</v>
      </c>
      <c r="E18" s="66" t="n">
        <f aca="false">ROUND(S18,0)-D18</f>
        <v>1190</v>
      </c>
      <c r="F18" s="66" t="n">
        <f aca="false">IF(COUNTA(D18:E18)=0,"",SUM(D18:E18))</f>
        <v>2108</v>
      </c>
      <c r="G18" s="47" t="n">
        <f aca="false">IF(OR(F18="",F18=0),"",D18/F18)</f>
        <v>0.435483870967742</v>
      </c>
      <c r="H18" s="47" t="n">
        <f aca="false">IF(OR(F18="",F18=0),"",E18/F18)</f>
        <v>0.564516129032258</v>
      </c>
      <c r="I18" s="32" t="s">
        <v>192</v>
      </c>
      <c r="J18" s="36" t="n">
        <v>1.72069707213054</v>
      </c>
      <c r="K18" s="36" t="n">
        <f aca="false">$K$8</f>
        <v>1.02521134994605</v>
      </c>
      <c r="L18" s="36" t="n">
        <f aca="false">SQRT(J18^2+K18^2)</f>
        <v>2.00296198818071</v>
      </c>
      <c r="M18" s="47" t="n">
        <f aca="false">IF(G18="","",MAX(0,G18-1.96*L18/100))</f>
        <v>0.3962258159994</v>
      </c>
      <c r="N18" s="47" t="n">
        <f aca="false">IF(G18="","",MIN(1,G18+1.96*L18/100))</f>
        <v>0.474741925936084</v>
      </c>
      <c r="O18" s="66" t="n">
        <f aca="false">ROUND(S18*W18,0)</f>
        <v>115</v>
      </c>
      <c r="P18" s="66" t="n">
        <f aca="false">IF(F18="","",ROUND(SQRT((F18*L18/100)^2+(G18*O18)^2),0))</f>
        <v>66</v>
      </c>
      <c r="R18" s="67" t="n">
        <v>1.03728953697976</v>
      </c>
      <c r="S18" s="68" t="n">
        <f aca="false">U18*V18*$F$5</f>
        <v>2107.72563176895</v>
      </c>
      <c r="T18" s="69" t="n">
        <f aca="false">MAX(0,MIN(1,R18/100+$D$5))</f>
        <v>0.435539115364169</v>
      </c>
      <c r="U18" s="69" t="n">
        <v>0.642599277978339</v>
      </c>
      <c r="V18" s="68" t="n">
        <v>3280</v>
      </c>
      <c r="W18" s="69" t="n">
        <v>0.0547268472736556</v>
      </c>
      <c r="X18" s="70" t="s">
        <v>198</v>
      </c>
      <c r="Y18" s="70" t="s">
        <v>194</v>
      </c>
    </row>
    <row r="19" customFormat="false" ht="15" hidden="false" customHeight="false" outlineLevel="0" collapsed="false">
      <c r="A19" s="32" t="s">
        <v>189</v>
      </c>
      <c r="B19" s="32" t="s">
        <v>202</v>
      </c>
      <c r="C19" s="32" t="s">
        <v>191</v>
      </c>
      <c r="D19" s="66" t="n">
        <f aca="false">ROUND(S19*T19,0)</f>
        <v>268</v>
      </c>
      <c r="E19" s="66" t="n">
        <f aca="false">ROUND(S19,0)-D19</f>
        <v>537</v>
      </c>
      <c r="F19" s="66" t="n">
        <f aca="false">IF(COUNTA(D19:E19)=0,"",SUM(D19:E19))</f>
        <v>805</v>
      </c>
      <c r="G19" s="47" t="n">
        <f aca="false">IF(OR(F19="",F19=0),"",D19/F19)</f>
        <v>0.332919254658385</v>
      </c>
      <c r="H19" s="47" t="n">
        <f aca="false">IF(OR(F19="",F19=0),"",E19/F19)</f>
        <v>0.667080745341615</v>
      </c>
      <c r="I19" s="32" t="s">
        <v>192</v>
      </c>
      <c r="J19" s="36" t="n">
        <v>2.73724997661239</v>
      </c>
      <c r="K19" s="36" t="n">
        <f aca="false">$K$8</f>
        <v>1.02521134994605</v>
      </c>
      <c r="L19" s="36" t="n">
        <f aca="false">SQRT(J19^2+K19^2)</f>
        <v>2.92294299405971</v>
      </c>
      <c r="M19" s="47" t="n">
        <f aca="false">IF(G19="","",MAX(0,G19-1.96*L19/100))</f>
        <v>0.275629571974815</v>
      </c>
      <c r="N19" s="47" t="n">
        <f aca="false">IF(G19="","",MIN(1,G19+1.96*L19/100))</f>
        <v>0.390208937341955</v>
      </c>
      <c r="O19" s="66" t="n">
        <f aca="false">ROUND(S19*W19,0)</f>
        <v>59</v>
      </c>
      <c r="P19" s="66" t="n">
        <f aca="false">IF(F19="","",ROUND(SQRT((F19*L19/100)^2+(G19*O19)^2),0))</f>
        <v>31</v>
      </c>
      <c r="R19" s="67" t="n">
        <v>-9.26313518226685</v>
      </c>
      <c r="S19" s="68" t="n">
        <f aca="false">U19*V19*$F$5</f>
        <v>804.850331125828</v>
      </c>
      <c r="T19" s="69" t="n">
        <f aca="false">MAX(0,MIN(1,R19/100+$D$5))</f>
        <v>0.332534868171703</v>
      </c>
      <c r="U19" s="69" t="n">
        <v>0.554304635761589</v>
      </c>
      <c r="V19" s="68" t="n">
        <v>1452</v>
      </c>
      <c r="W19" s="69" t="n">
        <v>0.0732058935918866</v>
      </c>
      <c r="X19" s="70" t="s">
        <v>193</v>
      </c>
      <c r="Y19" s="70" t="s">
        <v>194</v>
      </c>
    </row>
    <row r="20" customFormat="false" ht="15" hidden="false" customHeight="false" outlineLevel="0" collapsed="false">
      <c r="A20" s="32" t="s">
        <v>189</v>
      </c>
      <c r="B20" s="32" t="s">
        <v>203</v>
      </c>
      <c r="C20" s="32" t="s">
        <v>191</v>
      </c>
      <c r="D20" s="66" t="n">
        <f aca="false">ROUND(S20*T20,0)</f>
        <v>456</v>
      </c>
      <c r="E20" s="66" t="n">
        <f aca="false">ROUND(S20,0)-D20</f>
        <v>627</v>
      </c>
      <c r="F20" s="66" t="n">
        <f aca="false">IF(COUNTA(D20:E20)=0,"",SUM(D20:E20))</f>
        <v>1083</v>
      </c>
      <c r="G20" s="47" t="n">
        <f aca="false">IF(OR(F20="",F20=0),"",D20/F20)</f>
        <v>0.421052631578947</v>
      </c>
      <c r="H20" s="47" t="n">
        <f aca="false">IF(OR(F20="",F20=0),"",E20/F20)</f>
        <v>0.578947368421053</v>
      </c>
      <c r="I20" s="32" t="s">
        <v>192</v>
      </c>
      <c r="J20" s="36" t="n">
        <v>2.73724997661239</v>
      </c>
      <c r="K20" s="36" t="n">
        <f aca="false">$K$8</f>
        <v>1.02521134994605</v>
      </c>
      <c r="L20" s="36" t="n">
        <f aca="false">SQRT(J20^2+K20^2)</f>
        <v>2.92294299405971</v>
      </c>
      <c r="M20" s="47" t="n">
        <f aca="false">IF(G20="","",MAX(0,G20-1.96*L20/100))</f>
        <v>0.363762948895377</v>
      </c>
      <c r="N20" s="47" t="n">
        <f aca="false">IF(G20="","",MIN(1,G20+1.96*L20/100))</f>
        <v>0.478342314262518</v>
      </c>
      <c r="O20" s="66" t="n">
        <f aca="false">ROUND(S20*W20,0)</f>
        <v>79</v>
      </c>
      <c r="P20" s="66" t="n">
        <f aca="false">IF(F20="","",ROUND(SQRT((F20*L20/100)^2+(G20*O20)^2),0))</f>
        <v>46</v>
      </c>
      <c r="R20" s="67" t="n">
        <v>-0.413113224842261</v>
      </c>
      <c r="S20" s="68" t="n">
        <f aca="false">U20*V20*$F$5</f>
        <v>1083.4829443447</v>
      </c>
      <c r="T20" s="69" t="n">
        <f aca="false">MAX(0,MIN(1,R20/100+$D$5))</f>
        <v>0.421035087745949</v>
      </c>
      <c r="U20" s="69" t="n">
        <v>0.448833034111311</v>
      </c>
      <c r="V20" s="68" t="n">
        <v>2414</v>
      </c>
      <c r="W20" s="69" t="n">
        <v>0.0732058935918866</v>
      </c>
      <c r="X20" s="70" t="s">
        <v>193</v>
      </c>
      <c r="Y20" s="70" t="s">
        <v>194</v>
      </c>
    </row>
    <row r="21" customFormat="false" ht="15" hidden="false" customHeight="false" outlineLevel="0" collapsed="false">
      <c r="A21" s="32" t="s">
        <v>189</v>
      </c>
      <c r="B21" s="32" t="s">
        <v>204</v>
      </c>
      <c r="C21" s="32" t="s">
        <v>191</v>
      </c>
      <c r="D21" s="66" t="n">
        <f aca="false">ROUND(S21*T21,0)</f>
        <v>34</v>
      </c>
      <c r="E21" s="66" t="n">
        <f aca="false">ROUND(S21,0)-D21</f>
        <v>84</v>
      </c>
      <c r="F21" s="66" t="n">
        <f aca="false">IF(COUNTA(D21:E21)=0,"",SUM(D21:E21))</f>
        <v>118</v>
      </c>
      <c r="G21" s="47" t="n">
        <f aca="false">IF(OR(F21="",F21=0),"",D21/F21)</f>
        <v>0.288135593220339</v>
      </c>
      <c r="H21" s="47" t="n">
        <f aca="false">IF(OR(F21="",F21=0),"",E21/F21)</f>
        <v>0.711864406779661</v>
      </c>
      <c r="I21" s="32" t="s">
        <v>192</v>
      </c>
      <c r="J21" s="36" t="n">
        <v>2.73724997661239</v>
      </c>
      <c r="K21" s="36" t="n">
        <f aca="false">$K$8</f>
        <v>1.02521134994605</v>
      </c>
      <c r="L21" s="36" t="n">
        <f aca="false">SQRT(J21^2+K21^2)</f>
        <v>2.92294299405971</v>
      </c>
      <c r="M21" s="47" t="n">
        <f aca="false">IF(G21="","",MAX(0,G21-1.96*L21/100))</f>
        <v>0.230845910536769</v>
      </c>
      <c r="N21" s="47" t="n">
        <f aca="false">IF(G21="","",MIN(1,G21+1.96*L21/100))</f>
        <v>0.345425275903909</v>
      </c>
      <c r="O21" s="66" t="n">
        <f aca="false">ROUND(S21*W21,0)</f>
        <v>9</v>
      </c>
      <c r="P21" s="66" t="n">
        <f aca="false">IF(F21="","",ROUND(SQRT((F21*L21/100)^2+(G21*O21)^2),0))</f>
        <v>4</v>
      </c>
      <c r="R21" s="67" t="n">
        <v>-13.7983865404326</v>
      </c>
      <c r="S21" s="68" t="n">
        <f aca="false">U21*V21*$F$5</f>
        <v>118.285714285714</v>
      </c>
      <c r="T21" s="69" t="n">
        <f aca="false">MAX(0,MIN(1,R21/100+$D$5))</f>
        <v>0.287182354590045</v>
      </c>
      <c r="U21" s="69" t="n">
        <v>0.657142857142857</v>
      </c>
      <c r="V21" s="68" t="n">
        <v>180</v>
      </c>
      <c r="W21" s="69" t="n">
        <v>0.0732058935918866</v>
      </c>
      <c r="X21" s="70" t="s">
        <v>193</v>
      </c>
      <c r="Y21" s="70" t="s">
        <v>194</v>
      </c>
    </row>
    <row r="22" customFormat="false" ht="15" hidden="false" customHeight="false" outlineLevel="0" collapsed="false">
      <c r="A22" s="32" t="s">
        <v>189</v>
      </c>
      <c r="B22" s="32" t="s">
        <v>205</v>
      </c>
      <c r="C22" s="32" t="s">
        <v>191</v>
      </c>
      <c r="D22" s="66" t="n">
        <f aca="false">ROUND(S22*T22,0)</f>
        <v>48</v>
      </c>
      <c r="E22" s="66" t="n">
        <f aca="false">ROUND(S22,0)-D22</f>
        <v>189</v>
      </c>
      <c r="F22" s="66" t="n">
        <f aca="false">IF(COUNTA(D22:E22)=0,"",SUM(D22:E22))</f>
        <v>237</v>
      </c>
      <c r="G22" s="47" t="n">
        <f aca="false">IF(OR(F22="",F22=0),"",D22/F22)</f>
        <v>0.20253164556962</v>
      </c>
      <c r="H22" s="47" t="n">
        <f aca="false">IF(OR(F22="",F22=0),"",E22/F22)</f>
        <v>0.79746835443038</v>
      </c>
      <c r="I22" s="32" t="s">
        <v>192</v>
      </c>
      <c r="J22" s="36" t="n">
        <v>2.73724997661239</v>
      </c>
      <c r="K22" s="36" t="n">
        <f aca="false">$K$8</f>
        <v>1.02521134994605</v>
      </c>
      <c r="L22" s="36" t="n">
        <f aca="false">SQRT(J22^2+K22^2)</f>
        <v>2.92294299405971</v>
      </c>
      <c r="M22" s="47" t="n">
        <f aca="false">IF(G22="","",MAX(0,G22-1.96*L22/100))</f>
        <v>0.14524196288605</v>
      </c>
      <c r="N22" s="47" t="n">
        <f aca="false">IF(G22="","",MIN(1,G22+1.96*L22/100))</f>
        <v>0.259821328253191</v>
      </c>
      <c r="O22" s="66" t="n">
        <f aca="false">ROUND(S22*W22,0)</f>
        <v>17</v>
      </c>
      <c r="P22" s="66" t="n">
        <f aca="false">IF(F22="","",ROUND(SQRT((F22*L22/100)^2+(G22*O22)^2),0))</f>
        <v>8</v>
      </c>
      <c r="R22" s="67" t="n">
        <v>-22.2865248308967</v>
      </c>
      <c r="S22" s="68" t="n">
        <f aca="false">U22*V22*$F$5</f>
        <v>236.844827586207</v>
      </c>
      <c r="T22" s="69" t="n">
        <f aca="false">MAX(0,MIN(1,R22/100+$D$5))</f>
        <v>0.202300971685405</v>
      </c>
      <c r="U22" s="69" t="n">
        <v>0.692528735632184</v>
      </c>
      <c r="V22" s="68" t="n">
        <v>342</v>
      </c>
      <c r="W22" s="69" t="n">
        <v>0.0732058935918866</v>
      </c>
      <c r="X22" s="70" t="s">
        <v>193</v>
      </c>
      <c r="Y22" s="70" t="s">
        <v>194</v>
      </c>
    </row>
    <row r="23" customFormat="false" ht="15" hidden="false" customHeight="false" outlineLevel="0" collapsed="false">
      <c r="A23" s="32" t="s">
        <v>189</v>
      </c>
      <c r="B23" s="32" t="s">
        <v>206</v>
      </c>
      <c r="C23" s="32" t="s">
        <v>191</v>
      </c>
      <c r="D23" s="66" t="n">
        <f aca="false">ROUND(S23*T23,0)</f>
        <v>731</v>
      </c>
      <c r="E23" s="66" t="n">
        <f aca="false">ROUND(S23,0)-D23</f>
        <v>1023</v>
      </c>
      <c r="F23" s="66" t="n">
        <f aca="false">IF(COUNTA(D23:E23)=0,"",SUM(D23:E23))</f>
        <v>1754</v>
      </c>
      <c r="G23" s="47" t="n">
        <f aca="false">IF(OR(F23="",F23=0),"",D23/F23)</f>
        <v>0.416761687571266</v>
      </c>
      <c r="H23" s="47" t="n">
        <f aca="false">IF(OR(F23="",F23=0),"",E23/F23)</f>
        <v>0.583238312428734</v>
      </c>
      <c r="I23" s="32" t="s">
        <v>192</v>
      </c>
      <c r="J23" s="36" t="n">
        <v>1.72069707213054</v>
      </c>
      <c r="K23" s="36" t="n">
        <f aca="false">$K$8</f>
        <v>1.02521134994605</v>
      </c>
      <c r="L23" s="36" t="n">
        <f aca="false">SQRT(J23^2+K23^2)</f>
        <v>2.00296198818071</v>
      </c>
      <c r="M23" s="47" t="n">
        <f aca="false">IF(G23="","",MAX(0,G23-1.96*L23/100))</f>
        <v>0.377503632602924</v>
      </c>
      <c r="N23" s="47" t="n">
        <f aca="false">IF(G23="","",MIN(1,G23+1.96*L23/100))</f>
        <v>0.456019742539608</v>
      </c>
      <c r="O23" s="66" t="n">
        <f aca="false">ROUND(S23*W23,0)</f>
        <v>96</v>
      </c>
      <c r="P23" s="66" t="n">
        <f aca="false">IF(F23="","",ROUND(SQRT((F23*L23/100)^2+(G23*O23)^2),0))</f>
        <v>53</v>
      </c>
      <c r="R23" s="67" t="n">
        <v>-0.828176940023032</v>
      </c>
      <c r="S23" s="68" t="n">
        <f aca="false">U23*V23*$F$5</f>
        <v>1753.74077578051</v>
      </c>
      <c r="T23" s="69" t="n">
        <f aca="false">MAX(0,MIN(1,R23/100+$D$5))</f>
        <v>0.416884450594141</v>
      </c>
      <c r="U23" s="69" t="n">
        <v>0.525701671397036</v>
      </c>
      <c r="V23" s="68" t="n">
        <v>3336</v>
      </c>
      <c r="W23" s="69" t="n">
        <v>0.0547268472736556</v>
      </c>
      <c r="X23" s="70" t="s">
        <v>198</v>
      </c>
      <c r="Y23" s="70" t="s">
        <v>194</v>
      </c>
    </row>
    <row r="24" customFormat="false" ht="15" hidden="false" customHeight="false" outlineLevel="0" collapsed="false">
      <c r="A24" s="32" t="s">
        <v>189</v>
      </c>
      <c r="B24" s="32" t="s">
        <v>207</v>
      </c>
      <c r="C24" s="32" t="s">
        <v>191</v>
      </c>
      <c r="D24" s="66" t="n">
        <f aca="false">ROUND(S24*T24,0)</f>
        <v>429</v>
      </c>
      <c r="E24" s="66" t="n">
        <f aca="false">ROUND(S24,0)-D24</f>
        <v>972</v>
      </c>
      <c r="F24" s="66" t="n">
        <f aca="false">IF(COUNTA(D24:E24)=0,"",SUM(D24:E24))</f>
        <v>1401</v>
      </c>
      <c r="G24" s="47" t="n">
        <f aca="false">IF(OR(F24="",F24=0),"",D24/F24)</f>
        <v>0.306209850107066</v>
      </c>
      <c r="H24" s="47" t="n">
        <f aca="false">IF(OR(F24="",F24=0),"",E24/F24)</f>
        <v>0.693790149892934</v>
      </c>
      <c r="I24" s="32" t="s">
        <v>192</v>
      </c>
      <c r="J24" s="36" t="n">
        <v>1.72069707213054</v>
      </c>
      <c r="K24" s="36" t="n">
        <f aca="false">$K$8</f>
        <v>1.02521134994605</v>
      </c>
      <c r="L24" s="36" t="n">
        <f aca="false">SQRT(J24^2+K24^2)</f>
        <v>2.00296198818071</v>
      </c>
      <c r="M24" s="47" t="n">
        <f aca="false">IF(G24="","",MAX(0,G24-1.96*L24/100))</f>
        <v>0.266951795138724</v>
      </c>
      <c r="N24" s="47" t="n">
        <f aca="false">IF(G24="","",MIN(1,G24+1.96*L24/100))</f>
        <v>0.345467905075408</v>
      </c>
      <c r="O24" s="66" t="n">
        <f aca="false">ROUND(S24*W24,0)</f>
        <v>77</v>
      </c>
      <c r="P24" s="66" t="n">
        <f aca="false">IF(F24="","",ROUND(SQRT((F24*L24/100)^2+(G24*O24)^2),0))</f>
        <v>37</v>
      </c>
      <c r="R24" s="67" t="n">
        <v>-11.9117453306187</v>
      </c>
      <c r="S24" s="68" t="n">
        <f aca="false">U24*V24*$F$5</f>
        <v>1401.11772917636</v>
      </c>
      <c r="T24" s="69" t="n">
        <f aca="false">MAX(0,MIN(1,R24/100+$D$5))</f>
        <v>0.306048766688184</v>
      </c>
      <c r="U24" s="69" t="n">
        <v>0.626337831549558</v>
      </c>
      <c r="V24" s="68" t="n">
        <v>2237</v>
      </c>
      <c r="W24" s="69" t="n">
        <v>0.0547268472736556</v>
      </c>
      <c r="X24" s="70" t="s">
        <v>198</v>
      </c>
      <c r="Y24" s="70" t="s">
        <v>194</v>
      </c>
    </row>
    <row r="25" customFormat="false" ht="15" hidden="false" customHeight="false" outlineLevel="0" collapsed="false">
      <c r="A25" s="32" t="s">
        <v>189</v>
      </c>
      <c r="B25" s="32" t="s">
        <v>208</v>
      </c>
      <c r="C25" s="32" t="s">
        <v>191</v>
      </c>
      <c r="D25" s="66" t="n">
        <f aca="false">ROUND(S25*T25,0)</f>
        <v>545</v>
      </c>
      <c r="E25" s="66" t="n">
        <f aca="false">ROUND(S25,0)-D25</f>
        <v>1333</v>
      </c>
      <c r="F25" s="66" t="n">
        <f aca="false">IF(COUNTA(D25:E25)=0,"",SUM(D25:E25))</f>
        <v>1878</v>
      </c>
      <c r="G25" s="47" t="n">
        <f aca="false">IF(OR(F25="",F25=0),"",D25/F25)</f>
        <v>0.290202342917998</v>
      </c>
      <c r="H25" s="47" t="n">
        <f aca="false">IF(OR(F25="",F25=0),"",E25/F25)</f>
        <v>0.709797657082002</v>
      </c>
      <c r="I25" s="32" t="s">
        <v>192</v>
      </c>
      <c r="J25" s="36" t="n">
        <v>1.72069707213054</v>
      </c>
      <c r="K25" s="36" t="n">
        <f aca="false">$K$8</f>
        <v>1.02521134994605</v>
      </c>
      <c r="L25" s="36" t="n">
        <f aca="false">SQRT(J25^2+K25^2)</f>
        <v>2.00296198818071</v>
      </c>
      <c r="M25" s="47" t="n">
        <f aca="false">IF(G25="","",MAX(0,G25-1.96*L25/100))</f>
        <v>0.250944287949656</v>
      </c>
      <c r="N25" s="47" t="n">
        <f aca="false">IF(G25="","",MIN(1,G25+1.96*L25/100))</f>
        <v>0.32946039788634</v>
      </c>
      <c r="O25" s="66" t="n">
        <f aca="false">ROUND(S25*W25,0)</f>
        <v>103</v>
      </c>
      <c r="P25" s="66" t="n">
        <f aca="false">IF(F25="","",ROUND(SQRT((F25*L25/100)^2+(G25*O25)^2),0))</f>
        <v>48</v>
      </c>
      <c r="R25" s="67" t="n">
        <v>-13.502027629156</v>
      </c>
      <c r="S25" s="68" t="n">
        <f aca="false">U25*V25*$F$5</f>
        <v>1878.41828929068</v>
      </c>
      <c r="T25" s="69" t="n">
        <f aca="false">MAX(0,MIN(1,R25/100+$D$5))</f>
        <v>0.290145943702812</v>
      </c>
      <c r="U25" s="69" t="n">
        <v>0.616481223922114</v>
      </c>
      <c r="V25" s="68" t="n">
        <v>3047</v>
      </c>
      <c r="W25" s="69" t="n">
        <v>0.0547268472736556</v>
      </c>
      <c r="X25" s="70" t="s">
        <v>198</v>
      </c>
      <c r="Y25" s="70" t="s">
        <v>194</v>
      </c>
    </row>
    <row r="26" customFormat="false" ht="15" hidden="false" customHeight="false" outlineLevel="0" collapsed="false">
      <c r="A26" s="32" t="s">
        <v>189</v>
      </c>
      <c r="B26" s="32" t="s">
        <v>209</v>
      </c>
      <c r="C26" s="32" t="s">
        <v>191</v>
      </c>
      <c r="D26" s="66" t="n">
        <f aca="false">ROUND(S26*T26,0)</f>
        <v>499</v>
      </c>
      <c r="E26" s="66" t="n">
        <f aca="false">ROUND(S26,0)-D26</f>
        <v>715</v>
      </c>
      <c r="F26" s="66" t="n">
        <f aca="false">IF(COUNTA(D26:E26)=0,"",SUM(D26:E26))</f>
        <v>1214</v>
      </c>
      <c r="G26" s="47" t="n">
        <f aca="false">IF(OR(F26="",F26=0),"",D26/F26)</f>
        <v>0.411037891268534</v>
      </c>
      <c r="H26" s="47" t="n">
        <f aca="false">IF(OR(F26="",F26=0),"",E26/F26)</f>
        <v>0.588962108731466</v>
      </c>
      <c r="I26" s="32" t="s">
        <v>192</v>
      </c>
      <c r="J26" s="36" t="n">
        <v>2.73724997661239</v>
      </c>
      <c r="K26" s="36" t="n">
        <f aca="false">$K$8</f>
        <v>1.02521134994605</v>
      </c>
      <c r="L26" s="36" t="n">
        <f aca="false">SQRT(J26^2+K26^2)</f>
        <v>2.92294299405971</v>
      </c>
      <c r="M26" s="47" t="n">
        <f aca="false">IF(G26="","",MAX(0,G26-1.96*L26/100))</f>
        <v>0.353748208584964</v>
      </c>
      <c r="N26" s="47" t="n">
        <f aca="false">IF(G26="","",MIN(1,G26+1.96*L26/100))</f>
        <v>0.468327573952104</v>
      </c>
      <c r="O26" s="66" t="n">
        <f aca="false">ROUND(S26*W26,0)</f>
        <v>89</v>
      </c>
      <c r="P26" s="66" t="n">
        <f aca="false">IF(F26="","",ROUND(SQRT((F26*L26/100)^2+(G26*O26)^2),0))</f>
        <v>51</v>
      </c>
      <c r="R26" s="67" t="n">
        <v>-1.44721800215452</v>
      </c>
      <c r="S26" s="68" t="n">
        <f aca="false">U26*V26*$F$5</f>
        <v>1214.17865765331</v>
      </c>
      <c r="T26" s="69" t="n">
        <f aca="false">MAX(0,MIN(1,R26/100+$D$5))</f>
        <v>0.410694039972826</v>
      </c>
      <c r="U26" s="69" t="n">
        <v>0.576533075808788</v>
      </c>
      <c r="V26" s="68" t="n">
        <v>2106</v>
      </c>
      <c r="W26" s="69" t="n">
        <v>0.0732058935918866</v>
      </c>
      <c r="X26" s="70" t="s">
        <v>193</v>
      </c>
      <c r="Y26" s="70" t="s">
        <v>194</v>
      </c>
    </row>
    <row r="27" customFormat="false" ht="15" hidden="false" customHeight="false" outlineLevel="0" collapsed="false">
      <c r="A27" s="32" t="s">
        <v>189</v>
      </c>
      <c r="B27" s="32" t="s">
        <v>210</v>
      </c>
      <c r="C27" s="32" t="s">
        <v>191</v>
      </c>
      <c r="D27" s="66" t="n">
        <f aca="false">ROUND(S27*T27,0)</f>
        <v>105</v>
      </c>
      <c r="E27" s="66" t="n">
        <f aca="false">ROUND(S27,0)-D27</f>
        <v>425</v>
      </c>
      <c r="F27" s="66" t="n">
        <f aca="false">IF(COUNTA(D27:E27)=0,"",SUM(D27:E27))</f>
        <v>530</v>
      </c>
      <c r="G27" s="47" t="n">
        <f aca="false">IF(OR(F27="",F27=0),"",D27/F27)</f>
        <v>0.19811320754717</v>
      </c>
      <c r="H27" s="47" t="n">
        <f aca="false">IF(OR(F27="",F27=0),"",E27/F27)</f>
        <v>0.80188679245283</v>
      </c>
      <c r="I27" s="32" t="s">
        <v>192</v>
      </c>
      <c r="J27" s="36" t="n">
        <v>2.73724997661239</v>
      </c>
      <c r="K27" s="36" t="n">
        <f aca="false">$K$8</f>
        <v>1.02521134994605</v>
      </c>
      <c r="L27" s="36" t="n">
        <f aca="false">SQRT(J27^2+K27^2)</f>
        <v>2.92294299405971</v>
      </c>
      <c r="M27" s="47" t="n">
        <f aca="false">IF(G27="","",MAX(0,G27-1.96*L27/100))</f>
        <v>0.1408235248636</v>
      </c>
      <c r="N27" s="47" t="n">
        <f aca="false">IF(G27="","",MIN(1,G27+1.96*L27/100))</f>
        <v>0.25540289023074</v>
      </c>
      <c r="O27" s="66" t="n">
        <f aca="false">ROUND(S27*W27,0)</f>
        <v>39</v>
      </c>
      <c r="P27" s="66" t="n">
        <f aca="false">IF(F27="","",ROUND(SQRT((F27*L27/100)^2+(G27*O27)^2),0))</f>
        <v>17</v>
      </c>
      <c r="R27" s="67" t="n">
        <v>-22.6588508408618</v>
      </c>
      <c r="S27" s="68" t="n">
        <f aca="false">U27*V27*$F$5</f>
        <v>530.117647058824</v>
      </c>
      <c r="T27" s="69" t="n">
        <f aca="false">MAX(0,MIN(1,R27/100+$D$5))</f>
        <v>0.198577711585753</v>
      </c>
      <c r="U27" s="69" t="n">
        <v>0.705882352941177</v>
      </c>
      <c r="V27" s="68" t="n">
        <v>751</v>
      </c>
      <c r="W27" s="69" t="n">
        <v>0.0732058935918866</v>
      </c>
      <c r="X27" s="70" t="s">
        <v>193</v>
      </c>
      <c r="Y27" s="70" t="s">
        <v>194</v>
      </c>
    </row>
    <row r="28" customFormat="false" ht="15" hidden="false" customHeight="false" outlineLevel="0" collapsed="false">
      <c r="A28" s="32" t="s">
        <v>189</v>
      </c>
      <c r="B28" s="32" t="s">
        <v>211</v>
      </c>
      <c r="C28" s="32" t="s">
        <v>191</v>
      </c>
      <c r="D28" s="66" t="n">
        <f aca="false">ROUND(S28*T28,0)</f>
        <v>739</v>
      </c>
      <c r="E28" s="66" t="n">
        <f aca="false">ROUND(S28,0)-D28</f>
        <v>1252</v>
      </c>
      <c r="F28" s="66" t="n">
        <f aca="false">IF(COUNTA(D28:E28)=0,"",SUM(D28:E28))</f>
        <v>1991</v>
      </c>
      <c r="G28" s="47" t="n">
        <f aca="false">IF(OR(F28="",F28=0),"",D28/F28)</f>
        <v>0.371170266197891</v>
      </c>
      <c r="H28" s="47" t="n">
        <f aca="false">IF(OR(F28="",F28=0),"",E28/F28)</f>
        <v>0.62882973380211</v>
      </c>
      <c r="I28" s="32" t="s">
        <v>192</v>
      </c>
      <c r="J28" s="36" t="n">
        <v>1.72069707213054</v>
      </c>
      <c r="K28" s="36" t="n">
        <f aca="false">$K$8</f>
        <v>1.02521134994605</v>
      </c>
      <c r="L28" s="36" t="n">
        <f aca="false">SQRT(J28^2+K28^2)</f>
        <v>2.00296198818071</v>
      </c>
      <c r="M28" s="47" t="n">
        <f aca="false">IF(G28="","",MAX(0,G28-1.96*L28/100))</f>
        <v>0.331912211229549</v>
      </c>
      <c r="N28" s="47" t="n">
        <f aca="false">IF(G28="","",MIN(1,G28+1.96*L28/100))</f>
        <v>0.410428321166232</v>
      </c>
      <c r="O28" s="66" t="n">
        <f aca="false">ROUND(S28*W28,0)</f>
        <v>109</v>
      </c>
      <c r="P28" s="66" t="n">
        <f aca="false">IF(F28="","",ROUND(SQRT((F28*L28/100)^2+(G28*O28)^2),0))</f>
        <v>57</v>
      </c>
      <c r="R28" s="67" t="n">
        <v>-5.40597636174446</v>
      </c>
      <c r="S28" s="68" t="n">
        <f aca="false">U28*V28*$F$5</f>
        <v>1991.47057118005</v>
      </c>
      <c r="T28" s="69" t="n">
        <f aca="false">MAX(0,MIN(1,R28/100+$D$5))</f>
        <v>0.371106456376927</v>
      </c>
      <c r="U28" s="69" t="n">
        <v>0.553493766309075</v>
      </c>
      <c r="V28" s="68" t="n">
        <v>3598</v>
      </c>
      <c r="W28" s="69" t="n">
        <v>0.0547268472736556</v>
      </c>
      <c r="X28" s="70" t="s">
        <v>198</v>
      </c>
      <c r="Y28" s="70" t="s">
        <v>194</v>
      </c>
    </row>
    <row r="29" customFormat="false" ht="15" hidden="false" customHeight="false" outlineLevel="0" collapsed="false">
      <c r="A29" s="32" t="s">
        <v>189</v>
      </c>
      <c r="B29" s="32" t="s">
        <v>212</v>
      </c>
      <c r="C29" s="32" t="s">
        <v>191</v>
      </c>
      <c r="D29" s="66" t="n">
        <f aca="false">ROUND(S29*T29,0)</f>
        <v>54</v>
      </c>
      <c r="E29" s="66" t="n">
        <f aca="false">ROUND(S29,0)-D29</f>
        <v>131</v>
      </c>
      <c r="F29" s="66" t="n">
        <f aca="false">IF(COUNTA(D29:E29)=0,"",SUM(D29:E29))</f>
        <v>185</v>
      </c>
      <c r="G29" s="47" t="n">
        <f aca="false">IF(OR(F29="",F29=0),"",D29/F29)</f>
        <v>0.291891891891892</v>
      </c>
      <c r="H29" s="47" t="n">
        <f aca="false">IF(OR(F29="",F29=0),"",E29/F29)</f>
        <v>0.708108108108108</v>
      </c>
      <c r="I29" s="32" t="s">
        <v>192</v>
      </c>
      <c r="J29" s="36" t="n">
        <v>2.73724997661239</v>
      </c>
      <c r="K29" s="36" t="n">
        <f aca="false">$K$8</f>
        <v>1.02521134994605</v>
      </c>
      <c r="L29" s="36" t="n">
        <f aca="false">SQRT(J29^2+K29^2)</f>
        <v>2.92294299405971</v>
      </c>
      <c r="M29" s="47" t="n">
        <f aca="false">IF(G29="","",MAX(0,G29-1.96*L29/100))</f>
        <v>0.234602209208322</v>
      </c>
      <c r="N29" s="47" t="n">
        <f aca="false">IF(G29="","",MIN(1,G29+1.96*L29/100))</f>
        <v>0.349181574575462</v>
      </c>
      <c r="O29" s="66" t="n">
        <f aca="false">ROUND(S29*W29,0)</f>
        <v>14</v>
      </c>
      <c r="P29" s="66" t="n">
        <f aca="false">IF(F29="","",ROUND(SQRT((F29*L29/100)^2+(G29*O29)^2),0))</f>
        <v>7</v>
      </c>
      <c r="R29" s="67" t="n">
        <v>-13.4638033936457</v>
      </c>
      <c r="S29" s="68" t="n">
        <f aca="false">U29*V29*$F$5</f>
        <v>184.547540983607</v>
      </c>
      <c r="T29" s="69" t="n">
        <f aca="false">MAX(0,MIN(1,R29/100+$D$5))</f>
        <v>0.290528186057914</v>
      </c>
      <c r="U29" s="69" t="n">
        <v>0.613114754098361</v>
      </c>
      <c r="V29" s="68" t="n">
        <v>301</v>
      </c>
      <c r="W29" s="69" t="n">
        <v>0.0732058935918866</v>
      </c>
      <c r="X29" s="70" t="s">
        <v>193</v>
      </c>
      <c r="Y29" s="70" t="s">
        <v>194</v>
      </c>
    </row>
    <row r="30" customFormat="false" ht="15" hidden="false" customHeight="false" outlineLevel="0" collapsed="false">
      <c r="A30" s="32" t="s">
        <v>189</v>
      </c>
      <c r="B30" s="32" t="s">
        <v>213</v>
      </c>
      <c r="C30" s="32" t="s">
        <v>191</v>
      </c>
      <c r="D30" s="66" t="n">
        <f aca="false">ROUND(S30*T30,0)</f>
        <v>1628</v>
      </c>
      <c r="E30" s="66" t="n">
        <f aca="false">ROUND(S30,0)-D30</f>
        <v>2844</v>
      </c>
      <c r="F30" s="66" t="n">
        <f aca="false">IF(COUNTA(D30:E30)=0,"",SUM(D30:E30))</f>
        <v>4472</v>
      </c>
      <c r="G30" s="47" t="n">
        <f aca="false">IF(OR(F30="",F30=0),"",D30/F30)</f>
        <v>0.364042933810376</v>
      </c>
      <c r="H30" s="47" t="n">
        <f aca="false">IF(OR(F30="",F30=0),"",E30/F30)</f>
        <v>0.635957066189624</v>
      </c>
      <c r="I30" s="32" t="s">
        <v>192</v>
      </c>
      <c r="J30" s="36" t="n">
        <v>1.61293121864256</v>
      </c>
      <c r="K30" s="36" t="n">
        <f aca="false">$K$8</f>
        <v>1.02521134994605</v>
      </c>
      <c r="L30" s="36" t="n">
        <f aca="false">SQRT(J30^2+K30^2)</f>
        <v>1.91117906752088</v>
      </c>
      <c r="M30" s="47" t="n">
        <f aca="false">IF(G30="","",MAX(0,G30-1.96*L30/100))</f>
        <v>0.326583824086967</v>
      </c>
      <c r="N30" s="47" t="n">
        <f aca="false">IF(G30="","",MIN(1,G30+1.96*L30/100))</f>
        <v>0.401502043533785</v>
      </c>
      <c r="O30" s="66" t="n">
        <f aca="false">ROUND(S30*W30,0)</f>
        <v>217</v>
      </c>
      <c r="P30" s="66" t="n">
        <f aca="false">IF(F30="","",ROUND(SQRT((F30*L30/100)^2+(G30*O30)^2),0))</f>
        <v>116</v>
      </c>
      <c r="R30" s="67" t="n">
        <v>-6.12135546899316</v>
      </c>
      <c r="S30" s="68" t="n">
        <f aca="false">U30*V30*$F$5</f>
        <v>4472.46592381446</v>
      </c>
      <c r="T30" s="69" t="n">
        <f aca="false">MAX(0,MIN(1,R30/100+$D$5))</f>
        <v>0.36395266530444</v>
      </c>
      <c r="U30" s="69" t="n">
        <v>0.560248769111169</v>
      </c>
      <c r="V30" s="68" t="n">
        <v>7983</v>
      </c>
      <c r="W30" s="69" t="n">
        <v>0.0485820274397165</v>
      </c>
      <c r="X30" s="70" t="s">
        <v>214</v>
      </c>
      <c r="Y30" s="70" t="s">
        <v>194</v>
      </c>
    </row>
    <row r="31" customFormat="false" ht="15" hidden="false" customHeight="false" outlineLevel="0" collapsed="false">
      <c r="A31" s="32" t="s">
        <v>189</v>
      </c>
      <c r="B31" s="32" t="s">
        <v>215</v>
      </c>
      <c r="C31" s="32" t="s">
        <v>191</v>
      </c>
      <c r="D31" s="66" t="n">
        <f aca="false">ROUND(S31*T31,0)</f>
        <v>566</v>
      </c>
      <c r="E31" s="66" t="n">
        <f aca="false">ROUND(S31,0)-D31</f>
        <v>727</v>
      </c>
      <c r="F31" s="66" t="n">
        <f aca="false">IF(COUNTA(D31:E31)=0,"",SUM(D31:E31))</f>
        <v>1293</v>
      </c>
      <c r="G31" s="47" t="n">
        <f aca="false">IF(OR(F31="",F31=0),"",D31/F31)</f>
        <v>0.437741686001547</v>
      </c>
      <c r="H31" s="47" t="n">
        <f aca="false">IF(OR(F31="",F31=0),"",E31/F31)</f>
        <v>0.562258313998453</v>
      </c>
      <c r="I31" s="32" t="s">
        <v>192</v>
      </c>
      <c r="J31" s="36" t="n">
        <v>1.72069707213054</v>
      </c>
      <c r="K31" s="36" t="n">
        <f aca="false">$K$8</f>
        <v>1.02521134994605</v>
      </c>
      <c r="L31" s="36" t="n">
        <f aca="false">SQRT(J31^2+K31^2)</f>
        <v>2.00296198818071</v>
      </c>
      <c r="M31" s="47" t="n">
        <f aca="false">IF(G31="","",MAX(0,G31-1.96*L31/100))</f>
        <v>0.398483631033205</v>
      </c>
      <c r="N31" s="47" t="n">
        <f aca="false">IF(G31="","",MIN(1,G31+1.96*L31/100))</f>
        <v>0.476999740969889</v>
      </c>
      <c r="O31" s="66" t="n">
        <f aca="false">ROUND(S31*W31,0)</f>
        <v>71</v>
      </c>
      <c r="P31" s="66" t="n">
        <f aca="false">IF(F31="","",ROUND(SQRT((F31*L31/100)^2+(G31*O31)^2),0))</f>
        <v>40</v>
      </c>
      <c r="R31" s="67" t="n">
        <v>1.25642077442877</v>
      </c>
      <c r="S31" s="68" t="n">
        <f aca="false">U31*V31*$F$5</f>
        <v>1293.28908554572</v>
      </c>
      <c r="T31" s="69" t="n">
        <f aca="false">MAX(0,MIN(1,R31/100+$D$5))</f>
        <v>0.437730427738659</v>
      </c>
      <c r="U31" s="69" t="n">
        <v>0.607177974434612</v>
      </c>
      <c r="V31" s="68" t="n">
        <v>2130</v>
      </c>
      <c r="W31" s="69" t="n">
        <v>0.0547268472736556</v>
      </c>
      <c r="X31" s="70" t="s">
        <v>198</v>
      </c>
      <c r="Y31" s="70" t="s">
        <v>194</v>
      </c>
    </row>
    <row r="32" customFormat="false" ht="15" hidden="false" customHeight="false" outlineLevel="0" collapsed="false">
      <c r="A32" s="32" t="s">
        <v>189</v>
      </c>
      <c r="B32" s="32" t="s">
        <v>216</v>
      </c>
      <c r="C32" s="32" t="s">
        <v>191</v>
      </c>
      <c r="D32" s="66" t="n">
        <f aca="false">ROUND(S32*T32,0)</f>
        <v>658</v>
      </c>
      <c r="E32" s="66" t="n">
        <f aca="false">ROUND(S32,0)-D32</f>
        <v>1600</v>
      </c>
      <c r="F32" s="66" t="n">
        <f aca="false">IF(COUNTA(D32:E32)=0,"",SUM(D32:E32))</f>
        <v>2258</v>
      </c>
      <c r="G32" s="47" t="n">
        <f aca="false">IF(OR(F32="",F32=0),"",D32/F32)</f>
        <v>0.29140832595217</v>
      </c>
      <c r="H32" s="47" t="n">
        <f aca="false">IF(OR(F32="",F32=0),"",E32/F32)</f>
        <v>0.70859167404783</v>
      </c>
      <c r="I32" s="32" t="s">
        <v>192</v>
      </c>
      <c r="J32" s="36" t="n">
        <v>1.72069707213054</v>
      </c>
      <c r="K32" s="36" t="n">
        <f aca="false">$K$8</f>
        <v>1.02521134994605</v>
      </c>
      <c r="L32" s="36" t="n">
        <f aca="false">SQRT(J32^2+K32^2)</f>
        <v>2.00296198818071</v>
      </c>
      <c r="M32" s="47" t="n">
        <f aca="false">IF(G32="","",MAX(0,G32-1.96*L32/100))</f>
        <v>0.252150270983828</v>
      </c>
      <c r="N32" s="47" t="n">
        <f aca="false">IF(G32="","",MIN(1,G32+1.96*L32/100))</f>
        <v>0.330666380920512</v>
      </c>
      <c r="O32" s="66" t="n">
        <f aca="false">ROUND(S32*W32,0)</f>
        <v>124</v>
      </c>
      <c r="P32" s="66" t="n">
        <f aca="false">IF(F32="","",ROUND(SQRT((F32*L32/100)^2+(G32*O32)^2),0))</f>
        <v>58</v>
      </c>
      <c r="R32" s="67" t="n">
        <v>-13.3678659770087</v>
      </c>
      <c r="S32" s="68" t="n">
        <f aca="false">U32*V32*$F$5</f>
        <v>2258.11685530743</v>
      </c>
      <c r="T32" s="69" t="n">
        <f aca="false">MAX(0,MIN(1,R32/100+$D$5))</f>
        <v>0.291487560224284</v>
      </c>
      <c r="U32" s="69" t="n">
        <v>0.65188130926889</v>
      </c>
      <c r="V32" s="68" t="n">
        <v>3464</v>
      </c>
      <c r="W32" s="69" t="n">
        <v>0.0547268472736556</v>
      </c>
      <c r="X32" s="70" t="s">
        <v>198</v>
      </c>
      <c r="Y32" s="70" t="s">
        <v>194</v>
      </c>
    </row>
    <row r="33" customFormat="false" ht="15" hidden="false" customHeight="false" outlineLevel="0" collapsed="false">
      <c r="A33" s="32" t="s">
        <v>189</v>
      </c>
      <c r="B33" s="32" t="s">
        <v>217</v>
      </c>
      <c r="C33" s="32" t="s">
        <v>191</v>
      </c>
      <c r="D33" s="66" t="n">
        <f aca="false">ROUND(S33*T33,0)</f>
        <v>261</v>
      </c>
      <c r="E33" s="66" t="n">
        <f aca="false">ROUND(S33,0)-D33</f>
        <v>653</v>
      </c>
      <c r="F33" s="66" t="n">
        <f aca="false">IF(COUNTA(D33:E33)=0,"",SUM(D33:E33))</f>
        <v>914</v>
      </c>
      <c r="G33" s="47" t="n">
        <f aca="false">IF(OR(F33="",F33=0),"",D33/F33)</f>
        <v>0.285557986870897</v>
      </c>
      <c r="H33" s="47" t="n">
        <f aca="false">IF(OR(F33="",F33=0),"",E33/F33)</f>
        <v>0.714442013129103</v>
      </c>
      <c r="I33" s="32" t="s">
        <v>192</v>
      </c>
      <c r="J33" s="36" t="n">
        <v>2.73724997661239</v>
      </c>
      <c r="K33" s="36" t="n">
        <f aca="false">$K$8</f>
        <v>1.02521134994605</v>
      </c>
      <c r="L33" s="36" t="n">
        <f aca="false">SQRT(J33^2+K33^2)</f>
        <v>2.92294299405971</v>
      </c>
      <c r="M33" s="47" t="n">
        <f aca="false">IF(G33="","",MAX(0,G33-1.96*L33/100))</f>
        <v>0.228268304187327</v>
      </c>
      <c r="N33" s="47" t="n">
        <f aca="false">IF(G33="","",MIN(1,G33+1.96*L33/100))</f>
        <v>0.342847669554467</v>
      </c>
      <c r="O33" s="66" t="n">
        <f aca="false">ROUND(S33*W33,0)</f>
        <v>67</v>
      </c>
      <c r="P33" s="66" t="n">
        <f aca="false">IF(F33="","",ROUND(SQRT((F33*L33/100)^2+(G33*O33)^2),0))</f>
        <v>33</v>
      </c>
      <c r="R33" s="67" t="n">
        <v>-13.9866431309166</v>
      </c>
      <c r="S33" s="68" t="n">
        <f aca="false">U33*V33*$F$5</f>
        <v>913.771907216495</v>
      </c>
      <c r="T33" s="69" t="n">
        <f aca="false">MAX(0,MIN(1,R33/100+$D$5))</f>
        <v>0.285299788685206</v>
      </c>
      <c r="U33" s="69" t="n">
        <v>0.580541237113402</v>
      </c>
      <c r="V33" s="68" t="n">
        <v>1574</v>
      </c>
      <c r="W33" s="69" t="n">
        <v>0.0732058935918866</v>
      </c>
      <c r="X33" s="70" t="s">
        <v>193</v>
      </c>
      <c r="Y33" s="70" t="s">
        <v>194</v>
      </c>
    </row>
    <row r="34" customFormat="false" ht="15" hidden="false" customHeight="false" outlineLevel="0" collapsed="false">
      <c r="A34" s="32" t="s">
        <v>189</v>
      </c>
      <c r="B34" s="32" t="s">
        <v>218</v>
      </c>
      <c r="C34" s="32" t="s">
        <v>191</v>
      </c>
      <c r="D34" s="66" t="n">
        <f aca="false">ROUND(S34*T34,0)</f>
        <v>43</v>
      </c>
      <c r="E34" s="66" t="n">
        <f aca="false">ROUND(S34,0)-D34</f>
        <v>64</v>
      </c>
      <c r="F34" s="66" t="n">
        <f aca="false">IF(COUNTA(D34:E34)=0,"",SUM(D34:E34))</f>
        <v>107</v>
      </c>
      <c r="G34" s="47" t="n">
        <f aca="false">IF(OR(F34="",F34=0),"",D34/F34)</f>
        <v>0.401869158878505</v>
      </c>
      <c r="H34" s="47" t="n">
        <f aca="false">IF(OR(F34="",F34=0),"",E34/F34)</f>
        <v>0.598130841121495</v>
      </c>
      <c r="I34" s="32" t="s">
        <v>192</v>
      </c>
      <c r="J34" s="36" t="n">
        <v>2.73724997661239</v>
      </c>
      <c r="K34" s="36" t="n">
        <f aca="false">$K$8</f>
        <v>1.02521134994605</v>
      </c>
      <c r="L34" s="36" t="n">
        <f aca="false">SQRT(J34^2+K34^2)</f>
        <v>2.92294299405971</v>
      </c>
      <c r="M34" s="47" t="n">
        <f aca="false">IF(G34="","",MAX(0,G34-1.96*L34/100))</f>
        <v>0.344579476194934</v>
      </c>
      <c r="N34" s="47" t="n">
        <f aca="false">IF(G34="","",MIN(1,G34+1.96*L34/100))</f>
        <v>0.459158841562075</v>
      </c>
      <c r="O34" s="66" t="n">
        <f aca="false">ROUND(S34*W34,0)</f>
        <v>8</v>
      </c>
      <c r="P34" s="66" t="n">
        <f aca="false">IF(F34="","",ROUND(SQRT((F34*L34/100)^2+(G34*O34)^2),0))</f>
        <v>4</v>
      </c>
      <c r="R34" s="67" t="n">
        <v>-1.82958946355563</v>
      </c>
      <c r="S34" s="68" t="n">
        <f aca="false">U34*V34*$F$5</f>
        <v>106.666666666667</v>
      </c>
      <c r="T34" s="69" t="n">
        <f aca="false">MAX(0,MIN(1,R34/100+$D$5))</f>
        <v>0.406870325358815</v>
      </c>
      <c r="U34" s="69" t="n">
        <v>0.444444444444444</v>
      </c>
      <c r="V34" s="68" t="n">
        <v>240</v>
      </c>
      <c r="W34" s="69" t="n">
        <v>0.0732058935918866</v>
      </c>
      <c r="X34" s="70" t="s">
        <v>193</v>
      </c>
      <c r="Y34" s="70" t="s">
        <v>194</v>
      </c>
    </row>
    <row r="35" customFormat="false" ht="15" hidden="false" customHeight="false" outlineLevel="0" collapsed="false">
      <c r="A35" s="32" t="s">
        <v>219</v>
      </c>
      <c r="B35" s="32" t="s">
        <v>220</v>
      </c>
      <c r="C35" s="32" t="s">
        <v>191</v>
      </c>
      <c r="D35" s="66" t="n">
        <f aca="false">ROUND(S35*T35,0)</f>
        <v>499</v>
      </c>
      <c r="E35" s="66" t="n">
        <f aca="false">ROUND(S35,0)-D35</f>
        <v>562</v>
      </c>
      <c r="F35" s="66" t="n">
        <f aca="false">IF(COUNTA(D35:E35)=0,"",SUM(D35:E35))</f>
        <v>1061</v>
      </c>
      <c r="G35" s="47" t="n">
        <f aca="false">IF(OR(F35="",F35=0),"",D35/F35)</f>
        <v>0.470311027332705</v>
      </c>
      <c r="H35" s="47" t="n">
        <f aca="false">IF(OR(F35="",F35=0),"",E35/F35)</f>
        <v>0.529688972667295</v>
      </c>
      <c r="I35" s="32" t="s">
        <v>192</v>
      </c>
      <c r="J35" s="36" t="n">
        <v>2.73724997661239</v>
      </c>
      <c r="K35" s="36" t="n">
        <f aca="false">$K$8</f>
        <v>1.02521134994605</v>
      </c>
      <c r="L35" s="36" t="n">
        <f aca="false">SQRT(J35^2+K35^2)</f>
        <v>2.92294299405971</v>
      </c>
      <c r="M35" s="47" t="n">
        <f aca="false">IF(G35="","",MAX(0,G35-1.96*L35/100))</f>
        <v>0.413021344649135</v>
      </c>
      <c r="N35" s="47" t="n">
        <f aca="false">IF(G35="","",MIN(1,G35+1.96*L35/100))</f>
        <v>0.527600710016275</v>
      </c>
      <c r="O35" s="66" t="n">
        <f aca="false">ROUND(S35*W35,0)</f>
        <v>78</v>
      </c>
      <c r="P35" s="66" t="n">
        <f aca="false">IF(F35="","",ROUND(SQRT((F35*L35/100)^2+(G35*O35)^2),0))</f>
        <v>48</v>
      </c>
      <c r="R35" s="67" t="n">
        <v>4.5413348466482</v>
      </c>
      <c r="S35" s="68" t="n">
        <f aca="false">U35*V35*$F$5</f>
        <v>1060.80585424134</v>
      </c>
      <c r="T35" s="69" t="n">
        <f aca="false">MAX(0,MIN(1,R35/100+$D$5))</f>
        <v>0.470579568460854</v>
      </c>
      <c r="U35" s="69" t="n">
        <v>0.605137395459976</v>
      </c>
      <c r="V35" s="68" t="n">
        <v>1753</v>
      </c>
      <c r="W35" s="69" t="n">
        <v>0.0732058935918866</v>
      </c>
      <c r="X35" s="70" t="s">
        <v>193</v>
      </c>
      <c r="Y35" s="70" t="s">
        <v>194</v>
      </c>
    </row>
    <row r="36" customFormat="false" ht="15" hidden="false" customHeight="false" outlineLevel="0" collapsed="false">
      <c r="A36" s="32" t="s">
        <v>219</v>
      </c>
      <c r="B36" s="32" t="s">
        <v>221</v>
      </c>
      <c r="C36" s="32" t="s">
        <v>191</v>
      </c>
      <c r="D36" s="66" t="n">
        <f aca="false">ROUND(S36*T36,0)</f>
        <v>16582</v>
      </c>
      <c r="E36" s="66" t="n">
        <f aca="false">ROUND(S36,0)-D36</f>
        <v>8791</v>
      </c>
      <c r="F36" s="66" t="n">
        <f aca="false">IF(COUNTA(D36:E36)=0,"",SUM(D36:E36))</f>
        <v>25373</v>
      </c>
      <c r="G36" s="47" t="n">
        <f aca="false">IF(OR(F36="",F36=0),"",D36/F36)</f>
        <v>0.653529342214165</v>
      </c>
      <c r="H36" s="47" t="n">
        <f aca="false">IF(OR(F36="",F36=0),"",E36/F36)</f>
        <v>0.346470657785835</v>
      </c>
      <c r="I36" s="32" t="s">
        <v>192</v>
      </c>
      <c r="J36" s="36" t="n">
        <v>1.61293121864256</v>
      </c>
      <c r="K36" s="36" t="n">
        <f aca="false">$K$8</f>
        <v>1.02521134994605</v>
      </c>
      <c r="L36" s="36" t="n">
        <f aca="false">SQRT(J36^2+K36^2)</f>
        <v>1.91117906752088</v>
      </c>
      <c r="M36" s="47" t="n">
        <f aca="false">IF(G36="","",MAX(0,G36-1.96*L36/100))</f>
        <v>0.616070232490756</v>
      </c>
      <c r="N36" s="47" t="n">
        <f aca="false">IF(G36="","",MIN(1,G36+1.96*L36/100))</f>
        <v>0.690988451937574</v>
      </c>
      <c r="O36" s="66" t="n">
        <f aca="false">ROUND(S36*W36,0)</f>
        <v>1233</v>
      </c>
      <c r="P36" s="66" t="n">
        <f aca="false">IF(F36="","",ROUND(SQRT((F36*L36/100)^2+(G36*O36)^2),0))</f>
        <v>940</v>
      </c>
      <c r="R36" s="67" t="n">
        <v>22.8354623782343</v>
      </c>
      <c r="S36" s="68" t="n">
        <f aca="false">U36*V36*$F$5</f>
        <v>25373.374760008</v>
      </c>
      <c r="T36" s="69" t="n">
        <f aca="false">MAX(0,MIN(1,R36/100+$D$5))</f>
        <v>0.653520843776715</v>
      </c>
      <c r="U36" s="69" t="n">
        <v>0.356778519643522</v>
      </c>
      <c r="V36" s="68" t="n">
        <v>71118</v>
      </c>
      <c r="W36" s="69" t="n">
        <v>0.0485820274397165</v>
      </c>
      <c r="X36" s="70" t="s">
        <v>214</v>
      </c>
      <c r="Y36" s="70" t="s">
        <v>194</v>
      </c>
    </row>
    <row r="37" customFormat="false" ht="15" hidden="false" customHeight="false" outlineLevel="0" collapsed="false">
      <c r="A37" s="32" t="s">
        <v>219</v>
      </c>
      <c r="B37" s="32" t="s">
        <v>222</v>
      </c>
      <c r="C37" s="32" t="s">
        <v>191</v>
      </c>
      <c r="D37" s="66" t="n">
        <f aca="false">ROUND(S37*T37,0)</f>
        <v>5097</v>
      </c>
      <c r="E37" s="66" t="n">
        <f aca="false">ROUND(S37,0)-D37</f>
        <v>2880</v>
      </c>
      <c r="F37" s="66" t="n">
        <f aca="false">IF(COUNTA(D37:E37)=0,"",SUM(D37:E37))</f>
        <v>7977</v>
      </c>
      <c r="G37" s="47" t="n">
        <f aca="false">IF(OR(F37="",F37=0),"",D37/F37)</f>
        <v>0.638962015795412</v>
      </c>
      <c r="H37" s="47" t="n">
        <f aca="false">IF(OR(F37="",F37=0),"",E37/F37)</f>
        <v>0.361037984204588</v>
      </c>
      <c r="I37" s="32" t="s">
        <v>192</v>
      </c>
      <c r="J37" s="36" t="n">
        <v>1.61293121864256</v>
      </c>
      <c r="K37" s="36" t="n">
        <f aca="false">$K$8</f>
        <v>1.02521134994605</v>
      </c>
      <c r="L37" s="36" t="n">
        <f aca="false">SQRT(J37^2+K37^2)</f>
        <v>1.91117906752088</v>
      </c>
      <c r="M37" s="47" t="n">
        <f aca="false">IF(G37="","",MAX(0,G37-1.96*L37/100))</f>
        <v>0.601502906072003</v>
      </c>
      <c r="N37" s="47" t="n">
        <f aca="false">IF(G37="","",MIN(1,G37+1.96*L37/100))</f>
        <v>0.676421125518821</v>
      </c>
      <c r="O37" s="66" t="n">
        <f aca="false">ROUND(S37*W37,0)</f>
        <v>388</v>
      </c>
      <c r="P37" s="66" t="n">
        <f aca="false">IF(F37="","",ROUND(SQRT((F37*L37/100)^2+(G37*O37)^2),0))</f>
        <v>291</v>
      </c>
      <c r="R37" s="67" t="n">
        <v>21.3835390024286</v>
      </c>
      <c r="S37" s="68" t="n">
        <f aca="false">U37*V37*$F$5</f>
        <v>7976.55329986175</v>
      </c>
      <c r="T37" s="69" t="n">
        <f aca="false">MAX(0,MIN(1,R37/100+$D$5))</f>
        <v>0.639001610018657</v>
      </c>
      <c r="U37" s="69" t="n">
        <v>0.574183220548643</v>
      </c>
      <c r="V37" s="68" t="n">
        <v>13892</v>
      </c>
      <c r="W37" s="69" t="n">
        <v>0.0485820274397165</v>
      </c>
      <c r="X37" s="70" t="s">
        <v>214</v>
      </c>
      <c r="Y37" s="70" t="s">
        <v>194</v>
      </c>
    </row>
    <row r="38" customFormat="false" ht="15" hidden="false" customHeight="false" outlineLevel="0" collapsed="false">
      <c r="A38" s="32" t="s">
        <v>219</v>
      </c>
      <c r="B38" s="32" t="s">
        <v>223</v>
      </c>
      <c r="C38" s="32" t="s">
        <v>191</v>
      </c>
      <c r="D38" s="66" t="n">
        <f aca="false">ROUND(S38*T38,0)</f>
        <v>1147</v>
      </c>
      <c r="E38" s="66" t="n">
        <f aca="false">ROUND(S38,0)-D38</f>
        <v>1031</v>
      </c>
      <c r="F38" s="66" t="n">
        <f aca="false">IF(COUNTA(D38:E38)=0,"",SUM(D38:E38))</f>
        <v>2178</v>
      </c>
      <c r="G38" s="47" t="n">
        <f aca="false">IF(OR(F38="",F38=0),"",D38/F38)</f>
        <v>0.526629935720845</v>
      </c>
      <c r="H38" s="47" t="n">
        <f aca="false">IF(OR(F38="",F38=0),"",E38/F38)</f>
        <v>0.473370064279155</v>
      </c>
      <c r="I38" s="32" t="s">
        <v>192</v>
      </c>
      <c r="J38" s="36" t="n">
        <v>1.72069707213054</v>
      </c>
      <c r="K38" s="36" t="n">
        <f aca="false">$K$8</f>
        <v>1.02521134994605</v>
      </c>
      <c r="L38" s="36" t="n">
        <f aca="false">SQRT(J38^2+K38^2)</f>
        <v>2.00296198818071</v>
      </c>
      <c r="M38" s="47" t="n">
        <f aca="false">IF(G38="","",MAX(0,G38-1.96*L38/100))</f>
        <v>0.487371880752503</v>
      </c>
      <c r="N38" s="47" t="n">
        <f aca="false">IF(G38="","",MIN(1,G38+1.96*L38/100))</f>
        <v>0.565887990689187</v>
      </c>
      <c r="O38" s="66" t="n">
        <f aca="false">ROUND(S38*W38,0)</f>
        <v>119</v>
      </c>
      <c r="P38" s="66" t="n">
        <f aca="false">IF(F38="","",ROUND(SQRT((F38*L38/100)^2+(G38*O38)^2),0))</f>
        <v>76</v>
      </c>
      <c r="R38" s="67" t="n">
        <v>10.1698009791648</v>
      </c>
      <c r="S38" s="68" t="n">
        <f aca="false">U38*V38*$F$5</f>
        <v>2177.82706204834</v>
      </c>
      <c r="T38" s="69" t="n">
        <f aca="false">MAX(0,MIN(1,R38/100+$D$5))</f>
        <v>0.526864229786019</v>
      </c>
      <c r="U38" s="69" t="n">
        <v>0.525791178669325</v>
      </c>
      <c r="V38" s="68" t="n">
        <v>4142</v>
      </c>
      <c r="W38" s="69" t="n">
        <v>0.0547268472736556</v>
      </c>
      <c r="X38" s="70" t="s">
        <v>198</v>
      </c>
      <c r="Y38" s="70" t="s">
        <v>194</v>
      </c>
    </row>
    <row r="39" customFormat="false" ht="15" hidden="false" customHeight="false" outlineLevel="0" collapsed="false">
      <c r="A39" s="32" t="s">
        <v>219</v>
      </c>
      <c r="B39" s="32" t="s">
        <v>224</v>
      </c>
      <c r="C39" s="32" t="s">
        <v>191</v>
      </c>
      <c r="D39" s="66" t="n">
        <f aca="false">ROUND(S39*T39,0)</f>
        <v>625</v>
      </c>
      <c r="E39" s="66" t="n">
        <f aca="false">ROUND(S39,0)-D39</f>
        <v>645</v>
      </c>
      <c r="F39" s="66" t="n">
        <f aca="false">IF(COUNTA(D39:E39)=0,"",SUM(D39:E39))</f>
        <v>1270</v>
      </c>
      <c r="G39" s="47" t="n">
        <f aca="false">IF(OR(F39="",F39=0),"",D39/F39)</f>
        <v>0.492125984251969</v>
      </c>
      <c r="H39" s="47" t="n">
        <f aca="false">IF(OR(F39="",F39=0),"",E39/F39)</f>
        <v>0.507874015748032</v>
      </c>
      <c r="I39" s="32" t="s">
        <v>192</v>
      </c>
      <c r="J39" s="36" t="n">
        <v>1.72069707213054</v>
      </c>
      <c r="K39" s="36" t="n">
        <f aca="false">$K$8</f>
        <v>1.02521134994605</v>
      </c>
      <c r="L39" s="36" t="n">
        <f aca="false">SQRT(J39^2+K39^2)</f>
        <v>2.00296198818071</v>
      </c>
      <c r="M39" s="47" t="n">
        <f aca="false">IF(G39="","",MAX(0,G39-1.96*L39/100))</f>
        <v>0.452867929283627</v>
      </c>
      <c r="N39" s="47" t="n">
        <f aca="false">IF(G39="","",MIN(1,G39+1.96*L39/100))</f>
        <v>0.53138403922031</v>
      </c>
      <c r="O39" s="66" t="n">
        <f aca="false">ROUND(S39*W39,0)</f>
        <v>70</v>
      </c>
      <c r="P39" s="66" t="n">
        <f aca="false">IF(F39="","",ROUND(SQRT((F39*L39/100)^2+(G39*O39)^2),0))</f>
        <v>43</v>
      </c>
      <c r="R39" s="67" t="n">
        <v>6.66595234179675</v>
      </c>
      <c r="S39" s="68" t="n">
        <f aca="false">U39*V39*$F$5</f>
        <v>1270.44031093837</v>
      </c>
      <c r="T39" s="69" t="n">
        <f aca="false">MAX(0,MIN(1,R39/100+$D$5))</f>
        <v>0.491825743412339</v>
      </c>
      <c r="U39" s="69" t="n">
        <v>0.676846196557468</v>
      </c>
      <c r="V39" s="68" t="n">
        <v>1877</v>
      </c>
      <c r="W39" s="69" t="n">
        <v>0.0547268472736556</v>
      </c>
      <c r="X39" s="70" t="s">
        <v>198</v>
      </c>
      <c r="Y39" s="70" t="s">
        <v>194</v>
      </c>
    </row>
    <row r="40" customFormat="false" ht="15" hidden="false" customHeight="false" outlineLevel="0" collapsed="false">
      <c r="A40" s="32" t="s">
        <v>219</v>
      </c>
      <c r="B40" s="32" t="s">
        <v>225</v>
      </c>
      <c r="C40" s="32" t="s">
        <v>191</v>
      </c>
      <c r="D40" s="66" t="n">
        <f aca="false">ROUND(S40*T40,0)</f>
        <v>709</v>
      </c>
      <c r="E40" s="66" t="n">
        <f aca="false">ROUND(S40,0)-D40</f>
        <v>655</v>
      </c>
      <c r="F40" s="66" t="n">
        <f aca="false">IF(COUNTA(D40:E40)=0,"",SUM(D40:E40))</f>
        <v>1364</v>
      </c>
      <c r="G40" s="47" t="n">
        <f aca="false">IF(OR(F40="",F40=0),"",D40/F40)</f>
        <v>0.519794721407625</v>
      </c>
      <c r="H40" s="47" t="n">
        <f aca="false">IF(OR(F40="",F40=0),"",E40/F40)</f>
        <v>0.480205278592375</v>
      </c>
      <c r="I40" s="32" t="s">
        <v>192</v>
      </c>
      <c r="J40" s="36" t="n">
        <v>1.72069707213054</v>
      </c>
      <c r="K40" s="36" t="n">
        <f aca="false">$K$8</f>
        <v>1.02521134994605</v>
      </c>
      <c r="L40" s="36" t="n">
        <f aca="false">SQRT(J40^2+K40^2)</f>
        <v>2.00296198818071</v>
      </c>
      <c r="M40" s="47" t="n">
        <f aca="false">IF(G40="","",MAX(0,G40-1.96*L40/100))</f>
        <v>0.480536666439283</v>
      </c>
      <c r="N40" s="47" t="n">
        <f aca="false">IF(G40="","",MIN(1,G40+1.96*L40/100))</f>
        <v>0.559052776375967</v>
      </c>
      <c r="O40" s="66" t="n">
        <f aca="false">ROUND(S40*W40,0)</f>
        <v>75</v>
      </c>
      <c r="P40" s="66" t="n">
        <f aca="false">IF(F40="","",ROUND(SQRT((F40*L40/100)^2+(G40*O40)^2),0))</f>
        <v>48</v>
      </c>
      <c r="R40" s="67" t="n">
        <v>9.49794127591766</v>
      </c>
      <c r="S40" s="68" t="n">
        <f aca="false">U40*V40*$F$5</f>
        <v>1363.93435943866</v>
      </c>
      <c r="T40" s="69" t="n">
        <f aca="false">MAX(0,MIN(1,R40/100+$D$5))</f>
        <v>0.520145632753548</v>
      </c>
      <c r="U40" s="69" t="n">
        <v>0.587143503847895</v>
      </c>
      <c r="V40" s="68" t="n">
        <v>2323</v>
      </c>
      <c r="W40" s="69" t="n">
        <v>0.0547268472736556</v>
      </c>
      <c r="X40" s="70" t="s">
        <v>198</v>
      </c>
      <c r="Y40" s="70" t="s">
        <v>194</v>
      </c>
    </row>
    <row r="41" customFormat="false" ht="15" hidden="false" customHeight="false" outlineLevel="0" collapsed="false">
      <c r="A41" s="32" t="s">
        <v>219</v>
      </c>
      <c r="B41" s="32" t="s">
        <v>226</v>
      </c>
      <c r="C41" s="32" t="s">
        <v>191</v>
      </c>
      <c r="D41" s="66" t="n">
        <f aca="false">ROUND(S41*T41,0)</f>
        <v>2888</v>
      </c>
      <c r="E41" s="66" t="n">
        <f aca="false">ROUND(S41,0)-D41</f>
        <v>2500</v>
      </c>
      <c r="F41" s="66" t="n">
        <f aca="false">IF(COUNTA(D41:E41)=0,"",SUM(D41:E41))</f>
        <v>5388</v>
      </c>
      <c r="G41" s="47" t="n">
        <f aca="false">IF(OR(F41="",F41=0),"",D41/F41)</f>
        <v>0.536005939123979</v>
      </c>
      <c r="H41" s="47" t="n">
        <f aca="false">IF(OR(F41="",F41=0),"",E41/F41)</f>
        <v>0.463994060876021</v>
      </c>
      <c r="I41" s="32" t="s">
        <v>192</v>
      </c>
      <c r="J41" s="36" t="n">
        <v>1.61293121864256</v>
      </c>
      <c r="K41" s="36" t="n">
        <f aca="false">$K$8</f>
        <v>1.02521134994605</v>
      </c>
      <c r="L41" s="36" t="n">
        <f aca="false">SQRT(J41^2+K41^2)</f>
        <v>1.91117906752088</v>
      </c>
      <c r="M41" s="47" t="n">
        <f aca="false">IF(G41="","",MAX(0,G41-1.96*L41/100))</f>
        <v>0.49854682940057</v>
      </c>
      <c r="N41" s="47" t="n">
        <f aca="false">IF(G41="","",MIN(1,G41+1.96*L41/100))</f>
        <v>0.573465048847388</v>
      </c>
      <c r="O41" s="66" t="n">
        <f aca="false">ROUND(S41*W41,0)</f>
        <v>262</v>
      </c>
      <c r="P41" s="66" t="n">
        <f aca="false">IF(F41="","",ROUND(SQRT((F41*L41/100)^2+(G41*O41)^2),0))</f>
        <v>174</v>
      </c>
      <c r="R41" s="67" t="n">
        <v>11.0875950424651</v>
      </c>
      <c r="S41" s="68" t="n">
        <f aca="false">U41*V41*$F$5</f>
        <v>5388.18679314119</v>
      </c>
      <c r="T41" s="69" t="n">
        <f aca="false">MAX(0,MIN(1,R41/100+$D$5))</f>
        <v>0.536042170419022</v>
      </c>
      <c r="U41" s="69" t="n">
        <v>0.618265839717865</v>
      </c>
      <c r="V41" s="68" t="n">
        <v>8715</v>
      </c>
      <c r="W41" s="69" t="n">
        <v>0.0485820274397165</v>
      </c>
      <c r="X41" s="70" t="s">
        <v>214</v>
      </c>
      <c r="Y41" s="70" t="s">
        <v>194</v>
      </c>
    </row>
    <row r="42" customFormat="false" ht="15" hidden="false" customHeight="false" outlineLevel="0" collapsed="false">
      <c r="A42" s="32" t="s">
        <v>219</v>
      </c>
      <c r="B42" s="32" t="s">
        <v>227</v>
      </c>
      <c r="C42" s="32" t="s">
        <v>191</v>
      </c>
      <c r="D42" s="66" t="n">
        <f aca="false">ROUND(S42*T42,0)</f>
        <v>1054</v>
      </c>
      <c r="E42" s="66" t="n">
        <f aca="false">ROUND(S42,0)-D42</f>
        <v>551</v>
      </c>
      <c r="F42" s="66" t="n">
        <f aca="false">IF(COUNTA(D42:E42)=0,"",SUM(D42:E42))</f>
        <v>1605</v>
      </c>
      <c r="G42" s="47" t="n">
        <f aca="false">IF(OR(F42="",F42=0),"",D42/F42)</f>
        <v>0.656697819314642</v>
      </c>
      <c r="H42" s="47" t="n">
        <f aca="false">IF(OR(F42="",F42=0),"",E42/F42)</f>
        <v>0.343302180685358</v>
      </c>
      <c r="I42" s="32" t="s">
        <v>192</v>
      </c>
      <c r="J42" s="36" t="n">
        <v>1.72069707213054</v>
      </c>
      <c r="K42" s="36" t="n">
        <f aca="false">$K$8</f>
        <v>1.02521134994605</v>
      </c>
      <c r="L42" s="36" t="n">
        <f aca="false">SQRT(J42^2+K42^2)</f>
        <v>2.00296198818071</v>
      </c>
      <c r="M42" s="47" t="n">
        <f aca="false">IF(G42="","",MAX(0,G42-1.96*L42/100))</f>
        <v>0.6174397643463</v>
      </c>
      <c r="N42" s="47" t="n">
        <f aca="false">IF(G42="","",MIN(1,G42+1.96*L42/100))</f>
        <v>0.695955874282984</v>
      </c>
      <c r="O42" s="66" t="n">
        <f aca="false">ROUND(S42*W42,0)</f>
        <v>88</v>
      </c>
      <c r="P42" s="66" t="n">
        <f aca="false">IF(F42="","",ROUND(SQRT((F42*L42/100)^2+(G42*O42)^2),0))</f>
        <v>66</v>
      </c>
      <c r="R42" s="67" t="n">
        <v>23.1269902396769</v>
      </c>
      <c r="S42" s="68" t="n">
        <f aca="false">U42*V42*$F$5</f>
        <v>1605.4392182842</v>
      </c>
      <c r="T42" s="69" t="n">
        <f aca="false">MAX(0,MIN(1,R42/100+$D$5))</f>
        <v>0.656436122391141</v>
      </c>
      <c r="U42" s="69" t="n">
        <v>0.513083802583637</v>
      </c>
      <c r="V42" s="68" t="n">
        <v>3129</v>
      </c>
      <c r="W42" s="69" t="n">
        <v>0.0547268472736556</v>
      </c>
      <c r="X42" s="70" t="s">
        <v>198</v>
      </c>
      <c r="Y42" s="70" t="s">
        <v>194</v>
      </c>
    </row>
    <row r="43" customFormat="false" ht="15" hidden="false" customHeight="false" outlineLevel="0" collapsed="false">
      <c r="A43" s="32" t="s">
        <v>219</v>
      </c>
      <c r="B43" s="32" t="s">
        <v>228</v>
      </c>
      <c r="C43" s="32" t="s">
        <v>191</v>
      </c>
      <c r="D43" s="66" t="n">
        <f aca="false">ROUND(S43*T43,0)</f>
        <v>262</v>
      </c>
      <c r="E43" s="66" t="n">
        <f aca="false">ROUND(S43,0)-D43</f>
        <v>222</v>
      </c>
      <c r="F43" s="66" t="n">
        <f aca="false">IF(COUNTA(D43:E43)=0,"",SUM(D43:E43))</f>
        <v>484</v>
      </c>
      <c r="G43" s="47" t="n">
        <f aca="false">IF(OR(F43="",F43=0),"",D43/F43)</f>
        <v>0.541322314049587</v>
      </c>
      <c r="H43" s="47" t="n">
        <f aca="false">IF(OR(F43="",F43=0),"",E43/F43)</f>
        <v>0.458677685950413</v>
      </c>
      <c r="I43" s="32" t="s">
        <v>192</v>
      </c>
      <c r="J43" s="36" t="n">
        <v>2.73724997661239</v>
      </c>
      <c r="K43" s="36" t="n">
        <f aca="false">$K$8</f>
        <v>1.02521134994605</v>
      </c>
      <c r="L43" s="36" t="n">
        <f aca="false">SQRT(J43^2+K43^2)</f>
        <v>2.92294299405971</v>
      </c>
      <c r="M43" s="47" t="n">
        <f aca="false">IF(G43="","",MAX(0,G43-1.96*L43/100))</f>
        <v>0.484032631366017</v>
      </c>
      <c r="N43" s="47" t="n">
        <f aca="false">IF(G43="","",MIN(1,G43+1.96*L43/100))</f>
        <v>0.598611996733157</v>
      </c>
      <c r="O43" s="66" t="n">
        <f aca="false">ROUND(S43*W43,0)</f>
        <v>35</v>
      </c>
      <c r="P43" s="66" t="n">
        <f aca="false">IF(F43="","",ROUND(SQRT((F43*L43/100)^2+(G43*O43)^2),0))</f>
        <v>24</v>
      </c>
      <c r="R43" s="67" t="n">
        <v>11.657048089421</v>
      </c>
      <c r="S43" s="68" t="n">
        <f aca="false">U43*V43*$F$5</f>
        <v>483.913480885312</v>
      </c>
      <c r="T43" s="69" t="n">
        <f aca="false">MAX(0,MIN(1,R43/100+$D$5))</f>
        <v>0.541736700888582</v>
      </c>
      <c r="U43" s="69" t="n">
        <v>0.469818913480885</v>
      </c>
      <c r="V43" s="68" t="n">
        <v>1030</v>
      </c>
      <c r="W43" s="69" t="n">
        <v>0.0732058935918866</v>
      </c>
      <c r="X43" s="70" t="s">
        <v>193</v>
      </c>
      <c r="Y43" s="70" t="s">
        <v>194</v>
      </c>
    </row>
    <row r="44" customFormat="false" ht="15" hidden="false" customHeight="false" outlineLevel="0" collapsed="false">
      <c r="A44" s="32" t="s">
        <v>219</v>
      </c>
      <c r="B44" s="32" t="s">
        <v>229</v>
      </c>
      <c r="C44" s="32" t="s">
        <v>191</v>
      </c>
      <c r="D44" s="66" t="n">
        <f aca="false">ROUND(S44*T44,0)</f>
        <v>533</v>
      </c>
      <c r="E44" s="66" t="n">
        <f aca="false">ROUND(S44,0)-D44</f>
        <v>1124</v>
      </c>
      <c r="F44" s="66" t="n">
        <f aca="false">IF(COUNTA(D44:E44)=0,"",SUM(D44:E44))</f>
        <v>1657</v>
      </c>
      <c r="G44" s="47" t="n">
        <f aca="false">IF(OR(F44="",F44=0),"",D44/F44)</f>
        <v>0.32166566083283</v>
      </c>
      <c r="H44" s="47" t="n">
        <f aca="false">IF(OR(F44="",F44=0),"",E44/F44)</f>
        <v>0.67833433916717</v>
      </c>
      <c r="I44" s="32" t="s">
        <v>192</v>
      </c>
      <c r="J44" s="36" t="n">
        <v>1.72069707213054</v>
      </c>
      <c r="K44" s="36" t="n">
        <f aca="false">$K$8</f>
        <v>1.02521134994605</v>
      </c>
      <c r="L44" s="36" t="n">
        <f aca="false">SQRT(J44^2+K44^2)</f>
        <v>2.00296198818071</v>
      </c>
      <c r="M44" s="47" t="n">
        <f aca="false">IF(G44="","",MAX(0,G44-1.96*L44/100))</f>
        <v>0.282407605864489</v>
      </c>
      <c r="N44" s="47" t="n">
        <f aca="false">IF(G44="","",MIN(1,G44+1.96*L44/100))</f>
        <v>0.360923715801172</v>
      </c>
      <c r="O44" s="66" t="n">
        <f aca="false">ROUND(S44*W44,0)</f>
        <v>91</v>
      </c>
      <c r="P44" s="66" t="n">
        <f aca="false">IF(F44="","",ROUND(SQRT((F44*L44/100)^2+(G44*O44)^2),0))</f>
        <v>44</v>
      </c>
      <c r="R44" s="67" t="n">
        <v>-10.3428541772965</v>
      </c>
      <c r="S44" s="68" t="n">
        <f aca="false">U44*V44*$F$5</f>
        <v>1656.73758865248</v>
      </c>
      <c r="T44" s="69" t="n">
        <f aca="false">MAX(0,MIN(1,R44/100+$D$5))</f>
        <v>0.321737678221407</v>
      </c>
      <c r="U44" s="69" t="n">
        <v>0.66750104297038</v>
      </c>
      <c r="V44" s="68" t="n">
        <v>2482</v>
      </c>
      <c r="W44" s="69" t="n">
        <v>0.0547268472736556</v>
      </c>
      <c r="X44" s="70" t="s">
        <v>198</v>
      </c>
      <c r="Y44" s="70" t="s">
        <v>194</v>
      </c>
    </row>
    <row r="45" customFormat="false" ht="15" hidden="false" customHeight="false" outlineLevel="0" collapsed="false">
      <c r="A45" s="32" t="s">
        <v>219</v>
      </c>
      <c r="B45" s="32" t="s">
        <v>230</v>
      </c>
      <c r="C45" s="32" t="s">
        <v>191</v>
      </c>
      <c r="D45" s="66" t="n">
        <f aca="false">ROUND(S45*T45,0)</f>
        <v>8209</v>
      </c>
      <c r="E45" s="66" t="n">
        <f aca="false">ROUND(S45,0)-D45</f>
        <v>8126</v>
      </c>
      <c r="F45" s="66" t="n">
        <f aca="false">IF(COUNTA(D45:E45)=0,"",SUM(D45:E45))</f>
        <v>16335</v>
      </c>
      <c r="G45" s="47" t="n">
        <f aca="false">IF(OR(F45="",F45=0),"",D45/F45)</f>
        <v>0.502540557086012</v>
      </c>
      <c r="H45" s="47" t="n">
        <f aca="false">IF(OR(F45="",F45=0),"",E45/F45)</f>
        <v>0.497459442913988</v>
      </c>
      <c r="I45" s="32" t="s">
        <v>192</v>
      </c>
      <c r="J45" s="36" t="n">
        <v>1.61293121864256</v>
      </c>
      <c r="K45" s="36" t="n">
        <f aca="false">$K$8</f>
        <v>1.02521134994605</v>
      </c>
      <c r="L45" s="36" t="n">
        <f aca="false">SQRT(J45^2+K45^2)</f>
        <v>1.91117906752088</v>
      </c>
      <c r="M45" s="47" t="n">
        <f aca="false">IF(G45="","",MAX(0,G45-1.96*L45/100))</f>
        <v>0.465081447362603</v>
      </c>
      <c r="N45" s="47" t="n">
        <f aca="false">IF(G45="","",MIN(1,G45+1.96*L45/100))</f>
        <v>0.539999666809421</v>
      </c>
      <c r="O45" s="66" t="n">
        <f aca="false">ROUND(S45*W45,0)</f>
        <v>794</v>
      </c>
      <c r="P45" s="66" t="n">
        <f aca="false">IF(F45="","",ROUND(SQRT((F45*L45/100)^2+(G45*O45)^2),0))</f>
        <v>507</v>
      </c>
      <c r="R45" s="67" t="n">
        <v>7.73570356538723</v>
      </c>
      <c r="S45" s="68" t="n">
        <f aca="false">U45*V45*$F$5</f>
        <v>16334.7109624891</v>
      </c>
      <c r="T45" s="69" t="n">
        <f aca="false">MAX(0,MIN(1,R45/100+$D$5))</f>
        <v>0.502523255648244</v>
      </c>
      <c r="U45" s="69" t="n">
        <v>0.662692643210236</v>
      </c>
      <c r="V45" s="68" t="n">
        <v>24649</v>
      </c>
      <c r="W45" s="69" t="n">
        <v>0.0485820274397165</v>
      </c>
      <c r="X45" s="70" t="s">
        <v>214</v>
      </c>
      <c r="Y45" s="70" t="s">
        <v>194</v>
      </c>
    </row>
    <row r="46" customFormat="false" ht="15" hidden="false" customHeight="false" outlineLevel="0" collapsed="false">
      <c r="A46" s="32" t="s">
        <v>219</v>
      </c>
      <c r="B46" s="32" t="s">
        <v>231</v>
      </c>
      <c r="C46" s="32" t="s">
        <v>191</v>
      </c>
      <c r="D46" s="66" t="n">
        <f aca="false">ROUND(S46*T46,0)</f>
        <v>848</v>
      </c>
      <c r="E46" s="66" t="n">
        <f aca="false">ROUND(S46,0)-D46</f>
        <v>1356</v>
      </c>
      <c r="F46" s="66" t="n">
        <f aca="false">IF(COUNTA(D46:E46)=0,"",SUM(D46:E46))</f>
        <v>2204</v>
      </c>
      <c r="G46" s="47" t="n">
        <f aca="false">IF(OR(F46="",F46=0),"",D46/F46)</f>
        <v>0.38475499092559</v>
      </c>
      <c r="H46" s="47" t="n">
        <f aca="false">IF(OR(F46="",F46=0),"",E46/F46)</f>
        <v>0.61524500907441</v>
      </c>
      <c r="I46" s="32" t="s">
        <v>192</v>
      </c>
      <c r="J46" s="36" t="n">
        <v>1.72069707213054</v>
      </c>
      <c r="K46" s="36" t="n">
        <f aca="false">$K$8</f>
        <v>1.02521134994605</v>
      </c>
      <c r="L46" s="36" t="n">
        <f aca="false">SQRT(J46^2+K46^2)</f>
        <v>2.00296198818071</v>
      </c>
      <c r="M46" s="47" t="n">
        <f aca="false">IF(G46="","",MAX(0,G46-1.96*L46/100))</f>
        <v>0.345496935957248</v>
      </c>
      <c r="N46" s="47" t="n">
        <f aca="false">IF(G46="","",MIN(1,G46+1.96*L46/100))</f>
        <v>0.424013045893932</v>
      </c>
      <c r="O46" s="66" t="n">
        <f aca="false">ROUND(S46*W46,0)</f>
        <v>121</v>
      </c>
      <c r="P46" s="66" t="n">
        <f aca="false">IF(F46="","",ROUND(SQRT((F46*L46/100)^2+(G46*O46)^2),0))</f>
        <v>64</v>
      </c>
      <c r="R46" s="67" t="n">
        <v>-4.03140045738346</v>
      </c>
      <c r="S46" s="68" t="n">
        <f aca="false">U46*V46*$F$5</f>
        <v>2204.10505319149</v>
      </c>
      <c r="T46" s="69" t="n">
        <f aca="false">MAX(0,MIN(1,R46/100+$D$5))</f>
        <v>0.384852215420537</v>
      </c>
      <c r="U46" s="69" t="n">
        <v>0.718417553191489</v>
      </c>
      <c r="V46" s="68" t="n">
        <v>3068</v>
      </c>
      <c r="W46" s="69" t="n">
        <v>0.0547268472736556</v>
      </c>
      <c r="X46" s="70" t="s">
        <v>198</v>
      </c>
      <c r="Y46" s="70" t="s">
        <v>194</v>
      </c>
    </row>
    <row r="47" customFormat="false" ht="15" hidden="false" customHeight="false" outlineLevel="0" collapsed="false">
      <c r="A47" s="32" t="s">
        <v>219</v>
      </c>
      <c r="B47" s="32" t="s">
        <v>232</v>
      </c>
      <c r="C47" s="32" t="s">
        <v>191</v>
      </c>
      <c r="D47" s="66" t="n">
        <f aca="false">ROUND(S47*T47,0)</f>
        <v>445</v>
      </c>
      <c r="E47" s="66" t="n">
        <f aca="false">ROUND(S47,0)-D47</f>
        <v>792</v>
      </c>
      <c r="F47" s="66" t="n">
        <f aca="false">IF(COUNTA(D47:E47)=0,"",SUM(D47:E47))</f>
        <v>1237</v>
      </c>
      <c r="G47" s="47" t="n">
        <f aca="false">IF(OR(F47="",F47=0),"",D47/F47)</f>
        <v>0.359741309620049</v>
      </c>
      <c r="H47" s="47" t="n">
        <f aca="false">IF(OR(F47="",F47=0),"",E47/F47)</f>
        <v>0.640258690379952</v>
      </c>
      <c r="I47" s="32" t="s">
        <v>192</v>
      </c>
      <c r="J47" s="36" t="n">
        <v>2.73724997661239</v>
      </c>
      <c r="K47" s="36" t="n">
        <f aca="false">$K$8</f>
        <v>1.02521134994605</v>
      </c>
      <c r="L47" s="36" t="n">
        <f aca="false">SQRT(J47^2+K47^2)</f>
        <v>2.92294299405971</v>
      </c>
      <c r="M47" s="47" t="n">
        <f aca="false">IF(G47="","",MAX(0,G47-1.96*L47/100))</f>
        <v>0.302451626936478</v>
      </c>
      <c r="N47" s="47" t="n">
        <f aca="false">IF(G47="","",MIN(1,G47+1.96*L47/100))</f>
        <v>0.417030992303619</v>
      </c>
      <c r="O47" s="66" t="n">
        <f aca="false">ROUND(S47*W47,0)</f>
        <v>91</v>
      </c>
      <c r="P47" s="66" t="n">
        <f aca="false">IF(F47="","",ROUND(SQRT((F47*L47/100)^2+(G47*O47)^2),0))</f>
        <v>49</v>
      </c>
      <c r="R47" s="67" t="n">
        <v>-6.55207179972911</v>
      </c>
      <c r="S47" s="68" t="n">
        <f aca="false">U47*V47*$F$5</f>
        <v>1236.97340124505</v>
      </c>
      <c r="T47" s="69" t="n">
        <f aca="false">MAX(0,MIN(1,R47/100+$D$5))</f>
        <v>0.359645501997081</v>
      </c>
      <c r="U47" s="69" t="n">
        <v>0.688737973967176</v>
      </c>
      <c r="V47" s="68" t="n">
        <v>1796</v>
      </c>
      <c r="W47" s="69" t="n">
        <v>0.0732058935918866</v>
      </c>
      <c r="X47" s="70" t="s">
        <v>193</v>
      </c>
      <c r="Y47" s="70" t="s">
        <v>194</v>
      </c>
    </row>
    <row r="48" customFormat="false" ht="15" hidden="false" customHeight="false" outlineLevel="0" collapsed="false">
      <c r="A48" s="32" t="s">
        <v>219</v>
      </c>
      <c r="B48" s="32" t="s">
        <v>233</v>
      </c>
      <c r="C48" s="32" t="s">
        <v>191</v>
      </c>
      <c r="D48" s="66" t="n">
        <f aca="false">ROUND(S48*T48,0)</f>
        <v>702</v>
      </c>
      <c r="E48" s="66" t="n">
        <f aca="false">ROUND(S48,0)-D48</f>
        <v>1490</v>
      </c>
      <c r="F48" s="66" t="n">
        <f aca="false">IF(COUNTA(D48:E48)=0,"",SUM(D48:E48))</f>
        <v>2192</v>
      </c>
      <c r="G48" s="47" t="n">
        <f aca="false">IF(OR(F48="",F48=0),"",D48/F48)</f>
        <v>0.320255474452555</v>
      </c>
      <c r="H48" s="47" t="n">
        <f aca="false">IF(OR(F48="",F48=0),"",E48/F48)</f>
        <v>0.679744525547445</v>
      </c>
      <c r="I48" s="32" t="s">
        <v>192</v>
      </c>
      <c r="J48" s="36" t="n">
        <v>1.72069707213054</v>
      </c>
      <c r="K48" s="36" t="n">
        <f aca="false">$K$8</f>
        <v>1.02521134994605</v>
      </c>
      <c r="L48" s="36" t="n">
        <f aca="false">SQRT(J48^2+K48^2)</f>
        <v>2.00296198818071</v>
      </c>
      <c r="M48" s="47" t="n">
        <f aca="false">IF(G48="","",MAX(0,G48-1.96*L48/100))</f>
        <v>0.280997419484213</v>
      </c>
      <c r="N48" s="47" t="n">
        <f aca="false">IF(G48="","",MIN(1,G48+1.96*L48/100))</f>
        <v>0.359513529420897</v>
      </c>
      <c r="O48" s="66" t="n">
        <f aca="false">ROUND(S48*W48,0)</f>
        <v>120</v>
      </c>
      <c r="P48" s="66" t="n">
        <f aca="false">IF(F48="","",ROUND(SQRT((F48*L48/100)^2+(G48*O48)^2),0))</f>
        <v>58</v>
      </c>
      <c r="R48" s="67" t="n">
        <v>-10.4810101865111</v>
      </c>
      <c r="S48" s="68" t="n">
        <f aca="false">U48*V48*$F$5</f>
        <v>2191.88036117382</v>
      </c>
      <c r="T48" s="69" t="n">
        <f aca="false">MAX(0,MIN(1,R48/100+$D$5))</f>
        <v>0.320356118129261</v>
      </c>
      <c r="U48" s="69" t="n">
        <v>0.694292163818123</v>
      </c>
      <c r="V48" s="68" t="n">
        <v>3157</v>
      </c>
      <c r="W48" s="69" t="n">
        <v>0.0547268472736556</v>
      </c>
      <c r="X48" s="70" t="s">
        <v>198</v>
      </c>
      <c r="Y48" s="70" t="s">
        <v>194</v>
      </c>
    </row>
    <row r="49" customFormat="false" ht="15" hidden="false" customHeight="false" outlineLevel="0" collapsed="false">
      <c r="A49" s="32" t="s">
        <v>219</v>
      </c>
      <c r="B49" s="32" t="s">
        <v>234</v>
      </c>
      <c r="C49" s="32" t="s">
        <v>191</v>
      </c>
      <c r="D49" s="66" t="n">
        <f aca="false">ROUND(S49*T49,0)</f>
        <v>811</v>
      </c>
      <c r="E49" s="66" t="n">
        <f aca="false">ROUND(S49,0)-D49</f>
        <v>702</v>
      </c>
      <c r="F49" s="66" t="n">
        <f aca="false">IF(COUNTA(D49:E49)=0,"",SUM(D49:E49))</f>
        <v>1513</v>
      </c>
      <c r="G49" s="47" t="n">
        <f aca="false">IF(OR(F49="",F49=0),"",D49/F49)</f>
        <v>0.536021150033047</v>
      </c>
      <c r="H49" s="47" t="n">
        <f aca="false">IF(OR(F49="",F49=0),"",E49/F49)</f>
        <v>0.463978849966953</v>
      </c>
      <c r="I49" s="32" t="s">
        <v>192</v>
      </c>
      <c r="J49" s="36" t="n">
        <v>1.72069707213054</v>
      </c>
      <c r="K49" s="36" t="n">
        <f aca="false">$K$8</f>
        <v>1.02521134994605</v>
      </c>
      <c r="L49" s="36" t="n">
        <f aca="false">SQRT(J49^2+K49^2)</f>
        <v>2.00296198818071</v>
      </c>
      <c r="M49" s="47" t="n">
        <f aca="false">IF(G49="","",MAX(0,G49-1.96*L49/100))</f>
        <v>0.496763095064705</v>
      </c>
      <c r="N49" s="47" t="n">
        <f aca="false">IF(G49="","",MIN(1,G49+1.96*L49/100))</f>
        <v>0.575279205001389</v>
      </c>
      <c r="O49" s="66" t="n">
        <f aca="false">ROUND(S49*W49,0)</f>
        <v>83</v>
      </c>
      <c r="P49" s="66" t="n">
        <f aca="false">IF(F49="","",ROUND(SQRT((F49*L49/100)^2+(G49*O49)^2),0))</f>
        <v>54</v>
      </c>
      <c r="R49" s="67" t="n">
        <v>11.0622054948257</v>
      </c>
      <c r="S49" s="68" t="n">
        <f aca="false">U49*V49*$F$5</f>
        <v>1512.74151436031</v>
      </c>
      <c r="T49" s="69" t="n">
        <f aca="false">MAX(0,MIN(1,R49/100+$D$5))</f>
        <v>0.535788274942629</v>
      </c>
      <c r="U49" s="69" t="n">
        <v>0.616187989556136</v>
      </c>
      <c r="V49" s="68" t="n">
        <v>2455</v>
      </c>
      <c r="W49" s="69" t="n">
        <v>0.0547268472736556</v>
      </c>
      <c r="X49" s="70" t="s">
        <v>198</v>
      </c>
      <c r="Y49" s="70" t="s">
        <v>194</v>
      </c>
    </row>
    <row r="50" customFormat="false" ht="15" hidden="false" customHeight="false" outlineLevel="0" collapsed="false">
      <c r="A50" s="32" t="s">
        <v>219</v>
      </c>
      <c r="B50" s="32" t="s">
        <v>235</v>
      </c>
      <c r="C50" s="32" t="s">
        <v>191</v>
      </c>
      <c r="D50" s="66" t="n">
        <f aca="false">ROUND(S50*T50,0)</f>
        <v>3207</v>
      </c>
      <c r="E50" s="66" t="n">
        <f aca="false">ROUND(S50,0)-D50</f>
        <v>4690</v>
      </c>
      <c r="F50" s="66" t="n">
        <f aca="false">IF(COUNTA(D50:E50)=0,"",SUM(D50:E50))</f>
        <v>7897</v>
      </c>
      <c r="G50" s="47" t="n">
        <f aca="false">IF(OR(F50="",F50=0),"",D50/F50)</f>
        <v>0.406103583639357</v>
      </c>
      <c r="H50" s="47" t="n">
        <f aca="false">IF(OR(F50="",F50=0),"",E50/F50)</f>
        <v>0.593896416360643</v>
      </c>
      <c r="I50" s="32" t="s">
        <v>192</v>
      </c>
      <c r="J50" s="36" t="n">
        <v>1.61293121864256</v>
      </c>
      <c r="K50" s="36" t="n">
        <f aca="false">$K$8</f>
        <v>1.02521134994605</v>
      </c>
      <c r="L50" s="36" t="n">
        <f aca="false">SQRT(J50^2+K50^2)</f>
        <v>1.91117906752088</v>
      </c>
      <c r="M50" s="47" t="n">
        <f aca="false">IF(G50="","",MAX(0,G50-1.96*L50/100))</f>
        <v>0.368644473915948</v>
      </c>
      <c r="N50" s="47" t="n">
        <f aca="false">IF(G50="","",MIN(1,G50+1.96*L50/100))</f>
        <v>0.443562693362766</v>
      </c>
      <c r="O50" s="66" t="n">
        <f aca="false">ROUND(S50*W50,0)</f>
        <v>384</v>
      </c>
      <c r="P50" s="66" t="n">
        <f aca="false">IF(F50="","",ROUND(SQRT((F50*L50/100)^2+(G50*O50)^2),0))</f>
        <v>217</v>
      </c>
      <c r="R50" s="67" t="n">
        <v>-1.90622998739914</v>
      </c>
      <c r="S50" s="68" t="n">
        <f aca="false">U50*V50*$F$5</f>
        <v>7896.5113304721</v>
      </c>
      <c r="T50" s="69" t="n">
        <f aca="false">MAX(0,MIN(1,R50/100+$D$5))</f>
        <v>0.40610392012038</v>
      </c>
      <c r="U50" s="69" t="n">
        <v>0.662403433476395</v>
      </c>
      <c r="V50" s="68" t="n">
        <v>11921</v>
      </c>
      <c r="W50" s="69" t="n">
        <v>0.0485820274397165</v>
      </c>
      <c r="X50" s="70" t="s">
        <v>214</v>
      </c>
      <c r="Y50" s="70" t="s">
        <v>194</v>
      </c>
    </row>
    <row r="51" customFormat="false" ht="15" hidden="false" customHeight="false" outlineLevel="0" collapsed="false">
      <c r="A51" s="32" t="s">
        <v>219</v>
      </c>
      <c r="B51" s="32" t="s">
        <v>236</v>
      </c>
      <c r="C51" s="32" t="s">
        <v>191</v>
      </c>
      <c r="D51" s="66" t="n">
        <f aca="false">ROUND(S51*T51,0)</f>
        <v>3190</v>
      </c>
      <c r="E51" s="66" t="n">
        <f aca="false">ROUND(S51,0)-D51</f>
        <v>3240</v>
      </c>
      <c r="F51" s="66" t="n">
        <f aca="false">IF(COUNTA(D51:E51)=0,"",SUM(D51:E51))</f>
        <v>6430</v>
      </c>
      <c r="G51" s="47" t="n">
        <f aca="false">IF(OR(F51="",F51=0),"",D51/F51)</f>
        <v>0.496111975116641</v>
      </c>
      <c r="H51" s="47" t="n">
        <f aca="false">IF(OR(F51="",F51=0),"",E51/F51)</f>
        <v>0.503888024883359</v>
      </c>
      <c r="I51" s="32" t="s">
        <v>192</v>
      </c>
      <c r="J51" s="36" t="n">
        <v>1.61293121864256</v>
      </c>
      <c r="K51" s="36" t="n">
        <f aca="false">$K$8</f>
        <v>1.02521134994605</v>
      </c>
      <c r="L51" s="36" t="n">
        <f aca="false">SQRT(J51^2+K51^2)</f>
        <v>1.91117906752088</v>
      </c>
      <c r="M51" s="47" t="n">
        <f aca="false">IF(G51="","",MAX(0,G51-1.96*L51/100))</f>
        <v>0.458652865393232</v>
      </c>
      <c r="N51" s="47" t="n">
        <f aca="false">IF(G51="","",MIN(1,G51+1.96*L51/100))</f>
        <v>0.53357108484005</v>
      </c>
      <c r="O51" s="66" t="n">
        <f aca="false">ROUND(S51*W51,0)</f>
        <v>312</v>
      </c>
      <c r="P51" s="66" t="n">
        <f aca="false">IF(F51="","",ROUND(SQRT((F51*L51/100)^2+(G51*O51)^2),0))</f>
        <v>198</v>
      </c>
      <c r="R51" s="67" t="n">
        <v>7.1004972161212</v>
      </c>
      <c r="S51" s="68" t="n">
        <f aca="false">U51*V51*$F$5</f>
        <v>6429.9709076009</v>
      </c>
      <c r="T51" s="69" t="n">
        <f aca="false">MAX(0,MIN(1,R51/100+$D$5))</f>
        <v>0.496171192155584</v>
      </c>
      <c r="U51" s="69" t="n">
        <v>0.652325343167384</v>
      </c>
      <c r="V51" s="68" t="n">
        <v>9857</v>
      </c>
      <c r="W51" s="69" t="n">
        <v>0.0485820274397165</v>
      </c>
      <c r="X51" s="70" t="s">
        <v>214</v>
      </c>
      <c r="Y51" s="70" t="s">
        <v>194</v>
      </c>
    </row>
    <row r="52" customFormat="false" ht="15" hidden="false" customHeight="false" outlineLevel="0" collapsed="false">
      <c r="A52" s="32" t="s">
        <v>219</v>
      </c>
      <c r="B52" s="32" t="s">
        <v>237</v>
      </c>
      <c r="C52" s="32" t="s">
        <v>191</v>
      </c>
      <c r="D52" s="66" t="n">
        <f aca="false">ROUND(S52*T52,0)</f>
        <v>592</v>
      </c>
      <c r="E52" s="66" t="n">
        <f aca="false">ROUND(S52,0)-D52</f>
        <v>798</v>
      </c>
      <c r="F52" s="66" t="n">
        <f aca="false">IF(COUNTA(D52:E52)=0,"",SUM(D52:E52))</f>
        <v>1390</v>
      </c>
      <c r="G52" s="47" t="n">
        <f aca="false">IF(OR(F52="",F52=0),"",D52/F52)</f>
        <v>0.42589928057554</v>
      </c>
      <c r="H52" s="47" t="n">
        <f aca="false">IF(OR(F52="",F52=0),"",E52/F52)</f>
        <v>0.57410071942446</v>
      </c>
      <c r="I52" s="32" t="s">
        <v>192</v>
      </c>
      <c r="J52" s="36" t="n">
        <v>1.72069707213054</v>
      </c>
      <c r="K52" s="36" t="n">
        <f aca="false">$K$8</f>
        <v>1.02521134994605</v>
      </c>
      <c r="L52" s="36" t="n">
        <f aca="false">SQRT(J52^2+K52^2)</f>
        <v>2.00296198818071</v>
      </c>
      <c r="M52" s="47" t="n">
        <f aca="false">IF(G52="","",MAX(0,G52-1.96*L52/100))</f>
        <v>0.386641225607198</v>
      </c>
      <c r="N52" s="47" t="n">
        <f aca="false">IF(G52="","",MIN(1,G52+1.96*L52/100))</f>
        <v>0.465157335543882</v>
      </c>
      <c r="O52" s="66" t="n">
        <f aca="false">ROUND(S52*W52,0)</f>
        <v>76</v>
      </c>
      <c r="P52" s="66" t="n">
        <f aca="false">IF(F52="","",ROUND(SQRT((F52*L52/100)^2+(G52*O52)^2),0))</f>
        <v>43</v>
      </c>
      <c r="R52" s="67" t="n">
        <v>0.0660227626526394</v>
      </c>
      <c r="S52" s="68" t="n">
        <f aca="false">U52*V52*$F$5</f>
        <v>1390.15942028986</v>
      </c>
      <c r="T52" s="69" t="n">
        <f aca="false">MAX(0,MIN(1,R52/100+$D$5))</f>
        <v>0.425826447620898</v>
      </c>
      <c r="U52" s="69" t="n">
        <v>0.529181355268312</v>
      </c>
      <c r="V52" s="68" t="n">
        <v>2627</v>
      </c>
      <c r="W52" s="69" t="n">
        <v>0.0547268472736556</v>
      </c>
      <c r="X52" s="70" t="s">
        <v>198</v>
      </c>
      <c r="Y52" s="70" t="s">
        <v>194</v>
      </c>
    </row>
    <row r="53" customFormat="false" ht="15" hidden="false" customHeight="false" outlineLevel="0" collapsed="false">
      <c r="A53" s="32" t="s">
        <v>219</v>
      </c>
      <c r="B53" s="32" t="s">
        <v>238</v>
      </c>
      <c r="C53" s="32" t="s">
        <v>191</v>
      </c>
      <c r="D53" s="66" t="n">
        <f aca="false">ROUND(S53*T53,0)</f>
        <v>5647</v>
      </c>
      <c r="E53" s="66" t="n">
        <f aca="false">ROUND(S53,0)-D53</f>
        <v>4839</v>
      </c>
      <c r="F53" s="66" t="n">
        <f aca="false">IF(COUNTA(D53:E53)=0,"",SUM(D53:E53))</f>
        <v>10486</v>
      </c>
      <c r="G53" s="47" t="n">
        <f aca="false">IF(OR(F53="",F53=0),"",D53/F53)</f>
        <v>0.538527560556933</v>
      </c>
      <c r="H53" s="47" t="n">
        <f aca="false">IF(OR(F53="",F53=0),"",E53/F53)</f>
        <v>0.461472439443067</v>
      </c>
      <c r="I53" s="32" t="s">
        <v>192</v>
      </c>
      <c r="J53" s="36" t="n">
        <v>1.61293121864256</v>
      </c>
      <c r="K53" s="36" t="n">
        <f aca="false">$K$8</f>
        <v>1.02521134994605</v>
      </c>
      <c r="L53" s="36" t="n">
        <f aca="false">SQRT(J53^2+K53^2)</f>
        <v>1.91117906752088</v>
      </c>
      <c r="M53" s="47" t="n">
        <f aca="false">IF(G53="","",MAX(0,G53-1.96*L53/100))</f>
        <v>0.501068450833524</v>
      </c>
      <c r="N53" s="47" t="n">
        <f aca="false">IF(G53="","",MIN(1,G53+1.96*L53/100))</f>
        <v>0.575986670280342</v>
      </c>
      <c r="O53" s="66" t="n">
        <f aca="false">ROUND(S53*W53,0)</f>
        <v>509</v>
      </c>
      <c r="P53" s="66" t="n">
        <f aca="false">IF(F53="","",ROUND(SQRT((F53*L53/100)^2+(G53*O53)^2),0))</f>
        <v>340</v>
      </c>
      <c r="R53" s="67" t="n">
        <v>11.3349875390504</v>
      </c>
      <c r="S53" s="68" t="n">
        <f aca="false">U53*V53*$F$5</f>
        <v>10486.1559171025</v>
      </c>
      <c r="T53" s="69" t="n">
        <f aca="false">MAX(0,MIN(1,R53/100+$D$5))</f>
        <v>0.538516095384876</v>
      </c>
      <c r="U53" s="69" t="n">
        <v>0.653302343598683</v>
      </c>
      <c r="V53" s="68" t="n">
        <v>16051</v>
      </c>
      <c r="W53" s="69" t="n">
        <v>0.0485820274397165</v>
      </c>
      <c r="X53" s="70" t="s">
        <v>214</v>
      </c>
      <c r="Y53" s="70" t="s">
        <v>194</v>
      </c>
    </row>
    <row r="54" customFormat="false" ht="15" hidden="false" customHeight="false" outlineLevel="0" collapsed="false">
      <c r="A54" s="32" t="s">
        <v>219</v>
      </c>
      <c r="B54" s="32" t="s">
        <v>239</v>
      </c>
      <c r="C54" s="32" t="s">
        <v>191</v>
      </c>
      <c r="D54" s="66" t="n">
        <f aca="false">ROUND(S54*T54,0)</f>
        <v>6245</v>
      </c>
      <c r="E54" s="66" t="n">
        <f aca="false">ROUND(S54,0)-D54</f>
        <v>5785</v>
      </c>
      <c r="F54" s="66" t="n">
        <f aca="false">IF(COUNTA(D54:E54)=0,"",SUM(D54:E54))</f>
        <v>12030</v>
      </c>
      <c r="G54" s="47" t="n">
        <f aca="false">IF(OR(F54="",F54=0),"",D54/F54)</f>
        <v>0.519118869492934</v>
      </c>
      <c r="H54" s="47" t="n">
        <f aca="false">IF(OR(F54="",F54=0),"",E54/F54)</f>
        <v>0.480881130507066</v>
      </c>
      <c r="I54" s="32" t="s">
        <v>192</v>
      </c>
      <c r="J54" s="36" t="n">
        <v>1.61293121864256</v>
      </c>
      <c r="K54" s="36" t="n">
        <f aca="false">$K$8</f>
        <v>1.02521134994605</v>
      </c>
      <c r="L54" s="36" t="n">
        <f aca="false">SQRT(J54^2+K54^2)</f>
        <v>1.91117906752088</v>
      </c>
      <c r="M54" s="47" t="n">
        <f aca="false">IF(G54="","",MAX(0,G54-1.96*L54/100))</f>
        <v>0.481659759769525</v>
      </c>
      <c r="N54" s="47" t="n">
        <f aca="false">IF(G54="","",MIN(1,G54+1.96*L54/100))</f>
        <v>0.556577979216343</v>
      </c>
      <c r="O54" s="66" t="n">
        <f aca="false">ROUND(S54*W54,0)</f>
        <v>584</v>
      </c>
      <c r="P54" s="66" t="n">
        <f aca="false">IF(F54="","",ROUND(SQRT((F54*L54/100)^2+(G54*O54)^2),0))</f>
        <v>380</v>
      </c>
      <c r="R54" s="67" t="n">
        <v>9.39426472047926</v>
      </c>
      <c r="S54" s="68" t="n">
        <f aca="false">U54*V54*$F$5</f>
        <v>12030.3346699902</v>
      </c>
      <c r="T54" s="69" t="n">
        <f aca="false">MAX(0,MIN(1,R54/100+$D$5))</f>
        <v>0.519108867199164</v>
      </c>
      <c r="U54" s="69" t="n">
        <v>0.610490950471443</v>
      </c>
      <c r="V54" s="68" t="n">
        <v>19706</v>
      </c>
      <c r="W54" s="69" t="n">
        <v>0.0485820274397165</v>
      </c>
      <c r="X54" s="70" t="s">
        <v>214</v>
      </c>
      <c r="Y54" s="70" t="s">
        <v>194</v>
      </c>
    </row>
    <row r="55" customFormat="false" ht="15" hidden="false" customHeight="false" outlineLevel="0" collapsed="false">
      <c r="A55" s="32" t="s">
        <v>219</v>
      </c>
      <c r="B55" s="32" t="s">
        <v>240</v>
      </c>
      <c r="C55" s="32" t="s">
        <v>191</v>
      </c>
      <c r="D55" s="66" t="n">
        <f aca="false">ROUND(S55*T55,0)</f>
        <v>1982</v>
      </c>
      <c r="E55" s="66" t="n">
        <f aca="false">ROUND(S55,0)-D55</f>
        <v>2632</v>
      </c>
      <c r="F55" s="66" t="n">
        <f aca="false">IF(COUNTA(D55:E55)=0,"",SUM(D55:E55))</f>
        <v>4614</v>
      </c>
      <c r="G55" s="47" t="n">
        <f aca="false">IF(OR(F55="",F55=0),"",D55/F55)</f>
        <v>0.429562201993932</v>
      </c>
      <c r="H55" s="47" t="n">
        <f aca="false">IF(OR(F55="",F55=0),"",E55/F55)</f>
        <v>0.570437798006069</v>
      </c>
      <c r="I55" s="32" t="s">
        <v>192</v>
      </c>
      <c r="J55" s="36" t="n">
        <v>1.61293121864256</v>
      </c>
      <c r="K55" s="36" t="n">
        <f aca="false">$K$8</f>
        <v>1.02521134994605</v>
      </c>
      <c r="L55" s="36" t="n">
        <f aca="false">SQRT(J55^2+K55^2)</f>
        <v>1.91117906752088</v>
      </c>
      <c r="M55" s="47" t="n">
        <f aca="false">IF(G55="","",MAX(0,G55-1.96*L55/100))</f>
        <v>0.392103092270522</v>
      </c>
      <c r="N55" s="47" t="n">
        <f aca="false">IF(G55="","",MIN(1,G55+1.96*L55/100))</f>
        <v>0.467021311717341</v>
      </c>
      <c r="O55" s="66" t="n">
        <f aca="false">ROUND(S55*W55,0)</f>
        <v>224</v>
      </c>
      <c r="P55" s="66" t="n">
        <f aca="false">IF(F55="","",ROUND(SQRT((F55*L55/100)^2+(G55*O55)^2),0))</f>
        <v>131</v>
      </c>
      <c r="R55" s="67" t="n">
        <v>0.445805381561046</v>
      </c>
      <c r="S55" s="68" t="n">
        <f aca="false">U55*V55*$F$5</f>
        <v>4613.50991276765</v>
      </c>
      <c r="T55" s="69" t="n">
        <f aca="false">MAX(0,MIN(1,R55/100+$D$5))</f>
        <v>0.429624273809982</v>
      </c>
      <c r="U55" s="69" t="n">
        <v>0.71086439333862</v>
      </c>
      <c r="V55" s="68" t="n">
        <v>6490</v>
      </c>
      <c r="W55" s="69" t="n">
        <v>0.0485820274397165</v>
      </c>
      <c r="X55" s="70" t="s">
        <v>214</v>
      </c>
      <c r="Y55" s="70" t="s">
        <v>194</v>
      </c>
    </row>
    <row r="56" customFormat="false" ht="15" hidden="false" customHeight="false" outlineLevel="0" collapsed="false">
      <c r="A56" s="32" t="s">
        <v>219</v>
      </c>
      <c r="B56" s="32" t="s">
        <v>241</v>
      </c>
      <c r="C56" s="32" t="s">
        <v>191</v>
      </c>
      <c r="D56" s="66" t="n">
        <f aca="false">ROUND(S56*T56,0)</f>
        <v>4585</v>
      </c>
      <c r="E56" s="66" t="n">
        <f aca="false">ROUND(S56,0)-D56</f>
        <v>4759</v>
      </c>
      <c r="F56" s="66" t="n">
        <f aca="false">IF(COUNTA(D56:E56)=0,"",SUM(D56:E56))</f>
        <v>9344</v>
      </c>
      <c r="G56" s="47" t="n">
        <f aca="false">IF(OR(F56="",F56=0),"",D56/F56)</f>
        <v>0.490689212328767</v>
      </c>
      <c r="H56" s="47" t="n">
        <f aca="false">IF(OR(F56="",F56=0),"",E56/F56)</f>
        <v>0.509310787671233</v>
      </c>
      <c r="I56" s="32" t="s">
        <v>192</v>
      </c>
      <c r="J56" s="36" t="n">
        <v>1.61293121864256</v>
      </c>
      <c r="K56" s="36" t="n">
        <f aca="false">$K$8</f>
        <v>1.02521134994605</v>
      </c>
      <c r="L56" s="36" t="n">
        <f aca="false">SQRT(J56^2+K56^2)</f>
        <v>1.91117906752088</v>
      </c>
      <c r="M56" s="47" t="n">
        <f aca="false">IF(G56="","",MAX(0,G56-1.96*L56/100))</f>
        <v>0.453230102605358</v>
      </c>
      <c r="N56" s="47" t="n">
        <f aca="false">IF(G56="","",MIN(1,G56+1.96*L56/100))</f>
        <v>0.528148322052176</v>
      </c>
      <c r="O56" s="66" t="n">
        <f aca="false">ROUND(S56*W56,0)</f>
        <v>454</v>
      </c>
      <c r="P56" s="66" t="n">
        <f aca="false">IF(F56="","",ROUND(SQRT((F56*L56/100)^2+(G56*O56)^2),0))</f>
        <v>286</v>
      </c>
      <c r="R56" s="67" t="n">
        <v>6.55264142345077</v>
      </c>
      <c r="S56" s="68" t="n">
        <f aca="false">U56*V56*$F$5</f>
        <v>9343.93860561915</v>
      </c>
      <c r="T56" s="69" t="n">
        <f aca="false">MAX(0,MIN(1,R56/100+$D$5))</f>
        <v>0.490692634228879</v>
      </c>
      <c r="U56" s="69" t="n">
        <v>0.702393340270552</v>
      </c>
      <c r="V56" s="68" t="n">
        <v>13303</v>
      </c>
      <c r="W56" s="69" t="n">
        <v>0.0485820274397165</v>
      </c>
      <c r="X56" s="70" t="s">
        <v>214</v>
      </c>
      <c r="Y56" s="70" t="s">
        <v>194</v>
      </c>
    </row>
    <row r="57" customFormat="false" ht="15" hidden="false" customHeight="false" outlineLevel="0" collapsed="false">
      <c r="A57" s="32" t="s">
        <v>219</v>
      </c>
      <c r="B57" s="32" t="s">
        <v>242</v>
      </c>
      <c r="C57" s="32" t="s">
        <v>191</v>
      </c>
      <c r="D57" s="66" t="n">
        <f aca="false">ROUND(S57*T57,0)</f>
        <v>1025</v>
      </c>
      <c r="E57" s="66" t="n">
        <f aca="false">ROUND(S57,0)-D57</f>
        <v>2078</v>
      </c>
      <c r="F57" s="66" t="n">
        <f aca="false">IF(COUNTA(D57:E57)=0,"",SUM(D57:E57))</f>
        <v>3103</v>
      </c>
      <c r="G57" s="47" t="n">
        <f aca="false">IF(OR(F57="",F57=0),"",D57/F57)</f>
        <v>0.330325491459878</v>
      </c>
      <c r="H57" s="47" t="n">
        <f aca="false">IF(OR(F57="",F57=0),"",E57/F57)</f>
        <v>0.669674508540122</v>
      </c>
      <c r="I57" s="32" t="s">
        <v>192</v>
      </c>
      <c r="J57" s="36" t="n">
        <v>1.61293121864256</v>
      </c>
      <c r="K57" s="36" t="n">
        <f aca="false">$K$8</f>
        <v>1.02521134994605</v>
      </c>
      <c r="L57" s="36" t="n">
        <f aca="false">SQRT(J57^2+K57^2)</f>
        <v>1.91117906752088</v>
      </c>
      <c r="M57" s="47" t="n">
        <f aca="false">IF(G57="","",MAX(0,G57-1.96*L57/100))</f>
        <v>0.292866381736468</v>
      </c>
      <c r="N57" s="47" t="n">
        <f aca="false">IF(G57="","",MIN(1,G57+1.96*L57/100))</f>
        <v>0.367784601183287</v>
      </c>
      <c r="O57" s="66" t="n">
        <f aca="false">ROUND(S57*W57,0)</f>
        <v>151</v>
      </c>
      <c r="P57" s="66" t="n">
        <f aca="false">IF(F57="","",ROUND(SQRT((F57*L57/100)^2+(G57*O57)^2),0))</f>
        <v>77</v>
      </c>
      <c r="R57" s="67" t="n">
        <v>-9.48943444389166</v>
      </c>
      <c r="S57" s="68" t="n">
        <f aca="false">U57*V57*$F$5</f>
        <v>3102.86358754028</v>
      </c>
      <c r="T57" s="69" t="n">
        <f aca="false">MAX(0,MIN(1,R57/100+$D$5))</f>
        <v>0.330271875555455</v>
      </c>
      <c r="U57" s="69" t="n">
        <v>0.645757250268529</v>
      </c>
      <c r="V57" s="68" t="n">
        <v>4805</v>
      </c>
      <c r="W57" s="69" t="n">
        <v>0.0485820274397165</v>
      </c>
      <c r="X57" s="70" t="s">
        <v>214</v>
      </c>
      <c r="Y57" s="70" t="s">
        <v>194</v>
      </c>
    </row>
    <row r="58" customFormat="false" ht="15" hidden="false" customHeight="false" outlineLevel="0" collapsed="false">
      <c r="A58" s="32" t="s">
        <v>219</v>
      </c>
      <c r="B58" s="32" t="s">
        <v>243</v>
      </c>
      <c r="C58" s="32" t="s">
        <v>191</v>
      </c>
      <c r="D58" s="66" t="n">
        <f aca="false">ROUND(S58*T58,0)</f>
        <v>960</v>
      </c>
      <c r="E58" s="66" t="n">
        <f aca="false">ROUND(S58,0)-D58</f>
        <v>1780</v>
      </c>
      <c r="F58" s="66" t="n">
        <f aca="false">IF(COUNTA(D58:E58)=0,"",SUM(D58:E58))</f>
        <v>2740</v>
      </c>
      <c r="G58" s="47" t="n">
        <f aca="false">IF(OR(F58="",F58=0),"",D58/F58)</f>
        <v>0.35036496350365</v>
      </c>
      <c r="H58" s="47" t="n">
        <f aca="false">IF(OR(F58="",F58=0),"",E58/F58)</f>
        <v>0.64963503649635</v>
      </c>
      <c r="I58" s="32" t="s">
        <v>192</v>
      </c>
      <c r="J58" s="36" t="n">
        <v>1.72069707213054</v>
      </c>
      <c r="K58" s="36" t="n">
        <f aca="false">$K$8</f>
        <v>1.02521134994605</v>
      </c>
      <c r="L58" s="36" t="n">
        <f aca="false">SQRT(J58^2+K58^2)</f>
        <v>2.00296198818071</v>
      </c>
      <c r="M58" s="47" t="n">
        <f aca="false">IF(G58="","",MAX(0,G58-1.96*L58/100))</f>
        <v>0.311106908535308</v>
      </c>
      <c r="N58" s="47" t="n">
        <f aca="false">IF(G58="","",MIN(1,G58+1.96*L58/100))</f>
        <v>0.389623018471992</v>
      </c>
      <c r="O58" s="66" t="n">
        <f aca="false">ROUND(S58*W58,0)</f>
        <v>150</v>
      </c>
      <c r="P58" s="66" t="n">
        <f aca="false">IF(F58="","",ROUND(SQRT((F58*L58/100)^2+(G58*O58)^2),0))</f>
        <v>76</v>
      </c>
      <c r="R58" s="67" t="n">
        <v>-7.48386082793799</v>
      </c>
      <c r="S58" s="68" t="n">
        <f aca="false">U58*V58*$F$5</f>
        <v>2739.5017118778</v>
      </c>
      <c r="T58" s="69" t="n">
        <f aca="false">MAX(0,MIN(1,R58/100+$D$5))</f>
        <v>0.350327611714992</v>
      </c>
      <c r="U58" s="69" t="n">
        <v>0.708980774295496</v>
      </c>
      <c r="V58" s="68" t="n">
        <v>3864</v>
      </c>
      <c r="W58" s="69" t="n">
        <v>0.0547268472736556</v>
      </c>
      <c r="X58" s="70" t="s">
        <v>198</v>
      </c>
      <c r="Y58" s="70" t="s">
        <v>194</v>
      </c>
    </row>
    <row r="59" customFormat="false" ht="15" hidden="false" customHeight="false" outlineLevel="0" collapsed="false">
      <c r="A59" s="32" t="s">
        <v>219</v>
      </c>
      <c r="B59" s="32" t="s">
        <v>244</v>
      </c>
      <c r="C59" s="32" t="s">
        <v>191</v>
      </c>
      <c r="D59" s="66" t="n">
        <f aca="false">ROUND(S59*T59,0)</f>
        <v>5532</v>
      </c>
      <c r="E59" s="66" t="n">
        <f aca="false">ROUND(S59,0)-D59</f>
        <v>4972</v>
      </c>
      <c r="F59" s="66" t="n">
        <f aca="false">IF(COUNTA(D59:E59)=0,"",SUM(D59:E59))</f>
        <v>10504</v>
      </c>
      <c r="G59" s="47" t="n">
        <f aca="false">IF(OR(F59="",F59=0),"",D59/F59)</f>
        <v>0.526656511805027</v>
      </c>
      <c r="H59" s="47" t="n">
        <f aca="false">IF(OR(F59="",F59=0),"",E59/F59)</f>
        <v>0.473343488194973</v>
      </c>
      <c r="I59" s="32" t="s">
        <v>192</v>
      </c>
      <c r="J59" s="36" t="n">
        <v>1.61293121864256</v>
      </c>
      <c r="K59" s="36" t="n">
        <f aca="false">$K$8</f>
        <v>1.02521134994605</v>
      </c>
      <c r="L59" s="36" t="n">
        <f aca="false">SQRT(J59^2+K59^2)</f>
        <v>1.91117906752088</v>
      </c>
      <c r="M59" s="47" t="n">
        <f aca="false">IF(G59="","",MAX(0,G59-1.96*L59/100))</f>
        <v>0.489197402081618</v>
      </c>
      <c r="N59" s="47" t="n">
        <f aca="false">IF(G59="","",MIN(1,G59+1.96*L59/100))</f>
        <v>0.564115621528436</v>
      </c>
      <c r="O59" s="66" t="n">
        <f aca="false">ROUND(S59*W59,0)</f>
        <v>510</v>
      </c>
      <c r="P59" s="66" t="n">
        <f aca="false">IF(F59="","",ROUND(SQRT((F59*L59/100)^2+(G59*O59)^2),0))</f>
        <v>335</v>
      </c>
      <c r="R59" s="67" t="n">
        <v>10.1435549129122</v>
      </c>
      <c r="S59" s="68" t="n">
        <f aca="false">U59*V59*$F$5</f>
        <v>10504.2978562557</v>
      </c>
      <c r="T59" s="69" t="n">
        <f aca="false">MAX(0,MIN(1,R59/100+$D$5))</f>
        <v>0.526601769123494</v>
      </c>
      <c r="U59" s="69" t="n">
        <v>0.555753550407689</v>
      </c>
      <c r="V59" s="68" t="n">
        <v>18901</v>
      </c>
      <c r="W59" s="69" t="n">
        <v>0.0485820274397165</v>
      </c>
      <c r="X59" s="70" t="s">
        <v>214</v>
      </c>
      <c r="Y59" s="70" t="s">
        <v>194</v>
      </c>
    </row>
    <row r="60" customFormat="false" ht="15" hidden="false" customHeight="false" outlineLevel="0" collapsed="false">
      <c r="A60" s="32" t="s">
        <v>245</v>
      </c>
      <c r="B60" s="32" t="s">
        <v>246</v>
      </c>
      <c r="C60" s="32" t="s">
        <v>191</v>
      </c>
      <c r="D60" s="66" t="n">
        <f aca="false">ROUND(S60*T60,0)</f>
        <v>381</v>
      </c>
      <c r="E60" s="66" t="n">
        <f aca="false">ROUND(S60,0)-D60</f>
        <v>853</v>
      </c>
      <c r="F60" s="66" t="n">
        <f aca="false">IF(COUNTA(D60:E60)=0,"",SUM(D60:E60))</f>
        <v>1234</v>
      </c>
      <c r="G60" s="47" t="n">
        <f aca="false">IF(OR(F60="",F60=0),"",D60/F60)</f>
        <v>0.308752025931929</v>
      </c>
      <c r="H60" s="47" t="n">
        <f aca="false">IF(OR(F60="",F60=0),"",E60/F60)</f>
        <v>0.691247974068071</v>
      </c>
      <c r="I60" s="32" t="s">
        <v>192</v>
      </c>
      <c r="J60" s="36" t="n">
        <v>2.73724997661239</v>
      </c>
      <c r="K60" s="36" t="n">
        <f aca="false">$K$8</f>
        <v>1.02521134994605</v>
      </c>
      <c r="L60" s="36" t="n">
        <f aca="false">SQRT(J60^2+K60^2)</f>
        <v>2.92294299405971</v>
      </c>
      <c r="M60" s="47" t="n">
        <f aca="false">IF(G60="","",MAX(0,G60-1.96*L60/100))</f>
        <v>0.251462343248358</v>
      </c>
      <c r="N60" s="47" t="n">
        <f aca="false">IF(G60="","",MIN(1,G60+1.96*L60/100))</f>
        <v>0.366041708615499</v>
      </c>
      <c r="O60" s="66" t="n">
        <f aca="false">ROUND(S60*W60,0)</f>
        <v>90</v>
      </c>
      <c r="P60" s="66" t="n">
        <f aca="false">IF(F60="","",ROUND(SQRT((F60*L60/100)^2+(G60*O60)^2),0))</f>
        <v>46</v>
      </c>
      <c r="R60" s="67" t="n">
        <v>-11.6592492015479</v>
      </c>
      <c r="S60" s="68" t="n">
        <f aca="false">U60*V60*$F$5</f>
        <v>1234.45226917058</v>
      </c>
      <c r="T60" s="69" t="n">
        <f aca="false">MAX(0,MIN(1,R60/100+$D$5))</f>
        <v>0.308573727978893</v>
      </c>
      <c r="U60" s="69" t="n">
        <v>0.618153364632238</v>
      </c>
      <c r="V60" s="68" t="n">
        <v>1997</v>
      </c>
      <c r="W60" s="69" t="n">
        <v>0.0732058935918866</v>
      </c>
      <c r="X60" s="70" t="s">
        <v>193</v>
      </c>
      <c r="Y60" s="70" t="s">
        <v>194</v>
      </c>
    </row>
    <row r="61" customFormat="false" ht="15" hidden="false" customHeight="false" outlineLevel="0" collapsed="false">
      <c r="A61" s="32" t="s">
        <v>245</v>
      </c>
      <c r="B61" s="32" t="s">
        <v>247</v>
      </c>
      <c r="C61" s="32" t="s">
        <v>191</v>
      </c>
      <c r="D61" s="66" t="n">
        <f aca="false">ROUND(S61*T61,0)</f>
        <v>1102</v>
      </c>
      <c r="E61" s="66" t="n">
        <f aca="false">ROUND(S61,0)-D61</f>
        <v>2048</v>
      </c>
      <c r="F61" s="66" t="n">
        <f aca="false">IF(COUNTA(D61:E61)=0,"",SUM(D61:E61))</f>
        <v>3150</v>
      </c>
      <c r="G61" s="47" t="n">
        <f aca="false">IF(OR(F61="",F61=0),"",D61/F61)</f>
        <v>0.34984126984127</v>
      </c>
      <c r="H61" s="47" t="n">
        <f aca="false">IF(OR(F61="",F61=0),"",E61/F61)</f>
        <v>0.65015873015873</v>
      </c>
      <c r="I61" s="32" t="s">
        <v>192</v>
      </c>
      <c r="J61" s="36" t="n">
        <v>1.61293121864256</v>
      </c>
      <c r="K61" s="36" t="n">
        <f aca="false">$K$8</f>
        <v>1.02521134994605</v>
      </c>
      <c r="L61" s="36" t="n">
        <f aca="false">SQRT(J61^2+K61^2)</f>
        <v>1.91117906752088</v>
      </c>
      <c r="M61" s="47" t="n">
        <f aca="false">IF(G61="","",MAX(0,G61-1.96*L61/100))</f>
        <v>0.312382160117861</v>
      </c>
      <c r="N61" s="47" t="n">
        <f aca="false">IF(G61="","",MIN(1,G61+1.96*L61/100))</f>
        <v>0.387300379564679</v>
      </c>
      <c r="O61" s="66" t="n">
        <f aca="false">ROUND(S61*W61,0)</f>
        <v>153</v>
      </c>
      <c r="P61" s="66" t="n">
        <f aca="false">IF(F61="","",ROUND(SQRT((F61*L61/100)^2+(G61*O61)^2),0))</f>
        <v>81</v>
      </c>
      <c r="R61" s="67" t="n">
        <v>-7.54496855284258</v>
      </c>
      <c r="S61" s="68" t="n">
        <f aca="false">U61*V61*$F$5</f>
        <v>3150.44851429639</v>
      </c>
      <c r="T61" s="69" t="n">
        <f aca="false">MAX(0,MIN(1,R61/100+$D$5))</f>
        <v>0.349716534465946</v>
      </c>
      <c r="U61" s="69" t="n">
        <v>0.56157727527565</v>
      </c>
      <c r="V61" s="68" t="n">
        <v>5610</v>
      </c>
      <c r="W61" s="69" t="n">
        <v>0.0485820274397165</v>
      </c>
      <c r="X61" s="70" t="s">
        <v>214</v>
      </c>
      <c r="Y61" s="70" t="s">
        <v>194</v>
      </c>
    </row>
    <row r="62" customFormat="false" ht="15" hidden="false" customHeight="false" outlineLevel="0" collapsed="false">
      <c r="A62" s="32" t="s">
        <v>245</v>
      </c>
      <c r="B62" s="32" t="s">
        <v>248</v>
      </c>
      <c r="C62" s="32" t="s">
        <v>191</v>
      </c>
      <c r="D62" s="66" t="n">
        <f aca="false">ROUND(S62*T62,0)</f>
        <v>408</v>
      </c>
      <c r="E62" s="66" t="n">
        <f aca="false">ROUND(S62,0)-D62</f>
        <v>763</v>
      </c>
      <c r="F62" s="66" t="n">
        <f aca="false">IF(COUNTA(D62:E62)=0,"",SUM(D62:E62))</f>
        <v>1171</v>
      </c>
      <c r="G62" s="47" t="n">
        <f aca="false">IF(OR(F62="",F62=0),"",D62/F62)</f>
        <v>0.348420153714774</v>
      </c>
      <c r="H62" s="47" t="n">
        <f aca="false">IF(OR(F62="",F62=0),"",E62/F62)</f>
        <v>0.651579846285226</v>
      </c>
      <c r="I62" s="32" t="s">
        <v>192</v>
      </c>
      <c r="J62" s="36" t="n">
        <v>2.73724997661239</v>
      </c>
      <c r="K62" s="36" t="n">
        <f aca="false">$K$8</f>
        <v>1.02521134994605</v>
      </c>
      <c r="L62" s="36" t="n">
        <f aca="false">SQRT(J62^2+K62^2)</f>
        <v>2.92294299405971</v>
      </c>
      <c r="M62" s="47" t="n">
        <f aca="false">IF(G62="","",MAX(0,G62-1.96*L62/100))</f>
        <v>0.291130471031203</v>
      </c>
      <c r="N62" s="47" t="n">
        <f aca="false">IF(G62="","",MIN(1,G62+1.96*L62/100))</f>
        <v>0.405709836398344</v>
      </c>
      <c r="O62" s="66" t="n">
        <f aca="false">ROUND(S62*W62,0)</f>
        <v>86</v>
      </c>
      <c r="P62" s="66" t="n">
        <f aca="false">IF(F62="","",ROUND(SQRT((F62*L62/100)^2+(G62*O62)^2),0))</f>
        <v>45</v>
      </c>
      <c r="R62" s="67" t="n">
        <v>-7.63268679625271</v>
      </c>
      <c r="S62" s="68" t="n">
        <f aca="false">U62*V62*$F$5</f>
        <v>1170.82273494654</v>
      </c>
      <c r="T62" s="69" t="n">
        <f aca="false">MAX(0,MIN(1,R62/100+$D$5))</f>
        <v>0.348839352031845</v>
      </c>
      <c r="U62" s="69" t="n">
        <v>0.625773776027012</v>
      </c>
      <c r="V62" s="68" t="n">
        <v>1871</v>
      </c>
      <c r="W62" s="69" t="n">
        <v>0.0732058935918866</v>
      </c>
      <c r="X62" s="70" t="s">
        <v>193</v>
      </c>
      <c r="Y62" s="70" t="s">
        <v>194</v>
      </c>
    </row>
    <row r="63" customFormat="false" ht="15" hidden="false" customHeight="false" outlineLevel="0" collapsed="false">
      <c r="A63" s="32" t="s">
        <v>249</v>
      </c>
      <c r="B63" s="32" t="s">
        <v>250</v>
      </c>
      <c r="C63" s="32" t="s">
        <v>191</v>
      </c>
      <c r="D63" s="66" t="n">
        <f aca="false">ROUND(S63*T63,0)</f>
        <v>1169</v>
      </c>
      <c r="E63" s="66" t="n">
        <f aca="false">ROUND(S63,0)-D63</f>
        <v>1538</v>
      </c>
      <c r="F63" s="66" t="n">
        <f aca="false">IF(COUNTA(D63:E63)=0,"",SUM(D63:E63))</f>
        <v>2707</v>
      </c>
      <c r="G63" s="47" t="n">
        <f aca="false">IF(OR(F63="",F63=0),"",D63/F63)</f>
        <v>0.431843369043221</v>
      </c>
      <c r="H63" s="47" t="n">
        <f aca="false">IF(OR(F63="",F63=0),"",E63/F63)</f>
        <v>0.568156630956779</v>
      </c>
      <c r="I63" s="32" t="s">
        <v>192</v>
      </c>
      <c r="J63" s="36" t="n">
        <v>1.72069707213054</v>
      </c>
      <c r="K63" s="36" t="n">
        <f aca="false">$K$8</f>
        <v>1.02521134994605</v>
      </c>
      <c r="L63" s="36" t="n">
        <f aca="false">SQRT(J63^2+K63^2)</f>
        <v>2.00296198818071</v>
      </c>
      <c r="M63" s="47" t="n">
        <f aca="false">IF(G63="","",MAX(0,G63-1.96*L63/100))</f>
        <v>0.392585314074879</v>
      </c>
      <c r="N63" s="47" t="n">
        <f aca="false">IF(G63="","",MIN(1,G63+1.96*L63/100))</f>
        <v>0.471101424011563</v>
      </c>
      <c r="O63" s="66" t="n">
        <f aca="false">ROUND(S63*W63,0)</f>
        <v>148</v>
      </c>
      <c r="P63" s="66" t="n">
        <f aca="false">IF(F63="","",ROUND(SQRT((F63*L63/100)^2+(G63*O63)^2),0))</f>
        <v>84</v>
      </c>
      <c r="R63" s="67" t="n">
        <v>0.66849161914336</v>
      </c>
      <c r="S63" s="68" t="n">
        <f aca="false">U63*V63*$F$5</f>
        <v>2707.41725054361</v>
      </c>
      <c r="T63" s="69" t="n">
        <f aca="false">MAX(0,MIN(1,R63/100+$D$5))</f>
        <v>0.431851136185805</v>
      </c>
      <c r="U63" s="69" t="n">
        <v>0.628171055810582</v>
      </c>
      <c r="V63" s="68" t="n">
        <v>4310</v>
      </c>
      <c r="W63" s="69" t="n">
        <v>0.0547268472736556</v>
      </c>
      <c r="X63" s="70" t="s">
        <v>198</v>
      </c>
      <c r="Y63" s="70" t="s">
        <v>194</v>
      </c>
    </row>
    <row r="64" customFormat="false" ht="15" hidden="false" customHeight="false" outlineLevel="0" collapsed="false">
      <c r="A64" s="32" t="s">
        <v>249</v>
      </c>
      <c r="B64" s="32" t="s">
        <v>251</v>
      </c>
      <c r="C64" s="32" t="s">
        <v>191</v>
      </c>
      <c r="D64" s="66" t="n">
        <f aca="false">ROUND(S64*T64,0)</f>
        <v>711</v>
      </c>
      <c r="E64" s="66" t="n">
        <f aca="false">ROUND(S64,0)-D64</f>
        <v>977</v>
      </c>
      <c r="F64" s="66" t="n">
        <f aca="false">IF(COUNTA(D64:E64)=0,"",SUM(D64:E64))</f>
        <v>1688</v>
      </c>
      <c r="G64" s="47" t="n">
        <f aca="false">IF(OR(F64="",F64=0),"",D64/F64)</f>
        <v>0.421208530805687</v>
      </c>
      <c r="H64" s="47" t="n">
        <f aca="false">IF(OR(F64="",F64=0),"",E64/F64)</f>
        <v>0.578791469194313</v>
      </c>
      <c r="I64" s="32" t="s">
        <v>192</v>
      </c>
      <c r="J64" s="36" t="n">
        <v>1.72069707213054</v>
      </c>
      <c r="K64" s="36" t="n">
        <f aca="false">$K$8</f>
        <v>1.02521134994605</v>
      </c>
      <c r="L64" s="36" t="n">
        <f aca="false">SQRT(J64^2+K64^2)</f>
        <v>2.00296198818071</v>
      </c>
      <c r="M64" s="47" t="n">
        <f aca="false">IF(G64="","",MAX(0,G64-1.96*L64/100))</f>
        <v>0.381950475837345</v>
      </c>
      <c r="N64" s="47" t="n">
        <f aca="false">IF(G64="","",MIN(1,G64+1.96*L64/100))</f>
        <v>0.460466585774029</v>
      </c>
      <c r="O64" s="66" t="n">
        <f aca="false">ROUND(S64*W64,0)</f>
        <v>92</v>
      </c>
      <c r="P64" s="66" t="n">
        <f aca="false">IF(F64="","",ROUND(SQRT((F64*L64/100)^2+(G64*O64)^2),0))</f>
        <v>51</v>
      </c>
      <c r="R64" s="67" t="n">
        <v>-0.38565845917442</v>
      </c>
      <c r="S64" s="68" t="n">
        <f aca="false">U64*V64*$F$5</f>
        <v>1687.9765578635</v>
      </c>
      <c r="T64" s="69" t="n">
        <f aca="false">MAX(0,MIN(1,R64/100+$D$5))</f>
        <v>0.421309635402627</v>
      </c>
      <c r="U64" s="69" t="n">
        <v>0.491691394658754</v>
      </c>
      <c r="V64" s="68" t="n">
        <v>3433</v>
      </c>
      <c r="W64" s="69" t="n">
        <v>0.0547268472736556</v>
      </c>
      <c r="X64" s="70" t="s">
        <v>198</v>
      </c>
      <c r="Y64" s="70" t="s">
        <v>194</v>
      </c>
    </row>
    <row r="65" customFormat="false" ht="15" hidden="false" customHeight="false" outlineLevel="0" collapsed="false">
      <c r="A65" s="32" t="s">
        <v>249</v>
      </c>
      <c r="B65" s="32" t="s">
        <v>252</v>
      </c>
      <c r="C65" s="32" t="s">
        <v>191</v>
      </c>
      <c r="D65" s="66" t="n">
        <f aca="false">ROUND(S65*T65,0)</f>
        <v>468</v>
      </c>
      <c r="E65" s="66" t="n">
        <f aca="false">ROUND(S65,0)-D65</f>
        <v>548</v>
      </c>
      <c r="F65" s="66" t="n">
        <f aca="false">IF(COUNTA(D65:E65)=0,"",SUM(D65:E65))</f>
        <v>1016</v>
      </c>
      <c r="G65" s="47" t="n">
        <f aca="false">IF(OR(F65="",F65=0),"",D65/F65)</f>
        <v>0.460629921259843</v>
      </c>
      <c r="H65" s="47" t="n">
        <f aca="false">IF(OR(F65="",F65=0),"",E65/F65)</f>
        <v>0.539370078740158</v>
      </c>
      <c r="I65" s="32" t="s">
        <v>192</v>
      </c>
      <c r="J65" s="36" t="n">
        <v>2.73724997661239</v>
      </c>
      <c r="K65" s="36" t="n">
        <f aca="false">$K$8</f>
        <v>1.02521134994605</v>
      </c>
      <c r="L65" s="36" t="n">
        <f aca="false">SQRT(J65^2+K65^2)</f>
        <v>2.92294299405971</v>
      </c>
      <c r="M65" s="47" t="n">
        <f aca="false">IF(G65="","",MAX(0,G65-1.96*L65/100))</f>
        <v>0.403340238576272</v>
      </c>
      <c r="N65" s="47" t="n">
        <f aca="false">IF(G65="","",MIN(1,G65+1.96*L65/100))</f>
        <v>0.517919603943413</v>
      </c>
      <c r="O65" s="66" t="n">
        <f aca="false">ROUND(S65*W65,0)</f>
        <v>74</v>
      </c>
      <c r="P65" s="66" t="n">
        <f aca="false">IF(F65="","",ROUND(SQRT((F65*L65/100)^2+(G65*O65)^2),0))</f>
        <v>45</v>
      </c>
      <c r="R65" s="67" t="n">
        <v>3.52732019671499</v>
      </c>
      <c r="S65" s="68" t="n">
        <f aca="false">U65*V65*$F$5</f>
        <v>1015.97556912826</v>
      </c>
      <c r="T65" s="69" t="n">
        <f aca="false">MAX(0,MIN(1,R65/100+$D$5))</f>
        <v>0.460439421961521</v>
      </c>
      <c r="U65" s="69" t="n">
        <v>0.529705719044975</v>
      </c>
      <c r="V65" s="68" t="n">
        <v>1918</v>
      </c>
      <c r="W65" s="69" t="n">
        <v>0.0732058935918866</v>
      </c>
      <c r="X65" s="70" t="s">
        <v>193</v>
      </c>
      <c r="Y65" s="70" t="s">
        <v>194</v>
      </c>
    </row>
    <row r="66" customFormat="false" ht="15" hidden="false" customHeight="false" outlineLevel="0" collapsed="false">
      <c r="A66" s="32" t="s">
        <v>249</v>
      </c>
      <c r="B66" s="32" t="s">
        <v>222</v>
      </c>
      <c r="C66" s="32" t="s">
        <v>191</v>
      </c>
      <c r="D66" s="66" t="n">
        <f aca="false">ROUND(S66*T66,0)</f>
        <v>12663</v>
      </c>
      <c r="E66" s="66" t="n">
        <f aca="false">ROUND(S66,0)-D66</f>
        <v>6309</v>
      </c>
      <c r="F66" s="66" t="n">
        <f aca="false">IF(COUNTA(D66:E66)=0,"",SUM(D66:E66))</f>
        <v>18972</v>
      </c>
      <c r="G66" s="47" t="n">
        <f aca="false">IF(OR(F66="",F66=0),"",D66/F66)</f>
        <v>0.667457305502846</v>
      </c>
      <c r="H66" s="47" t="n">
        <f aca="false">IF(OR(F66="",F66=0),"",E66/F66)</f>
        <v>0.332542694497154</v>
      </c>
      <c r="I66" s="32" t="s">
        <v>192</v>
      </c>
      <c r="J66" s="36" t="n">
        <v>1.61293121864256</v>
      </c>
      <c r="K66" s="36" t="n">
        <f aca="false">$K$8</f>
        <v>1.02521134994605</v>
      </c>
      <c r="L66" s="36" t="n">
        <f aca="false">SQRT(J66^2+K66^2)</f>
        <v>1.91117906752088</v>
      </c>
      <c r="M66" s="47" t="n">
        <f aca="false">IF(G66="","",MAX(0,G66-1.96*L66/100))</f>
        <v>0.629998195779437</v>
      </c>
      <c r="N66" s="47" t="n">
        <f aca="false">IF(G66="","",MIN(1,G66+1.96*L66/100))</f>
        <v>0.704916415226256</v>
      </c>
      <c r="O66" s="66" t="n">
        <f aca="false">ROUND(S66*W66,0)</f>
        <v>922</v>
      </c>
      <c r="P66" s="66" t="n">
        <f aca="false">IF(F66="","",ROUND(SQRT((F66*L66/100)^2+(G66*O66)^2),0))</f>
        <v>714</v>
      </c>
      <c r="R66" s="67" t="n">
        <v>24.2255587784955</v>
      </c>
      <c r="S66" s="68" t="n">
        <f aca="false">U66*V66*$F$5</f>
        <v>18972.4050126369</v>
      </c>
      <c r="T66" s="69" t="n">
        <f aca="false">MAX(0,MIN(1,R66/100+$D$5))</f>
        <v>0.667421807779326</v>
      </c>
      <c r="U66" s="69" t="n">
        <v>0.476358466722831</v>
      </c>
      <c r="V66" s="68" t="n">
        <v>39828</v>
      </c>
      <c r="W66" s="69" t="n">
        <v>0.0485820274397165</v>
      </c>
      <c r="X66" s="70" t="s">
        <v>214</v>
      </c>
      <c r="Y66" s="70" t="s">
        <v>194</v>
      </c>
    </row>
    <row r="67" customFormat="false" ht="15" hidden="false" customHeight="false" outlineLevel="0" collapsed="false">
      <c r="A67" s="32" t="s">
        <v>249</v>
      </c>
      <c r="B67" s="32" t="s">
        <v>253</v>
      </c>
      <c r="C67" s="32" t="s">
        <v>191</v>
      </c>
      <c r="D67" s="66" t="n">
        <f aca="false">ROUND(S67*T67,0)</f>
        <v>6804</v>
      </c>
      <c r="E67" s="66" t="n">
        <f aca="false">ROUND(S67,0)-D67</f>
        <v>5945</v>
      </c>
      <c r="F67" s="66" t="n">
        <f aca="false">IF(COUNTA(D67:E67)=0,"",SUM(D67:E67))</f>
        <v>12749</v>
      </c>
      <c r="G67" s="47" t="n">
        <f aca="false">IF(OR(F67="",F67=0),"",D67/F67)</f>
        <v>0.533688916777787</v>
      </c>
      <c r="H67" s="47" t="n">
        <f aca="false">IF(OR(F67="",F67=0),"",E67/F67)</f>
        <v>0.466311083222214</v>
      </c>
      <c r="I67" s="32" t="s">
        <v>192</v>
      </c>
      <c r="J67" s="36" t="n">
        <v>1.61293121864256</v>
      </c>
      <c r="K67" s="36" t="n">
        <f aca="false">$K$8</f>
        <v>1.02521134994605</v>
      </c>
      <c r="L67" s="36" t="n">
        <f aca="false">SQRT(J67^2+K67^2)</f>
        <v>1.91117906752088</v>
      </c>
      <c r="M67" s="47" t="n">
        <f aca="false">IF(G67="","",MAX(0,G67-1.96*L67/100))</f>
        <v>0.496229807054377</v>
      </c>
      <c r="N67" s="47" t="n">
        <f aca="false">IF(G67="","",MIN(1,G67+1.96*L67/100))</f>
        <v>0.571148026501196</v>
      </c>
      <c r="O67" s="66" t="n">
        <f aca="false">ROUND(S67*W67,0)</f>
        <v>619</v>
      </c>
      <c r="P67" s="66" t="n">
        <f aca="false">IF(F67="","",ROUND(SQRT((F67*L67/100)^2+(G67*O67)^2),0))</f>
        <v>410</v>
      </c>
      <c r="R67" s="67" t="n">
        <v>10.8556968844208</v>
      </c>
      <c r="S67" s="68" t="n">
        <f aca="false">U67*V67*$F$5</f>
        <v>12748.560475162</v>
      </c>
      <c r="T67" s="69" t="n">
        <f aca="false">MAX(0,MIN(1,R67/100+$D$5))</f>
        <v>0.533723188838579</v>
      </c>
      <c r="U67" s="69" t="n">
        <v>0.629589632829374</v>
      </c>
      <c r="V67" s="68" t="n">
        <v>20249</v>
      </c>
      <c r="W67" s="69" t="n">
        <v>0.0485820274397165</v>
      </c>
      <c r="X67" s="70" t="s">
        <v>214</v>
      </c>
      <c r="Y67" s="70" t="s">
        <v>194</v>
      </c>
    </row>
    <row r="68" customFormat="false" ht="15" hidden="false" customHeight="false" outlineLevel="0" collapsed="false">
      <c r="A68" s="32" t="s">
        <v>249</v>
      </c>
      <c r="B68" s="32" t="s">
        <v>254</v>
      </c>
      <c r="C68" s="32" t="s">
        <v>191</v>
      </c>
      <c r="D68" s="66" t="n">
        <f aca="false">ROUND(S68*T68,0)</f>
        <v>1706</v>
      </c>
      <c r="E68" s="66" t="n">
        <f aca="false">ROUND(S68,0)-D68</f>
        <v>2717</v>
      </c>
      <c r="F68" s="66" t="n">
        <f aca="false">IF(COUNTA(D68:E68)=0,"",SUM(D68:E68))</f>
        <v>4423</v>
      </c>
      <c r="G68" s="47" t="n">
        <f aca="false">IF(OR(F68="",F68=0),"",D68/F68)</f>
        <v>0.38571105584445</v>
      </c>
      <c r="H68" s="47" t="n">
        <f aca="false">IF(OR(F68="",F68=0),"",E68/F68)</f>
        <v>0.614288944155551</v>
      </c>
      <c r="I68" s="32" t="s">
        <v>192</v>
      </c>
      <c r="J68" s="36" t="n">
        <v>1.61293121864256</v>
      </c>
      <c r="K68" s="36" t="n">
        <f aca="false">$K$8</f>
        <v>1.02521134994605</v>
      </c>
      <c r="L68" s="36" t="n">
        <f aca="false">SQRT(J68^2+K68^2)</f>
        <v>1.91117906752088</v>
      </c>
      <c r="M68" s="47" t="n">
        <f aca="false">IF(G68="","",MAX(0,G68-1.96*L68/100))</f>
        <v>0.34825194612104</v>
      </c>
      <c r="N68" s="47" t="n">
        <f aca="false">IF(G68="","",MIN(1,G68+1.96*L68/100))</f>
        <v>0.423170165567859</v>
      </c>
      <c r="O68" s="66" t="n">
        <f aca="false">ROUND(S68*W68,0)</f>
        <v>215</v>
      </c>
      <c r="P68" s="66" t="n">
        <f aca="false">IF(F68="","",ROUND(SQRT((F68*L68/100)^2+(G68*O68)^2),0))</f>
        <v>118</v>
      </c>
      <c r="R68" s="67" t="n">
        <v>-3.95254558658363</v>
      </c>
      <c r="S68" s="68" t="n">
        <f aca="false">U68*V68*$F$5</f>
        <v>4422.68236877524</v>
      </c>
      <c r="T68" s="69" t="n">
        <f aca="false">MAX(0,MIN(1,R68/100+$D$5))</f>
        <v>0.385640764128535</v>
      </c>
      <c r="U68" s="69" t="n">
        <v>0.657843577089876</v>
      </c>
      <c r="V68" s="68" t="n">
        <v>6723</v>
      </c>
      <c r="W68" s="69" t="n">
        <v>0.0485820274397165</v>
      </c>
      <c r="X68" s="70" t="s">
        <v>214</v>
      </c>
      <c r="Y68" s="70" t="s">
        <v>194</v>
      </c>
    </row>
    <row r="69" customFormat="false" ht="15" hidden="false" customHeight="false" outlineLevel="0" collapsed="false">
      <c r="A69" s="32" t="s">
        <v>249</v>
      </c>
      <c r="B69" s="32" t="s">
        <v>255</v>
      </c>
      <c r="C69" s="32" t="s">
        <v>191</v>
      </c>
      <c r="D69" s="66" t="n">
        <f aca="false">ROUND(S69*T69,0)</f>
        <v>34</v>
      </c>
      <c r="E69" s="66" t="n">
        <f aca="false">ROUND(S69,0)-D69</f>
        <v>63</v>
      </c>
      <c r="F69" s="66" t="n">
        <f aca="false">IF(COUNTA(D69:E69)=0,"",SUM(D69:E69))</f>
        <v>97</v>
      </c>
      <c r="G69" s="47" t="n">
        <f aca="false">IF(OR(F69="",F69=0),"",D69/F69)</f>
        <v>0.350515463917526</v>
      </c>
      <c r="H69" s="47" t="n">
        <f aca="false">IF(OR(F69="",F69=0),"",E69/F69)</f>
        <v>0.649484536082474</v>
      </c>
      <c r="I69" s="32" t="s">
        <v>192</v>
      </c>
      <c r="J69" s="36" t="n">
        <v>2.73724997661239</v>
      </c>
      <c r="K69" s="36" t="n">
        <f aca="false">$K$8</f>
        <v>1.02521134994605</v>
      </c>
      <c r="L69" s="36" t="n">
        <f aca="false">SQRT(J69^2+K69^2)</f>
        <v>2.92294299405971</v>
      </c>
      <c r="M69" s="47" t="n">
        <f aca="false">IF(G69="","",MAX(0,G69-1.96*L69/100))</f>
        <v>0.293225781233956</v>
      </c>
      <c r="N69" s="47" t="n">
        <f aca="false">IF(G69="","",MIN(1,G69+1.96*L69/100))</f>
        <v>0.407805146601096</v>
      </c>
      <c r="O69" s="66" t="n">
        <f aca="false">ROUND(S69*W69,0)</f>
        <v>7</v>
      </c>
      <c r="P69" s="66" t="n">
        <f aca="false">IF(F69="","",ROUND(SQRT((F69*L69/100)^2+(G69*O69)^2),0))</f>
        <v>4</v>
      </c>
      <c r="R69" s="67" t="n">
        <v>-7.14950499587813</v>
      </c>
      <c r="S69" s="68" t="n">
        <f aca="false">U69*V69*$F$5</f>
        <v>97.2992700729927</v>
      </c>
      <c r="T69" s="69" t="n">
        <f aca="false">MAX(0,MIN(1,R69/100+$D$5))</f>
        <v>0.35367117003559</v>
      </c>
      <c r="U69" s="69" t="n">
        <v>0.627737226277372</v>
      </c>
      <c r="V69" s="68" t="n">
        <v>155</v>
      </c>
      <c r="W69" s="69" t="n">
        <v>0.0732058935918866</v>
      </c>
      <c r="X69" s="70" t="s">
        <v>193</v>
      </c>
      <c r="Y69" s="70" t="s">
        <v>194</v>
      </c>
    </row>
    <row r="70" customFormat="false" ht="15" hidden="false" customHeight="false" outlineLevel="0" collapsed="false">
      <c r="A70" s="32" t="s">
        <v>249</v>
      </c>
      <c r="B70" s="32" t="s">
        <v>256</v>
      </c>
      <c r="C70" s="32" t="s">
        <v>191</v>
      </c>
      <c r="D70" s="66" t="n">
        <f aca="false">ROUND(S70*T70,0)</f>
        <v>1115</v>
      </c>
      <c r="E70" s="66" t="n">
        <f aca="false">ROUND(S70,0)-D70</f>
        <v>1526</v>
      </c>
      <c r="F70" s="66" t="n">
        <f aca="false">IF(COUNTA(D70:E70)=0,"",SUM(D70:E70))</f>
        <v>2641</v>
      </c>
      <c r="G70" s="47" t="n">
        <f aca="false">IF(OR(F70="",F70=0),"",D70/F70)</f>
        <v>0.422188564937524</v>
      </c>
      <c r="H70" s="47" t="n">
        <f aca="false">IF(OR(F70="",F70=0),"",E70/F70)</f>
        <v>0.577811435062476</v>
      </c>
      <c r="I70" s="32" t="s">
        <v>192</v>
      </c>
      <c r="J70" s="36" t="n">
        <v>1.72069707213054</v>
      </c>
      <c r="K70" s="36" t="n">
        <f aca="false">$K$8</f>
        <v>1.02521134994605</v>
      </c>
      <c r="L70" s="36" t="n">
        <f aca="false">SQRT(J70^2+K70^2)</f>
        <v>2.00296198818071</v>
      </c>
      <c r="M70" s="47" t="n">
        <f aca="false">IF(G70="","",MAX(0,G70-1.96*L70/100))</f>
        <v>0.382930509969182</v>
      </c>
      <c r="N70" s="47" t="n">
        <f aca="false">IF(G70="","",MIN(1,G70+1.96*L70/100))</f>
        <v>0.461446619905866</v>
      </c>
      <c r="O70" s="66" t="n">
        <f aca="false">ROUND(S70*W70,0)</f>
        <v>145</v>
      </c>
      <c r="P70" s="66" t="n">
        <f aca="false">IF(F70="","",ROUND(SQRT((F70*L70/100)^2+(G70*O70)^2),0))</f>
        <v>81</v>
      </c>
      <c r="R70" s="67" t="n">
        <v>-0.308309928000181</v>
      </c>
      <c r="S70" s="68" t="n">
        <f aca="false">U70*V70*$F$5</f>
        <v>2640.91189093663</v>
      </c>
      <c r="T70" s="69" t="n">
        <f aca="false">MAX(0,MIN(1,R70/100+$D$5))</f>
        <v>0.42208312071437</v>
      </c>
      <c r="U70" s="69" t="n">
        <v>0.635445594546832</v>
      </c>
      <c r="V70" s="68" t="n">
        <v>4156</v>
      </c>
      <c r="W70" s="69" t="n">
        <v>0.0547268472736556</v>
      </c>
      <c r="X70" s="70" t="s">
        <v>198</v>
      </c>
      <c r="Y70" s="70" t="s">
        <v>194</v>
      </c>
    </row>
    <row r="71" customFormat="false" ht="15" hidden="false" customHeight="false" outlineLevel="0" collapsed="false">
      <c r="A71" s="32" t="s">
        <v>249</v>
      </c>
      <c r="B71" s="32" t="s">
        <v>257</v>
      </c>
      <c r="C71" s="32" t="s">
        <v>191</v>
      </c>
      <c r="D71" s="66" t="n">
        <f aca="false">ROUND(S71*T71,0)</f>
        <v>142</v>
      </c>
      <c r="E71" s="66" t="n">
        <f aca="false">ROUND(S71,0)-D71</f>
        <v>218</v>
      </c>
      <c r="F71" s="66" t="n">
        <f aca="false">IF(COUNTA(D71:E71)=0,"",SUM(D71:E71))</f>
        <v>360</v>
      </c>
      <c r="G71" s="47" t="n">
        <f aca="false">IF(OR(F71="",F71=0),"",D71/F71)</f>
        <v>0.394444444444444</v>
      </c>
      <c r="H71" s="47" t="n">
        <f aca="false">IF(OR(F71="",F71=0),"",E71/F71)</f>
        <v>0.605555555555556</v>
      </c>
      <c r="I71" s="32" t="s">
        <v>192</v>
      </c>
      <c r="J71" s="36" t="n">
        <v>2.73724997661239</v>
      </c>
      <c r="K71" s="36" t="n">
        <f aca="false">$K$8</f>
        <v>1.02521134994605</v>
      </c>
      <c r="L71" s="36" t="n">
        <f aca="false">SQRT(J71^2+K71^2)</f>
        <v>2.92294299405971</v>
      </c>
      <c r="M71" s="47" t="n">
        <f aca="false">IF(G71="","",MAX(0,G71-1.96*L71/100))</f>
        <v>0.337154761760874</v>
      </c>
      <c r="N71" s="47" t="n">
        <f aca="false">IF(G71="","",MIN(1,G71+1.96*L71/100))</f>
        <v>0.451734127128015</v>
      </c>
      <c r="O71" s="66" t="n">
        <f aca="false">ROUND(S71*W71,0)</f>
        <v>26</v>
      </c>
      <c r="P71" s="66" t="n">
        <f aca="false">IF(F71="","",ROUND(SQRT((F71*L71/100)^2+(G71*O71)^2),0))</f>
        <v>15</v>
      </c>
      <c r="R71" s="67" t="n">
        <v>-3.00938059302671</v>
      </c>
      <c r="S71" s="68" t="n">
        <f aca="false">U71*V71*$F$5</f>
        <v>360.236842105263</v>
      </c>
      <c r="T71" s="69" t="n">
        <f aca="false">MAX(0,MIN(1,R71/100+$D$5))</f>
        <v>0.395072414064105</v>
      </c>
      <c r="U71" s="69" t="n">
        <v>0.513157894736842</v>
      </c>
      <c r="V71" s="68" t="n">
        <v>702</v>
      </c>
      <c r="W71" s="69" t="n">
        <v>0.0732058935918866</v>
      </c>
      <c r="X71" s="70" t="s">
        <v>193</v>
      </c>
      <c r="Y71" s="70" t="s">
        <v>194</v>
      </c>
    </row>
    <row r="72" customFormat="false" ht="15" hidden="false" customHeight="false" outlineLevel="0" collapsed="false">
      <c r="A72" s="32" t="s">
        <v>249</v>
      </c>
      <c r="B72" s="32" t="s">
        <v>258</v>
      </c>
      <c r="C72" s="32" t="s">
        <v>191</v>
      </c>
      <c r="D72" s="66" t="n">
        <f aca="false">ROUND(S72*T72,0)</f>
        <v>5119</v>
      </c>
      <c r="E72" s="66" t="n">
        <f aca="false">ROUND(S72,0)-D72</f>
        <v>2178</v>
      </c>
      <c r="F72" s="66" t="n">
        <f aca="false">IF(COUNTA(D72:E72)=0,"",SUM(D72:E72))</f>
        <v>7297</v>
      </c>
      <c r="G72" s="47" t="n">
        <f aca="false">IF(OR(F72="",F72=0),"",D72/F72)</f>
        <v>0.701521173084829</v>
      </c>
      <c r="H72" s="47" t="n">
        <f aca="false">IF(OR(F72="",F72=0),"",E72/F72)</f>
        <v>0.298478826915171</v>
      </c>
      <c r="I72" s="32" t="s">
        <v>192</v>
      </c>
      <c r="J72" s="36" t="n">
        <v>1.61293121864256</v>
      </c>
      <c r="K72" s="36" t="n">
        <f aca="false">$K$8</f>
        <v>1.02521134994605</v>
      </c>
      <c r="L72" s="36" t="n">
        <f aca="false">SQRT(J72^2+K72^2)</f>
        <v>1.91117906752088</v>
      </c>
      <c r="M72" s="47" t="n">
        <f aca="false">IF(G72="","",MAX(0,G72-1.96*L72/100))</f>
        <v>0.66406206336142</v>
      </c>
      <c r="N72" s="47" t="n">
        <f aca="false">IF(G72="","",MIN(1,G72+1.96*L72/100))</f>
        <v>0.738980282808239</v>
      </c>
      <c r="O72" s="66" t="n">
        <f aca="false">ROUND(S72*W72,0)</f>
        <v>355</v>
      </c>
      <c r="P72" s="66" t="n">
        <f aca="false">IF(F72="","",ROUND(SQRT((F72*L72/100)^2+(G72*O72)^2),0))</f>
        <v>285</v>
      </c>
      <c r="R72" s="67" t="n">
        <v>27.6308136616826</v>
      </c>
      <c r="S72" s="68" t="n">
        <f aca="false">U72*V72*$F$5</f>
        <v>7297.15979682392</v>
      </c>
      <c r="T72" s="69" t="n">
        <f aca="false">MAX(0,MIN(1,R72/100+$D$5))</f>
        <v>0.701474356611198</v>
      </c>
      <c r="U72" s="69" t="n">
        <v>0.414117234936945</v>
      </c>
      <c r="V72" s="68" t="n">
        <v>17621</v>
      </c>
      <c r="W72" s="69" t="n">
        <v>0.0485820274397165</v>
      </c>
      <c r="X72" s="70" t="s">
        <v>214</v>
      </c>
      <c r="Y72" s="70" t="s">
        <v>194</v>
      </c>
    </row>
    <row r="73" customFormat="false" ht="15" hidden="false" customHeight="false" outlineLevel="0" collapsed="false">
      <c r="A73" s="32" t="s">
        <v>249</v>
      </c>
      <c r="B73" s="32" t="s">
        <v>259</v>
      </c>
      <c r="C73" s="32" t="s">
        <v>191</v>
      </c>
      <c r="D73" s="66" t="n">
        <f aca="false">ROUND(S73*T73,0)</f>
        <v>4234</v>
      </c>
      <c r="E73" s="66" t="n">
        <f aca="false">ROUND(S73,0)-D73</f>
        <v>3941</v>
      </c>
      <c r="F73" s="66" t="n">
        <f aca="false">IF(COUNTA(D73:E73)=0,"",SUM(D73:E73))</f>
        <v>8175</v>
      </c>
      <c r="G73" s="47" t="n">
        <f aca="false">IF(OR(F73="",F73=0),"",D73/F73)</f>
        <v>0.517920489296636</v>
      </c>
      <c r="H73" s="47" t="n">
        <f aca="false">IF(OR(F73="",F73=0),"",E73/F73)</f>
        <v>0.482079510703364</v>
      </c>
      <c r="I73" s="32" t="s">
        <v>192</v>
      </c>
      <c r="J73" s="36" t="n">
        <v>1.61293121864256</v>
      </c>
      <c r="K73" s="36" t="n">
        <f aca="false">$K$8</f>
        <v>1.02521134994605</v>
      </c>
      <c r="L73" s="36" t="n">
        <f aca="false">SQRT(J73^2+K73^2)</f>
        <v>1.91117906752088</v>
      </c>
      <c r="M73" s="47" t="n">
        <f aca="false">IF(G73="","",MAX(0,G73-1.96*L73/100))</f>
        <v>0.480461379573227</v>
      </c>
      <c r="N73" s="47" t="n">
        <f aca="false">IF(G73="","",MIN(1,G73+1.96*L73/100))</f>
        <v>0.555379599020045</v>
      </c>
      <c r="O73" s="66" t="n">
        <f aca="false">ROUND(S73*W73,0)</f>
        <v>397</v>
      </c>
      <c r="P73" s="66" t="n">
        <f aca="false">IF(F73="","",ROUND(SQRT((F73*L73/100)^2+(G73*O73)^2),0))</f>
        <v>258</v>
      </c>
      <c r="R73" s="67" t="n">
        <v>9.27192845202058</v>
      </c>
      <c r="S73" s="68" t="n">
        <f aca="false">U73*V73*$F$5</f>
        <v>8175.00272606901</v>
      </c>
      <c r="T73" s="69" t="n">
        <f aca="false">MAX(0,MIN(1,R73/100+$D$5))</f>
        <v>0.517885504514577</v>
      </c>
      <c r="U73" s="69" t="n">
        <v>0.618428226497391</v>
      </c>
      <c r="V73" s="68" t="n">
        <v>13219</v>
      </c>
      <c r="W73" s="69" t="n">
        <v>0.0485820274397165</v>
      </c>
      <c r="X73" s="70" t="s">
        <v>214</v>
      </c>
      <c r="Y73" s="70" t="s">
        <v>194</v>
      </c>
    </row>
    <row r="74" customFormat="false" ht="15" hidden="false" customHeight="false" outlineLevel="0" collapsed="false">
      <c r="A74" s="32" t="s">
        <v>249</v>
      </c>
      <c r="B74" s="32" t="s">
        <v>260</v>
      </c>
      <c r="C74" s="32" t="s">
        <v>191</v>
      </c>
      <c r="D74" s="66" t="n">
        <f aca="false">ROUND(S74*T74,0)</f>
        <v>486</v>
      </c>
      <c r="E74" s="66" t="n">
        <f aca="false">ROUND(S74,0)-D74</f>
        <v>325</v>
      </c>
      <c r="F74" s="66" t="n">
        <f aca="false">IF(COUNTA(D74:E74)=0,"",SUM(D74:E74))</f>
        <v>811</v>
      </c>
      <c r="G74" s="47" t="n">
        <f aca="false">IF(OR(F74="",F74=0),"",D74/F74)</f>
        <v>0.599260172626387</v>
      </c>
      <c r="H74" s="47" t="n">
        <f aca="false">IF(OR(F74="",F74=0),"",E74/F74)</f>
        <v>0.400739827373613</v>
      </c>
      <c r="I74" s="32" t="s">
        <v>192</v>
      </c>
      <c r="J74" s="36" t="n">
        <v>2.73724997661239</v>
      </c>
      <c r="K74" s="36" t="n">
        <f aca="false">$K$8</f>
        <v>1.02521134994605</v>
      </c>
      <c r="L74" s="36" t="n">
        <f aca="false">SQRT(J74^2+K74^2)</f>
        <v>2.92294299405971</v>
      </c>
      <c r="M74" s="47" t="n">
        <f aca="false">IF(G74="","",MAX(0,G74-1.96*L74/100))</f>
        <v>0.541970489942817</v>
      </c>
      <c r="N74" s="47" t="n">
        <f aca="false">IF(G74="","",MIN(1,G74+1.96*L74/100))</f>
        <v>0.656549855309958</v>
      </c>
      <c r="O74" s="66" t="n">
        <f aca="false">ROUND(S74*W74,0)</f>
        <v>59</v>
      </c>
      <c r="P74" s="66" t="n">
        <f aca="false">IF(F74="","",ROUND(SQRT((F74*L74/100)^2+(G74*O74)^2),0))</f>
        <v>43</v>
      </c>
      <c r="R74" s="67" t="n">
        <v>17.3436308767036</v>
      </c>
      <c r="S74" s="68" t="n">
        <f aca="false">U74*V74*$F$5</f>
        <v>811.272251308901</v>
      </c>
      <c r="T74" s="69" t="n">
        <f aca="false">MAX(0,MIN(1,R74/100+$D$5))</f>
        <v>0.598602528761408</v>
      </c>
      <c r="U74" s="69" t="n">
        <v>0.424083769633508</v>
      </c>
      <c r="V74" s="68" t="n">
        <v>1913</v>
      </c>
      <c r="W74" s="69" t="n">
        <v>0.0732058935918866</v>
      </c>
      <c r="X74" s="70" t="s">
        <v>193</v>
      </c>
      <c r="Y74" s="70" t="s">
        <v>194</v>
      </c>
    </row>
    <row r="75" customFormat="false" ht="15" hidden="false" customHeight="false" outlineLevel="0" collapsed="false">
      <c r="A75" s="32" t="s">
        <v>249</v>
      </c>
      <c r="B75" s="32" t="s">
        <v>261</v>
      </c>
      <c r="C75" s="32" t="s">
        <v>191</v>
      </c>
      <c r="D75" s="66" t="n">
        <f aca="false">ROUND(S75*T75,0)</f>
        <v>77</v>
      </c>
      <c r="E75" s="66" t="n">
        <f aca="false">ROUND(S75,0)-D75</f>
        <v>67</v>
      </c>
      <c r="F75" s="66" t="n">
        <f aca="false">IF(COUNTA(D75:E75)=0,"",SUM(D75:E75))</f>
        <v>144</v>
      </c>
      <c r="G75" s="47" t="n">
        <f aca="false">IF(OR(F75="",F75=0),"",D75/F75)</f>
        <v>0.534722222222222</v>
      </c>
      <c r="H75" s="47" t="n">
        <f aca="false">IF(OR(F75="",F75=0),"",E75/F75)</f>
        <v>0.465277777777778</v>
      </c>
      <c r="I75" s="32" t="s">
        <v>192</v>
      </c>
      <c r="J75" s="36" t="n">
        <v>2.73724997661239</v>
      </c>
      <c r="K75" s="36" t="n">
        <f aca="false">$K$8</f>
        <v>1.02521134994605</v>
      </c>
      <c r="L75" s="36" t="n">
        <f aca="false">SQRT(J75^2+K75^2)</f>
        <v>2.92294299405971</v>
      </c>
      <c r="M75" s="47" t="n">
        <f aca="false">IF(G75="","",MAX(0,G75-1.96*L75/100))</f>
        <v>0.477432539538652</v>
      </c>
      <c r="N75" s="47" t="n">
        <f aca="false">IF(G75="","",MIN(1,G75+1.96*L75/100))</f>
        <v>0.592011904905793</v>
      </c>
      <c r="O75" s="66" t="n">
        <f aca="false">ROUND(S75*W75,0)</f>
        <v>11</v>
      </c>
      <c r="P75" s="66" t="n">
        <f aca="false">IF(F75="","",ROUND(SQRT((F75*L75/100)^2+(G75*O75)^2),0))</f>
        <v>7</v>
      </c>
      <c r="R75" s="67" t="n">
        <v>10.8919018567127</v>
      </c>
      <c r="S75" s="68" t="n">
        <f aca="false">U75*V75*$F$5</f>
        <v>143.630597014925</v>
      </c>
      <c r="T75" s="69" t="n">
        <f aca="false">MAX(0,MIN(1,R75/100+$D$5))</f>
        <v>0.534085238561499</v>
      </c>
      <c r="U75" s="69" t="n">
        <v>0.526119402985075</v>
      </c>
      <c r="V75" s="68" t="n">
        <v>273</v>
      </c>
      <c r="W75" s="69" t="n">
        <v>0.0732058935918866</v>
      </c>
      <c r="X75" s="70" t="s">
        <v>193</v>
      </c>
      <c r="Y75" s="70" t="s">
        <v>194</v>
      </c>
    </row>
    <row r="76" customFormat="false" ht="15" hidden="false" customHeight="false" outlineLevel="0" collapsed="false">
      <c r="A76" s="32" t="s">
        <v>249</v>
      </c>
      <c r="B76" s="32" t="s">
        <v>228</v>
      </c>
      <c r="C76" s="32" t="s">
        <v>191</v>
      </c>
      <c r="D76" s="66" t="n">
        <f aca="false">ROUND(S76*T76,0)</f>
        <v>3453</v>
      </c>
      <c r="E76" s="66" t="n">
        <f aca="false">ROUND(S76,0)-D76</f>
        <v>2970</v>
      </c>
      <c r="F76" s="66" t="n">
        <f aca="false">IF(COUNTA(D76:E76)=0,"",SUM(D76:E76))</f>
        <v>6423</v>
      </c>
      <c r="G76" s="47" t="n">
        <f aca="false">IF(OR(F76="",F76=0),"",D76/F76)</f>
        <v>0.537599252685661</v>
      </c>
      <c r="H76" s="47" t="n">
        <f aca="false">IF(OR(F76="",F76=0),"",E76/F76)</f>
        <v>0.462400747314339</v>
      </c>
      <c r="I76" s="32" t="s">
        <v>192</v>
      </c>
      <c r="J76" s="36" t="n">
        <v>1.61293121864256</v>
      </c>
      <c r="K76" s="36" t="n">
        <f aca="false">$K$8</f>
        <v>1.02521134994605</v>
      </c>
      <c r="L76" s="36" t="n">
        <f aca="false">SQRT(J76^2+K76^2)</f>
        <v>1.91117906752088</v>
      </c>
      <c r="M76" s="47" t="n">
        <f aca="false">IF(G76="","",MAX(0,G76-1.96*L76/100))</f>
        <v>0.500140142962252</v>
      </c>
      <c r="N76" s="47" t="n">
        <f aca="false">IF(G76="","",MIN(1,G76+1.96*L76/100))</f>
        <v>0.57505836240907</v>
      </c>
      <c r="O76" s="66" t="n">
        <f aca="false">ROUND(S76*W76,0)</f>
        <v>312</v>
      </c>
      <c r="P76" s="66" t="n">
        <f aca="false">IF(F76="","",ROUND(SQRT((F76*L76/100)^2+(G76*O76)^2),0))</f>
        <v>208</v>
      </c>
      <c r="R76" s="67" t="n">
        <v>11.2452746562014</v>
      </c>
      <c r="S76" s="68" t="n">
        <f aca="false">U76*V76*$F$5</f>
        <v>6422.70106427379</v>
      </c>
      <c r="T76" s="69" t="n">
        <f aca="false">MAX(0,MIN(1,R76/100+$D$5))</f>
        <v>0.537618966556386</v>
      </c>
      <c r="U76" s="69" t="n">
        <v>0.673309682804674</v>
      </c>
      <c r="V76" s="68" t="n">
        <v>9539</v>
      </c>
      <c r="W76" s="69" t="n">
        <v>0.0485820274397165</v>
      </c>
      <c r="X76" s="70" t="s">
        <v>214</v>
      </c>
      <c r="Y76" s="70" t="s">
        <v>194</v>
      </c>
    </row>
    <row r="77" customFormat="false" ht="15" hidden="false" customHeight="false" outlineLevel="0" collapsed="false">
      <c r="A77" s="32" t="s">
        <v>249</v>
      </c>
      <c r="B77" s="32" t="s">
        <v>262</v>
      </c>
      <c r="C77" s="32" t="s">
        <v>191</v>
      </c>
      <c r="D77" s="66" t="n">
        <f aca="false">ROUND(S77*T77,0)</f>
        <v>1371</v>
      </c>
      <c r="E77" s="66" t="n">
        <f aca="false">ROUND(S77,0)-D77</f>
        <v>1257</v>
      </c>
      <c r="F77" s="66" t="n">
        <f aca="false">IF(COUNTA(D77:E77)=0,"",SUM(D77:E77))</f>
        <v>2628</v>
      </c>
      <c r="G77" s="47" t="n">
        <f aca="false">IF(OR(F77="",F77=0),"",D77/F77)</f>
        <v>0.521689497716895</v>
      </c>
      <c r="H77" s="47" t="n">
        <f aca="false">IF(OR(F77="",F77=0),"",E77/F77)</f>
        <v>0.478310502283105</v>
      </c>
      <c r="I77" s="32" t="s">
        <v>192</v>
      </c>
      <c r="J77" s="36" t="n">
        <v>1.72069707213054</v>
      </c>
      <c r="K77" s="36" t="n">
        <f aca="false">$K$8</f>
        <v>1.02521134994605</v>
      </c>
      <c r="L77" s="36" t="n">
        <f aca="false">SQRT(J77^2+K77^2)</f>
        <v>2.00296198818071</v>
      </c>
      <c r="M77" s="47" t="n">
        <f aca="false">IF(G77="","",MAX(0,G77-1.96*L77/100))</f>
        <v>0.482431442748553</v>
      </c>
      <c r="N77" s="47" t="n">
        <f aca="false">IF(G77="","",MIN(1,G77+1.96*L77/100))</f>
        <v>0.560947552685237</v>
      </c>
      <c r="O77" s="66" t="n">
        <f aca="false">ROUND(S77*W77,0)</f>
        <v>144</v>
      </c>
      <c r="P77" s="66" t="n">
        <f aca="false">IF(F77="","",ROUND(SQRT((F77*L77/100)^2+(G77*O77)^2),0))</f>
        <v>92</v>
      </c>
      <c r="R77" s="67" t="n">
        <v>9.63582491540749</v>
      </c>
      <c r="S77" s="68" t="n">
        <f aca="false">U77*V77*$F$5</f>
        <v>2628.02463970246</v>
      </c>
      <c r="T77" s="69" t="n">
        <f aca="false">MAX(0,MIN(1,R77/100+$D$5))</f>
        <v>0.521524469148446</v>
      </c>
      <c r="U77" s="69" t="n">
        <v>0.598093909809391</v>
      </c>
      <c r="V77" s="68" t="n">
        <v>4394</v>
      </c>
      <c r="W77" s="69" t="n">
        <v>0.0547268472736556</v>
      </c>
      <c r="X77" s="70" t="s">
        <v>198</v>
      </c>
      <c r="Y77" s="70" t="s">
        <v>194</v>
      </c>
    </row>
    <row r="78" customFormat="false" ht="15" hidden="false" customHeight="false" outlineLevel="0" collapsed="false">
      <c r="A78" s="32" t="s">
        <v>249</v>
      </c>
      <c r="B78" s="32" t="s">
        <v>263</v>
      </c>
      <c r="C78" s="32" t="s">
        <v>191</v>
      </c>
      <c r="D78" s="66" t="n">
        <f aca="false">ROUND(S78*T78,0)</f>
        <v>1826</v>
      </c>
      <c r="E78" s="66" t="n">
        <f aca="false">ROUND(S78,0)-D78</f>
        <v>3513</v>
      </c>
      <c r="F78" s="66" t="n">
        <f aca="false">IF(COUNTA(D78:E78)=0,"",SUM(D78:E78))</f>
        <v>5339</v>
      </c>
      <c r="G78" s="47" t="n">
        <f aca="false">IF(OR(F78="",F78=0),"",D78/F78)</f>
        <v>0.342011612661547</v>
      </c>
      <c r="H78" s="47" t="n">
        <f aca="false">IF(OR(F78="",F78=0),"",E78/F78)</f>
        <v>0.657988387338453</v>
      </c>
      <c r="I78" s="32" t="s">
        <v>192</v>
      </c>
      <c r="J78" s="36" t="n">
        <v>1.61293121864256</v>
      </c>
      <c r="K78" s="36" t="n">
        <f aca="false">$K$8</f>
        <v>1.02521134994605</v>
      </c>
      <c r="L78" s="36" t="n">
        <f aca="false">SQRT(J78^2+K78^2)</f>
        <v>1.91117906752088</v>
      </c>
      <c r="M78" s="47" t="n">
        <f aca="false">IF(G78="","",MAX(0,G78-1.96*L78/100))</f>
        <v>0.304552502938138</v>
      </c>
      <c r="N78" s="47" t="n">
        <f aca="false">IF(G78="","",MIN(1,G78+1.96*L78/100))</f>
        <v>0.379470722384956</v>
      </c>
      <c r="O78" s="66" t="n">
        <f aca="false">ROUND(S78*W78,0)</f>
        <v>259</v>
      </c>
      <c r="P78" s="66" t="n">
        <f aca="false">IF(F78="","",ROUND(SQRT((F78*L78/100)^2+(G78*O78)^2),0))</f>
        <v>135</v>
      </c>
      <c r="R78" s="67" t="n">
        <v>-8.32384867314299</v>
      </c>
      <c r="S78" s="68" t="n">
        <f aca="false">U78*V78*$F$5</f>
        <v>5339.13569131833</v>
      </c>
      <c r="T78" s="69" t="n">
        <f aca="false">MAX(0,MIN(1,R78/100+$D$5))</f>
        <v>0.341927733262942</v>
      </c>
      <c r="U78" s="69" t="n">
        <v>0.656720257234727</v>
      </c>
      <c r="V78" s="68" t="n">
        <v>8130</v>
      </c>
      <c r="W78" s="69" t="n">
        <v>0.0485820274397165</v>
      </c>
      <c r="X78" s="70" t="s">
        <v>214</v>
      </c>
      <c r="Y78" s="70" t="s">
        <v>194</v>
      </c>
    </row>
    <row r="79" customFormat="false" ht="15" hidden="false" customHeight="false" outlineLevel="0" collapsed="false">
      <c r="A79" s="32" t="s">
        <v>249</v>
      </c>
      <c r="B79" s="32" t="s">
        <v>264</v>
      </c>
      <c r="C79" s="32" t="s">
        <v>191</v>
      </c>
      <c r="D79" s="66" t="n">
        <f aca="false">ROUND(S79*T79,0)</f>
        <v>507</v>
      </c>
      <c r="E79" s="66" t="n">
        <f aca="false">ROUND(S79,0)-D79</f>
        <v>931</v>
      </c>
      <c r="F79" s="66" t="n">
        <f aca="false">IF(COUNTA(D79:E79)=0,"",SUM(D79:E79))</f>
        <v>1438</v>
      </c>
      <c r="G79" s="47" t="n">
        <f aca="false">IF(OR(F79="",F79=0),"",D79/F79)</f>
        <v>0.352573018080668</v>
      </c>
      <c r="H79" s="47" t="n">
        <f aca="false">IF(OR(F79="",F79=0),"",E79/F79)</f>
        <v>0.647426981919333</v>
      </c>
      <c r="I79" s="32" t="s">
        <v>192</v>
      </c>
      <c r="J79" s="36" t="n">
        <v>1.72069707213054</v>
      </c>
      <c r="K79" s="36" t="n">
        <f aca="false">$K$8</f>
        <v>1.02521134994605</v>
      </c>
      <c r="L79" s="36" t="n">
        <f aca="false">SQRT(J79^2+K79^2)</f>
        <v>2.00296198818071</v>
      </c>
      <c r="M79" s="47" t="n">
        <f aca="false">IF(G79="","",MAX(0,G79-1.96*L79/100))</f>
        <v>0.313314963112326</v>
      </c>
      <c r="N79" s="47" t="n">
        <f aca="false">IF(G79="","",MIN(1,G79+1.96*L79/100))</f>
        <v>0.39183107304901</v>
      </c>
      <c r="O79" s="66" t="n">
        <f aca="false">ROUND(S79*W79,0)</f>
        <v>79</v>
      </c>
      <c r="P79" s="66" t="n">
        <f aca="false">IF(F79="","",ROUND(SQRT((F79*L79/100)^2+(G79*O79)^2),0))</f>
        <v>40</v>
      </c>
      <c r="R79" s="67" t="n">
        <v>-7.27024850670478</v>
      </c>
      <c r="S79" s="68" t="n">
        <f aca="false">U79*V79*$F$5</f>
        <v>1437.5</v>
      </c>
      <c r="T79" s="69" t="n">
        <f aca="false">MAX(0,MIN(1,R79/100+$D$5))</f>
        <v>0.352463734927324</v>
      </c>
      <c r="U79" s="69" t="n">
        <v>0.625</v>
      </c>
      <c r="V79" s="68" t="n">
        <v>2300</v>
      </c>
      <c r="W79" s="69" t="n">
        <v>0.0547268472736556</v>
      </c>
      <c r="X79" s="70" t="s">
        <v>198</v>
      </c>
      <c r="Y79" s="70" t="s">
        <v>194</v>
      </c>
    </row>
    <row r="80" customFormat="false" ht="15" hidden="false" customHeight="false" outlineLevel="0" collapsed="false">
      <c r="A80" s="32" t="s">
        <v>249</v>
      </c>
      <c r="B80" s="32" t="s">
        <v>265</v>
      </c>
      <c r="C80" s="32" t="s">
        <v>191</v>
      </c>
      <c r="D80" s="66" t="n">
        <f aca="false">ROUND(S80*T80,0)</f>
        <v>1613</v>
      </c>
      <c r="E80" s="66" t="n">
        <f aca="false">ROUND(S80,0)-D80</f>
        <v>2109</v>
      </c>
      <c r="F80" s="66" t="n">
        <f aca="false">IF(COUNTA(D80:E80)=0,"",SUM(D80:E80))</f>
        <v>3722</v>
      </c>
      <c r="G80" s="47" t="n">
        <f aca="false">IF(OR(F80="",F80=0),"",D80/F80)</f>
        <v>0.433369156367544</v>
      </c>
      <c r="H80" s="47" t="n">
        <f aca="false">IF(OR(F80="",F80=0),"",E80/F80)</f>
        <v>0.566630843632456</v>
      </c>
      <c r="I80" s="32" t="s">
        <v>192</v>
      </c>
      <c r="J80" s="36" t="n">
        <v>1.61293121864256</v>
      </c>
      <c r="K80" s="36" t="n">
        <f aca="false">$K$8</f>
        <v>1.02521134994605</v>
      </c>
      <c r="L80" s="36" t="n">
        <f aca="false">SQRT(J80^2+K80^2)</f>
        <v>1.91117906752088</v>
      </c>
      <c r="M80" s="47" t="n">
        <f aca="false">IF(G80="","",MAX(0,G80-1.96*L80/100))</f>
        <v>0.395910046644135</v>
      </c>
      <c r="N80" s="47" t="n">
        <f aca="false">IF(G80="","",MIN(1,G80+1.96*L80/100))</f>
        <v>0.470828266090953</v>
      </c>
      <c r="O80" s="66" t="n">
        <f aca="false">ROUND(S80*W80,0)</f>
        <v>181</v>
      </c>
      <c r="P80" s="66" t="n">
        <f aca="false">IF(F80="","",ROUND(SQRT((F80*L80/100)^2+(G80*O80)^2),0))</f>
        <v>106</v>
      </c>
      <c r="R80" s="67" t="n">
        <v>0.831647042619704</v>
      </c>
      <c r="S80" s="68" t="n">
        <f aca="false">U80*V80*$F$5</f>
        <v>3721.57991120977</v>
      </c>
      <c r="T80" s="69" t="n">
        <f aca="false">MAX(0,MIN(1,R80/100+$D$5))</f>
        <v>0.433482690420569</v>
      </c>
      <c r="U80" s="69" t="n">
        <v>0.684239733629301</v>
      </c>
      <c r="V80" s="68" t="n">
        <v>5439</v>
      </c>
      <c r="W80" s="69" t="n">
        <v>0.0485820274397165</v>
      </c>
      <c r="X80" s="70" t="s">
        <v>214</v>
      </c>
      <c r="Y80" s="70" t="s">
        <v>194</v>
      </c>
    </row>
    <row r="81" customFormat="false" ht="15" hidden="false" customHeight="false" outlineLevel="0" collapsed="false">
      <c r="A81" s="32" t="s">
        <v>249</v>
      </c>
      <c r="B81" s="32" t="s">
        <v>266</v>
      </c>
      <c r="C81" s="32" t="s">
        <v>191</v>
      </c>
      <c r="D81" s="66" t="n">
        <f aca="false">ROUND(S81*T81,0)</f>
        <v>2876</v>
      </c>
      <c r="E81" s="66" t="n">
        <f aca="false">ROUND(S81,0)-D81</f>
        <v>3048</v>
      </c>
      <c r="F81" s="66" t="n">
        <f aca="false">IF(COUNTA(D81:E81)=0,"",SUM(D81:E81))</f>
        <v>5924</v>
      </c>
      <c r="G81" s="47" t="n">
        <f aca="false">IF(OR(F81="",F81=0),"",D81/F81)</f>
        <v>0.485482781904119</v>
      </c>
      <c r="H81" s="47" t="n">
        <f aca="false">IF(OR(F81="",F81=0),"",E81/F81)</f>
        <v>0.514517218095881</v>
      </c>
      <c r="I81" s="32" t="s">
        <v>192</v>
      </c>
      <c r="J81" s="36" t="n">
        <v>1.61293121864256</v>
      </c>
      <c r="K81" s="36" t="n">
        <f aca="false">$K$8</f>
        <v>1.02521134994605</v>
      </c>
      <c r="L81" s="36" t="n">
        <f aca="false">SQRT(J81^2+K81^2)</f>
        <v>1.91117906752088</v>
      </c>
      <c r="M81" s="47" t="n">
        <f aca="false">IF(G81="","",MAX(0,G81-1.96*L81/100))</f>
        <v>0.44802367218071</v>
      </c>
      <c r="N81" s="47" t="n">
        <f aca="false">IF(G81="","",MIN(1,G81+1.96*L81/100))</f>
        <v>0.522941891627528</v>
      </c>
      <c r="O81" s="66" t="n">
        <f aca="false">ROUND(S81*W81,0)</f>
        <v>288</v>
      </c>
      <c r="P81" s="66" t="n">
        <f aca="false">IF(F81="","",ROUND(SQRT((F81*L81/100)^2+(G81*O81)^2),0))</f>
        <v>180</v>
      </c>
      <c r="R81" s="67" t="n">
        <v>6.02154060080731</v>
      </c>
      <c r="S81" s="68" t="n">
        <f aca="false">U81*V81*$F$5</f>
        <v>5924.29823361823</v>
      </c>
      <c r="T81" s="69" t="n">
        <f aca="false">MAX(0,MIN(1,R81/100+$D$5))</f>
        <v>0.485381626002445</v>
      </c>
      <c r="U81" s="69" t="n">
        <v>0.675441595441595</v>
      </c>
      <c r="V81" s="68" t="n">
        <v>8771</v>
      </c>
      <c r="W81" s="69" t="n">
        <v>0.0485820274397165</v>
      </c>
      <c r="X81" s="70" t="s">
        <v>214</v>
      </c>
      <c r="Y81" s="70" t="s">
        <v>194</v>
      </c>
    </row>
    <row r="82" customFormat="false" ht="15" hidden="false" customHeight="false" outlineLevel="0" collapsed="false">
      <c r="A82" s="32" t="s">
        <v>249</v>
      </c>
      <c r="B82" s="32" t="s">
        <v>267</v>
      </c>
      <c r="C82" s="32" t="s">
        <v>191</v>
      </c>
      <c r="D82" s="66" t="n">
        <f aca="false">ROUND(S82*T82,0)</f>
        <v>1628</v>
      </c>
      <c r="E82" s="66" t="n">
        <f aca="false">ROUND(S82,0)-D82</f>
        <v>3220</v>
      </c>
      <c r="F82" s="66" t="n">
        <f aca="false">IF(COUNTA(D82:E82)=0,"",SUM(D82:E82))</f>
        <v>4848</v>
      </c>
      <c r="G82" s="47" t="n">
        <f aca="false">IF(OR(F82="",F82=0),"",D82/F82)</f>
        <v>0.335808580858086</v>
      </c>
      <c r="H82" s="47" t="n">
        <f aca="false">IF(OR(F82="",F82=0),"",E82/F82)</f>
        <v>0.664191419141914</v>
      </c>
      <c r="I82" s="32" t="s">
        <v>192</v>
      </c>
      <c r="J82" s="36" t="n">
        <v>1.61293121864256</v>
      </c>
      <c r="K82" s="36" t="n">
        <f aca="false">$K$8</f>
        <v>1.02521134994605</v>
      </c>
      <c r="L82" s="36" t="n">
        <f aca="false">SQRT(J82^2+K82^2)</f>
        <v>1.91117906752088</v>
      </c>
      <c r="M82" s="47" t="n">
        <f aca="false">IF(G82="","",MAX(0,G82-1.96*L82/100))</f>
        <v>0.298349471134677</v>
      </c>
      <c r="N82" s="47" t="n">
        <f aca="false">IF(G82="","",MIN(1,G82+1.96*L82/100))</f>
        <v>0.373267690581495</v>
      </c>
      <c r="O82" s="66" t="n">
        <f aca="false">ROUND(S82*W82,0)</f>
        <v>236</v>
      </c>
      <c r="P82" s="66" t="n">
        <f aca="false">IF(F82="","",ROUND(SQRT((F82*L82/100)^2+(G82*O82)^2),0))</f>
        <v>122</v>
      </c>
      <c r="R82" s="67" t="n">
        <v>-8.9375227862636</v>
      </c>
      <c r="S82" s="68" t="n">
        <f aca="false">U82*V82*$F$5</f>
        <v>4848.29721362229</v>
      </c>
      <c r="T82" s="69" t="n">
        <f aca="false">MAX(0,MIN(1,R82/100+$D$5))</f>
        <v>0.335790992131736</v>
      </c>
      <c r="U82" s="69" t="n">
        <v>0.668730650154799</v>
      </c>
      <c r="V82" s="68" t="n">
        <v>7250</v>
      </c>
      <c r="W82" s="69" t="n">
        <v>0.0485820274397165</v>
      </c>
      <c r="X82" s="70" t="s">
        <v>214</v>
      </c>
      <c r="Y82" s="70" t="s">
        <v>194</v>
      </c>
    </row>
    <row r="83" customFormat="false" ht="15" hidden="false" customHeight="false" outlineLevel="0" collapsed="false">
      <c r="A83" s="32" t="s">
        <v>249</v>
      </c>
      <c r="B83" s="32" t="s">
        <v>268</v>
      </c>
      <c r="C83" s="32" t="s">
        <v>191</v>
      </c>
      <c r="D83" s="66" t="n">
        <f aca="false">ROUND(S83*T83,0)</f>
        <v>1252</v>
      </c>
      <c r="E83" s="66" t="n">
        <f aca="false">ROUND(S83,0)-D83</f>
        <v>1263</v>
      </c>
      <c r="F83" s="66" t="n">
        <f aca="false">IF(COUNTA(D83:E83)=0,"",SUM(D83:E83))</f>
        <v>2515</v>
      </c>
      <c r="G83" s="47" t="n">
        <f aca="false">IF(OR(F83="",F83=0),"",D83/F83)</f>
        <v>0.497813121272366</v>
      </c>
      <c r="H83" s="47" t="n">
        <f aca="false">IF(OR(F83="",F83=0),"",E83/F83)</f>
        <v>0.502186878727634</v>
      </c>
      <c r="I83" s="32" t="s">
        <v>192</v>
      </c>
      <c r="J83" s="36" t="n">
        <v>1.72069707213054</v>
      </c>
      <c r="K83" s="36" t="n">
        <f aca="false">$K$8</f>
        <v>1.02521134994605</v>
      </c>
      <c r="L83" s="36" t="n">
        <f aca="false">SQRT(J83^2+K83^2)</f>
        <v>2.00296198818071</v>
      </c>
      <c r="M83" s="47" t="n">
        <f aca="false">IF(G83="","",MAX(0,G83-1.96*L83/100))</f>
        <v>0.458555066304024</v>
      </c>
      <c r="N83" s="47" t="n">
        <f aca="false">IF(G83="","",MIN(1,G83+1.96*L83/100))</f>
        <v>0.537071176240708</v>
      </c>
      <c r="O83" s="66" t="n">
        <f aca="false">ROUND(S83*W83,0)</f>
        <v>138</v>
      </c>
      <c r="P83" s="66" t="n">
        <f aca="false">IF(F83="","",ROUND(SQRT((F83*L83/100)^2+(G83*O83)^2),0))</f>
        <v>85</v>
      </c>
      <c r="R83" s="67" t="n">
        <v>7.25615046451296</v>
      </c>
      <c r="S83" s="68" t="n">
        <f aca="false">U83*V83*$F$5</f>
        <v>2514.75925477861</v>
      </c>
      <c r="T83" s="69" t="n">
        <f aca="false">MAX(0,MIN(1,R83/100+$D$5))</f>
        <v>0.497727724639501</v>
      </c>
      <c r="U83" s="69" t="n">
        <v>0.595209291071861</v>
      </c>
      <c r="V83" s="68" t="n">
        <v>4225</v>
      </c>
      <c r="W83" s="69" t="n">
        <v>0.0547268472736556</v>
      </c>
      <c r="X83" s="70" t="s">
        <v>198</v>
      </c>
      <c r="Y83" s="70" t="s">
        <v>194</v>
      </c>
    </row>
    <row r="84" customFormat="false" ht="15" hidden="false" customHeight="false" outlineLevel="0" collapsed="false">
      <c r="A84" s="32" t="s">
        <v>249</v>
      </c>
      <c r="B84" s="32" t="s">
        <v>269</v>
      </c>
      <c r="C84" s="32" t="s">
        <v>191</v>
      </c>
      <c r="D84" s="66" t="n">
        <f aca="false">ROUND(S84*T84,0)</f>
        <v>699</v>
      </c>
      <c r="E84" s="66" t="n">
        <f aca="false">ROUND(S84,0)-D84</f>
        <v>729</v>
      </c>
      <c r="F84" s="66" t="n">
        <f aca="false">IF(COUNTA(D84:E84)=0,"",SUM(D84:E84))</f>
        <v>1428</v>
      </c>
      <c r="G84" s="47" t="n">
        <f aca="false">IF(OR(F84="",F84=0),"",D84/F84)</f>
        <v>0.489495798319328</v>
      </c>
      <c r="H84" s="47" t="n">
        <f aca="false">IF(OR(F84="",F84=0),"",E84/F84)</f>
        <v>0.510504201680672</v>
      </c>
      <c r="I84" s="32" t="s">
        <v>192</v>
      </c>
      <c r="J84" s="36" t="n">
        <v>1.72069707213054</v>
      </c>
      <c r="K84" s="36" t="n">
        <f aca="false">$K$8</f>
        <v>1.02521134994605</v>
      </c>
      <c r="L84" s="36" t="n">
        <f aca="false">SQRT(J84^2+K84^2)</f>
        <v>2.00296198818071</v>
      </c>
      <c r="M84" s="47" t="n">
        <f aca="false">IF(G84="","",MAX(0,G84-1.96*L84/100))</f>
        <v>0.450237743350986</v>
      </c>
      <c r="N84" s="47" t="n">
        <f aca="false">IF(G84="","",MIN(1,G84+1.96*L84/100))</f>
        <v>0.52875385328767</v>
      </c>
      <c r="O84" s="66" t="n">
        <f aca="false">ROUND(S84*W84,0)</f>
        <v>78</v>
      </c>
      <c r="P84" s="66" t="n">
        <f aca="false">IF(F84="","",ROUND(SQRT((F84*L84/100)^2+(G84*O84)^2),0))</f>
        <v>48</v>
      </c>
      <c r="R84" s="67" t="n">
        <v>6.48188356537609</v>
      </c>
      <c r="S84" s="68" t="n">
        <f aca="false">U84*V84*$F$5</f>
        <v>1427.54656265236</v>
      </c>
      <c r="T84" s="69" t="n">
        <f aca="false">MAX(0,MIN(1,R84/100+$D$5))</f>
        <v>0.489985055648133</v>
      </c>
      <c r="U84" s="69" t="n">
        <v>0.623110677718186</v>
      </c>
      <c r="V84" s="68" t="n">
        <v>2291</v>
      </c>
      <c r="W84" s="69" t="n">
        <v>0.0547268472736556</v>
      </c>
      <c r="X84" s="70" t="s">
        <v>198</v>
      </c>
      <c r="Y84" s="70" t="s">
        <v>194</v>
      </c>
    </row>
    <row r="85" customFormat="false" ht="15" hidden="false" customHeight="false" outlineLevel="0" collapsed="false">
      <c r="A85" s="32" t="s">
        <v>249</v>
      </c>
      <c r="B85" s="32" t="s">
        <v>270</v>
      </c>
      <c r="C85" s="32" t="s">
        <v>191</v>
      </c>
      <c r="D85" s="66" t="n">
        <f aca="false">ROUND(S85*T85,0)</f>
        <v>1975</v>
      </c>
      <c r="E85" s="66" t="n">
        <f aca="false">ROUND(S85,0)-D85</f>
        <v>2189</v>
      </c>
      <c r="F85" s="66" t="n">
        <f aca="false">IF(COUNTA(D85:E85)=0,"",SUM(D85:E85))</f>
        <v>4164</v>
      </c>
      <c r="G85" s="47" t="n">
        <f aca="false">IF(OR(F85="",F85=0),"",D85/F85)</f>
        <v>0.474303554274736</v>
      </c>
      <c r="H85" s="47" t="n">
        <f aca="false">IF(OR(F85="",F85=0),"",E85/F85)</f>
        <v>0.525696445725264</v>
      </c>
      <c r="I85" s="32" t="s">
        <v>192</v>
      </c>
      <c r="J85" s="36" t="n">
        <v>1.61293121864256</v>
      </c>
      <c r="K85" s="36" t="n">
        <f aca="false">$K$8</f>
        <v>1.02521134994605</v>
      </c>
      <c r="L85" s="36" t="n">
        <f aca="false">SQRT(J85^2+K85^2)</f>
        <v>1.91117906752088</v>
      </c>
      <c r="M85" s="47" t="n">
        <f aca="false">IF(G85="","",MAX(0,G85-1.96*L85/100))</f>
        <v>0.436844444551327</v>
      </c>
      <c r="N85" s="47" t="n">
        <f aca="false">IF(G85="","",MIN(1,G85+1.96*L85/100))</f>
        <v>0.511762663998145</v>
      </c>
      <c r="O85" s="66" t="n">
        <f aca="false">ROUND(S85*W85,0)</f>
        <v>202</v>
      </c>
      <c r="P85" s="66" t="n">
        <f aca="false">IF(F85="","",ROUND(SQRT((F85*L85/100)^2+(G85*O85)^2),0))</f>
        <v>125</v>
      </c>
      <c r="R85" s="67" t="n">
        <v>4.91424640715849</v>
      </c>
      <c r="S85" s="68" t="n">
        <f aca="false">U85*V85*$F$5</f>
        <v>4163.88109359178</v>
      </c>
      <c r="T85" s="69" t="n">
        <f aca="false">MAX(0,MIN(1,R85/100+$D$5))</f>
        <v>0.474308684065957</v>
      </c>
      <c r="U85" s="69" t="n">
        <v>0.568060176479097</v>
      </c>
      <c r="V85" s="68" t="n">
        <v>7330</v>
      </c>
      <c r="W85" s="69" t="n">
        <v>0.0485820274397165</v>
      </c>
      <c r="X85" s="70" t="s">
        <v>214</v>
      </c>
      <c r="Y85" s="70" t="s">
        <v>194</v>
      </c>
    </row>
    <row r="86" customFormat="false" ht="15" hidden="false" customHeight="false" outlineLevel="0" collapsed="false">
      <c r="A86" s="32" t="s">
        <v>249</v>
      </c>
      <c r="B86" s="32" t="s">
        <v>271</v>
      </c>
      <c r="C86" s="32" t="s">
        <v>191</v>
      </c>
      <c r="D86" s="66" t="n">
        <f aca="false">ROUND(S86*T86,0)</f>
        <v>5510</v>
      </c>
      <c r="E86" s="66" t="n">
        <f aca="false">ROUND(S86,0)-D86</f>
        <v>5147</v>
      </c>
      <c r="F86" s="66" t="n">
        <f aca="false">IF(COUNTA(D86:E86)=0,"",SUM(D86:E86))</f>
        <v>10657</v>
      </c>
      <c r="G86" s="47" t="n">
        <f aca="false">IF(OR(F86="",F86=0),"",D86/F86)</f>
        <v>0.517031059397579</v>
      </c>
      <c r="H86" s="47" t="n">
        <f aca="false">IF(OR(F86="",F86=0),"",E86/F86)</f>
        <v>0.482968940602421</v>
      </c>
      <c r="I86" s="32" t="s">
        <v>192</v>
      </c>
      <c r="J86" s="36" t="n">
        <v>1.61293121864256</v>
      </c>
      <c r="K86" s="36" t="n">
        <f aca="false">$K$8</f>
        <v>1.02521134994605</v>
      </c>
      <c r="L86" s="36" t="n">
        <f aca="false">SQRT(J86^2+K86^2)</f>
        <v>1.91117906752088</v>
      </c>
      <c r="M86" s="47" t="n">
        <f aca="false">IF(G86="","",MAX(0,G86-1.96*L86/100))</f>
        <v>0.47957194967417</v>
      </c>
      <c r="N86" s="47" t="n">
        <f aca="false">IF(G86="","",MIN(1,G86+1.96*L86/100))</f>
        <v>0.554490169120988</v>
      </c>
      <c r="O86" s="66" t="n">
        <f aca="false">ROUND(S86*W86,0)</f>
        <v>518</v>
      </c>
      <c r="P86" s="66" t="n">
        <f aca="false">IF(F86="","",ROUND(SQRT((F86*L86/100)^2+(G86*O86)^2),0))</f>
        <v>336</v>
      </c>
      <c r="R86" s="67" t="n">
        <v>9.19176845701347</v>
      </c>
      <c r="S86" s="68" t="n">
        <f aca="false">U86*V86*$F$5</f>
        <v>10656.5050635134</v>
      </c>
      <c r="T86" s="69" t="n">
        <f aca="false">MAX(0,MIN(1,R86/100+$D$5))</f>
        <v>0.517083904564506</v>
      </c>
      <c r="U86" s="69" t="n">
        <v>0.603699584382134</v>
      </c>
      <c r="V86" s="68" t="n">
        <v>17652</v>
      </c>
      <c r="W86" s="69" t="n">
        <v>0.0485820274397165</v>
      </c>
      <c r="X86" s="70" t="s">
        <v>214</v>
      </c>
      <c r="Y86" s="70" t="s">
        <v>194</v>
      </c>
    </row>
    <row r="87" customFormat="false" ht="15" hidden="false" customHeight="false" outlineLevel="0" collapsed="false">
      <c r="A87" s="32" t="s">
        <v>249</v>
      </c>
      <c r="B87" s="32" t="s">
        <v>272</v>
      </c>
      <c r="C87" s="32" t="s">
        <v>191</v>
      </c>
      <c r="D87" s="66" t="n">
        <f aca="false">ROUND(S87*T87,0)</f>
        <v>517</v>
      </c>
      <c r="E87" s="66" t="n">
        <f aca="false">ROUND(S87,0)-D87</f>
        <v>845</v>
      </c>
      <c r="F87" s="66" t="n">
        <f aca="false">IF(COUNTA(D87:E87)=0,"",SUM(D87:E87))</f>
        <v>1362</v>
      </c>
      <c r="G87" s="47" t="n">
        <f aca="false">IF(OR(F87="",F87=0),"",D87/F87)</f>
        <v>0.379588839941263</v>
      </c>
      <c r="H87" s="47" t="n">
        <f aca="false">IF(OR(F87="",F87=0),"",E87/F87)</f>
        <v>0.620411160058737</v>
      </c>
      <c r="I87" s="32" t="s">
        <v>192</v>
      </c>
      <c r="J87" s="36" t="n">
        <v>1.72069707213054</v>
      </c>
      <c r="K87" s="36" t="n">
        <f aca="false">$K$8</f>
        <v>1.02521134994605</v>
      </c>
      <c r="L87" s="36" t="n">
        <f aca="false">SQRT(J87^2+K87^2)</f>
        <v>2.00296198818071</v>
      </c>
      <c r="M87" s="47" t="n">
        <f aca="false">IF(G87="","",MAX(0,G87-1.96*L87/100))</f>
        <v>0.340330784972921</v>
      </c>
      <c r="N87" s="47" t="n">
        <f aca="false">IF(G87="","",MIN(1,G87+1.96*L87/100))</f>
        <v>0.418846894909605</v>
      </c>
      <c r="O87" s="66" t="n">
        <f aca="false">ROUND(S87*W87,0)</f>
        <v>75</v>
      </c>
      <c r="P87" s="66" t="n">
        <f aca="false">IF(F87="","",ROUND(SQRT((F87*L87/100)^2+(G87*O87)^2),0))</f>
        <v>39</v>
      </c>
      <c r="R87" s="67" t="n">
        <v>-4.53007781771702</v>
      </c>
      <c r="S87" s="68" t="n">
        <f aca="false">U87*V87*$F$5</f>
        <v>1362.06750324535</v>
      </c>
      <c r="T87" s="69" t="n">
        <f aca="false">MAX(0,MIN(1,R87/100+$D$5))</f>
        <v>0.379865441817201</v>
      </c>
      <c r="U87" s="69" t="n">
        <v>0.55776720034617</v>
      </c>
      <c r="V87" s="68" t="n">
        <v>2442</v>
      </c>
      <c r="W87" s="69" t="n">
        <v>0.0547268472736556</v>
      </c>
      <c r="X87" s="70" t="s">
        <v>198</v>
      </c>
      <c r="Y87" s="70" t="s">
        <v>194</v>
      </c>
    </row>
    <row r="88" customFormat="false" ht="15" hidden="false" customHeight="false" outlineLevel="0" collapsed="false">
      <c r="A88" s="32" t="s">
        <v>249</v>
      </c>
      <c r="B88" s="32" t="s">
        <v>273</v>
      </c>
      <c r="C88" s="32" t="s">
        <v>191</v>
      </c>
      <c r="D88" s="66" t="n">
        <f aca="false">ROUND(S88*T88,0)</f>
        <v>1098</v>
      </c>
      <c r="E88" s="66" t="n">
        <f aca="false">ROUND(S88,0)-D88</f>
        <v>2023</v>
      </c>
      <c r="F88" s="66" t="n">
        <f aca="false">IF(COUNTA(D88:E88)=0,"",SUM(D88:E88))</f>
        <v>3121</v>
      </c>
      <c r="G88" s="47" t="n">
        <f aca="false">IF(OR(F88="",F88=0),"",D88/F88)</f>
        <v>0.351810317206024</v>
      </c>
      <c r="H88" s="47" t="n">
        <f aca="false">IF(OR(F88="",F88=0),"",E88/F88)</f>
        <v>0.648189682793976</v>
      </c>
      <c r="I88" s="32" t="s">
        <v>192</v>
      </c>
      <c r="J88" s="36" t="n">
        <v>1.61293121864256</v>
      </c>
      <c r="K88" s="36" t="n">
        <f aca="false">$K$8</f>
        <v>1.02521134994605</v>
      </c>
      <c r="L88" s="36" t="n">
        <f aca="false">SQRT(J88^2+K88^2)</f>
        <v>1.91117906752088</v>
      </c>
      <c r="M88" s="47" t="n">
        <f aca="false">IF(G88="","",MAX(0,G88-1.96*L88/100))</f>
        <v>0.314351207482615</v>
      </c>
      <c r="N88" s="47" t="n">
        <f aca="false">IF(G88="","",MIN(1,G88+1.96*L88/100))</f>
        <v>0.389269426929433</v>
      </c>
      <c r="O88" s="66" t="n">
        <f aca="false">ROUND(S88*W88,0)</f>
        <v>152</v>
      </c>
      <c r="P88" s="66" t="n">
        <f aca="false">IF(F88="","",ROUND(SQRT((F88*L88/100)^2+(G88*O88)^2),0))</f>
        <v>80</v>
      </c>
      <c r="R88" s="67" t="n">
        <v>-7.34562230208933</v>
      </c>
      <c r="S88" s="68" t="n">
        <f aca="false">U88*V88*$F$5</f>
        <v>3121.34219409283</v>
      </c>
      <c r="T88" s="69" t="n">
        <f aca="false">MAX(0,MIN(1,R88/100+$D$5))</f>
        <v>0.351709996973478</v>
      </c>
      <c r="U88" s="69" t="n">
        <v>0.648523206751055</v>
      </c>
      <c r="V88" s="68" t="n">
        <v>4813</v>
      </c>
      <c r="W88" s="69" t="n">
        <v>0.0485820274397165</v>
      </c>
      <c r="X88" s="70" t="s">
        <v>214</v>
      </c>
      <c r="Y88" s="70" t="s">
        <v>194</v>
      </c>
    </row>
    <row r="89" customFormat="false" ht="15" hidden="false" customHeight="false" outlineLevel="0" collapsed="false">
      <c r="A89" s="32" t="s">
        <v>249</v>
      </c>
      <c r="B89" s="32" t="s">
        <v>274</v>
      </c>
      <c r="C89" s="32" t="s">
        <v>191</v>
      </c>
      <c r="D89" s="66" t="n">
        <f aca="false">ROUND(S89*T89,0)</f>
        <v>68</v>
      </c>
      <c r="E89" s="66" t="n">
        <f aca="false">ROUND(S89,0)-D89</f>
        <v>128</v>
      </c>
      <c r="F89" s="66" t="n">
        <f aca="false">IF(COUNTA(D89:E89)=0,"",SUM(D89:E89))</f>
        <v>196</v>
      </c>
      <c r="G89" s="47" t="n">
        <f aca="false">IF(OR(F89="",F89=0),"",D89/F89)</f>
        <v>0.346938775510204</v>
      </c>
      <c r="H89" s="47" t="n">
        <f aca="false">IF(OR(F89="",F89=0),"",E89/F89)</f>
        <v>0.653061224489796</v>
      </c>
      <c r="I89" s="32" t="s">
        <v>192</v>
      </c>
      <c r="J89" s="36" t="n">
        <v>2.73724997661239</v>
      </c>
      <c r="K89" s="36" t="n">
        <f aca="false">$K$8</f>
        <v>1.02521134994605</v>
      </c>
      <c r="L89" s="36" t="n">
        <f aca="false">SQRT(J89^2+K89^2)</f>
        <v>2.92294299405971</v>
      </c>
      <c r="M89" s="47" t="n">
        <f aca="false">IF(G89="","",MAX(0,G89-1.96*L89/100))</f>
        <v>0.289649092826634</v>
      </c>
      <c r="N89" s="47" t="n">
        <f aca="false">IF(G89="","",MIN(1,G89+1.96*L89/100))</f>
        <v>0.404228458193774</v>
      </c>
      <c r="O89" s="66" t="n">
        <f aca="false">ROUND(S89*W89,0)</f>
        <v>14</v>
      </c>
      <c r="P89" s="66" t="n">
        <f aca="false">IF(F89="","",ROUND(SQRT((F89*L89/100)^2+(G89*O89)^2),0))</f>
        <v>8</v>
      </c>
      <c r="R89" s="67" t="n">
        <v>-7.86810700900281</v>
      </c>
      <c r="S89" s="68" t="n">
        <f aca="false">U89*V89*$F$5</f>
        <v>196.10298102981</v>
      </c>
      <c r="T89" s="69" t="n">
        <f aca="false">MAX(0,MIN(1,R89/100+$D$5))</f>
        <v>0.346485149904344</v>
      </c>
      <c r="U89" s="69" t="n">
        <v>0.525745257452575</v>
      </c>
      <c r="V89" s="68" t="n">
        <v>373</v>
      </c>
      <c r="W89" s="69" t="n">
        <v>0.0732058935918866</v>
      </c>
      <c r="X89" s="70" t="s">
        <v>193</v>
      </c>
      <c r="Y89" s="70" t="s">
        <v>194</v>
      </c>
    </row>
    <row r="90" customFormat="false" ht="15" hidden="false" customHeight="false" outlineLevel="0" collapsed="false">
      <c r="A90" s="32" t="s">
        <v>249</v>
      </c>
      <c r="B90" s="32" t="s">
        <v>275</v>
      </c>
      <c r="C90" s="32" t="s">
        <v>191</v>
      </c>
      <c r="D90" s="66" t="n">
        <f aca="false">ROUND(S90*T90,0)</f>
        <v>256</v>
      </c>
      <c r="E90" s="66" t="n">
        <f aca="false">ROUND(S90,0)-D90</f>
        <v>428</v>
      </c>
      <c r="F90" s="66" t="n">
        <f aca="false">IF(COUNTA(D90:E90)=0,"",SUM(D90:E90))</f>
        <v>684</v>
      </c>
      <c r="G90" s="47" t="n">
        <f aca="false">IF(OR(F90="",F90=0),"",D90/F90)</f>
        <v>0.374269005847953</v>
      </c>
      <c r="H90" s="47" t="n">
        <f aca="false">IF(OR(F90="",F90=0),"",E90/F90)</f>
        <v>0.625730994152047</v>
      </c>
      <c r="I90" s="32" t="s">
        <v>192</v>
      </c>
      <c r="J90" s="36" t="n">
        <v>2.73724997661239</v>
      </c>
      <c r="K90" s="36" t="n">
        <f aca="false">$K$8</f>
        <v>1.02521134994605</v>
      </c>
      <c r="L90" s="36" t="n">
        <f aca="false">SQRT(J90^2+K90^2)</f>
        <v>2.92294299405971</v>
      </c>
      <c r="M90" s="47" t="n">
        <f aca="false">IF(G90="","",MAX(0,G90-1.96*L90/100))</f>
        <v>0.316979323164383</v>
      </c>
      <c r="N90" s="47" t="n">
        <f aca="false">IF(G90="","",MIN(1,G90+1.96*L90/100))</f>
        <v>0.431558688531523</v>
      </c>
      <c r="O90" s="66" t="n">
        <f aca="false">ROUND(S90*W90,0)</f>
        <v>50</v>
      </c>
      <c r="P90" s="66" t="n">
        <f aca="false">IF(F90="","",ROUND(SQRT((F90*L90/100)^2+(G90*O90)^2),0))</f>
        <v>27</v>
      </c>
      <c r="R90" s="67" t="n">
        <v>-5.01538609428128</v>
      </c>
      <c r="S90" s="68" t="n">
        <f aca="false">U90*V90*$F$5</f>
        <v>683.952941176471</v>
      </c>
      <c r="T90" s="69" t="n">
        <f aca="false">MAX(0,MIN(1,R90/100+$D$5))</f>
        <v>0.375012359051559</v>
      </c>
      <c r="U90" s="69" t="n">
        <v>0.568067226890756</v>
      </c>
      <c r="V90" s="68" t="n">
        <v>1204</v>
      </c>
      <c r="W90" s="69" t="n">
        <v>0.0732058935918866</v>
      </c>
      <c r="X90" s="70" t="s">
        <v>193</v>
      </c>
      <c r="Y90" s="70" t="s">
        <v>194</v>
      </c>
    </row>
    <row r="91" customFormat="false" ht="15" hidden="false" customHeight="false" outlineLevel="0" collapsed="false">
      <c r="A91" s="32" t="s">
        <v>249</v>
      </c>
      <c r="B91" s="32" t="s">
        <v>276</v>
      </c>
      <c r="C91" s="32" t="s">
        <v>191</v>
      </c>
      <c r="D91" s="66" t="n">
        <f aca="false">ROUND(S91*T91,0)</f>
        <v>159</v>
      </c>
      <c r="E91" s="66" t="n">
        <f aca="false">ROUND(S91,0)-D91</f>
        <v>230</v>
      </c>
      <c r="F91" s="66" t="n">
        <f aca="false">IF(COUNTA(D91:E91)=0,"",SUM(D91:E91))</f>
        <v>389</v>
      </c>
      <c r="G91" s="47" t="n">
        <f aca="false">IF(OR(F91="",F91=0),"",D91/F91)</f>
        <v>0.408740359897172</v>
      </c>
      <c r="H91" s="47" t="n">
        <f aca="false">IF(OR(F91="",F91=0),"",E91/F91)</f>
        <v>0.591259640102828</v>
      </c>
      <c r="I91" s="32" t="s">
        <v>192</v>
      </c>
      <c r="J91" s="36" t="n">
        <v>2.73724997661239</v>
      </c>
      <c r="K91" s="36" t="n">
        <f aca="false">$K$8</f>
        <v>1.02521134994605</v>
      </c>
      <c r="L91" s="36" t="n">
        <f aca="false">SQRT(J91^2+K91^2)</f>
        <v>2.92294299405971</v>
      </c>
      <c r="M91" s="47" t="n">
        <f aca="false">IF(G91="","",MAX(0,G91-1.96*L91/100))</f>
        <v>0.351450677213602</v>
      </c>
      <c r="N91" s="47" t="n">
        <f aca="false">IF(G91="","",MIN(1,G91+1.96*L91/100))</f>
        <v>0.466030042580743</v>
      </c>
      <c r="O91" s="66" t="n">
        <f aca="false">ROUND(S91*W91,0)</f>
        <v>28</v>
      </c>
      <c r="P91" s="66" t="n">
        <f aca="false">IF(F91="","",ROUND(SQRT((F91*L91/100)^2+(G91*O91)^2),0))</f>
        <v>16</v>
      </c>
      <c r="R91" s="67" t="n">
        <v>-1.62374810237364</v>
      </c>
      <c r="S91" s="68" t="n">
        <f aca="false">U91*V91*$F$5</f>
        <v>388.819749216301</v>
      </c>
      <c r="T91" s="69" t="n">
        <f aca="false">MAX(0,MIN(1,R91/100+$D$5))</f>
        <v>0.408928738970635</v>
      </c>
      <c r="U91" s="69" t="n">
        <v>0.606583072100314</v>
      </c>
      <c r="V91" s="68" t="n">
        <v>641</v>
      </c>
      <c r="W91" s="69" t="n">
        <v>0.0732058935918866</v>
      </c>
      <c r="X91" s="70" t="s">
        <v>193</v>
      </c>
      <c r="Y91" s="70" t="s">
        <v>194</v>
      </c>
    </row>
    <row r="92" customFormat="false" ht="15" hidden="false" customHeight="false" outlineLevel="0" collapsed="false">
      <c r="A92" s="32" t="s">
        <v>249</v>
      </c>
      <c r="B92" s="32" t="s">
        <v>277</v>
      </c>
      <c r="C92" s="32" t="s">
        <v>191</v>
      </c>
      <c r="D92" s="66" t="n">
        <f aca="false">ROUND(S92*T92,0)</f>
        <v>252</v>
      </c>
      <c r="E92" s="66" t="n">
        <f aca="false">ROUND(S92,0)-D92</f>
        <v>350</v>
      </c>
      <c r="F92" s="66" t="n">
        <f aca="false">IF(COUNTA(D92:E92)=0,"",SUM(D92:E92))</f>
        <v>602</v>
      </c>
      <c r="G92" s="47" t="n">
        <f aca="false">IF(OR(F92="",F92=0),"",D92/F92)</f>
        <v>0.418604651162791</v>
      </c>
      <c r="H92" s="47" t="n">
        <f aca="false">IF(OR(F92="",F92=0),"",E92/F92)</f>
        <v>0.581395348837209</v>
      </c>
      <c r="I92" s="32" t="s">
        <v>192</v>
      </c>
      <c r="J92" s="36" t="n">
        <v>2.73724997661239</v>
      </c>
      <c r="K92" s="36" t="n">
        <f aca="false">$K$8</f>
        <v>1.02521134994605</v>
      </c>
      <c r="L92" s="36" t="n">
        <f aca="false">SQRT(J92^2+K92^2)</f>
        <v>2.92294299405971</v>
      </c>
      <c r="M92" s="47" t="n">
        <f aca="false">IF(G92="","",MAX(0,G92-1.96*L92/100))</f>
        <v>0.36131496847922</v>
      </c>
      <c r="N92" s="47" t="n">
        <f aca="false">IF(G92="","",MIN(1,G92+1.96*L92/100))</f>
        <v>0.475894333846361</v>
      </c>
      <c r="O92" s="66" t="n">
        <f aca="false">ROUND(S92*W92,0)</f>
        <v>44</v>
      </c>
      <c r="P92" s="66" t="n">
        <f aca="false">IF(F92="","",ROUND(SQRT((F92*L92/100)^2+(G92*O92)^2),0))</f>
        <v>25</v>
      </c>
      <c r="R92" s="67" t="n">
        <v>-0.587441505129238</v>
      </c>
      <c r="S92" s="68" t="n">
        <f aca="false">U92*V92*$F$5</f>
        <v>602.07868852459</v>
      </c>
      <c r="T92" s="69" t="n">
        <f aca="false">MAX(0,MIN(1,R92/100+$D$5))</f>
        <v>0.419291804943079</v>
      </c>
      <c r="U92" s="69" t="n">
        <v>0.613114754098361</v>
      </c>
      <c r="V92" s="68" t="n">
        <v>982</v>
      </c>
      <c r="W92" s="69" t="n">
        <v>0.0732058935918866</v>
      </c>
      <c r="X92" s="70" t="s">
        <v>193</v>
      </c>
      <c r="Y92" s="70" t="s">
        <v>194</v>
      </c>
    </row>
    <row r="93" customFormat="false" ht="15" hidden="false" customHeight="false" outlineLevel="0" collapsed="false">
      <c r="A93" s="32" t="s">
        <v>249</v>
      </c>
      <c r="B93" s="32" t="s">
        <v>278</v>
      </c>
      <c r="C93" s="32" t="s">
        <v>191</v>
      </c>
      <c r="D93" s="66" t="n">
        <f aca="false">ROUND(S93*T93,0)</f>
        <v>1008</v>
      </c>
      <c r="E93" s="66" t="n">
        <f aca="false">ROUND(S93,0)-D93</f>
        <v>2138</v>
      </c>
      <c r="F93" s="66" t="n">
        <f aca="false">IF(COUNTA(D93:E93)=0,"",SUM(D93:E93))</f>
        <v>3146</v>
      </c>
      <c r="G93" s="47" t="n">
        <f aca="false">IF(OR(F93="",F93=0),"",D93/F93)</f>
        <v>0.320406865861411</v>
      </c>
      <c r="H93" s="47" t="n">
        <f aca="false">IF(OR(F93="",F93=0),"",E93/F93)</f>
        <v>0.679593134138589</v>
      </c>
      <c r="I93" s="32" t="s">
        <v>192</v>
      </c>
      <c r="J93" s="36" t="n">
        <v>1.61293121864256</v>
      </c>
      <c r="K93" s="36" t="n">
        <f aca="false">$K$8</f>
        <v>1.02521134994605</v>
      </c>
      <c r="L93" s="36" t="n">
        <f aca="false">SQRT(J93^2+K93^2)</f>
        <v>1.91117906752088</v>
      </c>
      <c r="M93" s="47" t="n">
        <f aca="false">IF(G93="","",MAX(0,G93-1.96*L93/100))</f>
        <v>0.282947756138002</v>
      </c>
      <c r="N93" s="47" t="n">
        <f aca="false">IF(G93="","",MIN(1,G93+1.96*L93/100))</f>
        <v>0.357865975584821</v>
      </c>
      <c r="O93" s="66" t="n">
        <f aca="false">ROUND(S93*W93,0)</f>
        <v>153</v>
      </c>
      <c r="P93" s="66" t="n">
        <f aca="false">IF(F93="","",ROUND(SQRT((F93*L93/100)^2+(G93*O93)^2),0))</f>
        <v>78</v>
      </c>
      <c r="R93" s="67" t="n">
        <v>-10.4779210691639</v>
      </c>
      <c r="S93" s="68" t="n">
        <f aca="false">U93*V93*$F$5</f>
        <v>3146.26275765459</v>
      </c>
      <c r="T93" s="69" t="n">
        <f aca="false">MAX(0,MIN(1,R93/100+$D$5))</f>
        <v>0.320387009302732</v>
      </c>
      <c r="U93" s="69" t="n">
        <v>0.625375225135081</v>
      </c>
      <c r="V93" s="68" t="n">
        <v>5031</v>
      </c>
      <c r="W93" s="69" t="n">
        <v>0.0485820274397165</v>
      </c>
      <c r="X93" s="70" t="s">
        <v>214</v>
      </c>
      <c r="Y93" s="70" t="s">
        <v>194</v>
      </c>
    </row>
    <row r="94" customFormat="false" ht="15" hidden="false" customHeight="false" outlineLevel="0" collapsed="false">
      <c r="A94" s="32" t="s">
        <v>249</v>
      </c>
      <c r="B94" s="32" t="s">
        <v>279</v>
      </c>
      <c r="C94" s="32" t="s">
        <v>191</v>
      </c>
      <c r="D94" s="66" t="n">
        <f aca="false">ROUND(S94*T94,0)</f>
        <v>1591</v>
      </c>
      <c r="E94" s="66" t="n">
        <f aca="false">ROUND(S94,0)-D94</f>
        <v>1686</v>
      </c>
      <c r="F94" s="66" t="n">
        <f aca="false">IF(COUNTA(D94:E94)=0,"",SUM(D94:E94))</f>
        <v>3277</v>
      </c>
      <c r="G94" s="47" t="n">
        <f aca="false">IF(OR(F94="",F94=0),"",D94/F94)</f>
        <v>0.485505035093073</v>
      </c>
      <c r="H94" s="47" t="n">
        <f aca="false">IF(OR(F94="",F94=0),"",E94/F94)</f>
        <v>0.514494964906927</v>
      </c>
      <c r="I94" s="32" t="s">
        <v>192</v>
      </c>
      <c r="J94" s="36" t="n">
        <v>1.61293121864256</v>
      </c>
      <c r="K94" s="36" t="n">
        <f aca="false">$K$8</f>
        <v>1.02521134994605</v>
      </c>
      <c r="L94" s="36" t="n">
        <f aca="false">SQRT(J94^2+K94^2)</f>
        <v>1.91117906752088</v>
      </c>
      <c r="M94" s="47" t="n">
        <f aca="false">IF(G94="","",MAX(0,G94-1.96*L94/100))</f>
        <v>0.448045925369664</v>
      </c>
      <c r="N94" s="47" t="n">
        <f aca="false">IF(G94="","",MIN(1,G94+1.96*L94/100))</f>
        <v>0.522964144816482</v>
      </c>
      <c r="O94" s="66" t="n">
        <f aca="false">ROUND(S94*W94,0)</f>
        <v>159</v>
      </c>
      <c r="P94" s="66" t="n">
        <f aca="false">IF(F94="","",ROUND(SQRT((F94*L94/100)^2+(G94*O94)^2),0))</f>
        <v>99</v>
      </c>
      <c r="R94" s="67" t="n">
        <v>6.01413603708692</v>
      </c>
      <c r="S94" s="68" t="n">
        <f aca="false">U94*V94*$F$5</f>
        <v>3277.36336396324</v>
      </c>
      <c r="T94" s="69" t="n">
        <f aca="false">MAX(0,MIN(1,R94/100+$D$5))</f>
        <v>0.485307580365241</v>
      </c>
      <c r="U94" s="69" t="n">
        <v>0.631841789852177</v>
      </c>
      <c r="V94" s="68" t="n">
        <v>5187</v>
      </c>
      <c r="W94" s="69" t="n">
        <v>0.0485820274397165</v>
      </c>
      <c r="X94" s="70" t="s">
        <v>214</v>
      </c>
      <c r="Y94" s="70" t="s">
        <v>194</v>
      </c>
    </row>
    <row r="95" customFormat="false" ht="15" hidden="false" customHeight="false" outlineLevel="0" collapsed="false">
      <c r="A95" s="32" t="s">
        <v>249</v>
      </c>
      <c r="B95" s="32" t="s">
        <v>280</v>
      </c>
      <c r="C95" s="32" t="s">
        <v>191</v>
      </c>
      <c r="D95" s="66" t="n">
        <f aca="false">ROUND(S95*T95,0)</f>
        <v>312</v>
      </c>
      <c r="E95" s="66" t="n">
        <f aca="false">ROUND(S95,0)-D95</f>
        <v>449</v>
      </c>
      <c r="F95" s="66" t="n">
        <f aca="false">IF(COUNTA(D95:E95)=0,"",SUM(D95:E95))</f>
        <v>761</v>
      </c>
      <c r="G95" s="47" t="n">
        <f aca="false">IF(OR(F95="",F95=0),"",D95/F95)</f>
        <v>0.409986859395532</v>
      </c>
      <c r="H95" s="47" t="n">
        <f aca="false">IF(OR(F95="",F95=0),"",E95/F95)</f>
        <v>0.590013140604468</v>
      </c>
      <c r="I95" s="32" t="s">
        <v>192</v>
      </c>
      <c r="J95" s="36" t="n">
        <v>2.73724997661239</v>
      </c>
      <c r="K95" s="36" t="n">
        <f aca="false">$K$8</f>
        <v>1.02521134994605</v>
      </c>
      <c r="L95" s="36" t="n">
        <f aca="false">SQRT(J95^2+K95^2)</f>
        <v>2.92294299405971</v>
      </c>
      <c r="M95" s="47" t="n">
        <f aca="false">IF(G95="","",MAX(0,G95-1.96*L95/100))</f>
        <v>0.352697176711962</v>
      </c>
      <c r="N95" s="47" t="n">
        <f aca="false">IF(G95="","",MIN(1,G95+1.96*L95/100))</f>
        <v>0.467276542079102</v>
      </c>
      <c r="O95" s="66" t="n">
        <f aca="false">ROUND(S95*W95,0)</f>
        <v>56</v>
      </c>
      <c r="P95" s="66" t="n">
        <f aca="false">IF(F95="","",ROUND(SQRT((F95*L95/100)^2+(G95*O95)^2),0))</f>
        <v>32</v>
      </c>
      <c r="R95" s="67" t="n">
        <v>-1.56156669744801</v>
      </c>
      <c r="S95" s="68" t="n">
        <f aca="false">U95*V95*$F$5</f>
        <v>761.429837518464</v>
      </c>
      <c r="T95" s="69" t="n">
        <f aca="false">MAX(0,MIN(1,R95/100+$D$5))</f>
        <v>0.409550553019891</v>
      </c>
      <c r="U95" s="69" t="n">
        <v>0.534711964549483</v>
      </c>
      <c r="V95" s="68" t="n">
        <v>1424</v>
      </c>
      <c r="W95" s="69" t="n">
        <v>0.0732058935918866</v>
      </c>
      <c r="X95" s="70" t="s">
        <v>193</v>
      </c>
      <c r="Y95" s="70" t="s">
        <v>194</v>
      </c>
    </row>
    <row r="96" customFormat="false" ht="15" hidden="false" customHeight="false" outlineLevel="0" collapsed="false">
      <c r="A96" s="32" t="s">
        <v>249</v>
      </c>
      <c r="B96" s="32" t="s">
        <v>242</v>
      </c>
      <c r="C96" s="32" t="s">
        <v>191</v>
      </c>
      <c r="D96" s="66" t="n">
        <f aca="false">ROUND(S96*T96,0)</f>
        <v>814</v>
      </c>
      <c r="E96" s="66" t="n">
        <f aca="false">ROUND(S96,0)-D96</f>
        <v>1573</v>
      </c>
      <c r="F96" s="66" t="n">
        <f aca="false">IF(COUNTA(D96:E96)=0,"",SUM(D96:E96))</f>
        <v>2387</v>
      </c>
      <c r="G96" s="47" t="n">
        <f aca="false">IF(OR(F96="",F96=0),"",D96/F96)</f>
        <v>0.341013824884793</v>
      </c>
      <c r="H96" s="47" t="n">
        <f aca="false">IF(OR(F96="",F96=0),"",E96/F96)</f>
        <v>0.658986175115207</v>
      </c>
      <c r="I96" s="32" t="s">
        <v>192</v>
      </c>
      <c r="J96" s="36" t="n">
        <v>1.72069707213054</v>
      </c>
      <c r="K96" s="36" t="n">
        <f aca="false">$K$8</f>
        <v>1.02521134994605</v>
      </c>
      <c r="L96" s="36" t="n">
        <f aca="false">SQRT(J96^2+K96^2)</f>
        <v>2.00296198818071</v>
      </c>
      <c r="M96" s="47" t="n">
        <f aca="false">IF(G96="","",MAX(0,G96-1.96*L96/100))</f>
        <v>0.301755769916451</v>
      </c>
      <c r="N96" s="47" t="n">
        <f aca="false">IF(G96="","",MIN(1,G96+1.96*L96/100))</f>
        <v>0.380271879853135</v>
      </c>
      <c r="O96" s="66" t="n">
        <f aca="false">ROUND(S96*W96,0)</f>
        <v>131</v>
      </c>
      <c r="P96" s="66" t="n">
        <f aca="false">IF(F96="","",ROUND(SQRT((F96*L96/100)^2+(G96*O96)^2),0))</f>
        <v>65</v>
      </c>
      <c r="R96" s="67" t="n">
        <v>-8.40382011685485</v>
      </c>
      <c r="S96" s="68" t="n">
        <f aca="false">U96*V96*$F$5</f>
        <v>2386.68081761006</v>
      </c>
      <c r="T96" s="69" t="n">
        <f aca="false">MAX(0,MIN(1,R96/100+$D$5))</f>
        <v>0.341128018825823</v>
      </c>
      <c r="U96" s="69" t="n">
        <v>0.62185534591195</v>
      </c>
      <c r="V96" s="68" t="n">
        <v>3838</v>
      </c>
      <c r="W96" s="69" t="n">
        <v>0.0547268472736556</v>
      </c>
      <c r="X96" s="70" t="s">
        <v>198</v>
      </c>
      <c r="Y96" s="70" t="s">
        <v>194</v>
      </c>
    </row>
    <row r="97" customFormat="false" ht="15" hidden="false" customHeight="false" outlineLevel="0" collapsed="false">
      <c r="A97" s="32" t="s">
        <v>249</v>
      </c>
      <c r="B97" s="32" t="s">
        <v>281</v>
      </c>
      <c r="C97" s="32" t="s">
        <v>191</v>
      </c>
      <c r="D97" s="66" t="n">
        <f aca="false">ROUND(S97*T97,0)</f>
        <v>210</v>
      </c>
      <c r="E97" s="66" t="n">
        <f aca="false">ROUND(S97,0)-D97</f>
        <v>228</v>
      </c>
      <c r="F97" s="66" t="n">
        <f aca="false">IF(COUNTA(D97:E97)=0,"",SUM(D97:E97))</f>
        <v>438</v>
      </c>
      <c r="G97" s="47" t="n">
        <f aca="false">IF(OR(F97="",F97=0),"",D97/F97)</f>
        <v>0.479452054794521</v>
      </c>
      <c r="H97" s="47" t="n">
        <f aca="false">IF(OR(F97="",F97=0),"",E97/F97)</f>
        <v>0.520547945205479</v>
      </c>
      <c r="I97" s="32" t="s">
        <v>192</v>
      </c>
      <c r="J97" s="36" t="n">
        <v>2.73724997661239</v>
      </c>
      <c r="K97" s="36" t="n">
        <f aca="false">$K$8</f>
        <v>1.02521134994605</v>
      </c>
      <c r="L97" s="36" t="n">
        <f aca="false">SQRT(J97^2+K97^2)</f>
        <v>2.92294299405971</v>
      </c>
      <c r="M97" s="47" t="n">
        <f aca="false">IF(G97="","",MAX(0,G97-1.96*L97/100))</f>
        <v>0.42216237211095</v>
      </c>
      <c r="N97" s="47" t="n">
        <f aca="false">IF(G97="","",MIN(1,G97+1.96*L97/100))</f>
        <v>0.536741737478091</v>
      </c>
      <c r="O97" s="66" t="n">
        <f aca="false">ROUND(S97*W97,0)</f>
        <v>32</v>
      </c>
      <c r="P97" s="66" t="n">
        <f aca="false">IF(F97="","",ROUND(SQRT((F97*L97/100)^2+(G97*O97)^2),0))</f>
        <v>20</v>
      </c>
      <c r="R97" s="67" t="n">
        <v>5.3335337453384</v>
      </c>
      <c r="S97" s="68" t="n">
        <f aca="false">U97*V97*$F$5</f>
        <v>438.292134831461</v>
      </c>
      <c r="T97" s="69" t="n">
        <f aca="false">MAX(0,MIN(1,R97/100+$D$5))</f>
        <v>0.478501557447756</v>
      </c>
      <c r="U97" s="69" t="n">
        <v>0.51685393258427</v>
      </c>
      <c r="V97" s="68" t="n">
        <v>848</v>
      </c>
      <c r="W97" s="69" t="n">
        <v>0.0732058935918866</v>
      </c>
      <c r="X97" s="70" t="s">
        <v>193</v>
      </c>
      <c r="Y97" s="70" t="s">
        <v>194</v>
      </c>
    </row>
    <row r="98" customFormat="false" ht="15" hidden="false" customHeight="false" outlineLevel="0" collapsed="false">
      <c r="A98" s="32" t="s">
        <v>249</v>
      </c>
      <c r="B98" s="32" t="s">
        <v>282</v>
      </c>
      <c r="C98" s="32" t="s">
        <v>191</v>
      </c>
      <c r="D98" s="66" t="n">
        <f aca="false">ROUND(S98*T98,0)</f>
        <v>1438</v>
      </c>
      <c r="E98" s="66" t="n">
        <f aca="false">ROUND(S98,0)-D98</f>
        <v>1928</v>
      </c>
      <c r="F98" s="66" t="n">
        <f aca="false">IF(COUNTA(D98:E98)=0,"",SUM(D98:E98))</f>
        <v>3366</v>
      </c>
      <c r="G98" s="47" t="n">
        <f aca="false">IF(OR(F98="",F98=0),"",D98/F98)</f>
        <v>0.427213309566251</v>
      </c>
      <c r="H98" s="47" t="n">
        <f aca="false">IF(OR(F98="",F98=0),"",E98/F98)</f>
        <v>0.572786690433749</v>
      </c>
      <c r="I98" s="32" t="s">
        <v>192</v>
      </c>
      <c r="J98" s="36" t="n">
        <v>1.61293121864256</v>
      </c>
      <c r="K98" s="36" t="n">
        <f aca="false">$K$8</f>
        <v>1.02521134994605</v>
      </c>
      <c r="L98" s="36" t="n">
        <f aca="false">SQRT(J98^2+K98^2)</f>
        <v>1.91117906752088</v>
      </c>
      <c r="M98" s="47" t="n">
        <f aca="false">IF(G98="","",MAX(0,G98-1.96*L98/100))</f>
        <v>0.389754199842842</v>
      </c>
      <c r="N98" s="47" t="n">
        <f aca="false">IF(G98="","",MIN(1,G98+1.96*L98/100))</f>
        <v>0.46467241928966</v>
      </c>
      <c r="O98" s="66" t="n">
        <f aca="false">ROUND(S98*W98,0)</f>
        <v>164</v>
      </c>
      <c r="P98" s="66" t="n">
        <f aca="false">IF(F98="","",ROUND(SQRT((F98*L98/100)^2+(G98*O98)^2),0))</f>
        <v>95</v>
      </c>
      <c r="R98" s="67" t="n">
        <v>0.204769596963657</v>
      </c>
      <c r="S98" s="68" t="n">
        <f aca="false">U98*V98*$F$5</f>
        <v>3365.72741078208</v>
      </c>
      <c r="T98" s="69" t="n">
        <f aca="false">MAX(0,MIN(1,R98/100+$D$5))</f>
        <v>0.427213915964008</v>
      </c>
      <c r="U98" s="69" t="n">
        <v>0.629460895975702</v>
      </c>
      <c r="V98" s="68" t="n">
        <v>5347</v>
      </c>
      <c r="W98" s="69" t="n">
        <v>0.0485820274397165</v>
      </c>
      <c r="X98" s="70" t="s">
        <v>214</v>
      </c>
      <c r="Y98" s="70" t="s">
        <v>194</v>
      </c>
    </row>
    <row r="99" customFormat="false" ht="15" hidden="false" customHeight="false" outlineLevel="0" collapsed="false">
      <c r="A99" s="32" t="s">
        <v>249</v>
      </c>
      <c r="B99" s="32" t="s">
        <v>283</v>
      </c>
      <c r="C99" s="32" t="s">
        <v>191</v>
      </c>
      <c r="D99" s="66" t="n">
        <f aca="false">ROUND(S99*T99,0)</f>
        <v>1307</v>
      </c>
      <c r="E99" s="66" t="n">
        <f aca="false">ROUND(S99,0)-D99</f>
        <v>1043</v>
      </c>
      <c r="F99" s="66" t="n">
        <f aca="false">IF(COUNTA(D99:E99)=0,"",SUM(D99:E99))</f>
        <v>2350</v>
      </c>
      <c r="G99" s="47" t="n">
        <f aca="false">IF(OR(F99="",F99=0),"",D99/F99)</f>
        <v>0.556170212765958</v>
      </c>
      <c r="H99" s="47" t="n">
        <f aca="false">IF(OR(F99="",F99=0),"",E99/F99)</f>
        <v>0.443829787234043</v>
      </c>
      <c r="I99" s="32" t="s">
        <v>192</v>
      </c>
      <c r="J99" s="36" t="n">
        <v>1.72069707213054</v>
      </c>
      <c r="K99" s="36" t="n">
        <f aca="false">$K$8</f>
        <v>1.02521134994605</v>
      </c>
      <c r="L99" s="36" t="n">
        <f aca="false">SQRT(J99^2+K99^2)</f>
        <v>2.00296198818071</v>
      </c>
      <c r="M99" s="47" t="n">
        <f aca="false">IF(G99="","",MAX(0,G99-1.96*L99/100))</f>
        <v>0.516912157797616</v>
      </c>
      <c r="N99" s="47" t="n">
        <f aca="false">IF(G99="","",MIN(1,G99+1.96*L99/100))</f>
        <v>0.595428267734299</v>
      </c>
      <c r="O99" s="66" t="n">
        <f aca="false">ROUND(S99*W99,0)</f>
        <v>129</v>
      </c>
      <c r="P99" s="66" t="n">
        <f aca="false">IF(F99="","",ROUND(SQRT((F99*L99/100)^2+(G99*O99)^2),0))</f>
        <v>86</v>
      </c>
      <c r="R99" s="67" t="n">
        <v>13.1150370164129</v>
      </c>
      <c r="S99" s="68" t="n">
        <f aca="false">U99*V99*$F$5</f>
        <v>2350.25573902537</v>
      </c>
      <c r="T99" s="69" t="n">
        <f aca="false">MAX(0,MIN(1,R99/100+$D$5))</f>
        <v>0.5563165901585</v>
      </c>
      <c r="U99" s="69" t="n">
        <v>0.461739830849779</v>
      </c>
      <c r="V99" s="68" t="n">
        <v>5090</v>
      </c>
      <c r="W99" s="69" t="n">
        <v>0.0547268472736556</v>
      </c>
      <c r="X99" s="70" t="s">
        <v>198</v>
      </c>
      <c r="Y99" s="70" t="s">
        <v>194</v>
      </c>
    </row>
    <row r="100" customFormat="false" ht="15" hidden="false" customHeight="false" outlineLevel="0" collapsed="false">
      <c r="A100" s="32" t="s">
        <v>249</v>
      </c>
      <c r="B100" s="32" t="s">
        <v>284</v>
      </c>
      <c r="C100" s="32" t="s">
        <v>191</v>
      </c>
      <c r="D100" s="66" t="n">
        <f aca="false">ROUND(S100*T100,0)</f>
        <v>492</v>
      </c>
      <c r="E100" s="66" t="n">
        <f aca="false">ROUND(S100,0)-D100</f>
        <v>653</v>
      </c>
      <c r="F100" s="66" t="n">
        <f aca="false">IF(COUNTA(D100:E100)=0,"",SUM(D100:E100))</f>
        <v>1145</v>
      </c>
      <c r="G100" s="47" t="n">
        <f aca="false">IF(OR(F100="",F100=0),"",D100/F100)</f>
        <v>0.429694323144105</v>
      </c>
      <c r="H100" s="47" t="n">
        <f aca="false">IF(OR(F100="",F100=0),"",E100/F100)</f>
        <v>0.570305676855895</v>
      </c>
      <c r="I100" s="32" t="s">
        <v>192</v>
      </c>
      <c r="J100" s="36" t="n">
        <v>2.73724997661239</v>
      </c>
      <c r="K100" s="36" t="n">
        <f aca="false">$K$8</f>
        <v>1.02521134994605</v>
      </c>
      <c r="L100" s="36" t="n">
        <f aca="false">SQRT(J100^2+K100^2)</f>
        <v>2.92294299405971</v>
      </c>
      <c r="M100" s="47" t="n">
        <f aca="false">IF(G100="","",MAX(0,G100-1.96*L100/100))</f>
        <v>0.372404640460535</v>
      </c>
      <c r="N100" s="47" t="n">
        <f aca="false">IF(G100="","",MIN(1,G100+1.96*L100/100))</f>
        <v>0.486984005827675</v>
      </c>
      <c r="O100" s="66" t="n">
        <f aca="false">ROUND(S100*W100,0)</f>
        <v>84</v>
      </c>
      <c r="P100" s="66" t="n">
        <f aca="false">IF(F100="","",ROUND(SQRT((F100*L100/100)^2+(G100*O100)^2),0))</f>
        <v>49</v>
      </c>
      <c r="R100" s="67" t="n">
        <v>0.432940196795686</v>
      </c>
      <c r="S100" s="68" t="n">
        <f aca="false">U100*V100*$F$5</f>
        <v>1145.48062775871</v>
      </c>
      <c r="T100" s="69" t="n">
        <f aca="false">MAX(0,MIN(1,R100/100+$D$5))</f>
        <v>0.429495621962328</v>
      </c>
      <c r="U100" s="69" t="n">
        <v>0.537027954879843</v>
      </c>
      <c r="V100" s="68" t="n">
        <v>2133</v>
      </c>
      <c r="W100" s="69" t="n">
        <v>0.0732058935918866</v>
      </c>
      <c r="X100" s="70" t="s">
        <v>193</v>
      </c>
      <c r="Y100" s="70" t="s">
        <v>194</v>
      </c>
    </row>
  </sheetData>
  <mergeCells count="4">
    <mergeCell ref="A3:I3"/>
    <mergeCell ref="A6:P6"/>
    <mergeCell ref="A9:P9"/>
    <mergeCell ref="A10:P10"/>
  </mergeCells>
  <conditionalFormatting sqref="G12:G100">
    <cfRule type="colorScale" priority="2">
      <colorScale>
        <cfvo type="num" val="0.25"/>
        <cfvo type="num" val="0.5"/>
        <cfvo type="num" val="0.75"/>
        <color rgb="FFF4B6B6"/>
        <color rgb="FFFFFFFF"/>
        <color rgb="FFB4C7E7"/>
      </colorScale>
    </cfRule>
  </conditionalFormatting>
  <conditionalFormatting sqref="A12:C100">
    <cfRule type="expression" priority="3" aboveAverage="0" equalAverage="0" bottom="0" percent="0" rank="0" text="" dxfId="0">
      <formula>AND($M12&lt;0.5,$N12&gt;0.5)</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legacyDrawing r:id="rId2"/>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H6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46"/>
    <col collapsed="false" customWidth="true" hidden="false" outlineLevel="0" max="2" min="2" style="0" width="16"/>
    <col collapsed="false" customWidth="true" hidden="false" outlineLevel="0" max="3" min="3" style="0" width="12"/>
    <col collapsed="false" customWidth="true" hidden="false" outlineLevel="0" max="4" min="4" style="0" width="44"/>
    <col collapsed="false" customWidth="true" hidden="false" outlineLevel="0" max="5" min="5" style="0" width="12"/>
    <col collapsed="false" customWidth="true" hidden="false" outlineLevel="0" max="6" min="6" style="0" width="44"/>
    <col collapsed="false" customWidth="true" hidden="false" outlineLevel="0" max="7" min="7" style="0" width="12"/>
  </cols>
  <sheetData>
    <row r="1" customFormat="false" ht="17.35" hidden="false" customHeight="false" outlineLevel="0" collapsed="false">
      <c r="A1" s="1" t="s">
        <v>289</v>
      </c>
    </row>
    <row r="3" customFormat="false" ht="15" hidden="false" customHeight="false" outlineLevel="0" collapsed="false">
      <c r="A3" s="5" t="s">
        <v>290</v>
      </c>
    </row>
    <row r="4" customFormat="false" ht="33.75" hidden="false" customHeight="true" outlineLevel="0" collapsed="false">
      <c r="A4" s="39" t="s">
        <v>291</v>
      </c>
      <c r="B4" s="39"/>
      <c r="C4" s="39"/>
      <c r="D4" s="39"/>
      <c r="E4" s="39"/>
      <c r="F4" s="39"/>
      <c r="G4" s="39"/>
      <c r="H4" s="39"/>
    </row>
    <row r="5" customFormat="false" ht="15" hidden="false" customHeight="false" outlineLevel="0" collapsed="false">
      <c r="A5" s="5" t="s">
        <v>292</v>
      </c>
    </row>
    <row r="6" customFormat="false" ht="33.75" hidden="false" customHeight="true" outlineLevel="0" collapsed="false">
      <c r="A6" s="39" t="s">
        <v>293</v>
      </c>
      <c r="B6" s="39"/>
      <c r="C6" s="39"/>
      <c r="D6" s="39"/>
      <c r="E6" s="39"/>
      <c r="F6" s="39"/>
      <c r="G6" s="39"/>
      <c r="H6" s="39"/>
    </row>
    <row r="7" customFormat="false" ht="15" hidden="false" customHeight="false" outlineLevel="0" collapsed="false">
      <c r="A7" s="5" t="s">
        <v>294</v>
      </c>
    </row>
    <row r="8" customFormat="false" ht="33.75" hidden="false" customHeight="true" outlineLevel="0" collapsed="false">
      <c r="A8" s="39" t="s">
        <v>295</v>
      </c>
      <c r="B8" s="39"/>
      <c r="C8" s="39"/>
      <c r="D8" s="39"/>
      <c r="E8" s="39"/>
      <c r="F8" s="39"/>
      <c r="G8" s="39"/>
      <c r="H8" s="39"/>
    </row>
    <row r="9" customFormat="false" ht="15" hidden="false" customHeight="false" outlineLevel="0" collapsed="false">
      <c r="A9" s="5" t="s">
        <v>296</v>
      </c>
    </row>
    <row r="10" customFormat="false" ht="33.75" hidden="false" customHeight="true" outlineLevel="0" collapsed="false">
      <c r="A10" s="39" t="s">
        <v>297</v>
      </c>
      <c r="B10" s="39"/>
      <c r="C10" s="39"/>
      <c r="D10" s="39"/>
      <c r="E10" s="39"/>
      <c r="F10" s="39"/>
      <c r="G10" s="39"/>
      <c r="H10" s="39"/>
    </row>
    <row r="11" customFormat="false" ht="15" hidden="false" customHeight="false" outlineLevel="0" collapsed="false">
      <c r="A11" s="5" t="s">
        <v>298</v>
      </c>
    </row>
    <row r="12" customFormat="false" ht="33.75" hidden="false" customHeight="true" outlineLevel="0" collapsed="false">
      <c r="A12" s="39" t="s">
        <v>299</v>
      </c>
      <c r="B12" s="39"/>
      <c r="C12" s="39"/>
      <c r="D12" s="39"/>
      <c r="E12" s="39"/>
      <c r="F12" s="39"/>
      <c r="G12" s="39"/>
      <c r="H12" s="39"/>
    </row>
    <row r="14" customFormat="false" ht="15" hidden="false" customHeight="false" outlineLevel="0" collapsed="false">
      <c r="A14" s="4" t="s">
        <v>300</v>
      </c>
      <c r="B14" s="4"/>
      <c r="C14" s="4"/>
      <c r="D14" s="4"/>
      <c r="E14" s="4"/>
      <c r="F14" s="4"/>
      <c r="G14" s="4"/>
      <c r="H14" s="4"/>
    </row>
    <row r="15" customFormat="false" ht="31.5" hidden="false" customHeight="true" outlineLevel="0" collapsed="false">
      <c r="A15" s="8" t="s">
        <v>301</v>
      </c>
      <c r="B15" s="8" t="s">
        <v>45</v>
      </c>
      <c r="C15" s="8" t="s">
        <v>47</v>
      </c>
      <c r="D15" s="8" t="s">
        <v>49</v>
      </c>
      <c r="E15" s="8" t="s">
        <v>302</v>
      </c>
    </row>
    <row r="16" customFormat="false" ht="15" hidden="false" customHeight="false" outlineLevel="0" collapsed="false">
      <c r="A16" s="49" t="s">
        <v>303</v>
      </c>
      <c r="B16" s="10" t="n">
        <v>0.000211586770227184</v>
      </c>
      <c r="C16" s="10" t="n">
        <v>0</v>
      </c>
      <c r="D16" s="10" t="n">
        <v>0.000212992250882142</v>
      </c>
      <c r="E16" s="53" t="n">
        <v>1</v>
      </c>
    </row>
    <row r="17" customFormat="false" ht="15" hidden="false" customHeight="false" outlineLevel="0" collapsed="false">
      <c r="A17" s="49" t="s">
        <v>304</v>
      </c>
      <c r="B17" s="10" t="n">
        <v>0.90828858223557</v>
      </c>
      <c r="C17" s="10" t="n">
        <v>0.954039110909598</v>
      </c>
      <c r="D17" s="10" t="n">
        <v>0.918836811322882</v>
      </c>
      <c r="E17" s="53" t="n">
        <v>1.00493792746493</v>
      </c>
    </row>
    <row r="18" customFormat="false" ht="15" hidden="false" customHeight="false" outlineLevel="0" collapsed="false">
      <c r="A18" s="49" t="s">
        <v>305</v>
      </c>
      <c r="B18" s="10" t="n">
        <v>0.0914998309942025</v>
      </c>
      <c r="C18" s="10" t="n">
        <v>0.0459608890904024</v>
      </c>
      <c r="D18" s="10" t="n">
        <v>0.0809501964262363</v>
      </c>
      <c r="E18" s="53" t="n">
        <v>0.87886530706045</v>
      </c>
    </row>
    <row r="19" customFormat="false" ht="15" hidden="false" customHeight="false" outlineLevel="0" collapsed="false">
      <c r="A19" s="3" t="s">
        <v>306</v>
      </c>
    </row>
    <row r="21" customFormat="false" ht="15" hidden="false" customHeight="false" outlineLevel="0" collapsed="false">
      <c r="A21" s="4" t="s">
        <v>307</v>
      </c>
      <c r="B21" s="4"/>
      <c r="C21" s="4"/>
      <c r="D21" s="4"/>
      <c r="E21" s="4"/>
      <c r="F21" s="4"/>
      <c r="G21" s="4"/>
      <c r="H21" s="4"/>
    </row>
    <row r="22" customFormat="false" ht="31.5" hidden="false" customHeight="true" outlineLevel="0" collapsed="false">
      <c r="A22" s="8" t="s">
        <v>308</v>
      </c>
      <c r="B22" s="8" t="s">
        <v>45</v>
      </c>
      <c r="C22" s="8" t="s">
        <v>309</v>
      </c>
      <c r="D22" s="8" t="s">
        <v>47</v>
      </c>
      <c r="E22" s="8" t="s">
        <v>309</v>
      </c>
      <c r="F22" s="8" t="s">
        <v>49</v>
      </c>
      <c r="G22" s="8" t="s">
        <v>309</v>
      </c>
    </row>
    <row r="23" customFormat="false" ht="15" hidden="false" customHeight="false" outlineLevel="0" collapsed="false">
      <c r="A23" s="9" t="n">
        <v>1</v>
      </c>
      <c r="B23" s="9" t="s">
        <v>310</v>
      </c>
      <c r="C23" s="10" t="n">
        <v>0.229041398515015</v>
      </c>
      <c r="D23" s="9" t="s">
        <v>310</v>
      </c>
      <c r="E23" s="10" t="n">
        <v>0.207834239695096</v>
      </c>
      <c r="F23" s="9" t="s">
        <v>310</v>
      </c>
      <c r="G23" s="10" t="n">
        <v>0.231701325315006</v>
      </c>
    </row>
    <row r="24" customFormat="false" ht="15" hidden="false" customHeight="false" outlineLevel="0" collapsed="false">
      <c r="A24" s="9" t="n">
        <v>2</v>
      </c>
      <c r="B24" s="9" t="s">
        <v>311</v>
      </c>
      <c r="C24" s="10" t="n">
        <v>0.152139243269157</v>
      </c>
      <c r="D24" s="9" t="s">
        <v>311</v>
      </c>
      <c r="E24" s="10" t="n">
        <v>0.187708337447619</v>
      </c>
      <c r="F24" s="9" t="s">
        <v>311</v>
      </c>
      <c r="G24" s="10" t="n">
        <v>0.153906082159968</v>
      </c>
    </row>
    <row r="25" customFormat="false" ht="15" hidden="false" customHeight="false" outlineLevel="0" collapsed="false">
      <c r="A25" s="9" t="n">
        <v>3</v>
      </c>
      <c r="B25" s="9" t="s">
        <v>312</v>
      </c>
      <c r="C25" s="10" t="n">
        <v>0.150281043427488</v>
      </c>
      <c r="D25" s="9" t="s">
        <v>312</v>
      </c>
      <c r="E25" s="10" t="n">
        <v>0.162403851250642</v>
      </c>
      <c r="F25" s="9" t="s">
        <v>312</v>
      </c>
      <c r="G25" s="10" t="n">
        <v>0.152026302483428</v>
      </c>
    </row>
    <row r="26" customFormat="false" ht="15" hidden="false" customHeight="false" outlineLevel="0" collapsed="false">
      <c r="A26" s="9" t="n">
        <v>4</v>
      </c>
      <c r="B26" s="9" t="s">
        <v>313</v>
      </c>
      <c r="C26" s="10" t="n">
        <v>0.100161530275892</v>
      </c>
      <c r="D26" s="9" t="s">
        <v>313</v>
      </c>
      <c r="E26" s="10" t="n">
        <v>0.118509280444592</v>
      </c>
      <c r="F26" s="9" t="s">
        <v>313</v>
      </c>
      <c r="G26" s="10" t="n">
        <v>0.101324736318277</v>
      </c>
    </row>
    <row r="27" customFormat="false" ht="15" hidden="false" customHeight="false" outlineLevel="0" collapsed="false">
      <c r="A27" s="9" t="n">
        <v>5</v>
      </c>
      <c r="B27" s="9" t="s">
        <v>314</v>
      </c>
      <c r="C27" s="10" t="n">
        <v>0.0813609926750044</v>
      </c>
      <c r="D27" s="9" t="s">
        <v>315</v>
      </c>
      <c r="E27" s="10" t="n">
        <v>0.105046417467704</v>
      </c>
      <c r="F27" s="9" t="s">
        <v>314</v>
      </c>
      <c r="G27" s="10" t="n">
        <v>0.0823058624072591</v>
      </c>
    </row>
    <row r="28" customFormat="false" ht="15" hidden="false" customHeight="false" outlineLevel="0" collapsed="false">
      <c r="A28" s="9" t="n">
        <v>6</v>
      </c>
      <c r="B28" s="9" t="s">
        <v>316</v>
      </c>
      <c r="C28" s="10" t="n">
        <v>0.0783904122454065</v>
      </c>
      <c r="D28" s="9" t="s">
        <v>314</v>
      </c>
      <c r="E28" s="10" t="n">
        <v>0.0942233528166358</v>
      </c>
      <c r="F28" s="9" t="s">
        <v>316</v>
      </c>
      <c r="G28" s="10" t="n">
        <v>0.0793007837317221</v>
      </c>
    </row>
    <row r="29" customFormat="false" ht="15" hidden="false" customHeight="false" outlineLevel="0" collapsed="false">
      <c r="A29" s="9" t="n">
        <v>7</v>
      </c>
      <c r="B29" s="9" t="s">
        <v>315</v>
      </c>
      <c r="C29" s="10" t="n">
        <v>0.0737065259468095</v>
      </c>
      <c r="D29" s="9" t="s">
        <v>316</v>
      </c>
      <c r="E29" s="10" t="n">
        <v>0.0783136317873089</v>
      </c>
      <c r="F29" s="9" t="s">
        <v>315</v>
      </c>
      <c r="G29" s="10" t="n">
        <v>0.0745625020496943</v>
      </c>
    </row>
    <row r="30" customFormat="false" ht="15" hidden="false" customHeight="false" outlineLevel="0" collapsed="false">
      <c r="A30" s="9" t="n">
        <v>8</v>
      </c>
      <c r="B30" s="9" t="s">
        <v>317</v>
      </c>
      <c r="C30" s="10" t="n">
        <v>0.0491045823231181</v>
      </c>
      <c r="D30" s="9" t="s">
        <v>317</v>
      </c>
      <c r="E30" s="10" t="n">
        <v>0.0459608890904024</v>
      </c>
      <c r="F30" s="9" t="s">
        <v>317</v>
      </c>
      <c r="G30" s="10" t="n">
        <v>0.0434429828043787</v>
      </c>
    </row>
    <row r="31" customFormat="false" ht="15" hidden="false" customHeight="false" outlineLevel="0" collapsed="false">
      <c r="A31" s="9" t="n">
        <v>9</v>
      </c>
      <c r="B31" s="9" t="s">
        <v>318</v>
      </c>
      <c r="C31" s="10" t="n">
        <v>0.0302568252122959</v>
      </c>
      <c r="D31" s="9"/>
      <c r="E31" s="9"/>
      <c r="F31" s="9" t="s">
        <v>318</v>
      </c>
      <c r="G31" s="10" t="n">
        <v>0.0306082068436806</v>
      </c>
    </row>
    <row r="32" customFormat="false" ht="15" hidden="false" customHeight="false" outlineLevel="0" collapsed="false">
      <c r="A32" s="9" t="n">
        <v>10</v>
      </c>
      <c r="B32" s="9" t="s">
        <v>319</v>
      </c>
      <c r="C32" s="10" t="n">
        <v>0.0233500692585093</v>
      </c>
      <c r="D32" s="9"/>
      <c r="E32" s="9"/>
      <c r="F32" s="9" t="s">
        <v>319</v>
      </c>
      <c r="G32" s="10" t="n">
        <v>0.020657881796113</v>
      </c>
    </row>
    <row r="34" customFormat="false" ht="15" hidden="false" customHeight="false" outlineLevel="0" collapsed="false">
      <c r="A34" s="4" t="s">
        <v>320</v>
      </c>
      <c r="B34" s="4"/>
      <c r="C34" s="4"/>
      <c r="D34" s="4"/>
      <c r="E34" s="4"/>
      <c r="F34" s="4"/>
      <c r="G34" s="4"/>
      <c r="H34" s="4"/>
    </row>
    <row r="35" customFormat="false" ht="31.5" hidden="false" customHeight="true" outlineLevel="0" collapsed="false">
      <c r="A35" s="8" t="s">
        <v>321</v>
      </c>
      <c r="B35" s="8" t="s">
        <v>322</v>
      </c>
      <c r="C35" s="8" t="s">
        <v>323</v>
      </c>
      <c r="D35" s="8" t="s">
        <v>324</v>
      </c>
    </row>
    <row r="36" customFormat="false" ht="15" hidden="false" customHeight="false" outlineLevel="0" collapsed="false">
      <c r="A36" s="32" t="s">
        <v>310</v>
      </c>
      <c r="B36" s="32" t="n">
        <v>20</v>
      </c>
      <c r="C36" s="47" t="n">
        <v>0.228360740254044</v>
      </c>
      <c r="D36" s="32" t="s">
        <v>325</v>
      </c>
    </row>
    <row r="37" customFormat="false" ht="15" hidden="false" customHeight="false" outlineLevel="0" collapsed="false">
      <c r="A37" s="32" t="s">
        <v>311</v>
      </c>
      <c r="B37" s="32" t="n">
        <v>20</v>
      </c>
      <c r="C37" s="47" t="n">
        <v>0.15343579481081</v>
      </c>
      <c r="D37" s="32" t="s">
        <v>325</v>
      </c>
    </row>
    <row r="38" customFormat="false" ht="15" hidden="false" customHeight="false" outlineLevel="0" collapsed="false">
      <c r="A38" s="32" t="s">
        <v>312</v>
      </c>
      <c r="B38" s="32" t="n">
        <v>20</v>
      </c>
      <c r="C38" s="47" t="n">
        <v>0.148249234546259</v>
      </c>
      <c r="D38" s="32" t="s">
        <v>325</v>
      </c>
    </row>
    <row r="39" customFormat="false" ht="15" hidden="false" customHeight="false" outlineLevel="0" collapsed="false">
      <c r="A39" s="32" t="s">
        <v>313</v>
      </c>
      <c r="B39" s="32" t="n">
        <v>20</v>
      </c>
      <c r="C39" s="47" t="n">
        <v>0.102871139334296</v>
      </c>
      <c r="D39" s="32" t="s">
        <v>325</v>
      </c>
    </row>
    <row r="40" customFormat="false" ht="15" hidden="false" customHeight="false" outlineLevel="0" collapsed="false">
      <c r="A40" s="32" t="s">
        <v>316</v>
      </c>
      <c r="B40" s="32" t="n">
        <v>20</v>
      </c>
      <c r="C40" s="47" t="n">
        <v>0.0878112865052761</v>
      </c>
      <c r="D40" s="32" t="s">
        <v>325</v>
      </c>
    </row>
    <row r="41" customFormat="false" ht="15" hidden="false" customHeight="false" outlineLevel="0" collapsed="false">
      <c r="A41" s="32" t="s">
        <v>314</v>
      </c>
      <c r="B41" s="32" t="n">
        <v>20</v>
      </c>
      <c r="C41" s="47" t="n">
        <v>0.0848973647906985</v>
      </c>
      <c r="D41" s="32" t="s">
        <v>325</v>
      </c>
    </row>
    <row r="42" customFormat="false" ht="15" hidden="false" customHeight="false" outlineLevel="0" collapsed="false">
      <c r="A42" s="32" t="s">
        <v>315</v>
      </c>
      <c r="B42" s="32" t="n">
        <v>20</v>
      </c>
      <c r="C42" s="47" t="n">
        <v>0.0735266203665869</v>
      </c>
      <c r="D42" s="32" t="s">
        <v>325</v>
      </c>
    </row>
    <row r="43" customFormat="false" ht="15" hidden="false" customHeight="false" outlineLevel="0" collapsed="false">
      <c r="A43" s="32" t="s">
        <v>317</v>
      </c>
      <c r="B43" s="32" t="n">
        <v>20</v>
      </c>
      <c r="C43" s="47" t="n">
        <v>0.0364521659552721</v>
      </c>
      <c r="D43" s="32" t="s">
        <v>325</v>
      </c>
    </row>
    <row r="44" customFormat="false" ht="15" hidden="false" customHeight="false" outlineLevel="0" collapsed="false">
      <c r="A44" s="32" t="s">
        <v>318</v>
      </c>
      <c r="B44" s="32" t="n">
        <v>20</v>
      </c>
      <c r="C44" s="47" t="n">
        <v>0.024757559565238</v>
      </c>
      <c r="D44" s="32" t="s">
        <v>326</v>
      </c>
    </row>
    <row r="45" customFormat="false" ht="15" hidden="false" customHeight="false" outlineLevel="0" collapsed="false">
      <c r="A45" s="32" t="s">
        <v>319</v>
      </c>
      <c r="B45" s="32" t="n">
        <v>20</v>
      </c>
      <c r="C45" s="47" t="n">
        <v>0.0197683927114817</v>
      </c>
      <c r="D45" s="32" t="s">
        <v>326</v>
      </c>
    </row>
    <row r="46" customFormat="false" ht="15" hidden="false" customHeight="false" outlineLevel="0" collapsed="false">
      <c r="A46" s="32" t="s">
        <v>327</v>
      </c>
      <c r="B46" s="32" t="n">
        <v>20</v>
      </c>
      <c r="C46" s="47" t="n">
        <v>0.0071959378468504</v>
      </c>
      <c r="D46" s="32" t="s">
        <v>326</v>
      </c>
    </row>
    <row r="47" customFormat="false" ht="15" hidden="false" customHeight="false" outlineLevel="0" collapsed="false">
      <c r="A47" s="32" t="s">
        <v>328</v>
      </c>
      <c r="B47" s="32" t="n">
        <v>15</v>
      </c>
      <c r="C47" s="47" t="n">
        <v>0.00366816695500483</v>
      </c>
      <c r="D47" s="32" t="s">
        <v>326</v>
      </c>
    </row>
    <row r="48" customFormat="false" ht="15" hidden="false" customHeight="false" outlineLevel="0" collapsed="false">
      <c r="A48" s="32" t="s">
        <v>329</v>
      </c>
      <c r="B48" s="32" t="n">
        <v>11</v>
      </c>
      <c r="C48" s="47" t="n">
        <v>0.00331139805503906</v>
      </c>
      <c r="D48" s="32" t="s">
        <v>326</v>
      </c>
    </row>
    <row r="49" customFormat="false" ht="15" hidden="false" customHeight="false" outlineLevel="0" collapsed="false">
      <c r="A49" s="32" t="s">
        <v>330</v>
      </c>
      <c r="B49" s="32" t="n">
        <v>12</v>
      </c>
      <c r="C49" s="47" t="n">
        <v>0.00324485307820204</v>
      </c>
      <c r="D49" s="32" t="s">
        <v>326</v>
      </c>
    </row>
    <row r="50" customFormat="false" ht="15" hidden="false" customHeight="false" outlineLevel="0" collapsed="false">
      <c r="A50" s="32" t="s">
        <v>331</v>
      </c>
      <c r="B50" s="32" t="n">
        <v>11</v>
      </c>
      <c r="C50" s="47" t="n">
        <v>0.0030351825445559</v>
      </c>
      <c r="D50" s="32" t="s">
        <v>326</v>
      </c>
    </row>
    <row r="51" customFormat="false" ht="15" hidden="false" customHeight="false" outlineLevel="0" collapsed="false">
      <c r="A51" s="32" t="s">
        <v>332</v>
      </c>
      <c r="B51" s="32" t="n">
        <v>11</v>
      </c>
      <c r="C51" s="47" t="n">
        <v>0.00303082822670835</v>
      </c>
      <c r="D51" s="32" t="s">
        <v>326</v>
      </c>
    </row>
    <row r="52" customFormat="false" ht="15" hidden="false" customHeight="false" outlineLevel="0" collapsed="false">
      <c r="A52" s="32" t="s">
        <v>333</v>
      </c>
      <c r="B52" s="32" t="n">
        <v>6</v>
      </c>
      <c r="C52" s="47" t="n">
        <v>0.00295868169923581</v>
      </c>
      <c r="D52" s="32" t="s">
        <v>326</v>
      </c>
    </row>
    <row r="53" customFormat="false" ht="15" hidden="false" customHeight="false" outlineLevel="0" collapsed="false">
      <c r="A53" s="32" t="s">
        <v>334</v>
      </c>
      <c r="B53" s="32" t="n">
        <v>11</v>
      </c>
      <c r="C53" s="47" t="n">
        <v>0.00289394304995838</v>
      </c>
      <c r="D53" s="32" t="s">
        <v>326</v>
      </c>
    </row>
    <row r="54" customFormat="false" ht="15" hidden="false" customHeight="false" outlineLevel="0" collapsed="false">
      <c r="A54" s="32" t="s">
        <v>335</v>
      </c>
      <c r="B54" s="32" t="n">
        <v>3</v>
      </c>
      <c r="C54" s="47" t="n">
        <v>0.00280441030546543</v>
      </c>
      <c r="D54" s="32" t="s">
        <v>326</v>
      </c>
    </row>
    <row r="55" customFormat="false" ht="15" hidden="false" customHeight="false" outlineLevel="0" collapsed="false">
      <c r="A55" s="32" t="s">
        <v>336</v>
      </c>
      <c r="B55" s="32" t="n">
        <v>4</v>
      </c>
      <c r="C55" s="47" t="n">
        <v>0.00256972539112021</v>
      </c>
      <c r="D55" s="32" t="s">
        <v>326</v>
      </c>
    </row>
    <row r="56" customFormat="false" ht="15" hidden="false" customHeight="false" outlineLevel="0" collapsed="false">
      <c r="A56" s="32" t="s">
        <v>337</v>
      </c>
      <c r="B56" s="32" t="n">
        <v>2</v>
      </c>
      <c r="C56" s="47" t="n">
        <v>0.00251777996528345</v>
      </c>
      <c r="D56" s="32" t="s">
        <v>326</v>
      </c>
    </row>
    <row r="57" customFormat="false" ht="15" hidden="false" customHeight="false" outlineLevel="0" collapsed="false">
      <c r="A57" s="32" t="s">
        <v>338</v>
      </c>
      <c r="B57" s="32" t="n">
        <v>2</v>
      </c>
      <c r="C57" s="47" t="n">
        <v>0.00234886673776947</v>
      </c>
      <c r="D57" s="32" t="s">
        <v>326</v>
      </c>
    </row>
    <row r="58" customFormat="false" ht="15" hidden="false" customHeight="false" outlineLevel="0" collapsed="false">
      <c r="A58" s="32" t="s">
        <v>339</v>
      </c>
      <c r="B58" s="32" t="n">
        <v>0</v>
      </c>
      <c r="C58" s="47" t="n">
        <v>0.000289927304845189</v>
      </c>
      <c r="D58" s="32" t="s">
        <v>326</v>
      </c>
    </row>
    <row r="60" customFormat="false" ht="15" hidden="false" customHeight="false" outlineLevel="0" collapsed="false">
      <c r="A60" s="4" t="s">
        <v>340</v>
      </c>
      <c r="B60" s="4"/>
      <c r="C60" s="4"/>
      <c r="D60" s="4"/>
      <c r="E60" s="4"/>
      <c r="F60" s="4"/>
      <c r="G60" s="4"/>
      <c r="H60" s="4"/>
    </row>
    <row r="61" customFormat="false" ht="31.5" hidden="false" customHeight="true" outlineLevel="0" collapsed="false">
      <c r="A61" s="8" t="s">
        <v>341</v>
      </c>
      <c r="B61" s="8" t="s">
        <v>342</v>
      </c>
      <c r="C61" s="8" t="s">
        <v>343</v>
      </c>
    </row>
    <row r="62" customFormat="false" ht="15" hidden="false" customHeight="false" outlineLevel="0" collapsed="false">
      <c r="A62" s="32" t="n">
        <v>3</v>
      </c>
      <c r="B62" s="71" t="n">
        <v>2.1488591864881</v>
      </c>
      <c r="C62" s="32"/>
    </row>
    <row r="63" customFormat="false" ht="15" hidden="false" customHeight="false" outlineLevel="0" collapsed="false">
      <c r="A63" s="32" t="n">
        <v>4</v>
      </c>
      <c r="B63" s="71" t="n">
        <v>2.15608919676992</v>
      </c>
      <c r="C63" s="32"/>
    </row>
    <row r="64" customFormat="false" ht="15" hidden="false" customHeight="false" outlineLevel="0" collapsed="false">
      <c r="A64" s="32" t="n">
        <v>6</v>
      </c>
      <c r="B64" s="71" t="n">
        <v>2.05004038346262</v>
      </c>
      <c r="C64" s="32"/>
    </row>
    <row r="65" customFormat="false" ht="15" hidden="false" customHeight="false" outlineLevel="0" collapsed="false">
      <c r="A65" s="49" t="n">
        <v>8</v>
      </c>
      <c r="B65" s="72" t="n">
        <v>2.03497698563289</v>
      </c>
      <c r="C65" s="49" t="s">
        <v>325</v>
      </c>
    </row>
    <row r="66" customFormat="false" ht="15" hidden="false" customHeight="false" outlineLevel="0" collapsed="false">
      <c r="A66" s="32" t="n">
        <v>10</v>
      </c>
      <c r="B66" s="71" t="n">
        <v>2.06006757649283</v>
      </c>
      <c r="C66" s="32"/>
    </row>
    <row r="67" customFormat="false" ht="15" hidden="false" customHeight="false" outlineLevel="0" collapsed="false">
      <c r="A67" s="32" t="n">
        <v>12</v>
      </c>
      <c r="B67" s="71" t="n">
        <v>2.05403837896552</v>
      </c>
      <c r="C67" s="32"/>
    </row>
    <row r="68" customFormat="false" ht="15" hidden="false" customHeight="false" outlineLevel="0" collapsed="false">
      <c r="A68" s="32" t="n">
        <v>15</v>
      </c>
      <c r="B68" s="71" t="n">
        <v>2.06370239737675</v>
      </c>
      <c r="C68" s="32"/>
    </row>
    <row r="69" customFormat="false" ht="15" hidden="false" customHeight="false" outlineLevel="0" collapsed="false">
      <c r="A69" s="32" t="n">
        <v>23</v>
      </c>
      <c r="B69" s="71" t="n">
        <v>2.12012874691031</v>
      </c>
      <c r="C69" s="32"/>
    </row>
  </sheetData>
  <mergeCells count="9">
    <mergeCell ref="A4:H4"/>
    <mergeCell ref="A6:H6"/>
    <mergeCell ref="A8:H8"/>
    <mergeCell ref="A10:H10"/>
    <mergeCell ref="A12:H12"/>
    <mergeCell ref="A14:H14"/>
    <mergeCell ref="A21:H21"/>
    <mergeCell ref="A34:H34"/>
    <mergeCell ref="A60:H60"/>
  </mergeCells>
  <conditionalFormatting sqref="B16:D18">
    <cfRule type="dataBar" priority="2">
      <dataBar showValue="1" minLength="10" maxLength="90">
        <cfvo type="num" val="0"/>
        <cfvo type="num" val="1"/>
        <color rgb="FF5B9BD5"/>
      </dataBar>
      <extLst>
        <ext xmlns:x14="http://schemas.microsoft.com/office/spreadsheetml/2009/9/main" uri="{B025F937-C7B1-47D3-B67F-A62EFF666E3E}">
          <x14:id>{531070D1-6578-4A7F-8C26-C681D3B09227}</x14:id>
        </ext>
      </extLst>
    </cfRule>
  </conditionalFormatting>
  <conditionalFormatting sqref="D36:D58">
    <cfRule type="cellIs" priority="3" operator="equal" aboveAverage="0" equalAverage="0" bottom="0" percent="0" rank="0" text="" dxfId="1">
      <formula>"Yes"</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drawing r:id="rId1"/>
  <extLst>
    <ext xmlns:x14="http://schemas.microsoft.com/office/spreadsheetml/2009/9/main" uri="{78C0D931-6437-407d-A8EE-F0AAD7539E65}">
      <x14:conditionalFormattings>
        <x14:conditionalFormatting xmlns:xm="http://schemas.microsoft.com/office/excel/2006/main">
          <x14:cfRule type="dataBar" id="{531070D1-6578-4A7F-8C26-C681D3B09227}">
            <x14:dataBar minLength="10" maxLength="90" axisPosition="none" gradient="true">
              <x14:cfvo type="num">
                <xm:f>0</xm:f>
              </x14:cfvo>
              <x14:cfvo type="num">
                <xm:f>1</xm:f>
              </x14:cfvo>
              <x14:negativeFillColor rgb="FF5B9BD5"/>
              <x14:axisColor rgb="FF000000"/>
            </x14:dataBar>
          </x14:cfRule>
          <xm:sqref>B16:D18</xm:sqref>
        </x14:conditionalFormatting>
      </x14:conditionalFormattings>
    </ext>
  </extLst>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344</v>
      </c>
      <c r="B1" s="8" t="s">
        <v>345</v>
      </c>
      <c r="C1" s="8" t="s">
        <v>301</v>
      </c>
      <c r="D1" s="8" t="s">
        <v>346</v>
      </c>
      <c r="E1" s="8" t="s">
        <v>347</v>
      </c>
      <c r="F1" s="8" t="s">
        <v>348</v>
      </c>
      <c r="G1" s="8" t="s">
        <v>349</v>
      </c>
      <c r="H1" s="8" t="s">
        <v>350</v>
      </c>
      <c r="I1" s="8" t="s">
        <v>351</v>
      </c>
      <c r="J1" s="8" t="s">
        <v>352</v>
      </c>
    </row>
    <row r="2" customFormat="false" ht="41.75" hidden="false" customHeight="false" outlineLevel="0" collapsed="false">
      <c r="A2" s="32" t="n">
        <v>1</v>
      </c>
      <c r="B2" s="73" t="s">
        <v>353</v>
      </c>
      <c r="C2" s="32" t="s">
        <v>304</v>
      </c>
      <c r="D2" s="47" t="n">
        <v>0.229041398515015</v>
      </c>
      <c r="E2" s="47" t="n">
        <v>0.252168091721769</v>
      </c>
      <c r="F2" s="66" t="n">
        <v>188.687637307472</v>
      </c>
      <c r="G2" s="32" t="s">
        <v>354</v>
      </c>
      <c r="H2" s="73" t="s">
        <v>355</v>
      </c>
      <c r="I2" s="32" t="s">
        <v>310</v>
      </c>
      <c r="J2" s="32" t="s">
        <v>356</v>
      </c>
    </row>
    <row r="3" customFormat="false" ht="41.75" hidden="false" customHeight="false" outlineLevel="0" collapsed="false">
      <c r="A3" s="32" t="n">
        <v>2</v>
      </c>
      <c r="B3" s="73" t="s">
        <v>357</v>
      </c>
      <c r="C3" s="32" t="s">
        <v>304</v>
      </c>
      <c r="D3" s="47" t="n">
        <v>0.152139243269157</v>
      </c>
      <c r="E3" s="47" t="n">
        <v>0.167500997199257</v>
      </c>
      <c r="F3" s="66" t="n">
        <v>125.334522668495</v>
      </c>
      <c r="G3" s="32" t="s">
        <v>354</v>
      </c>
      <c r="H3" s="73" t="s">
        <v>355</v>
      </c>
      <c r="I3" s="32" t="s">
        <v>311</v>
      </c>
      <c r="J3" s="32" t="s">
        <v>356</v>
      </c>
    </row>
    <row r="4" customFormat="false" ht="41.75" hidden="false" customHeight="false" outlineLevel="0" collapsed="false">
      <c r="A4" s="32" t="n">
        <v>3</v>
      </c>
      <c r="B4" s="73" t="s">
        <v>358</v>
      </c>
      <c r="C4" s="32" t="s">
        <v>304</v>
      </c>
      <c r="D4" s="47" t="n">
        <v>0.150281043427488</v>
      </c>
      <c r="E4" s="47" t="n">
        <v>0.165455171810706</v>
      </c>
      <c r="F4" s="66" t="n">
        <v>123.803710596779</v>
      </c>
      <c r="G4" s="32" t="s">
        <v>354</v>
      </c>
      <c r="H4" s="73" t="s">
        <v>355</v>
      </c>
      <c r="I4" s="32" t="s">
        <v>312</v>
      </c>
      <c r="J4" s="32" t="s">
        <v>356</v>
      </c>
    </row>
    <row r="5" customFormat="false" ht="28.35" hidden="false" customHeight="false" outlineLevel="0" collapsed="false">
      <c r="A5" s="32" t="n">
        <v>4</v>
      </c>
      <c r="B5" s="73" t="s">
        <v>359</v>
      </c>
      <c r="C5" s="32" t="s">
        <v>304</v>
      </c>
      <c r="D5" s="47" t="n">
        <v>0.100161530275892</v>
      </c>
      <c r="E5" s="47" t="n">
        <v>0.110275007563526</v>
      </c>
      <c r="F5" s="66" t="n">
        <v>82.5145262794923</v>
      </c>
      <c r="G5" s="32" t="s">
        <v>354</v>
      </c>
      <c r="H5" s="73" t="s">
        <v>355</v>
      </c>
      <c r="I5" s="32" t="s">
        <v>313</v>
      </c>
      <c r="J5" s="32" t="s">
        <v>356</v>
      </c>
    </row>
    <row r="6" customFormat="false" ht="28.35" hidden="false" customHeight="false" outlineLevel="0" collapsed="false">
      <c r="A6" s="32" t="n">
        <v>5</v>
      </c>
      <c r="B6" s="73" t="s">
        <v>360</v>
      </c>
      <c r="C6" s="32" t="s">
        <v>304</v>
      </c>
      <c r="D6" s="47" t="n">
        <v>0.0813609926750044</v>
      </c>
      <c r="E6" s="47" t="n">
        <v>0.0895761482267569</v>
      </c>
      <c r="F6" s="66" t="n">
        <v>67.026369802011</v>
      </c>
      <c r="G6" s="32" t="s">
        <v>354</v>
      </c>
      <c r="H6" s="73" t="s">
        <v>355</v>
      </c>
      <c r="I6" s="32" t="s">
        <v>314</v>
      </c>
      <c r="J6" s="32" t="s">
        <v>356</v>
      </c>
    </row>
    <row r="7" customFormat="false" ht="15" hidden="false" customHeight="false" outlineLevel="0" collapsed="false">
      <c r="A7" s="32" t="n">
        <v>6</v>
      </c>
      <c r="B7" s="73" t="s">
        <v>361</v>
      </c>
      <c r="C7" s="32" t="s">
        <v>304</v>
      </c>
      <c r="D7" s="47" t="n">
        <v>0.0783904122454065</v>
      </c>
      <c r="E7" s="47" t="n">
        <v>0.0863056233212402</v>
      </c>
      <c r="F7" s="66" t="n">
        <v>64.579162413623</v>
      </c>
      <c r="G7" s="32" t="s">
        <v>354</v>
      </c>
      <c r="H7" s="73" t="s">
        <v>355</v>
      </c>
      <c r="I7" s="32" t="s">
        <v>316</v>
      </c>
      <c r="J7" s="32" t="s">
        <v>356</v>
      </c>
    </row>
    <row r="8" customFormat="false" ht="15" hidden="false" customHeight="false" outlineLevel="0" collapsed="false">
      <c r="A8" s="32" t="n">
        <v>7</v>
      </c>
      <c r="B8" s="73" t="s">
        <v>362</v>
      </c>
      <c r="C8" s="32" t="s">
        <v>304</v>
      </c>
      <c r="D8" s="47" t="n">
        <v>0.0737065259468095</v>
      </c>
      <c r="E8" s="47" t="n">
        <v>0.0811487971866779</v>
      </c>
      <c r="F8" s="66" t="n">
        <v>60.7205087168279</v>
      </c>
      <c r="G8" s="32" t="s">
        <v>354</v>
      </c>
      <c r="H8" s="73" t="s">
        <v>355</v>
      </c>
      <c r="I8" s="32" t="s">
        <v>315</v>
      </c>
      <c r="J8" s="32" t="s">
        <v>356</v>
      </c>
    </row>
    <row r="9" customFormat="false" ht="15" hidden="false" customHeight="false" outlineLevel="0" collapsed="false">
      <c r="A9" s="32" t="n">
        <v>8</v>
      </c>
      <c r="B9" s="73" t="s">
        <v>363</v>
      </c>
      <c r="C9" s="32" t="s">
        <v>305</v>
      </c>
      <c r="D9" s="47" t="n">
        <v>0.0491045823231181</v>
      </c>
      <c r="E9" s="47" t="n">
        <v>0.536663093139804</v>
      </c>
      <c r="F9" s="66" t="n">
        <v>40.4530695306247</v>
      </c>
      <c r="G9" s="32" t="s">
        <v>354</v>
      </c>
      <c r="H9" s="73" t="s">
        <v>355</v>
      </c>
      <c r="I9" s="32" t="s">
        <v>317</v>
      </c>
      <c r="J9" s="32" t="s">
        <v>356</v>
      </c>
    </row>
    <row r="10" customFormat="false" ht="28.35" hidden="false" customHeight="false" outlineLevel="0" collapsed="false">
      <c r="A10" s="32" t="n">
        <v>9</v>
      </c>
      <c r="B10" s="73" t="s">
        <v>364</v>
      </c>
      <c r="C10" s="32" t="s">
        <v>304</v>
      </c>
      <c r="D10" s="47" t="n">
        <v>0.0302568252122959</v>
      </c>
      <c r="E10" s="47" t="n">
        <v>0.0333119074752925</v>
      </c>
      <c r="F10" s="66" t="n">
        <v>24.9260129336794</v>
      </c>
      <c r="G10" s="32" t="s">
        <v>354</v>
      </c>
      <c r="H10" s="73" t="s">
        <v>355</v>
      </c>
      <c r="I10" s="32" t="s">
        <v>318</v>
      </c>
      <c r="J10" s="32" t="s">
        <v>365</v>
      </c>
    </row>
    <row r="11" customFormat="false" ht="15" hidden="false" customHeight="false" outlineLevel="0" collapsed="false">
      <c r="A11" s="32" t="n">
        <v>10</v>
      </c>
      <c r="B11" s="73" t="s">
        <v>366</v>
      </c>
      <c r="C11" s="32" t="s">
        <v>305</v>
      </c>
      <c r="D11" s="47" t="n">
        <v>0.0233500692585093</v>
      </c>
      <c r="E11" s="47" t="n">
        <v>0.255192485109495</v>
      </c>
      <c r="F11" s="66" t="n">
        <v>19.2361268657952</v>
      </c>
      <c r="G11" s="32" t="s">
        <v>354</v>
      </c>
      <c r="H11" s="73" t="s">
        <v>355</v>
      </c>
      <c r="I11" s="32" t="s">
        <v>319</v>
      </c>
      <c r="J11" s="32" t="s">
        <v>365</v>
      </c>
    </row>
    <row r="12" customFormat="false" ht="41.75" hidden="false" customHeight="false" outlineLevel="0" collapsed="false">
      <c r="A12" s="32" t="n">
        <v>11</v>
      </c>
      <c r="B12" s="73" t="s">
        <v>367</v>
      </c>
      <c r="C12" s="32" t="s">
        <v>305</v>
      </c>
      <c r="D12" s="47" t="n">
        <v>0.00543915669311756</v>
      </c>
      <c r="E12" s="47" t="n">
        <v>0.0594444452412397</v>
      </c>
      <c r="F12" s="66" t="n">
        <v>4.48085643915678</v>
      </c>
      <c r="G12" s="32" t="s">
        <v>354</v>
      </c>
      <c r="H12" s="73" t="s">
        <v>355</v>
      </c>
      <c r="I12" s="32" t="s">
        <v>327</v>
      </c>
      <c r="J12" s="32" t="s">
        <v>365</v>
      </c>
    </row>
    <row r="13" customFormat="false" ht="15" hidden="false" customHeight="false" outlineLevel="0" collapsed="false">
      <c r="A13" s="32" t="n">
        <v>12</v>
      </c>
      <c r="B13" s="73" t="s">
        <v>368</v>
      </c>
      <c r="C13" s="32" t="s">
        <v>305</v>
      </c>
      <c r="D13" s="47" t="n">
        <v>0.00384411027295798</v>
      </c>
      <c r="E13" s="47" t="n">
        <v>0.0420122117296757</v>
      </c>
      <c r="F13" s="66" t="n">
        <v>3.16683398571841</v>
      </c>
      <c r="G13" s="32" t="s">
        <v>354</v>
      </c>
      <c r="H13" s="73" t="s">
        <v>369</v>
      </c>
      <c r="I13" s="32" t="s">
        <v>328</v>
      </c>
      <c r="J13" s="32" t="s">
        <v>365</v>
      </c>
    </row>
    <row r="14" customFormat="false" ht="15" hidden="false" customHeight="false" outlineLevel="0" collapsed="false">
      <c r="A14" s="32" t="n">
        <v>13</v>
      </c>
      <c r="B14" s="73" t="s">
        <v>370</v>
      </c>
      <c r="C14" s="32" t="s">
        <v>305</v>
      </c>
      <c r="D14" s="47" t="n">
        <v>0.00317139331369666</v>
      </c>
      <c r="E14" s="47" t="n">
        <v>0.0346601002344759</v>
      </c>
      <c r="F14" s="66" t="n">
        <v>2.61263996471324</v>
      </c>
      <c r="G14" s="32" t="s">
        <v>354</v>
      </c>
      <c r="H14" s="73" t="s">
        <v>371</v>
      </c>
      <c r="I14" s="32" t="s">
        <v>329</v>
      </c>
      <c r="J14" s="32" t="s">
        <v>365</v>
      </c>
    </row>
    <row r="15" customFormat="false" ht="28.35" hidden="false" customHeight="false" outlineLevel="0" collapsed="false">
      <c r="A15" s="32" t="n">
        <v>14</v>
      </c>
      <c r="B15" s="73" t="s">
        <v>372</v>
      </c>
      <c r="C15" s="32" t="s">
        <v>304</v>
      </c>
      <c r="D15" s="47" t="n">
        <v>0.0027238255444324</v>
      </c>
      <c r="E15" s="47" t="n">
        <v>0.00299885476676174</v>
      </c>
      <c r="F15" s="66" t="n">
        <v>2.24392712299562</v>
      </c>
      <c r="G15" s="32" t="s">
        <v>354</v>
      </c>
      <c r="H15" s="73" t="s">
        <v>371</v>
      </c>
      <c r="I15" s="32" t="s">
        <v>332</v>
      </c>
      <c r="J15" s="32" t="s">
        <v>365</v>
      </c>
    </row>
    <row r="16" customFormat="false" ht="15" hidden="false" customHeight="false" outlineLevel="0" collapsed="false">
      <c r="A16" s="32" t="n">
        <v>15</v>
      </c>
      <c r="B16" s="73" t="s">
        <v>373</v>
      </c>
      <c r="C16" s="32" t="s">
        <v>305</v>
      </c>
      <c r="D16" s="47" t="n">
        <v>0.00254472514338326</v>
      </c>
      <c r="E16" s="47" t="n">
        <v>0.0278112551218209</v>
      </c>
      <c r="F16" s="66" t="n">
        <v>2.09638160618562</v>
      </c>
      <c r="G16" s="32" t="s">
        <v>354</v>
      </c>
      <c r="H16" s="73" t="s">
        <v>374</v>
      </c>
      <c r="I16" s="32" t="s">
        <v>337</v>
      </c>
      <c r="J16" s="32" t="s">
        <v>365</v>
      </c>
    </row>
    <row r="17" customFormat="false" ht="28.35" hidden="false" customHeight="false" outlineLevel="0" collapsed="false">
      <c r="A17" s="32" t="n">
        <v>16</v>
      </c>
      <c r="B17" s="73" t="s">
        <v>375</v>
      </c>
      <c r="C17" s="32" t="s">
        <v>304</v>
      </c>
      <c r="D17" s="47" t="n">
        <v>0.00221694400251865</v>
      </c>
      <c r="E17" s="47" t="n">
        <v>0.00244079254752062</v>
      </c>
      <c r="F17" s="66" t="n">
        <v>1.82635073218343</v>
      </c>
      <c r="G17" s="32" t="s">
        <v>354</v>
      </c>
      <c r="H17" s="73" t="s">
        <v>374</v>
      </c>
      <c r="I17" s="32" t="s">
        <v>338</v>
      </c>
      <c r="J17" s="32" t="s">
        <v>365</v>
      </c>
    </row>
    <row r="18" customFormat="false" ht="15" hidden="false" customHeight="false" outlineLevel="0" collapsed="false">
      <c r="A18" s="32" t="n">
        <v>17</v>
      </c>
      <c r="B18" s="73" t="s">
        <v>376</v>
      </c>
      <c r="C18" s="32" t="s">
        <v>305</v>
      </c>
      <c r="D18" s="47" t="n">
        <v>0.00211713610749206</v>
      </c>
      <c r="E18" s="47" t="n">
        <v>0.0231381422729208</v>
      </c>
      <c r="F18" s="66" t="n">
        <v>1.74412753576873</v>
      </c>
      <c r="G18" s="32" t="s">
        <v>354</v>
      </c>
      <c r="H18" s="73" t="s">
        <v>377</v>
      </c>
      <c r="I18" s="32" t="s">
        <v>333</v>
      </c>
      <c r="J18" s="32" t="s">
        <v>365</v>
      </c>
    </row>
    <row r="19" customFormat="false" ht="28.35" hidden="false" customHeight="false" outlineLevel="0" collapsed="false">
      <c r="A19" s="32" t="n">
        <v>18</v>
      </c>
      <c r="B19" s="73" t="s">
        <v>378</v>
      </c>
      <c r="C19" s="32" t="s">
        <v>304</v>
      </c>
      <c r="D19" s="47" t="n">
        <v>0.00210780292828751</v>
      </c>
      <c r="E19" s="47" t="n">
        <v>0.00232063131642543</v>
      </c>
      <c r="F19" s="66" t="n">
        <v>1.73643872691543</v>
      </c>
      <c r="G19" s="32" t="s">
        <v>354</v>
      </c>
      <c r="H19" s="73" t="s">
        <v>371</v>
      </c>
      <c r="I19" s="32" t="s">
        <v>334</v>
      </c>
      <c r="J19" s="32" t="s">
        <v>365</v>
      </c>
    </row>
    <row r="20" customFormat="false" ht="28.35" hidden="false" customHeight="false" outlineLevel="0" collapsed="false">
      <c r="A20" s="32" t="n">
        <v>19</v>
      </c>
      <c r="B20" s="73" t="s">
        <v>379</v>
      </c>
      <c r="C20" s="32" t="s">
        <v>304</v>
      </c>
      <c r="D20" s="47" t="n">
        <v>0.00203072535664937</v>
      </c>
      <c r="E20" s="47" t="n">
        <v>0.00223577109342401</v>
      </c>
      <c r="F20" s="66" t="n">
        <v>1.67294110169968</v>
      </c>
      <c r="G20" s="32" t="s">
        <v>354</v>
      </c>
      <c r="H20" s="73" t="s">
        <v>380</v>
      </c>
      <c r="I20" s="32" t="s">
        <v>335</v>
      </c>
      <c r="J20" s="32" t="s">
        <v>365</v>
      </c>
    </row>
    <row r="21" customFormat="false" ht="28.35" hidden="false" customHeight="false" outlineLevel="0" collapsed="false">
      <c r="A21" s="32" t="n">
        <v>20</v>
      </c>
      <c r="B21" s="73" t="s">
        <v>381</v>
      </c>
      <c r="C21" s="32" t="s">
        <v>304</v>
      </c>
      <c r="D21" s="47" t="n">
        <v>0.00202148330095026</v>
      </c>
      <c r="E21" s="47" t="n">
        <v>0.00222559585189851</v>
      </c>
      <c r="F21" s="66" t="n">
        <v>1.66532736171627</v>
      </c>
      <c r="G21" s="32" t="s">
        <v>354</v>
      </c>
      <c r="H21" s="73" t="s">
        <v>382</v>
      </c>
      <c r="I21" s="32" t="s">
        <v>330</v>
      </c>
      <c r="J21" s="32" t="s">
        <v>365</v>
      </c>
    </row>
    <row r="22" customFormat="false" ht="15" hidden="false" customHeight="false" outlineLevel="0" collapsed="false">
      <c r="A22" s="32" t="n">
        <v>21</v>
      </c>
      <c r="B22" s="73" t="s">
        <v>383</v>
      </c>
      <c r="C22" s="32" t="s">
        <v>305</v>
      </c>
      <c r="D22" s="47" t="n">
        <v>0.00192865788192761</v>
      </c>
      <c r="E22" s="47" t="n">
        <v>0.0210782671505679</v>
      </c>
      <c r="F22" s="66" t="n">
        <v>1.58885643064871</v>
      </c>
      <c r="G22" s="32" t="s">
        <v>354</v>
      </c>
      <c r="H22" s="73" t="s">
        <v>371</v>
      </c>
      <c r="I22" s="32" t="s">
        <v>331</v>
      </c>
      <c r="J22" s="32" t="s">
        <v>365</v>
      </c>
    </row>
    <row r="23" customFormat="false" ht="28.35" hidden="false" customHeight="false" outlineLevel="0" collapsed="false">
      <c r="A23" s="32" t="n">
        <v>22</v>
      </c>
      <c r="B23" s="73" t="s">
        <v>384</v>
      </c>
      <c r="C23" s="32" t="s">
        <v>304</v>
      </c>
      <c r="D23" s="47" t="n">
        <v>0.00184982953566424</v>
      </c>
      <c r="E23" s="47" t="n">
        <v>0.00203660991874549</v>
      </c>
      <c r="F23" s="66" t="n">
        <v>1.52391649181789</v>
      </c>
      <c r="G23" s="32" t="s">
        <v>354</v>
      </c>
      <c r="H23" s="73" t="s">
        <v>385</v>
      </c>
      <c r="I23" s="32" t="s">
        <v>336</v>
      </c>
      <c r="J23" s="32" t="s">
        <v>365</v>
      </c>
    </row>
    <row r="24" customFormat="false" ht="15" hidden="false" customHeight="false" outlineLevel="0" collapsed="false">
      <c r="A24" s="32" t="n">
        <v>23</v>
      </c>
      <c r="B24" s="73" t="s">
        <v>386</v>
      </c>
      <c r="C24" s="32" t="s">
        <v>303</v>
      </c>
      <c r="D24" s="47" t="n">
        <v>0.000211586770227184</v>
      </c>
      <c r="E24" s="47" t="n">
        <v>1</v>
      </c>
      <c r="F24" s="66" t="n">
        <v>0.174308260508937</v>
      </c>
      <c r="G24" s="32" t="s">
        <v>354</v>
      </c>
      <c r="H24" s="73" t="s">
        <v>387</v>
      </c>
      <c r="I24" s="32" t="s">
        <v>339</v>
      </c>
      <c r="J24" s="32" t="s">
        <v>365</v>
      </c>
    </row>
    <row r="26" customFormat="false" ht="15" hidden="false" customHeight="false" outlineLevel="0" collapsed="false">
      <c r="B26" s="5" t="s">
        <v>388</v>
      </c>
      <c r="C26" s="56" t="s">
        <v>304</v>
      </c>
      <c r="D26" s="74" t="n">
        <f aca="false">SUMIF(C2:C24,"Historical voter data",D2:D24)</f>
        <v>0.90828858223557</v>
      </c>
      <c r="F26" s="75" t="n">
        <f aca="false">SUMIF(C2:C24,"Historical voter data",F2:F24)</f>
        <v>748.261352255709</v>
      </c>
    </row>
    <row r="27" customFormat="false" ht="15" hidden="false" customHeight="false" outlineLevel="0" collapsed="false">
      <c r="B27" s="5" t="s">
        <v>389</v>
      </c>
      <c r="C27" s="56" t="s">
        <v>305</v>
      </c>
      <c r="D27" s="74" t="n">
        <f aca="false">SUMIF(C2:C24,"Voter registration data",D2:D24)</f>
        <v>0.0914998309942025</v>
      </c>
      <c r="F27" s="75" t="n">
        <f aca="false">SUMIF(C2:C24,"Voter registration data",F2:F24)</f>
        <v>75.3788923586114</v>
      </c>
    </row>
    <row r="28" customFormat="false" ht="15" hidden="false" customHeight="false" outlineLevel="0" collapsed="false">
      <c r="B28" s="5" t="s">
        <v>390</v>
      </c>
      <c r="C28" s="56" t="s">
        <v>303</v>
      </c>
      <c r="D28" s="74" t="n">
        <f aca="false">SUMIF(C2:C24,"Election type",D2:D24)</f>
        <v>0.000211586770227184</v>
      </c>
      <c r="F28" s="75" t="n">
        <f aca="false">SUMIF(C2:C24,"Election type",F2:F24)</f>
        <v>0.174308260508937</v>
      </c>
    </row>
    <row r="29" customFormat="false" ht="15" hidden="false" customHeight="false" outlineLevel="0" collapsed="false">
      <c r="B29" s="5" t="s">
        <v>391</v>
      </c>
      <c r="D29" s="74" t="n">
        <f aca="false">SUM(D2:D24)</f>
        <v>1</v>
      </c>
      <c r="F29" s="75" t="n">
        <f aca="false">SUM(F2:F24)</f>
        <v>823.814552874829</v>
      </c>
    </row>
    <row r="31" customFormat="false" ht="15" hidden="false" customHeight="false" outlineLevel="0" collapsed="false">
      <c r="B31" s="5" t="s">
        <v>166</v>
      </c>
    </row>
    <row r="32" customFormat="false" ht="30" hidden="false" customHeight="true" outlineLevel="0" collapsed="false">
      <c r="B32" s="76" t="s">
        <v>392</v>
      </c>
    </row>
    <row r="33" customFormat="false" ht="45" hidden="false" customHeight="true" outlineLevel="0" collapsed="false">
      <c r="B33" s="76" t="s">
        <v>393</v>
      </c>
    </row>
    <row r="34" customFormat="false" ht="45" hidden="false" customHeight="true" outlineLevel="0" collapsed="false">
      <c r="B34" s="76" t="s">
        <v>394</v>
      </c>
    </row>
    <row r="35" customFormat="false" ht="30" hidden="false" customHeight="true" outlineLevel="0" collapsed="false">
      <c r="B35" s="76" t="s">
        <v>395</v>
      </c>
    </row>
    <row r="36" customFormat="false" ht="75" hidden="false" customHeight="true" outlineLevel="0" collapsed="false">
      <c r="B36" s="76" t="s">
        <v>396</v>
      </c>
    </row>
    <row r="37" customFormat="false" ht="30" hidden="false" customHeight="true" outlineLevel="0" collapsed="false">
      <c r="B37" s="76" t="s">
        <v>397</v>
      </c>
    </row>
    <row r="38" customFormat="false" ht="60" hidden="false" customHeight="true" outlineLevel="0" collapsed="false">
      <c r="B38" s="76" t="s">
        <v>398</v>
      </c>
    </row>
    <row r="39" customFormat="false" ht="30" hidden="false" customHeight="true" outlineLevel="0" collapsed="false">
      <c r="B39" s="76" t="s">
        <v>399</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{90456044-1EE3-4334-95E8-14A793102CCE}</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90456044-1EE3-4334-95E8-14A793102CCE}">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23"/>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344</v>
      </c>
      <c r="B1" s="8" t="s">
        <v>345</v>
      </c>
      <c r="C1" s="8" t="s">
        <v>301</v>
      </c>
      <c r="D1" s="8" t="s">
        <v>346</v>
      </c>
      <c r="E1" s="8" t="s">
        <v>347</v>
      </c>
      <c r="F1" s="8" t="s">
        <v>348</v>
      </c>
      <c r="G1" s="8" t="s">
        <v>349</v>
      </c>
      <c r="H1" s="8" t="s">
        <v>350</v>
      </c>
      <c r="I1" s="8" t="s">
        <v>351</v>
      </c>
      <c r="J1" s="8" t="s">
        <v>352</v>
      </c>
    </row>
    <row r="2" customFormat="false" ht="41.75" hidden="false" customHeight="false" outlineLevel="0" collapsed="false">
      <c r="A2" s="32" t="n">
        <v>1</v>
      </c>
      <c r="B2" s="73" t="s">
        <v>353</v>
      </c>
      <c r="C2" s="32" t="s">
        <v>304</v>
      </c>
      <c r="D2" s="47" t="n">
        <v>0.207834239695096</v>
      </c>
      <c r="E2" s="47" t="n">
        <v>0.217846666157054</v>
      </c>
      <c r="F2" s="66" t="n">
        <v>164.234555908133</v>
      </c>
      <c r="G2" s="32" t="s">
        <v>354</v>
      </c>
      <c r="H2" s="73" t="s">
        <v>355</v>
      </c>
      <c r="I2" s="32" t="s">
        <v>310</v>
      </c>
      <c r="J2" s="32" t="s">
        <v>356</v>
      </c>
    </row>
    <row r="3" customFormat="false" ht="41.75" hidden="false" customHeight="false" outlineLevel="0" collapsed="false">
      <c r="A3" s="32" t="n">
        <v>2</v>
      </c>
      <c r="B3" s="73" t="s">
        <v>357</v>
      </c>
      <c r="C3" s="32" t="s">
        <v>304</v>
      </c>
      <c r="D3" s="47" t="n">
        <v>0.187708337447619</v>
      </c>
      <c r="E3" s="47" t="n">
        <v>0.196751197410193</v>
      </c>
      <c r="F3" s="66" t="n">
        <v>148.330686446037</v>
      </c>
      <c r="G3" s="32" t="s">
        <v>354</v>
      </c>
      <c r="H3" s="73" t="s">
        <v>355</v>
      </c>
      <c r="I3" s="32" t="s">
        <v>311</v>
      </c>
      <c r="J3" s="32" t="s">
        <v>356</v>
      </c>
    </row>
    <row r="4" customFormat="false" ht="41.75" hidden="false" customHeight="false" outlineLevel="0" collapsed="false">
      <c r="A4" s="32" t="n">
        <v>3</v>
      </c>
      <c r="B4" s="73" t="s">
        <v>358</v>
      </c>
      <c r="C4" s="32" t="s">
        <v>304</v>
      </c>
      <c r="D4" s="47" t="n">
        <v>0.162403851250642</v>
      </c>
      <c r="E4" s="47" t="n">
        <v>0.170227666133942</v>
      </c>
      <c r="F4" s="66" t="n">
        <v>128.334601781927</v>
      </c>
      <c r="G4" s="32" t="s">
        <v>354</v>
      </c>
      <c r="H4" s="73" t="s">
        <v>355</v>
      </c>
      <c r="I4" s="32" t="s">
        <v>312</v>
      </c>
      <c r="J4" s="32" t="s">
        <v>356</v>
      </c>
    </row>
    <row r="5" customFormat="false" ht="28.35" hidden="false" customHeight="false" outlineLevel="0" collapsed="false">
      <c r="A5" s="32" t="n">
        <v>4</v>
      </c>
      <c r="B5" s="73" t="s">
        <v>359</v>
      </c>
      <c r="C5" s="32" t="s">
        <v>304</v>
      </c>
      <c r="D5" s="47" t="n">
        <v>0.118509280444592</v>
      </c>
      <c r="E5" s="47" t="n">
        <v>0.124218471852379</v>
      </c>
      <c r="F5" s="66" t="n">
        <v>93.6482798665118</v>
      </c>
      <c r="G5" s="32" t="s">
        <v>354</v>
      </c>
      <c r="H5" s="73" t="s">
        <v>355</v>
      </c>
      <c r="I5" s="32" t="s">
        <v>313</v>
      </c>
      <c r="J5" s="32" t="s">
        <v>356</v>
      </c>
    </row>
    <row r="6" customFormat="false" ht="15" hidden="false" customHeight="false" outlineLevel="0" collapsed="false">
      <c r="A6" s="32" t="n">
        <v>5</v>
      </c>
      <c r="B6" s="73" t="s">
        <v>362</v>
      </c>
      <c r="C6" s="32" t="s">
        <v>304</v>
      </c>
      <c r="D6" s="47" t="n">
        <v>0.105046417467704</v>
      </c>
      <c r="E6" s="47" t="n">
        <v>0.110107034676546</v>
      </c>
      <c r="F6" s="66" t="n">
        <v>83.0096703404534</v>
      </c>
      <c r="G6" s="32" t="s">
        <v>354</v>
      </c>
      <c r="H6" s="73" t="s">
        <v>355</v>
      </c>
      <c r="I6" s="32" t="s">
        <v>315</v>
      </c>
      <c r="J6" s="32" t="s">
        <v>356</v>
      </c>
    </row>
    <row r="7" customFormat="false" ht="28.35" hidden="false" customHeight="false" outlineLevel="0" collapsed="false">
      <c r="A7" s="32" t="n">
        <v>6</v>
      </c>
      <c r="B7" s="73" t="s">
        <v>360</v>
      </c>
      <c r="C7" s="32" t="s">
        <v>304</v>
      </c>
      <c r="D7" s="47" t="n">
        <v>0.0942233528166358</v>
      </c>
      <c r="E7" s="47" t="n">
        <v>0.0987625682628479</v>
      </c>
      <c r="F7" s="66" t="n">
        <v>74.457079491415</v>
      </c>
      <c r="G7" s="32" t="s">
        <v>354</v>
      </c>
      <c r="H7" s="73" t="s">
        <v>355</v>
      </c>
      <c r="I7" s="32" t="s">
        <v>314</v>
      </c>
      <c r="J7" s="32" t="s">
        <v>356</v>
      </c>
    </row>
    <row r="8" customFormat="false" ht="15" hidden="false" customHeight="false" outlineLevel="0" collapsed="false">
      <c r="A8" s="32" t="n">
        <v>7</v>
      </c>
      <c r="B8" s="73" t="s">
        <v>361</v>
      </c>
      <c r="C8" s="32" t="s">
        <v>304</v>
      </c>
      <c r="D8" s="47" t="n">
        <v>0.0783136317873089</v>
      </c>
      <c r="E8" s="47" t="n">
        <v>0.0820863955070388</v>
      </c>
      <c r="F8" s="66" t="n">
        <v>61.8849163497348</v>
      </c>
      <c r="G8" s="32" t="s">
        <v>354</v>
      </c>
      <c r="H8" s="73" t="s">
        <v>355</v>
      </c>
      <c r="I8" s="32" t="s">
        <v>316</v>
      </c>
      <c r="J8" s="32" t="s">
        <v>356</v>
      </c>
    </row>
    <row r="9" customFormat="false" ht="15" hidden="false" customHeight="false" outlineLevel="0" collapsed="false">
      <c r="A9" s="32" t="n">
        <v>8</v>
      </c>
      <c r="B9" s="73" t="s">
        <v>363</v>
      </c>
      <c r="C9" s="32" t="s">
        <v>305</v>
      </c>
      <c r="D9" s="47" t="n">
        <v>0.0459608890904024</v>
      </c>
      <c r="E9" s="47" t="n">
        <v>1</v>
      </c>
      <c r="F9" s="66" t="n">
        <v>36.3191657927927</v>
      </c>
      <c r="G9" s="32" t="s">
        <v>354</v>
      </c>
      <c r="H9" s="73" t="s">
        <v>355</v>
      </c>
      <c r="I9" s="32" t="s">
        <v>317</v>
      </c>
      <c r="J9" s="32" t="s">
        <v>356</v>
      </c>
    </row>
    <row r="11" customFormat="false" ht="15" hidden="false" customHeight="false" outlineLevel="0" collapsed="false">
      <c r="B11" s="5" t="s">
        <v>388</v>
      </c>
      <c r="C11" s="56" t="s">
        <v>304</v>
      </c>
      <c r="D11" s="74" t="n">
        <f aca="false">SUMIF(C2:C9,"Historical voter data",D2:D9)</f>
        <v>0.954039110909598</v>
      </c>
      <c r="F11" s="75" t="n">
        <f aca="false">SUMIF(C2:C9,"Historical voter data",F2:F9)</f>
        <v>753.899790184213</v>
      </c>
    </row>
    <row r="12" customFormat="false" ht="15" hidden="false" customHeight="false" outlineLevel="0" collapsed="false">
      <c r="B12" s="5" t="s">
        <v>389</v>
      </c>
      <c r="C12" s="56" t="s">
        <v>305</v>
      </c>
      <c r="D12" s="74" t="n">
        <f aca="false">SUMIF(C2:C9,"Voter registration data",D2:D9)</f>
        <v>0.0459608890904024</v>
      </c>
      <c r="F12" s="75" t="n">
        <f aca="false">SUMIF(C2:C9,"Voter registration data",F2:F9)</f>
        <v>36.3191657927927</v>
      </c>
    </row>
    <row r="13" customFormat="false" ht="15" hidden="false" customHeight="false" outlineLevel="0" collapsed="false">
      <c r="B13" s="5" t="s">
        <v>391</v>
      </c>
      <c r="D13" s="74" t="n">
        <f aca="false">SUM(D2:D9)</f>
        <v>1</v>
      </c>
      <c r="F13" s="75" t="n">
        <f aca="false">SUM(F2:F9)</f>
        <v>790.218955977005</v>
      </c>
    </row>
    <row r="15" customFormat="false" ht="15" hidden="false" customHeight="false" outlineLevel="0" collapsed="false">
      <c r="B15" s="5" t="s">
        <v>166</v>
      </c>
    </row>
    <row r="16" customFormat="false" ht="30" hidden="false" customHeight="true" outlineLevel="0" collapsed="false">
      <c r="B16" s="76" t="s">
        <v>392</v>
      </c>
    </row>
    <row r="17" customFormat="false" ht="45" hidden="false" customHeight="true" outlineLevel="0" collapsed="false">
      <c r="B17" s="76" t="s">
        <v>393</v>
      </c>
    </row>
    <row r="18" customFormat="false" ht="45" hidden="false" customHeight="true" outlineLevel="0" collapsed="false">
      <c r="B18" s="76" t="s">
        <v>394</v>
      </c>
    </row>
    <row r="19" customFormat="false" ht="30" hidden="false" customHeight="true" outlineLevel="0" collapsed="false">
      <c r="B19" s="76" t="s">
        <v>395</v>
      </c>
    </row>
    <row r="20" customFormat="false" ht="75" hidden="false" customHeight="true" outlineLevel="0" collapsed="false">
      <c r="B20" s="76" t="s">
        <v>396</v>
      </c>
    </row>
    <row r="21" customFormat="false" ht="75" hidden="false" customHeight="true" outlineLevel="0" collapsed="false">
      <c r="B21" s="76" t="s">
        <v>400</v>
      </c>
    </row>
    <row r="22" customFormat="false" ht="60" hidden="false" customHeight="true" outlineLevel="0" collapsed="false">
      <c r="B22" s="76" t="s">
        <v>398</v>
      </c>
    </row>
    <row r="23" customFormat="false" ht="30" hidden="false" customHeight="true" outlineLevel="0" collapsed="false">
      <c r="B23" s="76" t="s">
        <v>399</v>
      </c>
    </row>
  </sheetData>
  <conditionalFormatting sqref="D2:D9">
    <cfRule type="dataBar" priority="2">
      <dataBar showValue="1" minLength="10" maxLength="90">
        <cfvo type="num" val="0"/>
        <cfvo type="max" val="0"/>
        <color rgb="FF5B9BD5"/>
      </dataBar>
      <extLst>
        <ext xmlns:x14="http://schemas.microsoft.com/office/spreadsheetml/2009/9/main" uri="{B025F937-C7B1-47D3-B67F-A62EFF666E3E}">
          <x14:id>{88D480E8-C05E-4E19-9F3E-F33059B0CAC0}</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88D480E8-C05E-4E19-9F3E-F33059B0CAC0}">
            <x14:dataBar minLength="10" maxLength="90" axisPosition="none" gradient="true">
              <x14:cfvo type="num">
                <xm:f>0</xm:f>
              </x14:cfvo>
              <x14:cfvo type="max"/>
              <x14:negativeFillColor rgb="FF5B9BD5"/>
              <x14:axisColor rgb="FF000000"/>
            </x14:dataBar>
          </x14:cfRule>
          <xm:sqref>D2:D9</xm:sqref>
        </x14:conditionalFormatting>
      </x14:conditionalFormattings>
    </ext>
  </extLst>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J39"/>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2" ySplit="1" topLeftCell="C2" activePane="bottomRight" state="frozen"/>
      <selection pane="topLeft" activeCell="A1" activeCellId="0" sqref="A1"/>
      <selection pane="topRight" activeCell="C1" activeCellId="0" sqref="C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6"/>
    <col collapsed="false" customWidth="true" hidden="false" outlineLevel="0" max="2" min="2" style="0" width="90"/>
    <col collapsed="false" customWidth="true" hidden="false" outlineLevel="0" max="3" min="3" style="0" width="24"/>
    <col collapsed="false" customWidth="true" hidden="false" outlineLevel="0" max="4" min="4" style="0" width="12"/>
    <col collapsed="false" customWidth="true" hidden="false" outlineLevel="0" max="6" min="5" style="0" width="14"/>
    <col collapsed="false" customWidth="true" hidden="false" outlineLevel="0" max="7" min="7" style="0" width="22"/>
    <col collapsed="false" customWidth="true" hidden="false" outlineLevel="0" max="8" min="8" style="0" width="50"/>
    <col collapsed="false" customWidth="true" hidden="false" outlineLevel="0" max="9" min="9" style="0" width="40"/>
    <col collapsed="false" customWidth="true" hidden="false" outlineLevel="0" max="10" min="10" style="0" width="16"/>
  </cols>
  <sheetData>
    <row r="1" customFormat="false" ht="31.5" hidden="false" customHeight="true" outlineLevel="0" collapsed="false">
      <c r="A1" s="8" t="s">
        <v>344</v>
      </c>
      <c r="B1" s="8" t="s">
        <v>345</v>
      </c>
      <c r="C1" s="8" t="s">
        <v>301</v>
      </c>
      <c r="D1" s="8" t="s">
        <v>346</v>
      </c>
      <c r="E1" s="8" t="s">
        <v>347</v>
      </c>
      <c r="F1" s="8" t="s">
        <v>348</v>
      </c>
      <c r="G1" s="8" t="s">
        <v>349</v>
      </c>
      <c r="H1" s="8" t="s">
        <v>350</v>
      </c>
      <c r="I1" s="8" t="s">
        <v>351</v>
      </c>
      <c r="J1" s="8" t="s">
        <v>352</v>
      </c>
    </row>
    <row r="2" customFormat="false" ht="41.75" hidden="false" customHeight="false" outlineLevel="0" collapsed="false">
      <c r="A2" s="32" t="n">
        <v>1</v>
      </c>
      <c r="B2" s="73" t="s">
        <v>353</v>
      </c>
      <c r="C2" s="32" t="s">
        <v>304</v>
      </c>
      <c r="D2" s="47" t="n">
        <v>0.231701325315006</v>
      </c>
      <c r="E2" s="47" t="n">
        <v>0.252168091721769</v>
      </c>
      <c r="F2" s="66" t="n">
        <v>189.619363174026</v>
      </c>
      <c r="G2" s="32" t="s">
        <v>354</v>
      </c>
      <c r="H2" s="73" t="s">
        <v>355</v>
      </c>
      <c r="I2" s="32" t="s">
        <v>310</v>
      </c>
      <c r="J2" s="32" t="s">
        <v>356</v>
      </c>
    </row>
    <row r="3" customFormat="false" ht="41.75" hidden="false" customHeight="false" outlineLevel="0" collapsed="false">
      <c r="A3" s="32" t="n">
        <v>2</v>
      </c>
      <c r="B3" s="73" t="s">
        <v>357</v>
      </c>
      <c r="C3" s="32" t="s">
        <v>304</v>
      </c>
      <c r="D3" s="47" t="n">
        <v>0.153906082159968</v>
      </c>
      <c r="E3" s="47" t="n">
        <v>0.167500997199257</v>
      </c>
      <c r="F3" s="66" t="n">
        <v>125.953415450284</v>
      </c>
      <c r="G3" s="32" t="s">
        <v>354</v>
      </c>
      <c r="H3" s="73" t="s">
        <v>355</v>
      </c>
      <c r="I3" s="32" t="s">
        <v>311</v>
      </c>
      <c r="J3" s="32" t="s">
        <v>356</v>
      </c>
    </row>
    <row r="4" customFormat="false" ht="41.75" hidden="false" customHeight="false" outlineLevel="0" collapsed="false">
      <c r="A4" s="32" t="n">
        <v>3</v>
      </c>
      <c r="B4" s="73" t="s">
        <v>358</v>
      </c>
      <c r="C4" s="32" t="s">
        <v>304</v>
      </c>
      <c r="D4" s="47" t="n">
        <v>0.152026302483428</v>
      </c>
      <c r="E4" s="47" t="n">
        <v>0.165455171810706</v>
      </c>
      <c r="F4" s="66" t="n">
        <v>124.415044339595</v>
      </c>
      <c r="G4" s="32" t="s">
        <v>354</v>
      </c>
      <c r="H4" s="73" t="s">
        <v>355</v>
      </c>
      <c r="I4" s="32" t="s">
        <v>312</v>
      </c>
      <c r="J4" s="32" t="s">
        <v>356</v>
      </c>
    </row>
    <row r="5" customFormat="false" ht="28.35" hidden="false" customHeight="false" outlineLevel="0" collapsed="false">
      <c r="A5" s="32" t="n">
        <v>4</v>
      </c>
      <c r="B5" s="73" t="s">
        <v>359</v>
      </c>
      <c r="C5" s="32" t="s">
        <v>304</v>
      </c>
      <c r="D5" s="47" t="n">
        <v>0.101324736318277</v>
      </c>
      <c r="E5" s="47" t="n">
        <v>0.110275007563526</v>
      </c>
      <c r="F5" s="66" t="n">
        <v>82.9219770250635</v>
      </c>
      <c r="G5" s="32" t="s">
        <v>354</v>
      </c>
      <c r="H5" s="73" t="s">
        <v>355</v>
      </c>
      <c r="I5" s="32" t="s">
        <v>313</v>
      </c>
      <c r="J5" s="32" t="s">
        <v>356</v>
      </c>
    </row>
    <row r="6" customFormat="false" ht="28.35" hidden="false" customHeight="false" outlineLevel="0" collapsed="false">
      <c r="A6" s="32" t="n">
        <v>5</v>
      </c>
      <c r="B6" s="73" t="s">
        <v>360</v>
      </c>
      <c r="C6" s="32" t="s">
        <v>304</v>
      </c>
      <c r="D6" s="47" t="n">
        <v>0.0823058624072591</v>
      </c>
      <c r="E6" s="47" t="n">
        <v>0.0895761482267569</v>
      </c>
      <c r="F6" s="66" t="n">
        <v>67.3573411543308</v>
      </c>
      <c r="G6" s="32" t="s">
        <v>354</v>
      </c>
      <c r="H6" s="73" t="s">
        <v>355</v>
      </c>
      <c r="I6" s="32" t="s">
        <v>314</v>
      </c>
      <c r="J6" s="32" t="s">
        <v>356</v>
      </c>
    </row>
    <row r="7" customFormat="false" ht="15" hidden="false" customHeight="false" outlineLevel="0" collapsed="false">
      <c r="A7" s="32" t="n">
        <v>6</v>
      </c>
      <c r="B7" s="73" t="s">
        <v>361</v>
      </c>
      <c r="C7" s="32" t="s">
        <v>304</v>
      </c>
      <c r="D7" s="47" t="n">
        <v>0.0793007837317221</v>
      </c>
      <c r="E7" s="47" t="n">
        <v>0.0863056233212402</v>
      </c>
      <c r="F7" s="66" t="n">
        <v>64.8980496333675</v>
      </c>
      <c r="G7" s="32" t="s">
        <v>354</v>
      </c>
      <c r="H7" s="73" t="s">
        <v>355</v>
      </c>
      <c r="I7" s="32" t="s">
        <v>316</v>
      </c>
      <c r="J7" s="32" t="s">
        <v>356</v>
      </c>
    </row>
    <row r="8" customFormat="false" ht="15" hidden="false" customHeight="false" outlineLevel="0" collapsed="false">
      <c r="A8" s="32" t="n">
        <v>7</v>
      </c>
      <c r="B8" s="73" t="s">
        <v>362</v>
      </c>
      <c r="C8" s="32" t="s">
        <v>304</v>
      </c>
      <c r="D8" s="47" t="n">
        <v>0.0745625020496943</v>
      </c>
      <c r="E8" s="47" t="n">
        <v>0.0811487971866779</v>
      </c>
      <c r="F8" s="66" t="n">
        <v>61.0203421845052</v>
      </c>
      <c r="G8" s="32" t="s">
        <v>354</v>
      </c>
      <c r="H8" s="73" t="s">
        <v>355</v>
      </c>
      <c r="I8" s="32" t="s">
        <v>315</v>
      </c>
      <c r="J8" s="32" t="s">
        <v>356</v>
      </c>
    </row>
    <row r="9" customFormat="false" ht="15" hidden="false" customHeight="false" outlineLevel="0" collapsed="false">
      <c r="A9" s="32" t="n">
        <v>8</v>
      </c>
      <c r="B9" s="73" t="s">
        <v>363</v>
      </c>
      <c r="C9" s="32" t="s">
        <v>305</v>
      </c>
      <c r="D9" s="47" t="n">
        <v>0.0434429828043787</v>
      </c>
      <c r="E9" s="47" t="n">
        <v>0.536663093139804</v>
      </c>
      <c r="F9" s="66" t="n">
        <v>35.5527993745702</v>
      </c>
      <c r="G9" s="32" t="s">
        <v>354</v>
      </c>
      <c r="H9" s="73" t="s">
        <v>355</v>
      </c>
      <c r="I9" s="32" t="s">
        <v>317</v>
      </c>
      <c r="J9" s="32" t="s">
        <v>356</v>
      </c>
    </row>
    <row r="10" customFormat="false" ht="28.35" hidden="false" customHeight="false" outlineLevel="0" collapsed="false">
      <c r="A10" s="32" t="n">
        <v>9</v>
      </c>
      <c r="B10" s="73" t="s">
        <v>364</v>
      </c>
      <c r="C10" s="32" t="s">
        <v>304</v>
      </c>
      <c r="D10" s="47" t="n">
        <v>0.0306082068436806</v>
      </c>
      <c r="E10" s="47" t="n">
        <v>0.0333119074752925</v>
      </c>
      <c r="F10" s="66" t="n">
        <v>25.0490957775358</v>
      </c>
      <c r="G10" s="32" t="s">
        <v>354</v>
      </c>
      <c r="H10" s="73" t="s">
        <v>355</v>
      </c>
      <c r="I10" s="32" t="s">
        <v>318</v>
      </c>
      <c r="J10" s="32" t="s">
        <v>365</v>
      </c>
    </row>
    <row r="11" customFormat="false" ht="15" hidden="false" customHeight="false" outlineLevel="0" collapsed="false">
      <c r="A11" s="32" t="n">
        <v>10</v>
      </c>
      <c r="B11" s="73" t="s">
        <v>366</v>
      </c>
      <c r="C11" s="32" t="s">
        <v>305</v>
      </c>
      <c r="D11" s="47" t="n">
        <v>0.020657881796113</v>
      </c>
      <c r="E11" s="47" t="n">
        <v>0.255192485109495</v>
      </c>
      <c r="F11" s="66" t="n">
        <v>16.9059645445608</v>
      </c>
      <c r="G11" s="32" t="s">
        <v>354</v>
      </c>
      <c r="H11" s="73" t="s">
        <v>355</v>
      </c>
      <c r="I11" s="32" t="s">
        <v>319</v>
      </c>
      <c r="J11" s="32" t="s">
        <v>365</v>
      </c>
    </row>
    <row r="12" customFormat="false" ht="41.75" hidden="false" customHeight="false" outlineLevel="0" collapsed="false">
      <c r="A12" s="32" t="n">
        <v>11</v>
      </c>
      <c r="B12" s="73" t="s">
        <v>367</v>
      </c>
      <c r="C12" s="32" t="s">
        <v>305</v>
      </c>
      <c r="D12" s="47" t="n">
        <v>0.004812039518727</v>
      </c>
      <c r="E12" s="47" t="n">
        <v>0.0594444452412397</v>
      </c>
      <c r="F12" s="66" t="n">
        <v>3.93806927029331</v>
      </c>
      <c r="G12" s="32" t="s">
        <v>354</v>
      </c>
      <c r="H12" s="73" t="s">
        <v>355</v>
      </c>
      <c r="I12" s="32" t="s">
        <v>327</v>
      </c>
      <c r="J12" s="32" t="s">
        <v>365</v>
      </c>
    </row>
    <row r="13" customFormat="false" ht="15" hidden="false" customHeight="false" outlineLevel="0" collapsed="false">
      <c r="A13" s="32" t="n">
        <v>12</v>
      </c>
      <c r="B13" s="73" t="s">
        <v>368</v>
      </c>
      <c r="C13" s="32" t="s">
        <v>305</v>
      </c>
      <c r="D13" s="47" t="n">
        <v>0.00340089679181788</v>
      </c>
      <c r="E13" s="47" t="n">
        <v>0.0420122117296757</v>
      </c>
      <c r="F13" s="66" t="n">
        <v>2.78322052326788</v>
      </c>
      <c r="G13" s="32" t="s">
        <v>354</v>
      </c>
      <c r="H13" s="73" t="s">
        <v>369</v>
      </c>
      <c r="I13" s="32" t="s">
        <v>328</v>
      </c>
      <c r="J13" s="32" t="s">
        <v>365</v>
      </c>
    </row>
    <row r="14" customFormat="false" ht="15" hidden="false" customHeight="false" outlineLevel="0" collapsed="false">
      <c r="A14" s="32" t="n">
        <v>13</v>
      </c>
      <c r="B14" s="73" t="s">
        <v>370</v>
      </c>
      <c r="C14" s="32" t="s">
        <v>305</v>
      </c>
      <c r="D14" s="47" t="n">
        <v>0.00280574192213386</v>
      </c>
      <c r="E14" s="47" t="n">
        <v>0.0346601002344759</v>
      </c>
      <c r="F14" s="66" t="n">
        <v>2.2961586248261</v>
      </c>
      <c r="G14" s="32" t="s">
        <v>354</v>
      </c>
      <c r="H14" s="73" t="s">
        <v>371</v>
      </c>
      <c r="I14" s="32" t="s">
        <v>329</v>
      </c>
      <c r="J14" s="32" t="s">
        <v>365</v>
      </c>
    </row>
    <row r="15" customFormat="false" ht="28.35" hidden="false" customHeight="false" outlineLevel="0" collapsed="false">
      <c r="A15" s="32" t="n">
        <v>14</v>
      </c>
      <c r="B15" s="73" t="s">
        <v>372</v>
      </c>
      <c r="C15" s="32" t="s">
        <v>304</v>
      </c>
      <c r="D15" s="47" t="n">
        <v>0.00275545815151178</v>
      </c>
      <c r="E15" s="47" t="n">
        <v>0.00299885476676174</v>
      </c>
      <c r="F15" s="66" t="n">
        <v>2.25500747236556</v>
      </c>
      <c r="G15" s="32" t="s">
        <v>354</v>
      </c>
      <c r="H15" s="73" t="s">
        <v>371</v>
      </c>
      <c r="I15" s="32" t="s">
        <v>332</v>
      </c>
      <c r="J15" s="32" t="s">
        <v>365</v>
      </c>
    </row>
    <row r="16" customFormat="false" ht="15" hidden="false" customHeight="false" outlineLevel="0" collapsed="false">
      <c r="A16" s="32" t="n">
        <v>15</v>
      </c>
      <c r="B16" s="73" t="s">
        <v>373</v>
      </c>
      <c r="C16" s="32" t="s">
        <v>305</v>
      </c>
      <c r="D16" s="47" t="n">
        <v>0.00225132656497157</v>
      </c>
      <c r="E16" s="47" t="n">
        <v>0.0278112551218209</v>
      </c>
      <c r="F16" s="66" t="n">
        <v>1.8424370640362</v>
      </c>
      <c r="G16" s="32" t="s">
        <v>354</v>
      </c>
      <c r="H16" s="73" t="s">
        <v>374</v>
      </c>
      <c r="I16" s="32" t="s">
        <v>337</v>
      </c>
      <c r="J16" s="32" t="s">
        <v>365</v>
      </c>
    </row>
    <row r="17" customFormat="false" ht="28.35" hidden="false" customHeight="false" outlineLevel="0" collapsed="false">
      <c r="A17" s="32" t="n">
        <v>16</v>
      </c>
      <c r="B17" s="73" t="s">
        <v>375</v>
      </c>
      <c r="C17" s="32" t="s">
        <v>304</v>
      </c>
      <c r="D17" s="47" t="n">
        <v>0.0022426900414645</v>
      </c>
      <c r="E17" s="47" t="n">
        <v>0.00244079254752062</v>
      </c>
      <c r="F17" s="66" t="n">
        <v>1.83536911962448</v>
      </c>
      <c r="G17" s="32" t="s">
        <v>354</v>
      </c>
      <c r="H17" s="73" t="s">
        <v>374</v>
      </c>
      <c r="I17" s="32" t="s">
        <v>338</v>
      </c>
      <c r="J17" s="32" t="s">
        <v>365</v>
      </c>
    </row>
    <row r="18" customFormat="false" ht="28.35" hidden="false" customHeight="false" outlineLevel="0" collapsed="false">
      <c r="A18" s="32" t="n">
        <v>17</v>
      </c>
      <c r="B18" s="73" t="s">
        <v>378</v>
      </c>
      <c r="C18" s="32" t="s">
        <v>304</v>
      </c>
      <c r="D18" s="47" t="n">
        <v>0.00213228147904036</v>
      </c>
      <c r="E18" s="47" t="n">
        <v>0.00232063131642543</v>
      </c>
      <c r="F18" s="66" t="n">
        <v>1.74501313539624</v>
      </c>
      <c r="G18" s="32" t="s">
        <v>354</v>
      </c>
      <c r="H18" s="73" t="s">
        <v>371</v>
      </c>
      <c r="I18" s="32" t="s">
        <v>334</v>
      </c>
      <c r="J18" s="32" t="s">
        <v>365</v>
      </c>
    </row>
    <row r="19" customFormat="false" ht="28.35" hidden="false" customHeight="false" outlineLevel="0" collapsed="false">
      <c r="A19" s="32" t="n">
        <v>18</v>
      </c>
      <c r="B19" s="73" t="s">
        <v>379</v>
      </c>
      <c r="C19" s="32" t="s">
        <v>304</v>
      </c>
      <c r="D19" s="47" t="n">
        <v>0.00205430878232959</v>
      </c>
      <c r="E19" s="47" t="n">
        <v>0.00223577109342401</v>
      </c>
      <c r="F19" s="66" t="n">
        <v>1.68120196351297</v>
      </c>
      <c r="G19" s="32" t="s">
        <v>354</v>
      </c>
      <c r="H19" s="73" t="s">
        <v>380</v>
      </c>
      <c r="I19" s="32" t="s">
        <v>335</v>
      </c>
      <c r="J19" s="32" t="s">
        <v>365</v>
      </c>
    </row>
    <row r="20" customFormat="false" ht="28.35" hidden="false" customHeight="false" outlineLevel="0" collapsed="false">
      <c r="A20" s="32" t="n">
        <v>19</v>
      </c>
      <c r="B20" s="73" t="s">
        <v>381</v>
      </c>
      <c r="C20" s="32" t="s">
        <v>304</v>
      </c>
      <c r="D20" s="47" t="n">
        <v>0.00204495939585186</v>
      </c>
      <c r="E20" s="47" t="n">
        <v>0.00222559585189851</v>
      </c>
      <c r="F20" s="66" t="n">
        <v>1.67355062743379</v>
      </c>
      <c r="G20" s="32" t="s">
        <v>354</v>
      </c>
      <c r="H20" s="73" t="s">
        <v>382</v>
      </c>
      <c r="I20" s="32" t="s">
        <v>330</v>
      </c>
      <c r="J20" s="32" t="s">
        <v>365</v>
      </c>
    </row>
    <row r="21" customFormat="false" ht="15" hidden="false" customHeight="false" outlineLevel="0" collapsed="false">
      <c r="A21" s="32" t="n">
        <v>20</v>
      </c>
      <c r="B21" s="73" t="s">
        <v>376</v>
      </c>
      <c r="C21" s="32" t="s">
        <v>305</v>
      </c>
      <c r="D21" s="47" t="n">
        <v>0.00187303716193114</v>
      </c>
      <c r="E21" s="47" t="n">
        <v>0.0231381422729207</v>
      </c>
      <c r="F21" s="66" t="n">
        <v>1.53285318227597</v>
      </c>
      <c r="G21" s="32" t="s">
        <v>354</v>
      </c>
      <c r="H21" s="73" t="s">
        <v>377</v>
      </c>
      <c r="I21" s="32" t="s">
        <v>333</v>
      </c>
      <c r="J21" s="32" t="s">
        <v>365</v>
      </c>
    </row>
    <row r="22" customFormat="false" ht="28.35" hidden="false" customHeight="false" outlineLevel="0" collapsed="false">
      <c r="A22" s="32" t="n">
        <v>21</v>
      </c>
      <c r="B22" s="73" t="s">
        <v>384</v>
      </c>
      <c r="C22" s="32" t="s">
        <v>304</v>
      </c>
      <c r="D22" s="47" t="n">
        <v>0.00187131216364866</v>
      </c>
      <c r="E22" s="47" t="n">
        <v>0.00203660991874549</v>
      </c>
      <c r="F22" s="66" t="n">
        <v>1.5314414809171</v>
      </c>
      <c r="G22" s="32" t="s">
        <v>354</v>
      </c>
      <c r="H22" s="73" t="s">
        <v>385</v>
      </c>
      <c r="I22" s="32" t="s">
        <v>336</v>
      </c>
      <c r="J22" s="32" t="s">
        <v>365</v>
      </c>
    </row>
    <row r="23" customFormat="false" ht="15" hidden="false" customHeight="false" outlineLevel="0" collapsed="false">
      <c r="A23" s="32" t="n">
        <v>22</v>
      </c>
      <c r="B23" s="73" t="s">
        <v>383</v>
      </c>
      <c r="C23" s="32" t="s">
        <v>305</v>
      </c>
      <c r="D23" s="47" t="n">
        <v>0.00170628986616315</v>
      </c>
      <c r="E23" s="47" t="n">
        <v>0.0210782671505679</v>
      </c>
      <c r="F23" s="66" t="n">
        <v>1.39639079479705</v>
      </c>
      <c r="G23" s="32" t="s">
        <v>354</v>
      </c>
      <c r="H23" s="73" t="s">
        <v>371</v>
      </c>
      <c r="I23" s="32" t="s">
        <v>331</v>
      </c>
      <c r="J23" s="32" t="s">
        <v>365</v>
      </c>
    </row>
    <row r="24" customFormat="false" ht="15" hidden="false" customHeight="false" outlineLevel="0" collapsed="false">
      <c r="A24" s="32" t="n">
        <v>23</v>
      </c>
      <c r="B24" s="73" t="s">
        <v>386</v>
      </c>
      <c r="C24" s="32" t="s">
        <v>303</v>
      </c>
      <c r="D24" s="47" t="n">
        <v>0.000212992250882142</v>
      </c>
      <c r="E24" s="47" t="n">
        <v>1</v>
      </c>
      <c r="F24" s="66" t="n">
        <v>0.174308260508937</v>
      </c>
      <c r="G24" s="32" t="s">
        <v>354</v>
      </c>
      <c r="H24" s="73" t="s">
        <v>387</v>
      </c>
      <c r="I24" s="32" t="s">
        <v>339</v>
      </c>
      <c r="J24" s="32" t="s">
        <v>365</v>
      </c>
    </row>
    <row r="26" customFormat="false" ht="15" hidden="false" customHeight="false" outlineLevel="0" collapsed="false">
      <c r="B26" s="5" t="s">
        <v>388</v>
      </c>
      <c r="C26" s="56" t="s">
        <v>304</v>
      </c>
      <c r="D26" s="74" t="n">
        <f aca="false">SUMIF(C2:C24,"Historical voter data",D2:D24)</f>
        <v>0.918836811322882</v>
      </c>
      <c r="F26" s="75" t="n">
        <f aca="false">SUMIF(C2:C24,"Historical voter data",F2:F24)</f>
        <v>751.956212537958</v>
      </c>
    </row>
    <row r="27" customFormat="false" ht="15" hidden="false" customHeight="false" outlineLevel="0" collapsed="false">
      <c r="B27" s="5" t="s">
        <v>389</v>
      </c>
      <c r="C27" s="56" t="s">
        <v>305</v>
      </c>
      <c r="D27" s="74" t="n">
        <f aca="false">SUMIF(C2:C24,"Voter registration data",D2:D24)</f>
        <v>0.0809501964262363</v>
      </c>
      <c r="F27" s="75" t="n">
        <f aca="false">SUMIF(C2:C24,"Voter registration data",F2:F24)</f>
        <v>66.2478933786276</v>
      </c>
    </row>
    <row r="28" customFormat="false" ht="15" hidden="false" customHeight="false" outlineLevel="0" collapsed="false">
      <c r="B28" s="5" t="s">
        <v>390</v>
      </c>
      <c r="C28" s="56" t="s">
        <v>303</v>
      </c>
      <c r="D28" s="74" t="n">
        <f aca="false">SUMIF(C2:C24,"Election type",D2:D24)</f>
        <v>0.000212992250882142</v>
      </c>
      <c r="F28" s="75" t="n">
        <f aca="false">SUMIF(C2:C24,"Election type",F2:F24)</f>
        <v>0.174308260508937</v>
      </c>
    </row>
    <row r="29" customFormat="false" ht="15" hidden="false" customHeight="false" outlineLevel="0" collapsed="false">
      <c r="B29" s="5" t="s">
        <v>391</v>
      </c>
      <c r="D29" s="74" t="n">
        <f aca="false">SUM(D2:D24)</f>
        <v>1</v>
      </c>
      <c r="F29" s="75" t="n">
        <f aca="false">SUM(F2:F24)</f>
        <v>818.378414177094</v>
      </c>
    </row>
    <row r="31" customFormat="false" ht="15" hidden="false" customHeight="false" outlineLevel="0" collapsed="false">
      <c r="B31" s="5" t="s">
        <v>166</v>
      </c>
    </row>
    <row r="32" customFormat="false" ht="30" hidden="false" customHeight="true" outlineLevel="0" collapsed="false">
      <c r="B32" s="76" t="s">
        <v>392</v>
      </c>
    </row>
    <row r="33" customFormat="false" ht="45" hidden="false" customHeight="true" outlineLevel="0" collapsed="false">
      <c r="B33" s="76" t="s">
        <v>393</v>
      </c>
    </row>
    <row r="34" customFormat="false" ht="45" hidden="false" customHeight="true" outlineLevel="0" collapsed="false">
      <c r="B34" s="76" t="s">
        <v>394</v>
      </c>
    </row>
    <row r="35" customFormat="false" ht="30" hidden="false" customHeight="true" outlineLevel="0" collapsed="false">
      <c r="B35" s="76" t="s">
        <v>395</v>
      </c>
    </row>
    <row r="36" customFormat="false" ht="75" hidden="false" customHeight="true" outlineLevel="0" collapsed="false">
      <c r="B36" s="76" t="s">
        <v>396</v>
      </c>
    </row>
    <row r="37" customFormat="false" ht="60" hidden="false" customHeight="true" outlineLevel="0" collapsed="false">
      <c r="B37" s="76" t="s">
        <v>401</v>
      </c>
    </row>
    <row r="38" customFormat="false" ht="60" hidden="false" customHeight="true" outlineLevel="0" collapsed="false">
      <c r="B38" s="76" t="s">
        <v>398</v>
      </c>
    </row>
    <row r="39" customFormat="false" ht="30" hidden="false" customHeight="true" outlineLevel="0" collapsed="false">
      <c r="B39" s="76" t="s">
        <v>399</v>
      </c>
    </row>
  </sheetData>
  <conditionalFormatting sqref="D2:D24">
    <cfRule type="dataBar" priority="2">
      <dataBar showValue="1" minLength="10" maxLength="90">
        <cfvo type="num" val="0"/>
        <cfvo type="max" val="0"/>
        <color rgb="FF5B9BD5"/>
      </dataBar>
      <extLst>
        <ext xmlns:x14="http://schemas.microsoft.com/office/spreadsheetml/2009/9/main" uri="{B025F937-C7B1-47D3-B67F-A62EFF666E3E}">
          <x14:id>{47B427C4-401F-4ADC-B0E8-CB87BC56CA28}</x14:id>
        </ext>
      </extLst>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extLst>
    <ext xmlns:x14="http://schemas.microsoft.com/office/spreadsheetml/2009/9/main" uri="{78C0D931-6437-407d-A8EE-F0AAD7539E65}">
      <x14:conditionalFormattings>
        <x14:conditionalFormatting xmlns:xm="http://schemas.microsoft.com/office/excel/2006/main">
          <x14:cfRule type="dataBar" id="{47B427C4-401F-4ADC-B0E8-CB87BC56CA28}">
            <x14:dataBar minLength="10" maxLength="90" axisPosition="none" gradient="true">
              <x14:cfvo type="num">
                <xm:f>0</xm:f>
              </x14:cfvo>
              <x14:cfvo type="max"/>
              <x14:negativeFillColor rgb="FF5B9BD5"/>
              <x14:axisColor rgb="FF000000"/>
            </x14:dataBar>
          </x14:cfRule>
          <xm:sqref>D2:D24</xm:sqref>
        </x14:conditionalFormatting>
      </x14:conditionalFormattings>
    </ext>
  </extLst>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405</v>
      </c>
      <c r="H1" s="8" t="s">
        <v>406</v>
      </c>
      <c r="I1" s="8" t="s">
        <v>407</v>
      </c>
      <c r="J1" s="8" t="s">
        <v>408</v>
      </c>
      <c r="K1" s="8" t="s">
        <v>409</v>
      </c>
      <c r="L1" s="8" t="s">
        <v>410</v>
      </c>
      <c r="M1" s="8" t="s">
        <v>411</v>
      </c>
      <c r="N1" s="8" t="s">
        <v>412</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150</v>
      </c>
      <c r="E2" s="66" t="n">
        <v>181</v>
      </c>
      <c r="F2" s="77" t="n">
        <f aca="false">IF(E2="","",D2-E2)</f>
        <v>-31</v>
      </c>
      <c r="G2" s="66" t="n">
        <v>288</v>
      </c>
      <c r="H2" s="66" t="n">
        <v>285</v>
      </c>
      <c r="I2" s="77" t="n">
        <f aca="false">IF(H2="","",G2-H2)</f>
        <v>3</v>
      </c>
      <c r="J2" s="47" t="n">
        <f aca="false">IF(OR(D2="",D2+G2=0),"",D2/(D2+G2))</f>
        <v>0.342465753424658</v>
      </c>
      <c r="K2" s="47" t="n">
        <f aca="false">IF(E2="","",E2/(E2+H2))</f>
        <v>0.388412017167382</v>
      </c>
      <c r="L2" s="78" t="n">
        <f aca="false">IF(OR(K2="",J2=""),"",(J2-K2)*100)</f>
        <v>-4.59462637427245</v>
      </c>
      <c r="M2" s="36" t="n">
        <v>2.86632681480758</v>
      </c>
      <c r="N2" s="36" t="n">
        <v>1.22162112090302</v>
      </c>
      <c r="O2" s="36" t="n">
        <f aca="false">SQRT(M2^2+N2^2)</f>
        <v>3.11579645874395</v>
      </c>
      <c r="P2" s="47" t="n">
        <f aca="false">IF(J2="","",MAX(0,J2-1.96*O2/100))</f>
        <v>0.281396142833276</v>
      </c>
      <c r="Q2" s="47" t="n">
        <f aca="false">IF(J2="","",MIN(1,J2+1.96*O2/100))</f>
        <v>0.403535364016039</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189</v>
      </c>
      <c r="B3" s="32" t="s">
        <v>195</v>
      </c>
      <c r="C3" s="32" t="s">
        <v>191</v>
      </c>
      <c r="D3" s="66" t="n">
        <v>106</v>
      </c>
      <c r="E3" s="66" t="n">
        <v>118</v>
      </c>
      <c r="F3" s="77" t="n">
        <f aca="false">IF(E3="","",D3-E3)</f>
        <v>-12</v>
      </c>
      <c r="G3" s="66" t="n">
        <v>298</v>
      </c>
      <c r="H3" s="66" t="n">
        <v>300</v>
      </c>
      <c r="I3" s="77" t="n">
        <f aca="false">IF(H3="","",G3-H3)</f>
        <v>-2</v>
      </c>
      <c r="J3" s="47" t="n">
        <f aca="false">IF(OR(D3="",D3+G3=0),"",D3/(D3+G3))</f>
        <v>0.262376237623762</v>
      </c>
      <c r="K3" s="47" t="n">
        <f aca="false">IF(E3="","",E3/(E3+H3))</f>
        <v>0.282296650717703</v>
      </c>
      <c r="L3" s="78" t="n">
        <f aca="false">IF(OR(K3="",J3=""),"",(J3-K3)*100)</f>
        <v>-1.99204130939409</v>
      </c>
      <c r="M3" s="36" t="n">
        <v>2.86632681480758</v>
      </c>
      <c r="N3" s="36" t="n">
        <v>1.22162112090302</v>
      </c>
      <c r="O3" s="36" t="n">
        <f aca="false">SQRT(M3^2+N3^2)</f>
        <v>3.11579645874395</v>
      </c>
      <c r="P3" s="47" t="n">
        <f aca="false">IF(J3="","",MAX(0,J3-1.96*O3/100))</f>
        <v>0.201306627032381</v>
      </c>
      <c r="Q3" s="47" t="n">
        <f aca="false">IF(J3="","",MIN(1,J3+1.96*O3/100))</f>
        <v>0.323445848215144</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189</v>
      </c>
      <c r="B4" s="32" t="s">
        <v>196</v>
      </c>
      <c r="C4" s="32" t="s">
        <v>191</v>
      </c>
      <c r="D4" s="66" t="n">
        <v>128</v>
      </c>
      <c r="E4" s="66" t="n">
        <v>144</v>
      </c>
      <c r="F4" s="77" t="n">
        <f aca="false">IF(E4="","",D4-E4)</f>
        <v>-16</v>
      </c>
      <c r="G4" s="66" t="n">
        <v>275</v>
      </c>
      <c r="H4" s="66" t="n">
        <v>310</v>
      </c>
      <c r="I4" s="77" t="n">
        <f aca="false">IF(H4="","",G4-H4)</f>
        <v>-35</v>
      </c>
      <c r="J4" s="47" t="n">
        <f aca="false">IF(OR(D4="",D4+G4=0),"",D4/(D4+G4))</f>
        <v>0.317617866004963</v>
      </c>
      <c r="K4" s="47" t="n">
        <f aca="false">IF(E4="","",E4/(E4+H4))</f>
        <v>0.317180616740088</v>
      </c>
      <c r="L4" s="78" t="n">
        <f aca="false">IF(OR(K4="",J4=""),"",(J4-K4)*100)</f>
        <v>0.0437249264874651</v>
      </c>
      <c r="M4" s="36" t="n">
        <v>2.86632681480758</v>
      </c>
      <c r="N4" s="36" t="n">
        <v>1.22162112090302</v>
      </c>
      <c r="O4" s="36" t="n">
        <f aca="false">SQRT(M4^2+N4^2)</f>
        <v>3.11579645874395</v>
      </c>
      <c r="P4" s="47" t="n">
        <f aca="false">IF(J4="","",MAX(0,J4-1.96*O4/100))</f>
        <v>0.256548255413581</v>
      </c>
      <c r="Q4" s="47" t="n">
        <f aca="false">IF(J4="","",MIN(1,J4+1.96*O4/100))</f>
        <v>0.378687476596344</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189</v>
      </c>
      <c r="B5" s="32" t="s">
        <v>197</v>
      </c>
      <c r="C5" s="32" t="s">
        <v>191</v>
      </c>
      <c r="D5" s="66" t="n">
        <v>428</v>
      </c>
      <c r="E5" s="66" t="n">
        <v>438</v>
      </c>
      <c r="F5" s="77" t="n">
        <f aca="false">IF(E5="","",D5-E5)</f>
        <v>-10</v>
      </c>
      <c r="G5" s="66" t="n">
        <v>1147</v>
      </c>
      <c r="H5" s="66" t="n">
        <v>1253</v>
      </c>
      <c r="I5" s="77" t="n">
        <f aca="false">IF(H5="","",G5-H5)</f>
        <v>-106</v>
      </c>
      <c r="J5" s="47" t="n">
        <f aca="false">IF(OR(D5="",D5+G5=0),"",D5/(D5+G5))</f>
        <v>0.271746031746032</v>
      </c>
      <c r="K5" s="47" t="n">
        <f aca="false">IF(E5="","",E5/(E5+H5))</f>
        <v>0.259018332347723</v>
      </c>
      <c r="L5" s="78" t="n">
        <f aca="false">IF(OR(K5="",J5=""),"",(J5-K5)*100)</f>
        <v>1.27276993983085</v>
      </c>
      <c r="M5" s="36" t="n">
        <v>1.91017594365553</v>
      </c>
      <c r="N5" s="36" t="n">
        <v>1.22162112090302</v>
      </c>
      <c r="O5" s="36" t="n">
        <f aca="false">SQRT(M5^2+N5^2)</f>
        <v>2.26740607275288</v>
      </c>
      <c r="P5" s="47" t="n">
        <f aca="false">IF(J5="","",MAX(0,J5-1.96*O5/100))</f>
        <v>0.227304872720075</v>
      </c>
      <c r="Q5" s="47" t="n">
        <f aca="false">IF(J5="","",MIN(1,J5+1.96*O5/100))</f>
        <v>0.316187190771988</v>
      </c>
      <c r="R5" s="32" t="str">
        <f aca="false">IF(L5="","",IF(ABS(L5)&lt;=O5,"Yes","No"))</f>
        <v>Yes</v>
      </c>
      <c r="S5" s="32" t="str">
        <f aca="false">IF(L5="","",IF(ABS(L5)&lt;=1.96*O5,"Yes","No"))</f>
        <v>Yes</v>
      </c>
      <c r="T5" s="66" t="n">
        <f aca="false">IF(D5="","",ROUND(SQRT(((D5+G5)*O5/100)^2+(J5*(D5+G5)*0.06092)^2),0))</f>
        <v>44</v>
      </c>
      <c r="U5" s="32"/>
    </row>
    <row r="6" customFormat="false" ht="15" hidden="false" customHeight="false" outlineLevel="0" collapsed="false">
      <c r="A6" s="32" t="s">
        <v>189</v>
      </c>
      <c r="B6" s="32" t="s">
        <v>199</v>
      </c>
      <c r="C6" s="32" t="s">
        <v>191</v>
      </c>
      <c r="D6" s="66" t="n">
        <v>39</v>
      </c>
      <c r="E6" s="66" t="n">
        <v>38</v>
      </c>
      <c r="F6" s="77" t="n">
        <f aca="false">IF(E6="","",D6-E6)</f>
        <v>1</v>
      </c>
      <c r="G6" s="66" t="n">
        <v>73</v>
      </c>
      <c r="H6" s="66" t="n">
        <v>78</v>
      </c>
      <c r="I6" s="77" t="n">
        <f aca="false">IF(H6="","",G6-H6)</f>
        <v>-5</v>
      </c>
      <c r="J6" s="47" t="n">
        <f aca="false">IF(OR(D6="",D6+G6=0),"",D6/(D6+G6))</f>
        <v>0.348214285714286</v>
      </c>
      <c r="K6" s="47" t="n">
        <f aca="false">IF(E6="","",E6/(E6+H6))</f>
        <v>0.327586206896552</v>
      </c>
      <c r="L6" s="78" t="n">
        <f aca="false">IF(OR(K6="",J6=""),"",(J6-K6)*100)</f>
        <v>2.0628078817734</v>
      </c>
      <c r="M6" s="36" t="n">
        <v>2.86632681480758</v>
      </c>
      <c r="N6" s="36" t="n">
        <v>1.22162112090302</v>
      </c>
      <c r="O6" s="36" t="n">
        <f aca="false">SQRT(M6^2+N6^2)</f>
        <v>3.11579645874395</v>
      </c>
      <c r="P6" s="47" t="n">
        <f aca="false">IF(J6="","",MAX(0,J6-1.96*O6/100))</f>
        <v>0.287144675122904</v>
      </c>
      <c r="Q6" s="47" t="n">
        <f aca="false">IF(J6="","",MIN(1,J6+1.96*O6/100))</f>
        <v>0.409283896305667</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189</v>
      </c>
      <c r="B7" s="32" t="s">
        <v>200</v>
      </c>
      <c r="C7" s="32" t="s">
        <v>191</v>
      </c>
      <c r="D7" s="66" t="n">
        <v>657</v>
      </c>
      <c r="E7" s="66" t="n">
        <v>708</v>
      </c>
      <c r="F7" s="77" t="n">
        <f aca="false">IF(E7="","",D7-E7)</f>
        <v>-51</v>
      </c>
      <c r="G7" s="66" t="n">
        <v>1775</v>
      </c>
      <c r="H7" s="66" t="n">
        <v>1846</v>
      </c>
      <c r="I7" s="77" t="n">
        <f aca="false">IF(H7="","",G7-H7)</f>
        <v>-71</v>
      </c>
      <c r="J7" s="47" t="n">
        <f aca="false">IF(OR(D7="",D7+G7=0),"",D7/(D7+G7))</f>
        <v>0.27014802631579</v>
      </c>
      <c r="K7" s="47" t="n">
        <f aca="false">IF(E7="","",E7/(E7+H7))</f>
        <v>0.277212216131558</v>
      </c>
      <c r="L7" s="78" t="n">
        <f aca="false">IF(OR(K7="",J7=""),"",(J7-K7)*100)</f>
        <v>-0.706418981576884</v>
      </c>
      <c r="M7" s="36" t="n">
        <v>1.91017594365553</v>
      </c>
      <c r="N7" s="36" t="n">
        <v>1.22162112090302</v>
      </c>
      <c r="O7" s="36" t="n">
        <f aca="false">SQRT(M7^2+N7^2)</f>
        <v>2.26740607275288</v>
      </c>
      <c r="P7" s="47" t="n">
        <f aca="false">IF(J7="","",MAX(0,J7-1.96*O7/100))</f>
        <v>0.225706867289833</v>
      </c>
      <c r="Q7" s="47" t="n">
        <f aca="false">IF(J7="","",MIN(1,J7+1.96*O7/100))</f>
        <v>0.314589185341746</v>
      </c>
      <c r="R7" s="32" t="str">
        <f aca="false">IF(L7="","",IF(ABS(L7)&lt;=O7,"Yes","No"))</f>
        <v>Yes</v>
      </c>
      <c r="S7" s="32" t="str">
        <f aca="false">IF(L7="","",IF(ABS(L7)&lt;=1.96*O7,"Yes","No"))</f>
        <v>Yes</v>
      </c>
      <c r="T7" s="66" t="n">
        <f aca="false">IF(D7="","",ROUND(SQRT(((D7+G7)*O7/100)^2+(J7*(D7+G7)*0.06092)^2),0))</f>
        <v>68</v>
      </c>
      <c r="U7" s="32"/>
    </row>
    <row r="8" customFormat="false" ht="15" hidden="false" customHeight="false" outlineLevel="0" collapsed="false">
      <c r="A8" s="32" t="s">
        <v>189</v>
      </c>
      <c r="B8" s="32" t="s">
        <v>201</v>
      </c>
      <c r="C8" s="32" t="s">
        <v>191</v>
      </c>
      <c r="D8" s="66" t="n">
        <v>1049</v>
      </c>
      <c r="E8" s="66" t="n">
        <v>1104</v>
      </c>
      <c r="F8" s="77" t="n">
        <f aca="false">IF(E8="","",D8-E8)</f>
        <v>-55</v>
      </c>
      <c r="G8" s="66" t="n">
        <v>1376</v>
      </c>
      <c r="H8" s="66" t="n">
        <v>1481</v>
      </c>
      <c r="I8" s="77" t="n">
        <f aca="false">IF(H8="","",G8-H8)</f>
        <v>-105</v>
      </c>
      <c r="J8" s="47" t="n">
        <f aca="false">IF(OR(D8="",D8+G8=0),"",D8/(D8+G8))</f>
        <v>0.432577319587629</v>
      </c>
      <c r="K8" s="47" t="n">
        <f aca="false">IF(E8="","",E8/(E8+H8))</f>
        <v>0.427079303675048</v>
      </c>
      <c r="L8" s="78" t="n">
        <f aca="false">IF(OR(K8="",J8=""),"",(J8-K8)*100)</f>
        <v>0.549801591258048</v>
      </c>
      <c r="M8" s="36" t="n">
        <v>1.91017594365553</v>
      </c>
      <c r="N8" s="36" t="n">
        <v>1.22162112090302</v>
      </c>
      <c r="O8" s="36" t="n">
        <f aca="false">SQRT(M8^2+N8^2)</f>
        <v>2.26740607275288</v>
      </c>
      <c r="P8" s="47" t="n">
        <f aca="false">IF(J8="","",MAX(0,J8-1.96*O8/100))</f>
        <v>0.388136160561672</v>
      </c>
      <c r="Q8" s="47" t="n">
        <f aca="false">IF(J8="","",MIN(1,J8+1.96*O8/100))</f>
        <v>0.477018478613585</v>
      </c>
      <c r="R8" s="32" t="str">
        <f aca="false">IF(L8="","",IF(ABS(L8)&lt;=O8,"Yes","No"))</f>
        <v>Yes</v>
      </c>
      <c r="S8" s="32" t="str">
        <f aca="false">IF(L8="","",IF(ABS(L8)&lt;=1.96*O8,"Yes","No"))</f>
        <v>Yes</v>
      </c>
      <c r="T8" s="66" t="n">
        <f aca="false">IF(D8="","",ROUND(SQRT(((D8+G8)*O8/100)^2+(J8*(D8+G8)*0.06092)^2),0))</f>
        <v>84</v>
      </c>
      <c r="U8" s="32"/>
    </row>
    <row r="9" customFormat="false" ht="15" hidden="false" customHeight="false" outlineLevel="0" collapsed="false">
      <c r="A9" s="32" t="s">
        <v>189</v>
      </c>
      <c r="B9" s="32" t="s">
        <v>202</v>
      </c>
      <c r="C9" s="32" t="s">
        <v>191</v>
      </c>
      <c r="D9" s="66" t="n">
        <v>326</v>
      </c>
      <c r="E9" s="66" t="n">
        <v>351</v>
      </c>
      <c r="F9" s="77" t="n">
        <f aca="false">IF(E9="","",D9-E9)</f>
        <v>-25</v>
      </c>
      <c r="G9" s="66" t="n">
        <v>710</v>
      </c>
      <c r="H9" s="66" t="n">
        <v>697</v>
      </c>
      <c r="I9" s="77" t="n">
        <f aca="false">IF(H9="","",G9-H9)</f>
        <v>13</v>
      </c>
      <c r="J9" s="47" t="n">
        <f aca="false">IF(OR(D9="",D9+G9=0),"",D9/(D9+G9))</f>
        <v>0.314671814671815</v>
      </c>
      <c r="K9" s="47" t="n">
        <f aca="false">IF(E9="","",E9/(E9+H9))</f>
        <v>0.334923664122137</v>
      </c>
      <c r="L9" s="78" t="n">
        <f aca="false">IF(OR(K9="",J9=""),"",(J9-K9)*100)</f>
        <v>-2.02518494503228</v>
      </c>
      <c r="M9" s="36" t="n">
        <v>2.86632681480758</v>
      </c>
      <c r="N9" s="36" t="n">
        <v>1.22162112090302</v>
      </c>
      <c r="O9" s="36" t="n">
        <f aca="false">SQRT(M9^2+N9^2)</f>
        <v>3.11579645874395</v>
      </c>
      <c r="P9" s="47" t="n">
        <f aca="false">IF(J9="","",MAX(0,J9-1.96*O9/100))</f>
        <v>0.253602204080433</v>
      </c>
      <c r="Q9" s="47" t="n">
        <f aca="false">IF(J9="","",MIN(1,J9+1.96*O9/100))</f>
        <v>0.375741425263196</v>
      </c>
      <c r="R9" s="32" t="str">
        <f aca="false">IF(L9="","",IF(ABS(L9)&lt;=O9,"Yes","No"))</f>
        <v>Yes</v>
      </c>
      <c r="S9" s="32" t="str">
        <f aca="false">IF(L9="","",IF(ABS(L9)&lt;=1.96*O9,"Yes","No"))</f>
        <v>Yes</v>
      </c>
      <c r="T9" s="66" t="n">
        <f aca="false">IF(D9="","",ROUND(SQRT(((D9+G9)*O9/100)^2+(J9*(D9+G9)*0.07859)^2),0))</f>
        <v>41</v>
      </c>
      <c r="U9" s="32"/>
    </row>
    <row r="10" customFormat="false" ht="15" hidden="false" customHeight="false" outlineLevel="0" collapsed="false">
      <c r="A10" s="32" t="s">
        <v>189</v>
      </c>
      <c r="B10" s="32" t="s">
        <v>203</v>
      </c>
      <c r="C10" s="32" t="s">
        <v>191</v>
      </c>
      <c r="D10" s="66" t="n">
        <v>588</v>
      </c>
      <c r="E10" s="66" t="n">
        <v>575</v>
      </c>
      <c r="F10" s="77" t="n">
        <f aca="false">IF(E10="","",D10-E10)</f>
        <v>13</v>
      </c>
      <c r="G10" s="66" t="n">
        <v>821</v>
      </c>
      <c r="H10" s="66" t="n">
        <v>880</v>
      </c>
      <c r="I10" s="77" t="n">
        <f aca="false">IF(H10="","",G10-H10)</f>
        <v>-59</v>
      </c>
      <c r="J10" s="47" t="n">
        <f aca="false">IF(OR(D10="",D10+G10=0),"",D10/(D10+G10))</f>
        <v>0.417317246273953</v>
      </c>
      <c r="K10" s="47" t="n">
        <f aca="false">IF(E10="","",E10/(E10+H10))</f>
        <v>0.395189003436426</v>
      </c>
      <c r="L10" s="78" t="n">
        <f aca="false">IF(OR(K10="",J10=""),"",(J10-K10)*100)</f>
        <v>2.21282428375271</v>
      </c>
      <c r="M10" s="36" t="n">
        <v>2.86632681480758</v>
      </c>
      <c r="N10" s="36" t="n">
        <v>1.22162112090302</v>
      </c>
      <c r="O10" s="36" t="n">
        <f aca="false">SQRT(M10^2+N10^2)</f>
        <v>3.11579645874395</v>
      </c>
      <c r="P10" s="47" t="n">
        <f aca="false">IF(J10="","",MAX(0,J10-1.96*O10/100))</f>
        <v>0.356247635682572</v>
      </c>
      <c r="Q10" s="47" t="n">
        <f aca="false">IF(J10="","",MIN(1,J10+1.96*O10/100))</f>
        <v>0.478386856865335</v>
      </c>
      <c r="R10" s="32" t="str">
        <f aca="false">IF(L10="","",IF(ABS(L10)&lt;=O10,"Yes","No"))</f>
        <v>Yes</v>
      </c>
      <c r="S10" s="32" t="str">
        <f aca="false">IF(L10="","",IF(ABS(L10)&lt;=1.96*O10,"Yes","No"))</f>
        <v>Yes</v>
      </c>
      <c r="T10" s="66" t="n">
        <f aca="false">IF(D10="","",ROUND(SQRT(((D10+G10)*O10/100)^2+(J10*(D10+G10)*0.07859)^2),0))</f>
        <v>64</v>
      </c>
      <c r="U10" s="32"/>
    </row>
    <row r="11" customFormat="false" ht="15" hidden="false" customHeight="false" outlineLevel="0" collapsed="false">
      <c r="A11" s="32" t="s">
        <v>189</v>
      </c>
      <c r="B11" s="32" t="s">
        <v>204</v>
      </c>
      <c r="C11" s="32" t="s">
        <v>191</v>
      </c>
      <c r="D11" s="66" t="n">
        <v>41</v>
      </c>
      <c r="E11" s="66" t="n">
        <v>38</v>
      </c>
      <c r="F11" s="77" t="n">
        <f aca="false">IF(E11="","",D11-E11)</f>
        <v>3</v>
      </c>
      <c r="G11" s="66" t="n">
        <v>98</v>
      </c>
      <c r="H11" s="66" t="n">
        <v>107</v>
      </c>
      <c r="I11" s="77" t="n">
        <f aca="false">IF(H11="","",G11-H11)</f>
        <v>-9</v>
      </c>
      <c r="J11" s="47" t="n">
        <f aca="false">IF(OR(D11="",D11+G11=0),"",D11/(D11+G11))</f>
        <v>0.294964028776978</v>
      </c>
      <c r="K11" s="47" t="n">
        <f aca="false">IF(E11="","",E11/(E11+H11))</f>
        <v>0.262068965517241</v>
      </c>
      <c r="L11" s="78" t="n">
        <f aca="false">IF(OR(K11="",J11=""),"",(J11-K11)*100)</f>
        <v>3.2895063259737</v>
      </c>
      <c r="M11" s="36" t="n">
        <v>2.86632681480758</v>
      </c>
      <c r="N11" s="36" t="n">
        <v>1.22162112090302</v>
      </c>
      <c r="O11" s="36" t="n">
        <f aca="false">SQRT(M11^2+N11^2)</f>
        <v>3.11579645874395</v>
      </c>
      <c r="P11" s="47" t="n">
        <f aca="false">IF(J11="","",MAX(0,J11-1.96*O11/100))</f>
        <v>0.233894418185597</v>
      </c>
      <c r="Q11" s="47" t="n">
        <f aca="false">IF(J11="","",MIN(1,J11+1.96*O11/100))</f>
        <v>0.35603363936836</v>
      </c>
      <c r="R11" s="32" t="str">
        <f aca="false">IF(L11="","",IF(ABS(L11)&lt;=O11,"Yes","No"))</f>
        <v>No</v>
      </c>
      <c r="S11" s="32" t="str">
        <f aca="false">IF(L11="","",IF(ABS(L11)&lt;=1.96*O11,"Yes","No"))</f>
        <v>Yes</v>
      </c>
      <c r="T11" s="66" t="n">
        <f aca="false">IF(D11="","",ROUND(SQRT(((D11+G11)*O11/100)^2+(J11*(D11+G11)*0.07859)^2),0))</f>
        <v>5</v>
      </c>
      <c r="U11" s="32"/>
    </row>
    <row r="12" customFormat="false" ht="15" hidden="false" customHeight="false" outlineLevel="0" collapsed="false">
      <c r="A12" s="32" t="s">
        <v>189</v>
      </c>
      <c r="B12" s="32" t="s">
        <v>205</v>
      </c>
      <c r="C12" s="32" t="s">
        <v>191</v>
      </c>
      <c r="D12" s="66" t="n">
        <v>46</v>
      </c>
      <c r="E12" s="66" t="n">
        <v>58</v>
      </c>
      <c r="F12" s="77" t="n">
        <f aca="false">IF(E12="","",D12-E12)</f>
        <v>-12</v>
      </c>
      <c r="G12" s="66" t="n">
        <v>218</v>
      </c>
      <c r="H12" s="66" t="n">
        <v>216</v>
      </c>
      <c r="I12" s="77" t="n">
        <f aca="false">IF(H12="","",G12-H12)</f>
        <v>2</v>
      </c>
      <c r="J12" s="47" t="n">
        <f aca="false">IF(OR(D12="",D12+G12=0),"",D12/(D12+G12))</f>
        <v>0.174242424242424</v>
      </c>
      <c r="K12" s="47" t="n">
        <f aca="false">IF(E12="","",E12/(E12+H12))</f>
        <v>0.211678832116788</v>
      </c>
      <c r="L12" s="78" t="n">
        <f aca="false">IF(OR(K12="",J12=""),"",(J12-K12)*100)</f>
        <v>-3.74364078743641</v>
      </c>
      <c r="M12" s="36" t="n">
        <v>2.86632681480758</v>
      </c>
      <c r="N12" s="36" t="n">
        <v>1.22162112090302</v>
      </c>
      <c r="O12" s="36" t="n">
        <f aca="false">SQRT(M12^2+N12^2)</f>
        <v>3.11579645874395</v>
      </c>
      <c r="P12" s="47" t="n">
        <f aca="false">IF(J12="","",MAX(0,J12-1.96*O12/100))</f>
        <v>0.113172813651043</v>
      </c>
      <c r="Q12" s="47" t="n">
        <f aca="false">IF(J12="","",MIN(1,J12+1.96*O12/100))</f>
        <v>0.235312034833806</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189</v>
      </c>
      <c r="B13" s="32" t="s">
        <v>206</v>
      </c>
      <c r="C13" s="32" t="s">
        <v>191</v>
      </c>
      <c r="D13" s="66" t="n">
        <v>905</v>
      </c>
      <c r="E13" s="66" t="n">
        <v>944</v>
      </c>
      <c r="F13" s="77" t="n">
        <f aca="false">IF(E13="","",D13-E13)</f>
        <v>-39</v>
      </c>
      <c r="G13" s="66" t="n">
        <v>1359</v>
      </c>
      <c r="H13" s="66" t="n">
        <v>1486</v>
      </c>
      <c r="I13" s="77" t="n">
        <f aca="false">IF(H13="","",G13-H13)</f>
        <v>-127</v>
      </c>
      <c r="J13" s="47" t="n">
        <f aca="false">IF(OR(D13="",D13+G13=0),"",D13/(D13+G13))</f>
        <v>0.399734982332156</v>
      </c>
      <c r="K13" s="47" t="n">
        <f aca="false">IF(E13="","",E13/(E13+H13))</f>
        <v>0.388477366255144</v>
      </c>
      <c r="L13" s="78" t="n">
        <f aca="false">IF(OR(K13="",J13=""),"",(J13-K13)*100)</f>
        <v>1.12576160770115</v>
      </c>
      <c r="M13" s="36" t="n">
        <v>1.91017594365553</v>
      </c>
      <c r="N13" s="36" t="n">
        <v>1.22162112090302</v>
      </c>
      <c r="O13" s="36" t="n">
        <f aca="false">SQRT(M13^2+N13^2)</f>
        <v>2.26740607275288</v>
      </c>
      <c r="P13" s="47" t="n">
        <f aca="false">IF(J13="","",MAX(0,J13-1.96*O13/100))</f>
        <v>0.355293823306199</v>
      </c>
      <c r="Q13" s="47" t="n">
        <f aca="false">IF(J13="","",MIN(1,J13+1.96*O13/100))</f>
        <v>0.444176141358112</v>
      </c>
      <c r="R13" s="32" t="str">
        <f aca="false">IF(L13="","",IF(ABS(L13)&lt;=O13,"Yes","No"))</f>
        <v>Yes</v>
      </c>
      <c r="S13" s="32" t="str">
        <f aca="false">IF(L13="","",IF(ABS(L13)&lt;=1.96*O13,"Yes","No"))</f>
        <v>Yes</v>
      </c>
      <c r="T13" s="66" t="n">
        <f aca="false">IF(D13="","",ROUND(SQRT(((D13+G13)*O13/100)^2+(J13*(D13+G13)*0.06092)^2),0))</f>
        <v>75</v>
      </c>
      <c r="U13" s="32"/>
    </row>
    <row r="14" customFormat="false" ht="15" hidden="false" customHeight="false" outlineLevel="0" collapsed="false">
      <c r="A14" s="32" t="s">
        <v>189</v>
      </c>
      <c r="B14" s="32" t="s">
        <v>207</v>
      </c>
      <c r="C14" s="32" t="s">
        <v>191</v>
      </c>
      <c r="D14" s="66" t="n">
        <v>510</v>
      </c>
      <c r="E14" s="66" t="n">
        <v>515</v>
      </c>
      <c r="F14" s="77" t="n">
        <f aca="false">IF(E14="","",D14-E14)</f>
        <v>-5</v>
      </c>
      <c r="G14" s="66" t="n">
        <v>1171</v>
      </c>
      <c r="H14" s="66" t="n">
        <v>1293</v>
      </c>
      <c r="I14" s="77" t="n">
        <f aca="false">IF(H14="","",G14-H14)</f>
        <v>-122</v>
      </c>
      <c r="J14" s="47" t="n">
        <f aca="false">IF(OR(D14="",D14+G14=0),"",D14/(D14+G14))</f>
        <v>0.303390838786437</v>
      </c>
      <c r="K14" s="47" t="n">
        <f aca="false">IF(E14="","",E14/(E14+H14))</f>
        <v>0.284845132743363</v>
      </c>
      <c r="L14" s="78" t="n">
        <f aca="false">IF(OR(K14="",J14=""),"",(J14-K14)*100)</f>
        <v>1.85457060430738</v>
      </c>
      <c r="M14" s="36" t="n">
        <v>1.91017594365553</v>
      </c>
      <c r="N14" s="36" t="n">
        <v>1.22162112090302</v>
      </c>
      <c r="O14" s="36" t="n">
        <f aca="false">SQRT(M14^2+N14^2)</f>
        <v>2.26740607275288</v>
      </c>
      <c r="P14" s="47" t="n">
        <f aca="false">IF(J14="","",MAX(0,J14-1.96*O14/100))</f>
        <v>0.25894967976048</v>
      </c>
      <c r="Q14" s="47" t="n">
        <f aca="false">IF(J14="","",MIN(1,J14+1.96*O14/100))</f>
        <v>0.347831997812393</v>
      </c>
      <c r="R14" s="32" t="str">
        <f aca="false">IF(L14="","",IF(ABS(L14)&lt;=O14,"Yes","No"))</f>
        <v>Yes</v>
      </c>
      <c r="S14" s="32" t="str">
        <f aca="false">IF(L14="","",IF(ABS(L14)&lt;=1.96*O14,"Yes","No"))</f>
        <v>Yes</v>
      </c>
      <c r="T14" s="66" t="n">
        <f aca="false">IF(D14="","",ROUND(SQRT(((D14+G14)*O14/100)^2+(J14*(D14+G14)*0.06092)^2),0))</f>
        <v>49</v>
      </c>
      <c r="U14" s="32"/>
    </row>
    <row r="15" customFormat="false" ht="15" hidden="false" customHeight="false" outlineLevel="0" collapsed="false">
      <c r="A15" s="32" t="s">
        <v>189</v>
      </c>
      <c r="B15" s="32" t="s">
        <v>208</v>
      </c>
      <c r="C15" s="32" t="s">
        <v>191</v>
      </c>
      <c r="D15" s="66" t="n">
        <v>615</v>
      </c>
      <c r="E15" s="66" t="n">
        <v>694</v>
      </c>
      <c r="F15" s="77" t="n">
        <f aca="false">IF(E15="","",D15-E15)</f>
        <v>-79</v>
      </c>
      <c r="G15" s="66" t="n">
        <v>1574</v>
      </c>
      <c r="H15" s="66" t="n">
        <v>1695</v>
      </c>
      <c r="I15" s="77" t="n">
        <f aca="false">IF(H15="","",G15-H15)</f>
        <v>-121</v>
      </c>
      <c r="J15" s="47" t="n">
        <f aca="false">IF(OR(D15="",D15+G15=0),"",D15/(D15+G15))</f>
        <v>0.280950205573321</v>
      </c>
      <c r="K15" s="47" t="n">
        <f aca="false">IF(E15="","",E15/(E15+H15))</f>
        <v>0.290498116366681</v>
      </c>
      <c r="L15" s="78" t="n">
        <f aca="false">IF(OR(K15="",J15=""),"",(J15-K15)*100)</f>
        <v>-0.954791079335943</v>
      </c>
      <c r="M15" s="36" t="n">
        <v>1.91017594365553</v>
      </c>
      <c r="N15" s="36" t="n">
        <v>1.22162112090302</v>
      </c>
      <c r="O15" s="36" t="n">
        <f aca="false">SQRT(M15^2+N15^2)</f>
        <v>2.26740607275288</v>
      </c>
      <c r="P15" s="47" t="n">
        <f aca="false">IF(J15="","",MAX(0,J15-1.96*O15/100))</f>
        <v>0.236509046547365</v>
      </c>
      <c r="Q15" s="47" t="n">
        <f aca="false">IF(J15="","",MIN(1,J15+1.96*O15/100))</f>
        <v>0.325391364599278</v>
      </c>
      <c r="R15" s="32" t="str">
        <f aca="false">IF(L15="","",IF(ABS(L15)&lt;=O15,"Yes","No"))</f>
        <v>Yes</v>
      </c>
      <c r="S15" s="32" t="str">
        <f aca="false">IF(L15="","",IF(ABS(L15)&lt;=1.96*O15,"Yes","No"))</f>
        <v>Yes</v>
      </c>
      <c r="T15" s="66" t="n">
        <f aca="false">IF(D15="","",ROUND(SQRT(((D15+G15)*O15/100)^2+(J15*(D15+G15)*0.06092)^2),0))</f>
        <v>62</v>
      </c>
      <c r="U15" s="32"/>
    </row>
    <row r="16" customFormat="false" ht="15" hidden="false" customHeight="false" outlineLevel="0" collapsed="false">
      <c r="A16" s="32" t="s">
        <v>189</v>
      </c>
      <c r="B16" s="32" t="s">
        <v>209</v>
      </c>
      <c r="C16" s="32" t="s">
        <v>191</v>
      </c>
      <c r="D16" s="66" t="n">
        <v>573</v>
      </c>
      <c r="E16" s="66" t="n">
        <v>601</v>
      </c>
      <c r="F16" s="77" t="n">
        <f aca="false">IF(E16="","",D16-E16)</f>
        <v>-28</v>
      </c>
      <c r="G16" s="66" t="n">
        <v>883</v>
      </c>
      <c r="H16" s="66" t="n">
        <v>955</v>
      </c>
      <c r="I16" s="77" t="n">
        <f aca="false">IF(H16="","",G16-H16)</f>
        <v>-72</v>
      </c>
      <c r="J16" s="47" t="n">
        <f aca="false">IF(OR(D16="",D16+G16=0),"",D16/(D16+G16))</f>
        <v>0.393543956043956</v>
      </c>
      <c r="K16" s="47" t="n">
        <f aca="false">IF(E16="","",E16/(E16+H16))</f>
        <v>0.386246786632391</v>
      </c>
      <c r="L16" s="78" t="n">
        <f aca="false">IF(OR(K16="",J16=""),"",(J16-K16)*100)</f>
        <v>0.729716941156527</v>
      </c>
      <c r="M16" s="36" t="n">
        <v>2.86632681480758</v>
      </c>
      <c r="N16" s="36" t="n">
        <v>1.22162112090302</v>
      </c>
      <c r="O16" s="36" t="n">
        <f aca="false">SQRT(M16^2+N16^2)</f>
        <v>3.11579645874395</v>
      </c>
      <c r="P16" s="47" t="n">
        <f aca="false">IF(J16="","",MAX(0,J16-1.96*O16/100))</f>
        <v>0.332474345452575</v>
      </c>
      <c r="Q16" s="47" t="n">
        <f aca="false">IF(J16="","",MIN(1,J16+1.96*O16/100))</f>
        <v>0.454613566635337</v>
      </c>
      <c r="R16" s="32" t="str">
        <f aca="false">IF(L16="","",IF(ABS(L16)&lt;=O16,"Yes","No"))</f>
        <v>Yes</v>
      </c>
      <c r="S16" s="32" t="str">
        <f aca="false">IF(L16="","",IF(ABS(L16)&lt;=1.96*O16,"Yes","No"))</f>
        <v>Yes</v>
      </c>
      <c r="T16" s="66" t="n">
        <f aca="false">IF(D16="","",ROUND(SQRT(((D16+G16)*O16/100)^2+(J16*(D16+G16)*0.07859)^2),0))</f>
        <v>64</v>
      </c>
      <c r="U16" s="32"/>
    </row>
    <row r="17" customFormat="false" ht="15" hidden="false" customHeight="false" outlineLevel="0" collapsed="false">
      <c r="A17" s="32" t="s">
        <v>189</v>
      </c>
      <c r="B17" s="32" t="s">
        <v>210</v>
      </c>
      <c r="C17" s="32" t="s">
        <v>191</v>
      </c>
      <c r="D17" s="66" t="n">
        <v>101</v>
      </c>
      <c r="E17" s="66" t="n">
        <v>134</v>
      </c>
      <c r="F17" s="77" t="n">
        <f aca="false">IF(E17="","",D17-E17)</f>
        <v>-33</v>
      </c>
      <c r="G17" s="66" t="n">
        <v>494</v>
      </c>
      <c r="H17" s="66" t="n">
        <v>505</v>
      </c>
      <c r="I17" s="77" t="n">
        <f aca="false">IF(H17="","",G17-H17)</f>
        <v>-11</v>
      </c>
      <c r="J17" s="47" t="n">
        <f aca="false">IF(OR(D17="",D17+G17=0),"",D17/(D17+G17))</f>
        <v>0.169747899159664</v>
      </c>
      <c r="K17" s="47" t="n">
        <f aca="false">IF(E17="","",E17/(E17+H17))</f>
        <v>0.209702660406886</v>
      </c>
      <c r="L17" s="78" t="n">
        <f aca="false">IF(OR(K17="",J17=""),"",(J17-K17)*100)</f>
        <v>-3.99547612472219</v>
      </c>
      <c r="M17" s="36" t="n">
        <v>2.86632681480758</v>
      </c>
      <c r="N17" s="36" t="n">
        <v>1.22162112090302</v>
      </c>
      <c r="O17" s="36" t="n">
        <f aca="false">SQRT(M17^2+N17^2)</f>
        <v>3.11579645874395</v>
      </c>
      <c r="P17" s="47" t="n">
        <f aca="false">IF(J17="","",MAX(0,J17-1.96*O17/100))</f>
        <v>0.108678288568283</v>
      </c>
      <c r="Q17" s="47" t="n">
        <f aca="false">IF(J17="","",MIN(1,J17+1.96*O17/100))</f>
        <v>0.230817509751045</v>
      </c>
      <c r="R17" s="32" t="str">
        <f aca="false">IF(L17="","",IF(ABS(L17)&lt;=O17,"Yes","No"))</f>
        <v>No</v>
      </c>
      <c r="S17" s="32" t="str">
        <f aca="false">IF(L17="","",IF(ABS(L17)&lt;=1.96*O17,"Yes","No"))</f>
        <v>Yes</v>
      </c>
      <c r="T17" s="66" t="n">
        <f aca="false">IF(D17="","",ROUND(SQRT(((D17+G17)*O17/100)^2+(J17*(D17+G17)*0.07859)^2),0))</f>
        <v>20</v>
      </c>
      <c r="U17" s="32"/>
    </row>
    <row r="18" customFormat="false" ht="15" hidden="false" customHeight="false" outlineLevel="0" collapsed="false">
      <c r="A18" s="32" t="s">
        <v>189</v>
      </c>
      <c r="B18" s="32" t="s">
        <v>211</v>
      </c>
      <c r="C18" s="32" t="s">
        <v>191</v>
      </c>
      <c r="D18" s="66" t="n">
        <v>909</v>
      </c>
      <c r="E18" s="66" t="n">
        <v>981</v>
      </c>
      <c r="F18" s="77" t="n">
        <f aca="false">IF(E18="","",D18-E18)</f>
        <v>-72</v>
      </c>
      <c r="G18" s="66" t="n">
        <v>1651</v>
      </c>
      <c r="H18" s="66" t="n">
        <v>1740</v>
      </c>
      <c r="I18" s="77" t="n">
        <f aca="false">IF(H18="","",G18-H18)</f>
        <v>-89</v>
      </c>
      <c r="J18" s="47" t="n">
        <f aca="false">IF(OR(D18="",D18+G18=0),"",D18/(D18+G18))</f>
        <v>0.355078125</v>
      </c>
      <c r="K18" s="47" t="n">
        <f aca="false">IF(E18="","",E18/(E18+H18))</f>
        <v>0.360529217199559</v>
      </c>
      <c r="L18" s="78" t="n">
        <f aca="false">IF(OR(K18="",J18=""),"",(J18-K18)*100)</f>
        <v>-0.545109219955897</v>
      </c>
      <c r="M18" s="36" t="n">
        <v>1.91017594365553</v>
      </c>
      <c r="N18" s="36" t="n">
        <v>1.22162112090302</v>
      </c>
      <c r="O18" s="36" t="n">
        <f aca="false">SQRT(M18^2+N18^2)</f>
        <v>2.26740607275288</v>
      </c>
      <c r="P18" s="47" t="n">
        <f aca="false">IF(J18="","",MAX(0,J18-1.96*O18/100))</f>
        <v>0.310636965974044</v>
      </c>
      <c r="Q18" s="47" t="n">
        <f aca="false">IF(J18="","",MIN(1,J18+1.96*O18/100))</f>
        <v>0.399519284025957</v>
      </c>
      <c r="R18" s="32" t="str">
        <f aca="false">IF(L18="","",IF(ABS(L18)&lt;=O18,"Yes","No"))</f>
        <v>Yes</v>
      </c>
      <c r="S18" s="32" t="str">
        <f aca="false">IF(L18="","",IF(ABS(L18)&lt;=1.96*O18,"Yes","No"))</f>
        <v>Yes</v>
      </c>
      <c r="T18" s="66" t="n">
        <f aca="false">IF(D18="","",ROUND(SQRT(((D18+G18)*O18/100)^2+(J18*(D18+G18)*0.06092)^2),0))</f>
        <v>80</v>
      </c>
      <c r="U18" s="32"/>
    </row>
    <row r="19" customFormat="false" ht="15" hidden="false" customHeight="false" outlineLevel="0" collapsed="false">
      <c r="A19" s="32" t="s">
        <v>189</v>
      </c>
      <c r="B19" s="32" t="s">
        <v>212</v>
      </c>
      <c r="C19" s="32" t="s">
        <v>191</v>
      </c>
      <c r="D19" s="66" t="n">
        <v>58</v>
      </c>
      <c r="E19" s="66" t="n">
        <v>74</v>
      </c>
      <c r="F19" s="77" t="n">
        <f aca="false">IF(E19="","",D19-E19)</f>
        <v>-16</v>
      </c>
      <c r="G19" s="66" t="n">
        <v>157</v>
      </c>
      <c r="H19" s="66" t="n">
        <v>162</v>
      </c>
      <c r="I19" s="77" t="n">
        <f aca="false">IF(H19="","",G19-H19)</f>
        <v>-5</v>
      </c>
      <c r="J19" s="47" t="n">
        <f aca="false">IF(OR(D19="",D19+G19=0),"",D19/(D19+G19))</f>
        <v>0.269767441860465</v>
      </c>
      <c r="K19" s="47" t="n">
        <f aca="false">IF(E19="","",E19/(E19+H19))</f>
        <v>0.313559322033898</v>
      </c>
      <c r="L19" s="78" t="n">
        <f aca="false">IF(OR(K19="",J19=""),"",(J19-K19)*100)</f>
        <v>-4.37918801734332</v>
      </c>
      <c r="M19" s="36" t="n">
        <v>2.86632681480758</v>
      </c>
      <c r="N19" s="36" t="n">
        <v>1.22162112090302</v>
      </c>
      <c r="O19" s="36" t="n">
        <f aca="false">SQRT(M19^2+N19^2)</f>
        <v>3.11579645874395</v>
      </c>
      <c r="P19" s="47" t="n">
        <f aca="false">IF(J19="","",MAX(0,J19-1.96*O19/100))</f>
        <v>0.208697831269084</v>
      </c>
      <c r="Q19" s="47" t="n">
        <f aca="false">IF(J19="","",MIN(1,J19+1.96*O19/100))</f>
        <v>0.330837052451847</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189</v>
      </c>
      <c r="B20" s="32" t="s">
        <v>213</v>
      </c>
      <c r="C20" s="32" t="s">
        <v>191</v>
      </c>
      <c r="D20" s="66" t="n">
        <v>1844</v>
      </c>
      <c r="E20" s="66" t="n">
        <v>2047</v>
      </c>
      <c r="F20" s="77" t="n">
        <f aca="false">IF(E20="","",D20-E20)</f>
        <v>-203</v>
      </c>
      <c r="G20" s="66" t="n">
        <v>3389</v>
      </c>
      <c r="H20" s="66" t="n">
        <v>3702</v>
      </c>
      <c r="I20" s="77" t="n">
        <f aca="false">IF(H20="","",G20-H20)</f>
        <v>-313</v>
      </c>
      <c r="J20" s="47" t="n">
        <f aca="false">IF(OR(D20="",D20+G20=0),"",D20/(D20+G20))</f>
        <v>0.352379132428817</v>
      </c>
      <c r="K20" s="47" t="n">
        <f aca="false">IF(E20="","",E20/(E20+H20))</f>
        <v>0.356061923812837</v>
      </c>
      <c r="L20" s="78" t="n">
        <f aca="false">IF(OR(K20="",J20=""),"",(J20-K20)*100)</f>
        <v>-0.368279138401989</v>
      </c>
      <c r="M20" s="36" t="n">
        <v>1.36611769284749</v>
      </c>
      <c r="N20" s="36" t="n">
        <v>1.22162112090302</v>
      </c>
      <c r="O20" s="36" t="n">
        <f aca="false">SQRT(M20^2+N20^2)</f>
        <v>1.83265810061433</v>
      </c>
      <c r="P20" s="47" t="n">
        <f aca="false">IF(J20="","",MAX(0,J20-1.96*O20/100))</f>
        <v>0.316459033656776</v>
      </c>
      <c r="Q20" s="47" t="n">
        <f aca="false">IF(J20="","",MIN(1,J20+1.96*O20/100))</f>
        <v>0.388299231200858</v>
      </c>
      <c r="R20" s="32" t="str">
        <f aca="false">IF(L20="","",IF(ABS(L20)&lt;=O20,"Yes","No"))</f>
        <v>Yes</v>
      </c>
      <c r="S20" s="32" t="str">
        <f aca="false">IF(L20="","",IF(ABS(L20)&lt;=1.96*O20,"Yes","No"))</f>
        <v>Yes</v>
      </c>
      <c r="T20" s="66" t="n">
        <f aca="false">IF(D20="","",ROUND(SQRT(((D20+G20)*O20/100)^2+(J20*(D20+G20)*0.05464)^2),0))</f>
        <v>139</v>
      </c>
      <c r="U20" s="32"/>
    </row>
    <row r="21" customFormat="false" ht="15" hidden="false" customHeight="false" outlineLevel="0" collapsed="false">
      <c r="A21" s="32" t="s">
        <v>189</v>
      </c>
      <c r="B21" s="32" t="s">
        <v>215</v>
      </c>
      <c r="C21" s="32" t="s">
        <v>191</v>
      </c>
      <c r="D21" s="66" t="n">
        <v>640</v>
      </c>
      <c r="E21" s="66" t="n">
        <v>660</v>
      </c>
      <c r="F21" s="77" t="n">
        <f aca="false">IF(E21="","",D21-E21)</f>
        <v>-20</v>
      </c>
      <c r="G21" s="66" t="n">
        <v>898</v>
      </c>
      <c r="H21" s="66" t="n">
        <v>913</v>
      </c>
      <c r="I21" s="77" t="n">
        <f aca="false">IF(H21="","",G21-H21)</f>
        <v>-15</v>
      </c>
      <c r="J21" s="47" t="n">
        <f aca="false">IF(OR(D21="",D21+G21=0),"",D21/(D21+G21))</f>
        <v>0.416124837451235</v>
      </c>
      <c r="K21" s="47" t="n">
        <f aca="false">IF(E21="","",E21/(E21+H21))</f>
        <v>0.41958041958042</v>
      </c>
      <c r="L21" s="78" t="n">
        <f aca="false">IF(OR(K21="",J21=""),"",(J21-K21)*100)</f>
        <v>-0.345558212918423</v>
      </c>
      <c r="M21" s="36" t="n">
        <v>2.86632681480758</v>
      </c>
      <c r="N21" s="36" t="n">
        <v>1.22162112090302</v>
      </c>
      <c r="O21" s="36" t="n">
        <f aca="false">SQRT(M21^2+N21^2)</f>
        <v>3.11579645874395</v>
      </c>
      <c r="P21" s="47" t="n">
        <f aca="false">IF(J21="","",MAX(0,J21-1.96*O21/100))</f>
        <v>0.355055226859854</v>
      </c>
      <c r="Q21" s="47" t="n">
        <f aca="false">IF(J21="","",MIN(1,J21+1.96*O21/100))</f>
        <v>0.477194448042617</v>
      </c>
      <c r="R21" s="32" t="str">
        <f aca="false">IF(L21="","",IF(ABS(L21)&lt;=O21,"Yes","No"))</f>
        <v>Yes</v>
      </c>
      <c r="S21" s="32" t="str">
        <f aca="false">IF(L21="","",IF(ABS(L21)&lt;=1.96*O21,"Yes","No"))</f>
        <v>Yes</v>
      </c>
      <c r="T21" s="66" t="n">
        <f aca="false">IF(D21="","",ROUND(SQRT(((D21+G21)*O21/100)^2+(J21*(D21+G21)*0.07859)^2),0))</f>
        <v>69</v>
      </c>
      <c r="U21" s="32"/>
    </row>
    <row r="22" customFormat="false" ht="15" hidden="false" customHeight="false" outlineLevel="0" collapsed="false">
      <c r="A22" s="32" t="s">
        <v>189</v>
      </c>
      <c r="B22" s="32" t="s">
        <v>216</v>
      </c>
      <c r="C22" s="32" t="s">
        <v>191</v>
      </c>
      <c r="D22" s="66" t="n">
        <v>722</v>
      </c>
      <c r="E22" s="66" t="n">
        <v>802</v>
      </c>
      <c r="F22" s="77" t="n">
        <f aca="false">IF(E22="","",D22-E22)</f>
        <v>-80</v>
      </c>
      <c r="G22" s="66" t="n">
        <v>1922</v>
      </c>
      <c r="H22" s="66" t="n">
        <v>1955</v>
      </c>
      <c r="I22" s="77" t="n">
        <f aca="false">IF(H22="","",G22-H22)</f>
        <v>-33</v>
      </c>
      <c r="J22" s="47" t="n">
        <f aca="false">IF(OR(D22="",D22+G22=0),"",D22/(D22+G22))</f>
        <v>0.273071104387292</v>
      </c>
      <c r="K22" s="47" t="n">
        <f aca="false">IF(E22="","",E22/(E22+H22))</f>
        <v>0.290895901342038</v>
      </c>
      <c r="L22" s="78" t="n">
        <f aca="false">IF(OR(K22="",J22=""),"",(J22-K22)*100)</f>
        <v>-1.78247969547465</v>
      </c>
      <c r="M22" s="36" t="n">
        <v>1.91017594365553</v>
      </c>
      <c r="N22" s="36" t="n">
        <v>1.22162112090302</v>
      </c>
      <c r="O22" s="36" t="n">
        <f aca="false">SQRT(M22^2+N22^2)</f>
        <v>2.26740607275288</v>
      </c>
      <c r="P22" s="47" t="n">
        <f aca="false">IF(J22="","",MAX(0,J22-1.96*O22/100))</f>
        <v>0.228629945361336</v>
      </c>
      <c r="Q22" s="47" t="n">
        <f aca="false">IF(J22="","",MIN(1,J22+1.96*O22/100))</f>
        <v>0.317512263413248</v>
      </c>
      <c r="R22" s="32" t="str">
        <f aca="false">IF(L22="","",IF(ABS(L22)&lt;=O22,"Yes","No"))</f>
        <v>Yes</v>
      </c>
      <c r="S22" s="32" t="str">
        <f aca="false">IF(L22="","",IF(ABS(L22)&lt;=1.96*O22,"Yes","No"))</f>
        <v>Yes</v>
      </c>
      <c r="T22" s="66" t="n">
        <f aca="false">IF(D22="","",ROUND(SQRT(((D22+G22)*O22/100)^2+(J22*(D22+G22)*0.06092)^2),0))</f>
        <v>74</v>
      </c>
      <c r="U22" s="32"/>
    </row>
    <row r="23" customFormat="false" ht="15" hidden="false" customHeight="false" outlineLevel="0" collapsed="false">
      <c r="A23" s="32" t="s">
        <v>189</v>
      </c>
      <c r="B23" s="32" t="s">
        <v>217</v>
      </c>
      <c r="C23" s="32" t="s">
        <v>191</v>
      </c>
      <c r="D23" s="66" t="n">
        <v>313</v>
      </c>
      <c r="E23" s="66" t="n">
        <v>351</v>
      </c>
      <c r="F23" s="77" t="n">
        <f aca="false">IF(E23="","",D23-E23)</f>
        <v>-38</v>
      </c>
      <c r="G23" s="66" t="n">
        <v>876</v>
      </c>
      <c r="H23" s="66" t="n">
        <v>849</v>
      </c>
      <c r="I23" s="77" t="n">
        <f aca="false">IF(H23="","",G23-H23)</f>
        <v>27</v>
      </c>
      <c r="J23" s="47" t="n">
        <f aca="false">IF(OR(D23="",D23+G23=0),"",D23/(D23+G23))</f>
        <v>0.263246425567704</v>
      </c>
      <c r="K23" s="47" t="n">
        <f aca="false">IF(E23="","",E23/(E23+H23))</f>
        <v>0.2925</v>
      </c>
      <c r="L23" s="78" t="n">
        <f aca="false">IF(OR(K23="",J23=""),"",(J23-K23)*100)</f>
        <v>-2.9253574432296</v>
      </c>
      <c r="M23" s="36" t="n">
        <v>2.86632681480758</v>
      </c>
      <c r="N23" s="36" t="n">
        <v>1.22162112090302</v>
      </c>
      <c r="O23" s="36" t="n">
        <f aca="false">SQRT(M23^2+N23^2)</f>
        <v>3.11579645874395</v>
      </c>
      <c r="P23" s="47" t="n">
        <f aca="false">IF(J23="","",MAX(0,J23-1.96*O23/100))</f>
        <v>0.202176814976323</v>
      </c>
      <c r="Q23" s="47" t="n">
        <f aca="false">IF(J23="","",MIN(1,J23+1.96*O23/100))</f>
        <v>0.324316036159085</v>
      </c>
      <c r="R23" s="32" t="str">
        <f aca="false">IF(L23="","",IF(ABS(L23)&lt;=O23,"Yes","No"))</f>
        <v>Yes</v>
      </c>
      <c r="S23" s="32" t="str">
        <f aca="false">IF(L23="","",IF(ABS(L23)&lt;=1.96*O23,"Yes","No"))</f>
        <v>Yes</v>
      </c>
      <c r="T23" s="66" t="n">
        <f aca="false">IF(D23="","",ROUND(SQRT(((D23+G23)*O23/100)^2+(J23*(D23+G23)*0.07859)^2),0))</f>
        <v>44</v>
      </c>
      <c r="U23" s="32"/>
    </row>
    <row r="24" customFormat="false" ht="15" hidden="false" customHeight="false" outlineLevel="0" collapsed="false">
      <c r="A24" s="32" t="s">
        <v>189</v>
      </c>
      <c r="B24" s="32" t="s">
        <v>218</v>
      </c>
      <c r="C24" s="32" t="s">
        <v>191</v>
      </c>
      <c r="D24" s="66" t="n">
        <v>60</v>
      </c>
      <c r="E24" s="66" t="n">
        <v>58</v>
      </c>
      <c r="F24" s="77" t="n">
        <f aca="false">IF(E24="","",D24-E24)</f>
        <v>2</v>
      </c>
      <c r="G24" s="66" t="n">
        <v>83</v>
      </c>
      <c r="H24" s="66" t="n">
        <v>105</v>
      </c>
      <c r="I24" s="77" t="n">
        <f aca="false">IF(H24="","",G24-H24)</f>
        <v>-22</v>
      </c>
      <c r="J24" s="47" t="n">
        <f aca="false">IF(OR(D24="",D24+G24=0),"",D24/(D24+G24))</f>
        <v>0.41958041958042</v>
      </c>
      <c r="K24" s="47" t="n">
        <f aca="false">IF(E24="","",E24/(E24+H24))</f>
        <v>0.355828220858896</v>
      </c>
      <c r="L24" s="78" t="n">
        <f aca="false">IF(OR(K24="",J24=""),"",(J24-K24)*100)</f>
        <v>6.37521987215239</v>
      </c>
      <c r="M24" s="36" t="n">
        <v>2.86632681480758</v>
      </c>
      <c r="N24" s="36" t="n">
        <v>1.22162112090302</v>
      </c>
      <c r="O24" s="36" t="n">
        <f aca="false">SQRT(M24^2+N24^2)</f>
        <v>3.11579645874395</v>
      </c>
      <c r="P24" s="47" t="n">
        <f aca="false">IF(J24="","",MAX(0,J24-1.96*O24/100))</f>
        <v>0.358510808989038</v>
      </c>
      <c r="Q24" s="47" t="n">
        <f aca="false">IF(J24="","",MIN(1,J24+1.96*O24/100))</f>
        <v>0.480650030171801</v>
      </c>
      <c r="R24" s="32" t="str">
        <f aca="false">IF(L24="","",IF(ABS(L24)&lt;=O24,"Yes","No"))</f>
        <v>No</v>
      </c>
      <c r="S24" s="32" t="str">
        <f aca="false">IF(L24="","",IF(ABS(L24)&lt;=1.96*O24,"Yes","No"))</f>
        <v>No</v>
      </c>
      <c r="T24" s="66" t="n">
        <f aca="false">IF(D24="","",ROUND(SQRT(((D24+G24)*O24/100)^2+(J24*(D24+G24)*0.07859)^2),0))</f>
        <v>6</v>
      </c>
      <c r="U24" s="32"/>
    </row>
    <row r="25" customFormat="false" ht="15" hidden="false" customHeight="false" outlineLevel="0" collapsed="false">
      <c r="A25" s="32" t="s">
        <v>219</v>
      </c>
      <c r="B25" s="32" t="s">
        <v>220</v>
      </c>
      <c r="C25" s="32" t="s">
        <v>191</v>
      </c>
      <c r="D25" s="66" t="n">
        <v>658</v>
      </c>
      <c r="E25" s="66" t="n">
        <v>601</v>
      </c>
      <c r="F25" s="77" t="n">
        <f aca="false">IF(E25="","",D25-E25)</f>
        <v>57</v>
      </c>
      <c r="G25" s="66" t="n">
        <v>756</v>
      </c>
      <c r="H25" s="66" t="n">
        <v>766</v>
      </c>
      <c r="I25" s="77" t="n">
        <f aca="false">IF(H25="","",G25-H25)</f>
        <v>-10</v>
      </c>
      <c r="J25" s="47" t="n">
        <f aca="false">IF(OR(D25="",D25+G25=0),"",D25/(D25+G25))</f>
        <v>0.465346534653465</v>
      </c>
      <c r="K25" s="47" t="n">
        <f aca="false">IF(E25="","",E25/(E25+H25))</f>
        <v>0.439648866130212</v>
      </c>
      <c r="L25" s="78" t="n">
        <f aca="false">IF(OR(K25="",J25=""),"",(J25-K25)*100)</f>
        <v>2.56976685232532</v>
      </c>
      <c r="M25" s="36" t="n">
        <v>2.86632681480758</v>
      </c>
      <c r="N25" s="36" t="n">
        <v>1.22162112090302</v>
      </c>
      <c r="O25" s="36" t="n">
        <f aca="false">SQRT(M25^2+N25^2)</f>
        <v>3.11579645874395</v>
      </c>
      <c r="P25" s="47" t="n">
        <f aca="false">IF(J25="","",MAX(0,J25-1.96*O25/100))</f>
        <v>0.404276924062084</v>
      </c>
      <c r="Q25" s="47" t="n">
        <f aca="false">IF(J25="","",MIN(1,J25+1.96*O25/100))</f>
        <v>0.526416145244847</v>
      </c>
      <c r="R25" s="32" t="str">
        <f aca="false">IF(L25="","",IF(ABS(L25)&lt;=O25,"Yes","No"))</f>
        <v>Yes</v>
      </c>
      <c r="S25" s="32" t="str">
        <f aca="false">IF(L25="","",IF(ABS(L25)&lt;=1.96*O25,"Yes","No"))</f>
        <v>Yes</v>
      </c>
      <c r="T25" s="66" t="n">
        <f aca="false">IF(D25="","",ROUND(SQRT(((D25+G25)*O25/100)^2+(J25*(D25+G25)*0.07859)^2),0))</f>
        <v>68</v>
      </c>
      <c r="U25" s="32"/>
    </row>
    <row r="26" customFormat="false" ht="15" hidden="false" customHeight="false" outlineLevel="0" collapsed="false">
      <c r="A26" s="32" t="s">
        <v>219</v>
      </c>
      <c r="B26" s="32" t="s">
        <v>221</v>
      </c>
      <c r="C26" s="32" t="s">
        <v>191</v>
      </c>
      <c r="D26" s="66" t="n">
        <v>27683</v>
      </c>
      <c r="E26" s="66" t="n">
        <v>26568</v>
      </c>
      <c r="F26" s="77" t="n">
        <f aca="false">IF(E26="","",D26-E26)</f>
        <v>1115</v>
      </c>
      <c r="G26" s="66" t="n">
        <v>14002</v>
      </c>
      <c r="H26" s="66" t="n">
        <v>14583</v>
      </c>
      <c r="I26" s="77" t="n">
        <f aca="false">IF(H26="","",G26-H26)</f>
        <v>-581</v>
      </c>
      <c r="J26" s="47" t="n">
        <f aca="false">IF(OR(D26="",D26+G26=0),"",D26/(D26+G26))</f>
        <v>0.664099796089721</v>
      </c>
      <c r="K26" s="47" t="n">
        <f aca="false">IF(E26="","",E26/(E26+H26))</f>
        <v>0.645622220602172</v>
      </c>
      <c r="L26" s="78" t="n">
        <f aca="false">IF(OR(K26="",J26=""),"",(J26-K26)*100)</f>
        <v>1.8477575487548</v>
      </c>
      <c r="M26" s="36" t="n">
        <v>1.36611769284749</v>
      </c>
      <c r="N26" s="36" t="n">
        <v>1.22162112090302</v>
      </c>
      <c r="O26" s="36" t="n">
        <f aca="false">SQRT(M26^2+N26^2)</f>
        <v>1.83265810061433</v>
      </c>
      <c r="P26" s="47" t="n">
        <f aca="false">IF(J26="","",MAX(0,J26-1.96*O26/100))</f>
        <v>0.62817969731768</v>
      </c>
      <c r="Q26" s="47" t="n">
        <f aca="false">IF(J26="","",MIN(1,J26+1.96*O26/100))</f>
        <v>0.700019894861761</v>
      </c>
      <c r="R26" s="32" t="str">
        <f aca="false">IF(L26="","",IF(ABS(L26)&lt;=O26,"Yes","No"))</f>
        <v>No</v>
      </c>
      <c r="S26" s="32" t="str">
        <f aca="false">IF(L26="","",IF(ABS(L26)&lt;=1.96*O26,"Yes","No"))</f>
        <v>Yes</v>
      </c>
      <c r="T26" s="66" t="n">
        <f aca="false">IF(D26="","",ROUND(SQRT(((D26+G26)*O26/100)^2+(J26*(D26+G26)*0.05464)^2),0))</f>
        <v>1695</v>
      </c>
      <c r="U26" s="32"/>
    </row>
    <row r="27" customFormat="false" ht="15" hidden="false" customHeight="false" outlineLevel="0" collapsed="false">
      <c r="A27" s="32" t="s">
        <v>219</v>
      </c>
      <c r="B27" s="32" t="s">
        <v>222</v>
      </c>
      <c r="C27" s="32" t="s">
        <v>191</v>
      </c>
      <c r="D27" s="66" t="n">
        <v>6610</v>
      </c>
      <c r="E27" s="66" t="n">
        <v>6612</v>
      </c>
      <c r="F27" s="77" t="n">
        <f aca="false">IF(E27="","",D27-E27)</f>
        <v>-2</v>
      </c>
      <c r="G27" s="66" t="n">
        <v>4030</v>
      </c>
      <c r="H27" s="66" t="n">
        <v>3834</v>
      </c>
      <c r="I27" s="77" t="n">
        <f aca="false">IF(H27="","",G27-H27)</f>
        <v>196</v>
      </c>
      <c r="J27" s="47" t="n">
        <f aca="false">IF(OR(D27="",D27+G27=0),"",D27/(D27+G27))</f>
        <v>0.621240601503759</v>
      </c>
      <c r="K27" s="47" t="n">
        <f aca="false">IF(E27="","",E27/(E27+H27))</f>
        <v>0.632969557725445</v>
      </c>
      <c r="L27" s="78" t="n">
        <f aca="false">IF(OR(K27="",J27=""),"",(J27-K27)*100)</f>
        <v>-1.17289562216858</v>
      </c>
      <c r="M27" s="36" t="n">
        <v>1.36611769284749</v>
      </c>
      <c r="N27" s="36" t="n">
        <v>1.22162112090302</v>
      </c>
      <c r="O27" s="36" t="n">
        <f aca="false">SQRT(M27^2+N27^2)</f>
        <v>1.83265810061433</v>
      </c>
      <c r="P27" s="47" t="n">
        <f aca="false">IF(J27="","",MAX(0,J27-1.96*O27/100))</f>
        <v>0.585320502731719</v>
      </c>
      <c r="Q27" s="47" t="n">
        <f aca="false">IF(J27="","",MIN(1,J27+1.96*O27/100))</f>
        <v>0.6571607002758</v>
      </c>
      <c r="R27" s="32" t="str">
        <f aca="false">IF(L27="","",IF(ABS(L27)&lt;=O27,"Yes","No"))</f>
        <v>Yes</v>
      </c>
      <c r="S27" s="32" t="str">
        <f aca="false">IF(L27="","",IF(ABS(L27)&lt;=1.96*O27,"Yes","No"))</f>
        <v>Yes</v>
      </c>
      <c r="T27" s="66" t="n">
        <f aca="false">IF(D27="","",ROUND(SQRT(((D27+G27)*O27/100)^2+(J27*(D27+G27)*0.05464)^2),0))</f>
        <v>410</v>
      </c>
      <c r="U27" s="32"/>
    </row>
    <row r="28" customFormat="false" ht="15" hidden="false" customHeight="false" outlineLevel="0" collapsed="false">
      <c r="A28" s="32" t="s">
        <v>219</v>
      </c>
      <c r="B28" s="32" t="s">
        <v>223</v>
      </c>
      <c r="C28" s="32" t="s">
        <v>191</v>
      </c>
      <c r="D28" s="66" t="n">
        <v>1591</v>
      </c>
      <c r="E28" s="66" t="n">
        <v>1560</v>
      </c>
      <c r="F28" s="77" t="n">
        <f aca="false">IF(E28="","",D28-E28)</f>
        <v>31</v>
      </c>
      <c r="G28" s="66" t="n">
        <v>1495</v>
      </c>
      <c r="H28" s="66" t="n">
        <v>1491</v>
      </c>
      <c r="I28" s="77" t="n">
        <f aca="false">IF(H28="","",G28-H28)</f>
        <v>4</v>
      </c>
      <c r="J28" s="47" t="n">
        <f aca="false">IF(OR(D28="",D28+G28=0),"",D28/(D28+G28))</f>
        <v>0.515554115359689</v>
      </c>
      <c r="K28" s="47" t="n">
        <f aca="false">IF(E28="","",E28/(E28+H28))</f>
        <v>0.511307767944936</v>
      </c>
      <c r="L28" s="78" t="n">
        <f aca="false">IF(OR(K28="",J28=""),"",(J28-K28)*100)</f>
        <v>0.424634741475283</v>
      </c>
      <c r="M28" s="36" t="n">
        <v>1.91017594365553</v>
      </c>
      <c r="N28" s="36" t="n">
        <v>1.22162112090302</v>
      </c>
      <c r="O28" s="36" t="n">
        <f aca="false">SQRT(M28^2+N28^2)</f>
        <v>2.26740607275288</v>
      </c>
      <c r="P28" s="47" t="n">
        <f aca="false">IF(J28="","",MAX(0,J28-1.96*O28/100))</f>
        <v>0.471112956333732</v>
      </c>
      <c r="Q28" s="47" t="n">
        <f aca="false">IF(J28="","",MIN(1,J28+1.96*O28/100))</f>
        <v>0.559995274385645</v>
      </c>
      <c r="R28" s="32" t="str">
        <f aca="false">IF(L28="","",IF(ABS(L28)&lt;=O28,"Yes","No"))</f>
        <v>Yes</v>
      </c>
      <c r="S28" s="32" t="str">
        <f aca="false">IF(L28="","",IF(ABS(L28)&lt;=1.96*O28,"Yes","No"))</f>
        <v>Yes</v>
      </c>
      <c r="T28" s="66" t="n">
        <f aca="false">IF(D28="","",ROUND(SQRT(((D28+G28)*O28/100)^2+(J28*(D28+G28)*0.06092)^2),0))</f>
        <v>120</v>
      </c>
      <c r="U28" s="32"/>
    </row>
    <row r="29" customFormat="false" ht="15" hidden="false" customHeight="false" outlineLevel="0" collapsed="false">
      <c r="A29" s="32" t="s">
        <v>219</v>
      </c>
      <c r="B29" s="32" t="s">
        <v>224</v>
      </c>
      <c r="C29" s="32" t="s">
        <v>191</v>
      </c>
      <c r="D29" s="66" t="n">
        <v>744</v>
      </c>
      <c r="E29" s="66" t="n">
        <v>735</v>
      </c>
      <c r="F29" s="77" t="n">
        <f aca="false">IF(E29="","",D29-E29)</f>
        <v>9</v>
      </c>
      <c r="G29" s="66" t="n">
        <v>827</v>
      </c>
      <c r="H29" s="66" t="n">
        <v>804</v>
      </c>
      <c r="I29" s="77" t="n">
        <f aca="false">IF(H29="","",G29-H29)</f>
        <v>23</v>
      </c>
      <c r="J29" s="47" t="n">
        <f aca="false">IF(OR(D29="",D29+G29=0),"",D29/(D29+G29))</f>
        <v>0.473583704646722</v>
      </c>
      <c r="K29" s="47" t="n">
        <f aca="false">IF(E29="","",E29/(E29+H29))</f>
        <v>0.477582846003899</v>
      </c>
      <c r="L29" s="78" t="n">
        <f aca="false">IF(OR(K29="",J29=""),"",(J29-K29)*100)</f>
        <v>-0.399914135717677</v>
      </c>
      <c r="M29" s="36" t="n">
        <v>1.91017594365553</v>
      </c>
      <c r="N29" s="36" t="n">
        <v>1.22162112090302</v>
      </c>
      <c r="O29" s="36" t="n">
        <f aca="false">SQRT(M29^2+N29^2)</f>
        <v>2.26740607275288</v>
      </c>
      <c r="P29" s="47" t="n">
        <f aca="false">IF(J29="","",MAX(0,J29-1.96*O29/100))</f>
        <v>0.429142545620765</v>
      </c>
      <c r="Q29" s="47" t="n">
        <f aca="false">IF(J29="","",MIN(1,J29+1.96*O29/100))</f>
        <v>0.518024863672678</v>
      </c>
      <c r="R29" s="32" t="str">
        <f aca="false">IF(L29="","",IF(ABS(L29)&lt;=O29,"Yes","No"))</f>
        <v>Yes</v>
      </c>
      <c r="S29" s="32" t="str">
        <f aca="false">IF(L29="","",IF(ABS(L29)&lt;=1.96*O29,"Yes","No"))</f>
        <v>Yes</v>
      </c>
      <c r="T29" s="66" t="n">
        <f aca="false">IF(D29="","",ROUND(SQRT(((D29+G29)*O29/100)^2+(J29*(D29+G29)*0.06092)^2),0))</f>
        <v>58</v>
      </c>
      <c r="U29" s="32"/>
    </row>
    <row r="30" customFormat="false" ht="15" hidden="false" customHeight="false" outlineLevel="0" collapsed="false">
      <c r="A30" s="32" t="s">
        <v>219</v>
      </c>
      <c r="B30" s="32" t="s">
        <v>225</v>
      </c>
      <c r="C30" s="32" t="s">
        <v>191</v>
      </c>
      <c r="D30" s="66" t="n">
        <v>943</v>
      </c>
      <c r="E30" s="66" t="n">
        <v>899</v>
      </c>
      <c r="F30" s="77" t="n">
        <f aca="false">IF(E30="","",D30-E30)</f>
        <v>44</v>
      </c>
      <c r="G30" s="66" t="n">
        <v>894</v>
      </c>
      <c r="H30" s="66" t="n">
        <v>898</v>
      </c>
      <c r="I30" s="77" t="n">
        <f aca="false">IF(H30="","",G30-H30)</f>
        <v>-4</v>
      </c>
      <c r="J30" s="47" t="n">
        <f aca="false">IF(OR(D30="",D30+G30=0),"",D30/(D30+G30))</f>
        <v>0.513336962438759</v>
      </c>
      <c r="K30" s="47" t="n">
        <f aca="false">IF(E30="","",E30/(E30+H30))</f>
        <v>0.500278241513634</v>
      </c>
      <c r="L30" s="78" t="n">
        <f aca="false">IF(OR(K30="",J30=""),"",(J30-K30)*100)</f>
        <v>1.30587209251249</v>
      </c>
      <c r="M30" s="36" t="n">
        <v>1.91017594365553</v>
      </c>
      <c r="N30" s="36" t="n">
        <v>1.22162112090302</v>
      </c>
      <c r="O30" s="36" t="n">
        <f aca="false">SQRT(M30^2+N30^2)</f>
        <v>2.26740607275288</v>
      </c>
      <c r="P30" s="47" t="n">
        <f aca="false">IF(J30="","",MAX(0,J30-1.96*O30/100))</f>
        <v>0.468895803412802</v>
      </c>
      <c r="Q30" s="47" t="n">
        <f aca="false">IF(J30="","",MIN(1,J30+1.96*O30/100))</f>
        <v>0.557778121464715</v>
      </c>
      <c r="R30" s="32" t="str">
        <f aca="false">IF(L30="","",IF(ABS(L30)&lt;=O30,"Yes","No"))</f>
        <v>Yes</v>
      </c>
      <c r="S30" s="32" t="str">
        <f aca="false">IF(L30="","",IF(ABS(L30)&lt;=1.96*O30,"Yes","No"))</f>
        <v>Yes</v>
      </c>
      <c r="T30" s="66" t="n">
        <f aca="false">IF(D30="","",ROUND(SQRT(((D30+G30)*O30/100)^2+(J30*(D30+G30)*0.06092)^2),0))</f>
        <v>71</v>
      </c>
      <c r="U30" s="32"/>
    </row>
    <row r="31" customFormat="false" ht="15" hidden="false" customHeight="false" outlineLevel="0" collapsed="false">
      <c r="A31" s="32" t="s">
        <v>219</v>
      </c>
      <c r="B31" s="32" t="s">
        <v>226</v>
      </c>
      <c r="C31" s="32" t="s">
        <v>191</v>
      </c>
      <c r="D31" s="66" t="n">
        <v>3563</v>
      </c>
      <c r="E31" s="66" t="n">
        <v>3663</v>
      </c>
      <c r="F31" s="77" t="n">
        <f aca="false">IF(E31="","",D31-E31)</f>
        <v>-100</v>
      </c>
      <c r="G31" s="66" t="n">
        <v>3295</v>
      </c>
      <c r="H31" s="66" t="n">
        <v>3236</v>
      </c>
      <c r="I31" s="77" t="n">
        <f aca="false">IF(H31="","",G31-H31)</f>
        <v>59</v>
      </c>
      <c r="J31" s="47" t="n">
        <f aca="false">IF(OR(D31="",D31+G31=0),"",D31/(D31+G31))</f>
        <v>0.519539224263634</v>
      </c>
      <c r="K31" s="47" t="n">
        <f aca="false">IF(E31="","",E31/(E31+H31))</f>
        <v>0.530946513987535</v>
      </c>
      <c r="L31" s="78" t="n">
        <f aca="false">IF(OR(K31="",J31=""),"",(J31-K31)*100)</f>
        <v>-1.14072897239007</v>
      </c>
      <c r="M31" s="36" t="n">
        <v>1.36611769284749</v>
      </c>
      <c r="N31" s="36" t="n">
        <v>1.22162112090302</v>
      </c>
      <c r="O31" s="36" t="n">
        <f aca="false">SQRT(M31^2+N31^2)</f>
        <v>1.83265810061433</v>
      </c>
      <c r="P31" s="47" t="n">
        <f aca="false">IF(J31="","",MAX(0,J31-1.96*O31/100))</f>
        <v>0.483619125491593</v>
      </c>
      <c r="Q31" s="47" t="n">
        <f aca="false">IF(J31="","",MIN(1,J31+1.96*O31/100))</f>
        <v>0.555459323035675</v>
      </c>
      <c r="R31" s="32" t="str">
        <f aca="false">IF(L31="","",IF(ABS(L31)&lt;=O31,"Yes","No"))</f>
        <v>Yes</v>
      </c>
      <c r="S31" s="32" t="str">
        <f aca="false">IF(L31="","",IF(ABS(L31)&lt;=1.96*O31,"Yes","No"))</f>
        <v>Yes</v>
      </c>
      <c r="T31" s="66" t="n">
        <f aca="false">IF(D31="","",ROUND(SQRT(((D31+G31)*O31/100)^2+(J31*(D31+G31)*0.05464)^2),0))</f>
        <v>232</v>
      </c>
      <c r="U31" s="32"/>
    </row>
    <row r="32" customFormat="false" ht="15" hidden="false" customHeight="false" outlineLevel="0" collapsed="false">
      <c r="A32" s="32" t="s">
        <v>219</v>
      </c>
      <c r="B32" s="32" t="s">
        <v>227</v>
      </c>
      <c r="C32" s="32" t="s">
        <v>191</v>
      </c>
      <c r="D32" s="66" t="n">
        <v>1547</v>
      </c>
      <c r="E32" s="66" t="n">
        <v>1433</v>
      </c>
      <c r="F32" s="77" t="n">
        <f aca="false">IF(E32="","",D32-E32)</f>
        <v>114</v>
      </c>
      <c r="G32" s="66" t="n">
        <v>794</v>
      </c>
      <c r="H32" s="66" t="n">
        <v>793</v>
      </c>
      <c r="I32" s="77" t="n">
        <f aca="false">IF(H32="","",G32-H32)</f>
        <v>1</v>
      </c>
      <c r="J32" s="47" t="n">
        <f aca="false">IF(OR(D32="",D32+G32=0),"",D32/(D32+G32))</f>
        <v>0.660828705681333</v>
      </c>
      <c r="K32" s="47" t="n">
        <f aca="false">IF(E32="","",E32/(E32+H32))</f>
        <v>0.643755615453729</v>
      </c>
      <c r="L32" s="78" t="n">
        <f aca="false">IF(OR(K32="",J32=""),"",(J32-K32)*100)</f>
        <v>1.70730902276042</v>
      </c>
      <c r="M32" s="36" t="n">
        <v>1.91017594365553</v>
      </c>
      <c r="N32" s="36" t="n">
        <v>1.22162112090302</v>
      </c>
      <c r="O32" s="36" t="n">
        <f aca="false">SQRT(M32^2+N32^2)</f>
        <v>2.26740607275288</v>
      </c>
      <c r="P32" s="47" t="n">
        <f aca="false">IF(J32="","",MAX(0,J32-1.96*O32/100))</f>
        <v>0.616387546655376</v>
      </c>
      <c r="Q32" s="47" t="n">
        <f aca="false">IF(J32="","",MIN(1,J32+1.96*O32/100))</f>
        <v>0.705269864707289</v>
      </c>
      <c r="R32" s="32" t="str">
        <f aca="false">IF(L32="","",IF(ABS(L32)&lt;=O32,"Yes","No"))</f>
        <v>Yes</v>
      </c>
      <c r="S32" s="32" t="str">
        <f aca="false">IF(L32="","",IF(ABS(L32)&lt;=1.96*O32,"Yes","No"))</f>
        <v>Yes</v>
      </c>
      <c r="T32" s="66" t="n">
        <f aca="false">IF(D32="","",ROUND(SQRT(((D32+G32)*O32/100)^2+(J32*(D32+G32)*0.06092)^2),0))</f>
        <v>108</v>
      </c>
      <c r="U32" s="32"/>
    </row>
    <row r="33" customFormat="false" ht="15" hidden="false" customHeight="false" outlineLevel="0" collapsed="false">
      <c r="A33" s="32" t="s">
        <v>219</v>
      </c>
      <c r="B33" s="32" t="s">
        <v>228</v>
      </c>
      <c r="C33" s="32" t="s">
        <v>191</v>
      </c>
      <c r="D33" s="66" t="n">
        <v>393</v>
      </c>
      <c r="E33" s="66" t="n">
        <v>379</v>
      </c>
      <c r="F33" s="77" t="n">
        <f aca="false">IF(E33="","",D33-E33)</f>
        <v>14</v>
      </c>
      <c r="G33" s="66" t="n">
        <v>346</v>
      </c>
      <c r="H33" s="66" t="n">
        <v>330</v>
      </c>
      <c r="I33" s="77" t="n">
        <f aca="false">IF(H33="","",G33-H33)</f>
        <v>16</v>
      </c>
      <c r="J33" s="47" t="n">
        <f aca="false">IF(OR(D33="",D33+G33=0),"",D33/(D33+G33))</f>
        <v>0.531799729364005</v>
      </c>
      <c r="K33" s="47" t="n">
        <f aca="false">IF(E33="","",E33/(E33+H33))</f>
        <v>0.534555712270804</v>
      </c>
      <c r="L33" s="78" t="n">
        <f aca="false">IF(OR(K33="",J33=""),"",(J33-K33)*100)</f>
        <v>-0.275598290679846</v>
      </c>
      <c r="M33" s="36" t="n">
        <v>2.86632681480758</v>
      </c>
      <c r="N33" s="36" t="n">
        <v>1.22162112090302</v>
      </c>
      <c r="O33" s="36" t="n">
        <f aca="false">SQRT(M33^2+N33^2)</f>
        <v>3.11579645874395</v>
      </c>
      <c r="P33" s="47" t="n">
        <f aca="false">IF(J33="","",MAX(0,J33-1.96*O33/100))</f>
        <v>0.470730118772624</v>
      </c>
      <c r="Q33" s="47" t="n">
        <f aca="false">IF(J33="","",MIN(1,J33+1.96*O33/100))</f>
        <v>0.592869339955387</v>
      </c>
      <c r="R33" s="32" t="str">
        <f aca="false">IF(L33="","",IF(ABS(L33)&lt;=O33,"Yes","No"))</f>
        <v>Yes</v>
      </c>
      <c r="S33" s="32" t="str">
        <f aca="false">IF(L33="","",IF(ABS(L33)&lt;=1.96*O33,"Yes","No"))</f>
        <v>Yes</v>
      </c>
      <c r="T33" s="66" t="n">
        <f aca="false">IF(D33="","",ROUND(SQRT(((D33+G33)*O33/100)^2+(J33*(D33+G33)*0.07859)^2),0))</f>
        <v>39</v>
      </c>
      <c r="U33" s="32"/>
    </row>
    <row r="34" customFormat="false" ht="15" hidden="false" customHeight="false" outlineLevel="0" collapsed="false">
      <c r="A34" s="32" t="s">
        <v>219</v>
      </c>
      <c r="B34" s="32" t="s">
        <v>229</v>
      </c>
      <c r="C34" s="32" t="s">
        <v>191</v>
      </c>
      <c r="D34" s="66" t="n">
        <v>636</v>
      </c>
      <c r="E34" s="66" t="n">
        <v>654</v>
      </c>
      <c r="F34" s="77" t="n">
        <f aca="false">IF(E34="","",D34-E34)</f>
        <v>-18</v>
      </c>
      <c r="G34" s="66" t="n">
        <v>1418</v>
      </c>
      <c r="H34" s="66" t="n">
        <v>1439</v>
      </c>
      <c r="I34" s="77" t="n">
        <f aca="false">IF(H34="","",G34-H34)</f>
        <v>-21</v>
      </c>
      <c r="J34" s="47" t="n">
        <f aca="false">IF(OR(D34="",D34+G34=0),"",D34/(D34+G34))</f>
        <v>0.309639727361246</v>
      </c>
      <c r="K34" s="47" t="n">
        <f aca="false">IF(E34="","",E34/(E34+H34))</f>
        <v>0.312470138557095</v>
      </c>
      <c r="L34" s="78" t="n">
        <f aca="false">IF(OR(K34="",J34=""),"",(J34-K34)*100)</f>
        <v>-0.283041119584876</v>
      </c>
      <c r="M34" s="36" t="n">
        <v>1.91017594365553</v>
      </c>
      <c r="N34" s="36" t="n">
        <v>1.22162112090302</v>
      </c>
      <c r="O34" s="36" t="n">
        <f aca="false">SQRT(M34^2+N34^2)</f>
        <v>2.26740607275288</v>
      </c>
      <c r="P34" s="47" t="n">
        <f aca="false">IF(J34="","",MAX(0,J34-1.96*O34/100))</f>
        <v>0.26519856833529</v>
      </c>
      <c r="Q34" s="47" t="n">
        <f aca="false">IF(J34="","",MIN(1,J34+1.96*O34/100))</f>
        <v>0.354080886387203</v>
      </c>
      <c r="R34" s="32" t="str">
        <f aca="false">IF(L34="","",IF(ABS(L34)&lt;=O34,"Yes","No"))</f>
        <v>Yes</v>
      </c>
      <c r="S34" s="32" t="str">
        <f aca="false">IF(L34="","",IF(ABS(L34)&lt;=1.96*O34,"Yes","No"))</f>
        <v>Yes</v>
      </c>
      <c r="T34" s="66" t="n">
        <f aca="false">IF(D34="","",ROUND(SQRT(((D34+G34)*O34/100)^2+(J34*(D34+G34)*0.06092)^2),0))</f>
        <v>61</v>
      </c>
      <c r="U34" s="32"/>
    </row>
    <row r="35" customFormat="false" ht="15" hidden="false" customHeight="false" outlineLevel="0" collapsed="false">
      <c r="A35" s="32" t="s">
        <v>219</v>
      </c>
      <c r="B35" s="32" t="s">
        <v>230</v>
      </c>
      <c r="C35" s="32" t="s">
        <v>191</v>
      </c>
      <c r="D35" s="66" t="n">
        <v>10065</v>
      </c>
      <c r="E35" s="66" t="n">
        <v>10021</v>
      </c>
      <c r="F35" s="77" t="n">
        <f aca="false">IF(E35="","",D35-E35)</f>
        <v>44</v>
      </c>
      <c r="G35" s="66" t="n">
        <v>10371</v>
      </c>
      <c r="H35" s="66" t="n">
        <v>10199</v>
      </c>
      <c r="I35" s="77" t="n">
        <f aca="false">IF(H35="","",G35-H35)</f>
        <v>172</v>
      </c>
      <c r="J35" s="47" t="n">
        <f aca="false">IF(OR(D35="",D35+G35=0),"",D35/(D35+G35))</f>
        <v>0.492513211978861</v>
      </c>
      <c r="K35" s="47" t="n">
        <f aca="false">IF(E35="","",E35/(E35+H35))</f>
        <v>0.495598417408506</v>
      </c>
      <c r="L35" s="78" t="n">
        <f aca="false">IF(OR(K35="",J35=""),"",(J35-K35)*100)</f>
        <v>-0.308520542964558</v>
      </c>
      <c r="M35" s="36" t="n">
        <v>1.36611769284749</v>
      </c>
      <c r="N35" s="36" t="n">
        <v>1.22162112090302</v>
      </c>
      <c r="O35" s="36" t="n">
        <f aca="false">SQRT(M35^2+N35^2)</f>
        <v>1.83265810061433</v>
      </c>
      <c r="P35" s="47" t="n">
        <f aca="false">IF(J35="","",MAX(0,J35-1.96*O35/100))</f>
        <v>0.45659311320682</v>
      </c>
      <c r="Q35" s="47" t="n">
        <f aca="false">IF(J35="","",MIN(1,J35+1.96*O35/100))</f>
        <v>0.528433310750902</v>
      </c>
      <c r="R35" s="32" t="str">
        <f aca="false">IF(L35="","",IF(ABS(L35)&lt;=O35,"Yes","No"))</f>
        <v>Yes</v>
      </c>
      <c r="S35" s="32" t="str">
        <f aca="false">IF(L35="","",IF(ABS(L35)&lt;=1.96*O35,"Yes","No"))</f>
        <v>Yes</v>
      </c>
      <c r="T35" s="66" t="n">
        <f aca="false">IF(D35="","",ROUND(SQRT(((D35+G35)*O35/100)^2+(J35*(D35+G35)*0.05464)^2),0))</f>
        <v>665</v>
      </c>
      <c r="U35" s="32"/>
    </row>
    <row r="36" customFormat="false" ht="15" hidden="false" customHeight="false" outlineLevel="0" collapsed="false">
      <c r="A36" s="32" t="s">
        <v>219</v>
      </c>
      <c r="B36" s="32" t="s">
        <v>231</v>
      </c>
      <c r="C36" s="32" t="s">
        <v>191</v>
      </c>
      <c r="D36" s="66" t="n">
        <v>901</v>
      </c>
      <c r="E36" s="66" t="n">
        <v>985</v>
      </c>
      <c r="F36" s="77" t="n">
        <f aca="false">IF(E36="","",D36-E36)</f>
        <v>-84</v>
      </c>
      <c r="G36" s="66" t="n">
        <v>1700</v>
      </c>
      <c r="H36" s="66" t="n">
        <v>1586</v>
      </c>
      <c r="I36" s="77" t="n">
        <f aca="false">IF(H36="","",G36-H36)</f>
        <v>114</v>
      </c>
      <c r="J36" s="47" t="n">
        <f aca="false">IF(OR(D36="",D36+G36=0),"",D36/(D36+G36))</f>
        <v>0.34640522875817</v>
      </c>
      <c r="K36" s="47" t="n">
        <f aca="false">IF(E36="","",E36/(E36+H36))</f>
        <v>0.383119408790354</v>
      </c>
      <c r="L36" s="78" t="n">
        <f aca="false">IF(OR(K36="",J36=""),"",(J36-K36)*100)</f>
        <v>-3.6714180032184</v>
      </c>
      <c r="M36" s="36" t="n">
        <v>1.91017594365553</v>
      </c>
      <c r="N36" s="36" t="n">
        <v>1.22162112090302</v>
      </c>
      <c r="O36" s="36" t="n">
        <f aca="false">SQRT(M36^2+N36^2)</f>
        <v>2.26740607275288</v>
      </c>
      <c r="P36" s="47" t="n">
        <f aca="false">IF(J36="","",MAX(0,J36-1.96*O36/100))</f>
        <v>0.301964069732213</v>
      </c>
      <c r="Q36" s="47" t="n">
        <f aca="false">IF(J36="","",MIN(1,J36+1.96*O36/100))</f>
        <v>0.390846387784126</v>
      </c>
      <c r="R36" s="32" t="str">
        <f aca="false">IF(L36="","",IF(ABS(L36)&lt;=O36,"Yes","No"))</f>
        <v>No</v>
      </c>
      <c r="S36" s="32" t="str">
        <f aca="false">IF(L36="","",IF(ABS(L36)&lt;=1.96*O36,"Yes","No"))</f>
        <v>Yes</v>
      </c>
      <c r="T36" s="66" t="n">
        <f aca="false">IF(D36="","",ROUND(SQRT(((D36+G36)*O36/100)^2+(J36*(D36+G36)*0.06092)^2),0))</f>
        <v>81</v>
      </c>
      <c r="U36" s="32"/>
    </row>
    <row r="37" customFormat="false" ht="15" hidden="false" customHeight="false" outlineLevel="0" collapsed="false">
      <c r="A37" s="32" t="s">
        <v>219</v>
      </c>
      <c r="B37" s="32" t="s">
        <v>232</v>
      </c>
      <c r="C37" s="32" t="s">
        <v>191</v>
      </c>
      <c r="D37" s="66" t="n">
        <v>528</v>
      </c>
      <c r="E37" s="66" t="n">
        <v>543</v>
      </c>
      <c r="F37" s="77" t="n">
        <f aca="false">IF(E37="","",D37-E37)</f>
        <v>-15</v>
      </c>
      <c r="G37" s="66" t="n">
        <v>1035</v>
      </c>
      <c r="H37" s="66" t="n">
        <v>990</v>
      </c>
      <c r="I37" s="77" t="n">
        <f aca="false">IF(H37="","",G37-H37)</f>
        <v>45</v>
      </c>
      <c r="J37" s="47" t="n">
        <f aca="false">IF(OR(D37="",D37+G37=0),"",D37/(D37+G37))</f>
        <v>0.337811900191939</v>
      </c>
      <c r="K37" s="47" t="n">
        <f aca="false">IF(E37="","",E37/(E37+H37))</f>
        <v>0.354207436399217</v>
      </c>
      <c r="L37" s="78" t="n">
        <f aca="false">IF(OR(K37="",J37=""),"",(J37-K37)*100)</f>
        <v>-1.63955362072786</v>
      </c>
      <c r="M37" s="36" t="n">
        <v>1.91017594365553</v>
      </c>
      <c r="N37" s="36" t="n">
        <v>1.22162112090302</v>
      </c>
      <c r="O37" s="36" t="n">
        <f aca="false">SQRT(M37^2+N37^2)</f>
        <v>2.26740607275288</v>
      </c>
      <c r="P37" s="47" t="n">
        <f aca="false">IF(J37="","",MAX(0,J37-1.96*O37/100))</f>
        <v>0.293370741165982</v>
      </c>
      <c r="Q37" s="47" t="n">
        <f aca="false">IF(J37="","",MIN(1,J37+1.96*O37/100))</f>
        <v>0.382253059217895</v>
      </c>
      <c r="R37" s="32" t="str">
        <f aca="false">IF(L37="","",IF(ABS(L37)&lt;=O37,"Yes","No"))</f>
        <v>Yes</v>
      </c>
      <c r="S37" s="32" t="str">
        <f aca="false">IF(L37="","",IF(ABS(L37)&lt;=1.96*O37,"Yes","No"))</f>
        <v>Yes</v>
      </c>
      <c r="T37" s="66" t="n">
        <f aca="false">IF(D37="","",ROUND(SQRT(((D37+G37)*O37/100)^2+(J37*(D37+G37)*0.06092)^2),0))</f>
        <v>48</v>
      </c>
      <c r="U37" s="32"/>
    </row>
    <row r="38" customFormat="false" ht="15" hidden="false" customHeight="false" outlineLevel="0" collapsed="false">
      <c r="A38" s="32" t="s">
        <v>219</v>
      </c>
      <c r="B38" s="32" t="s">
        <v>233</v>
      </c>
      <c r="C38" s="32" t="s">
        <v>191</v>
      </c>
      <c r="D38" s="66" t="n">
        <v>836</v>
      </c>
      <c r="E38" s="66" t="n">
        <v>850</v>
      </c>
      <c r="F38" s="77" t="n">
        <f aca="false">IF(E38="","",D38-E38)</f>
        <v>-14</v>
      </c>
      <c r="G38" s="66" t="n">
        <v>1863</v>
      </c>
      <c r="H38" s="66" t="n">
        <v>1856</v>
      </c>
      <c r="I38" s="77" t="n">
        <f aca="false">IF(H38="","",G38-H38)</f>
        <v>7</v>
      </c>
      <c r="J38" s="47" t="n">
        <f aca="false">IF(OR(D38="",D38+G38=0),"",D38/(D38+G38))</f>
        <v>0.30974434975917</v>
      </c>
      <c r="K38" s="47" t="n">
        <f aca="false">IF(E38="","",E38/(E38+H38))</f>
        <v>0.314116777531412</v>
      </c>
      <c r="L38" s="78" t="n">
        <f aca="false">IF(OR(K38="",J38=""),"",(J38-K38)*100)</f>
        <v>-0.437242777224156</v>
      </c>
      <c r="M38" s="36" t="n">
        <v>1.91017594365553</v>
      </c>
      <c r="N38" s="36" t="n">
        <v>1.22162112090302</v>
      </c>
      <c r="O38" s="36" t="n">
        <f aca="false">SQRT(M38^2+N38^2)</f>
        <v>2.26740607275288</v>
      </c>
      <c r="P38" s="47" t="n">
        <f aca="false">IF(J38="","",MAX(0,J38-1.96*O38/100))</f>
        <v>0.265303190733214</v>
      </c>
      <c r="Q38" s="47" t="n">
        <f aca="false">IF(J38="","",MIN(1,J38+1.96*O38/100))</f>
        <v>0.354185508785127</v>
      </c>
      <c r="R38" s="32" t="str">
        <f aca="false">IF(L38="","",IF(ABS(L38)&lt;=O38,"Yes","No"))</f>
        <v>Yes</v>
      </c>
      <c r="S38" s="32" t="str">
        <f aca="false">IF(L38="","",IF(ABS(L38)&lt;=1.96*O38,"Yes","No"))</f>
        <v>Yes</v>
      </c>
      <c r="T38" s="66" t="n">
        <f aca="false">IF(D38="","",ROUND(SQRT(((D38+G38)*O38/100)^2+(J38*(D38+G38)*0.06092)^2),0))</f>
        <v>80</v>
      </c>
      <c r="U38" s="32"/>
    </row>
    <row r="39" customFormat="false" ht="15" hidden="false" customHeight="false" outlineLevel="0" collapsed="false">
      <c r="A39" s="32" t="s">
        <v>219</v>
      </c>
      <c r="B39" s="32" t="s">
        <v>234</v>
      </c>
      <c r="C39" s="32" t="s">
        <v>191</v>
      </c>
      <c r="D39" s="66" t="n">
        <v>978</v>
      </c>
      <c r="E39" s="66" t="n">
        <v>980</v>
      </c>
      <c r="F39" s="77" t="n">
        <f aca="false">IF(E39="","",D39-E39)</f>
        <v>-2</v>
      </c>
      <c r="G39" s="66" t="n">
        <v>915</v>
      </c>
      <c r="H39" s="66" t="n">
        <v>872</v>
      </c>
      <c r="I39" s="77" t="n">
        <f aca="false">IF(H39="","",G39-H39)</f>
        <v>43</v>
      </c>
      <c r="J39" s="47" t="n">
        <f aca="false">IF(OR(D39="",D39+G39=0),"",D39/(D39+G39))</f>
        <v>0.516640253565769</v>
      </c>
      <c r="K39" s="47" t="n">
        <f aca="false">IF(E39="","",E39/(E39+H39))</f>
        <v>0.529157667386609</v>
      </c>
      <c r="L39" s="78" t="n">
        <f aca="false">IF(OR(K39="",J39=""),"",(J39-K39)*100)</f>
        <v>-1.25174138208405</v>
      </c>
      <c r="M39" s="36" t="n">
        <v>1.91017594365553</v>
      </c>
      <c r="N39" s="36" t="n">
        <v>1.22162112090302</v>
      </c>
      <c r="O39" s="36" t="n">
        <f aca="false">SQRT(M39^2+N39^2)</f>
        <v>2.26740607275288</v>
      </c>
      <c r="P39" s="47" t="n">
        <f aca="false">IF(J39="","",MAX(0,J39-1.96*O39/100))</f>
        <v>0.472199094539812</v>
      </c>
      <c r="Q39" s="47" t="n">
        <f aca="false">IF(J39="","",MIN(1,J39+1.96*O39/100))</f>
        <v>0.561081412591725</v>
      </c>
      <c r="R39" s="32" t="str">
        <f aca="false">IF(L39="","",IF(ABS(L39)&lt;=O39,"Yes","No"))</f>
        <v>Yes</v>
      </c>
      <c r="S39" s="32" t="str">
        <f aca="false">IF(L39="","",IF(ABS(L39)&lt;=1.96*O39,"Yes","No"))</f>
        <v>Yes</v>
      </c>
      <c r="T39" s="66" t="n">
        <f aca="false">IF(D39="","",ROUND(SQRT(((D39+G39)*O39/100)^2+(J39*(D39+G39)*0.06092)^2),0))</f>
        <v>73</v>
      </c>
      <c r="U39" s="32"/>
    </row>
    <row r="40" customFormat="false" ht="15" hidden="false" customHeight="false" outlineLevel="0" collapsed="false">
      <c r="A40" s="32" t="s">
        <v>219</v>
      </c>
      <c r="B40" s="32" t="s">
        <v>235</v>
      </c>
      <c r="C40" s="32" t="s">
        <v>191</v>
      </c>
      <c r="D40" s="66" t="n">
        <v>3987</v>
      </c>
      <c r="E40" s="66" t="n">
        <v>4022</v>
      </c>
      <c r="F40" s="77" t="n">
        <f aca="false">IF(E40="","",D40-E40)</f>
        <v>-35</v>
      </c>
      <c r="G40" s="66" t="n">
        <v>6050</v>
      </c>
      <c r="H40" s="66" t="n">
        <v>5915</v>
      </c>
      <c r="I40" s="77" t="n">
        <f aca="false">IF(H40="","",G40-H40)</f>
        <v>135</v>
      </c>
      <c r="J40" s="47" t="n">
        <f aca="false">IF(OR(D40="",D40+G40=0),"",D40/(D40+G40))</f>
        <v>0.397230248082096</v>
      </c>
      <c r="K40" s="47" t="n">
        <f aca="false">IF(E40="","",E40/(E40+H40))</f>
        <v>0.404749924524504</v>
      </c>
      <c r="L40" s="78" t="n">
        <f aca="false">IF(OR(K40="",J40=""),"",(J40-K40)*100)</f>
        <v>-0.751967644240814</v>
      </c>
      <c r="M40" s="36" t="n">
        <v>1.36611769284749</v>
      </c>
      <c r="N40" s="36" t="n">
        <v>1.22162112090302</v>
      </c>
      <c r="O40" s="36" t="n">
        <f aca="false">SQRT(M40^2+N40^2)</f>
        <v>1.83265810061433</v>
      </c>
      <c r="P40" s="47" t="n">
        <f aca="false">IF(J40="","",MAX(0,J40-1.96*O40/100))</f>
        <v>0.361310149310055</v>
      </c>
      <c r="Q40" s="47" t="n">
        <f aca="false">IF(J40="","",MIN(1,J40+1.96*O40/100))</f>
        <v>0.433150346854137</v>
      </c>
      <c r="R40" s="32" t="str">
        <f aca="false">IF(L40="","",IF(ABS(L40)&lt;=O40,"Yes","No"))</f>
        <v>Yes</v>
      </c>
      <c r="S40" s="32" t="str">
        <f aca="false">IF(L40="","",IF(ABS(L40)&lt;=1.96*O40,"Yes","No"))</f>
        <v>Yes</v>
      </c>
      <c r="T40" s="66" t="n">
        <f aca="false">IF(D40="","",ROUND(SQRT(((D40+G40)*O40/100)^2+(J40*(D40+G40)*0.05464)^2),0))</f>
        <v>285</v>
      </c>
      <c r="U40" s="32"/>
    </row>
    <row r="41" customFormat="false" ht="15" hidden="false" customHeight="false" outlineLevel="0" collapsed="false">
      <c r="A41" s="32" t="s">
        <v>219</v>
      </c>
      <c r="B41" s="32" t="s">
        <v>236</v>
      </c>
      <c r="C41" s="32" t="s">
        <v>191</v>
      </c>
      <c r="D41" s="66" t="n">
        <v>3933</v>
      </c>
      <c r="E41" s="66" t="n">
        <v>4010</v>
      </c>
      <c r="F41" s="77" t="n">
        <f aca="false">IF(E41="","",D41-E41)</f>
        <v>-77</v>
      </c>
      <c r="G41" s="66" t="n">
        <v>4233</v>
      </c>
      <c r="H41" s="66" t="n">
        <v>4104</v>
      </c>
      <c r="I41" s="77" t="n">
        <f aca="false">IF(H41="","",G41-H41)</f>
        <v>129</v>
      </c>
      <c r="J41" s="47" t="n">
        <f aca="false">IF(OR(D41="",D41+G41=0),"",D41/(D41+G41))</f>
        <v>0.481631153563556</v>
      </c>
      <c r="K41" s="47" t="n">
        <f aca="false">IF(E41="","",E41/(E41+H41))</f>
        <v>0.494207542519103</v>
      </c>
      <c r="L41" s="78" t="n">
        <f aca="false">IF(OR(K41="",J41=""),"",(J41-K41)*100)</f>
        <v>-1.25763889555465</v>
      </c>
      <c r="M41" s="36" t="n">
        <v>1.36611769284749</v>
      </c>
      <c r="N41" s="36" t="n">
        <v>1.22162112090302</v>
      </c>
      <c r="O41" s="36" t="n">
        <f aca="false">SQRT(M41^2+N41^2)</f>
        <v>1.83265810061433</v>
      </c>
      <c r="P41" s="47" t="n">
        <f aca="false">IF(J41="","",MAX(0,J41-1.96*O41/100))</f>
        <v>0.445711054791515</v>
      </c>
      <c r="Q41" s="47" t="n">
        <f aca="false">IF(J41="","",MIN(1,J41+1.96*O41/100))</f>
        <v>0.517551252335597</v>
      </c>
      <c r="R41" s="32" t="str">
        <f aca="false">IF(L41="","",IF(ABS(L41)&lt;=O41,"Yes","No"))</f>
        <v>Yes</v>
      </c>
      <c r="S41" s="32" t="str">
        <f aca="false">IF(L41="","",IF(ABS(L41)&lt;=1.96*O41,"Yes","No"))</f>
        <v>Yes</v>
      </c>
      <c r="T41" s="66" t="n">
        <f aca="false">IF(D41="","",ROUND(SQRT(((D41+G41)*O41/100)^2+(J41*(D41+G41)*0.05464)^2),0))</f>
        <v>262</v>
      </c>
      <c r="U41" s="32"/>
    </row>
    <row r="42" customFormat="false" ht="15" hidden="false" customHeight="false" outlineLevel="0" collapsed="false">
      <c r="A42" s="32" t="s">
        <v>219</v>
      </c>
      <c r="B42" s="32" t="s">
        <v>237</v>
      </c>
      <c r="C42" s="32" t="s">
        <v>191</v>
      </c>
      <c r="D42" s="66" t="n">
        <v>832</v>
      </c>
      <c r="E42" s="66" t="n">
        <v>800</v>
      </c>
      <c r="F42" s="77" t="n">
        <f aca="false">IF(E42="","",D42-E42)</f>
        <v>32</v>
      </c>
      <c r="G42" s="66" t="n">
        <v>1166</v>
      </c>
      <c r="H42" s="66" t="n">
        <v>1156</v>
      </c>
      <c r="I42" s="77" t="n">
        <f aca="false">IF(H42="","",G42-H42)</f>
        <v>10</v>
      </c>
      <c r="J42" s="47" t="n">
        <f aca="false">IF(OR(D42="",D42+G42=0),"",D42/(D42+G42))</f>
        <v>0.416416416416416</v>
      </c>
      <c r="K42" s="47" t="n">
        <f aca="false">IF(E42="","",E42/(E42+H42))</f>
        <v>0.408997955010225</v>
      </c>
      <c r="L42" s="78" t="n">
        <f aca="false">IF(OR(K42="",J42=""),"",(J42-K42)*100)</f>
        <v>0.741846140619146</v>
      </c>
      <c r="M42" s="36" t="n">
        <v>1.91017594365553</v>
      </c>
      <c r="N42" s="36" t="n">
        <v>1.22162112090302</v>
      </c>
      <c r="O42" s="36" t="n">
        <f aca="false">SQRT(M42^2+N42^2)</f>
        <v>2.26740607275288</v>
      </c>
      <c r="P42" s="47" t="n">
        <f aca="false">IF(J42="","",MAX(0,J42-1.96*O42/100))</f>
        <v>0.37197525739046</v>
      </c>
      <c r="Q42" s="47" t="n">
        <f aca="false">IF(J42="","",MIN(1,J42+1.96*O42/100))</f>
        <v>0.460857575442373</v>
      </c>
      <c r="R42" s="32" t="str">
        <f aca="false">IF(L42="","",IF(ABS(L42)&lt;=O42,"Yes","No"))</f>
        <v>Yes</v>
      </c>
      <c r="S42" s="32" t="str">
        <f aca="false">IF(L42="","",IF(ABS(L42)&lt;=1.96*O42,"Yes","No"))</f>
        <v>Yes</v>
      </c>
      <c r="T42" s="66" t="n">
        <f aca="false">IF(D42="","",ROUND(SQRT(((D42+G42)*O42/100)^2+(J42*(D42+G42)*0.06092)^2),0))</f>
        <v>68</v>
      </c>
      <c r="U42" s="32"/>
    </row>
    <row r="43" customFormat="false" ht="15" hidden="false" customHeight="false" outlineLevel="0" collapsed="false">
      <c r="A43" s="32" t="s">
        <v>219</v>
      </c>
      <c r="B43" s="32" t="s">
        <v>238</v>
      </c>
      <c r="C43" s="32" t="s">
        <v>191</v>
      </c>
      <c r="D43" s="66" t="n">
        <v>6882</v>
      </c>
      <c r="E43" s="66" t="n">
        <v>7019</v>
      </c>
      <c r="F43" s="77" t="n">
        <f aca="false">IF(E43="","",D43-E43)</f>
        <v>-137</v>
      </c>
      <c r="G43" s="66" t="n">
        <v>6316</v>
      </c>
      <c r="H43" s="66" t="n">
        <v>6110</v>
      </c>
      <c r="I43" s="77" t="n">
        <f aca="false">IF(H43="","",G43-H43)</f>
        <v>206</v>
      </c>
      <c r="J43" s="47" t="n">
        <f aca="false">IF(OR(D43="",D43+G43=0),"",D43/(D43+G43))</f>
        <v>0.521442642824671</v>
      </c>
      <c r="K43" s="47" t="n">
        <f aca="false">IF(E43="","",E43/(E43+H43))</f>
        <v>0.534618021174499</v>
      </c>
      <c r="L43" s="78" t="n">
        <f aca="false">IF(OR(K43="",J43=""),"",(J43-K43)*100)</f>
        <v>-1.31753783498287</v>
      </c>
      <c r="M43" s="36" t="n">
        <v>1.36611769284749</v>
      </c>
      <c r="N43" s="36" t="n">
        <v>1.22162112090302</v>
      </c>
      <c r="O43" s="36" t="n">
        <f aca="false">SQRT(M43^2+N43^2)</f>
        <v>1.83265810061433</v>
      </c>
      <c r="P43" s="47" t="n">
        <f aca="false">IF(J43="","",MAX(0,J43-1.96*O43/100))</f>
        <v>0.48552254405263</v>
      </c>
      <c r="Q43" s="47" t="n">
        <f aca="false">IF(J43="","",MIN(1,J43+1.96*O43/100))</f>
        <v>0.557362741596711</v>
      </c>
      <c r="R43" s="32" t="str">
        <f aca="false">IF(L43="","",IF(ABS(L43)&lt;=O43,"Yes","No"))</f>
        <v>Yes</v>
      </c>
      <c r="S43" s="32" t="str">
        <f aca="false">IF(L43="","",IF(ABS(L43)&lt;=1.96*O43,"Yes","No"))</f>
        <v>Yes</v>
      </c>
      <c r="T43" s="66" t="n">
        <f aca="false">IF(D43="","",ROUND(SQRT(((D43+G43)*O43/100)^2+(J43*(D43+G43)*0.05464)^2),0))</f>
        <v>447</v>
      </c>
      <c r="U43" s="32"/>
    </row>
    <row r="44" customFormat="false" ht="15" hidden="false" customHeight="false" outlineLevel="0" collapsed="false">
      <c r="A44" s="32" t="s">
        <v>219</v>
      </c>
      <c r="B44" s="32" t="s">
        <v>239</v>
      </c>
      <c r="C44" s="32" t="s">
        <v>191</v>
      </c>
      <c r="D44" s="66" t="n">
        <v>8186</v>
      </c>
      <c r="E44" s="66" t="n">
        <v>8020</v>
      </c>
      <c r="F44" s="77" t="n">
        <f aca="false">IF(E44="","",D44-E44)</f>
        <v>166</v>
      </c>
      <c r="G44" s="66" t="n">
        <v>7774</v>
      </c>
      <c r="H44" s="66" t="n">
        <v>7607</v>
      </c>
      <c r="I44" s="77" t="n">
        <f aca="false">IF(H44="","",G44-H44)</f>
        <v>167</v>
      </c>
      <c r="J44" s="47" t="n">
        <f aca="false">IF(OR(D44="",D44+G44=0),"",D44/(D44+G44))</f>
        <v>0.512907268170426</v>
      </c>
      <c r="K44" s="47" t="n">
        <f aca="false">IF(E44="","",E44/(E44+H44))</f>
        <v>0.513214308568503</v>
      </c>
      <c r="L44" s="78" t="n">
        <f aca="false">IF(OR(K44="",J44=""),"",(J44-K44)*100)</f>
        <v>-0.0307040398077163</v>
      </c>
      <c r="M44" s="36" t="n">
        <v>1.36611769284749</v>
      </c>
      <c r="N44" s="36" t="n">
        <v>1.22162112090302</v>
      </c>
      <c r="O44" s="36" t="n">
        <f aca="false">SQRT(M44^2+N44^2)</f>
        <v>1.83265810061433</v>
      </c>
      <c r="P44" s="47" t="n">
        <f aca="false">IF(J44="","",MAX(0,J44-1.96*O44/100))</f>
        <v>0.476987169398385</v>
      </c>
      <c r="Q44" s="47" t="n">
        <f aca="false">IF(J44="","",MIN(1,J44+1.96*O44/100))</f>
        <v>0.548827366942467</v>
      </c>
      <c r="R44" s="32" t="str">
        <f aca="false">IF(L44="","",IF(ABS(L44)&lt;=O44,"Yes","No"))</f>
        <v>Yes</v>
      </c>
      <c r="S44" s="32" t="str">
        <f aca="false">IF(L44="","",IF(ABS(L44)&lt;=1.96*O44,"Yes","No"))</f>
        <v>Yes</v>
      </c>
      <c r="T44" s="66" t="n">
        <f aca="false">IF(D44="","",ROUND(SQRT(((D44+G44)*O44/100)^2+(J44*(D44+G44)*0.05464)^2),0))</f>
        <v>534</v>
      </c>
      <c r="U44" s="32"/>
    </row>
    <row r="45" customFormat="false" ht="15" hidden="false" customHeight="false" outlineLevel="0" collapsed="false">
      <c r="A45" s="32" t="s">
        <v>219</v>
      </c>
      <c r="B45" s="32" t="s">
        <v>240</v>
      </c>
      <c r="C45" s="32" t="s">
        <v>191</v>
      </c>
      <c r="D45" s="66" t="n">
        <v>2262</v>
      </c>
      <c r="E45" s="66" t="n">
        <v>2380</v>
      </c>
      <c r="F45" s="77" t="n">
        <f aca="false">IF(E45="","",D45-E45)</f>
        <v>-118</v>
      </c>
      <c r="G45" s="66" t="n">
        <v>3192</v>
      </c>
      <c r="H45" s="66" t="n">
        <v>3135</v>
      </c>
      <c r="I45" s="77" t="n">
        <f aca="false">IF(H45="","",G45-H45)</f>
        <v>57</v>
      </c>
      <c r="J45" s="47" t="n">
        <f aca="false">IF(OR(D45="",D45+G45=0),"",D45/(D45+G45))</f>
        <v>0.414741474147415</v>
      </c>
      <c r="K45" s="47" t="n">
        <f aca="false">IF(E45="","",E45/(E45+H45))</f>
        <v>0.43155031731641</v>
      </c>
      <c r="L45" s="78" t="n">
        <f aca="false">IF(OR(K45="",J45=""),"",(J45-K45)*100)</f>
        <v>-1.68088431689951</v>
      </c>
      <c r="M45" s="36" t="n">
        <v>1.36611769284749</v>
      </c>
      <c r="N45" s="36" t="n">
        <v>1.22162112090302</v>
      </c>
      <c r="O45" s="36" t="n">
        <f aca="false">SQRT(M45^2+N45^2)</f>
        <v>1.83265810061433</v>
      </c>
      <c r="P45" s="47" t="n">
        <f aca="false">IF(J45="","",MAX(0,J45-1.96*O45/100))</f>
        <v>0.378821375375374</v>
      </c>
      <c r="Q45" s="47" t="n">
        <f aca="false">IF(J45="","",MIN(1,J45+1.96*O45/100))</f>
        <v>0.450661572919456</v>
      </c>
      <c r="R45" s="32" t="str">
        <f aca="false">IF(L45="","",IF(ABS(L45)&lt;=O45,"Yes","No"))</f>
        <v>Yes</v>
      </c>
      <c r="S45" s="32" t="str">
        <f aca="false">IF(L45="","",IF(ABS(L45)&lt;=1.96*O45,"Yes","No"))</f>
        <v>Yes</v>
      </c>
      <c r="T45" s="66" t="n">
        <f aca="false">IF(D45="","",ROUND(SQRT(((D45+G45)*O45/100)^2+(J45*(D45+G45)*0.05464)^2),0))</f>
        <v>159</v>
      </c>
      <c r="U45" s="32"/>
    </row>
    <row r="46" customFormat="false" ht="15" hidden="false" customHeight="false" outlineLevel="0" collapsed="false">
      <c r="A46" s="32" t="s">
        <v>219</v>
      </c>
      <c r="B46" s="32" t="s">
        <v>241</v>
      </c>
      <c r="C46" s="32" t="s">
        <v>191</v>
      </c>
      <c r="D46" s="66" t="n">
        <v>5237</v>
      </c>
      <c r="E46" s="66" t="n">
        <v>5462</v>
      </c>
      <c r="F46" s="77" t="n">
        <f aca="false">IF(E46="","",D46-E46)</f>
        <v>-225</v>
      </c>
      <c r="G46" s="66" t="n">
        <v>5949</v>
      </c>
      <c r="H46" s="66" t="n">
        <v>5740</v>
      </c>
      <c r="I46" s="77" t="n">
        <f aca="false">IF(H46="","",G46-H46)</f>
        <v>209</v>
      </c>
      <c r="J46" s="47" t="n">
        <f aca="false">IF(OR(D46="",D46+G46=0),"",D46/(D46+G46))</f>
        <v>0.468174503844091</v>
      </c>
      <c r="K46" s="47" t="n">
        <f aca="false">IF(E46="","",E46/(E46+H46))</f>
        <v>0.487591501517586</v>
      </c>
      <c r="L46" s="78" t="n">
        <f aca="false">IF(OR(K46="",J46=""),"",(J46-K46)*100)</f>
        <v>-1.94169976734953</v>
      </c>
      <c r="M46" s="36" t="n">
        <v>1.36611769284749</v>
      </c>
      <c r="N46" s="36" t="n">
        <v>1.22162112090302</v>
      </c>
      <c r="O46" s="36" t="n">
        <f aca="false">SQRT(M46^2+N46^2)</f>
        <v>1.83265810061433</v>
      </c>
      <c r="P46" s="47" t="n">
        <f aca="false">IF(J46="","",MAX(0,J46-1.96*O46/100))</f>
        <v>0.43225440507205</v>
      </c>
      <c r="Q46" s="47" t="n">
        <f aca="false">IF(J46="","",MIN(1,J46+1.96*O46/100))</f>
        <v>0.504094602616132</v>
      </c>
      <c r="R46" s="32" t="str">
        <f aca="false">IF(L46="","",IF(ABS(L46)&lt;=O46,"Yes","No"))</f>
        <v>No</v>
      </c>
      <c r="S46" s="32" t="str">
        <f aca="false">IF(L46="","",IF(ABS(L46)&lt;=1.96*O46,"Yes","No"))</f>
        <v>Yes</v>
      </c>
      <c r="T46" s="66" t="n">
        <f aca="false">IF(D46="","",ROUND(SQRT(((D46+G46)*O46/100)^2+(J46*(D46+G46)*0.05464)^2),0))</f>
        <v>352</v>
      </c>
      <c r="U46" s="32"/>
    </row>
    <row r="47" customFormat="false" ht="15" hidden="false" customHeight="false" outlineLevel="0" collapsed="false">
      <c r="A47" s="32" t="s">
        <v>219</v>
      </c>
      <c r="B47" s="32" t="s">
        <v>242</v>
      </c>
      <c r="C47" s="32" t="s">
        <v>191</v>
      </c>
      <c r="D47" s="66" t="n">
        <v>1245</v>
      </c>
      <c r="E47" s="66" t="n">
        <v>1266</v>
      </c>
      <c r="F47" s="77" t="n">
        <f aca="false">IF(E47="","",D47-E47)</f>
        <v>-21</v>
      </c>
      <c r="G47" s="66" t="n">
        <v>2688</v>
      </c>
      <c r="H47" s="66" t="n">
        <v>2669</v>
      </c>
      <c r="I47" s="77" t="n">
        <f aca="false">IF(H47="","",G47-H47)</f>
        <v>19</v>
      </c>
      <c r="J47" s="47" t="n">
        <f aca="false">IF(OR(D47="",D47+G47=0),"",D47/(D47+G47))</f>
        <v>0.316552250190694</v>
      </c>
      <c r="K47" s="47" t="n">
        <f aca="false">IF(E47="","",E47/(E47+H47))</f>
        <v>0.321728081321474</v>
      </c>
      <c r="L47" s="78" t="n">
        <f aca="false">IF(OR(K47="",J47=""),"",(J47-K47)*100)</f>
        <v>-0.517583113077985</v>
      </c>
      <c r="M47" s="36" t="n">
        <v>1.36611769284749</v>
      </c>
      <c r="N47" s="36" t="n">
        <v>1.22162112090302</v>
      </c>
      <c r="O47" s="36" t="n">
        <f aca="false">SQRT(M47^2+N47^2)</f>
        <v>1.83265810061433</v>
      </c>
      <c r="P47" s="47" t="n">
        <f aca="false">IF(J47="","",MAX(0,J47-1.96*O47/100))</f>
        <v>0.280632151418653</v>
      </c>
      <c r="Q47" s="47" t="n">
        <f aca="false">IF(J47="","",MIN(1,J47+1.96*O47/100))</f>
        <v>0.352472348962735</v>
      </c>
      <c r="R47" s="32" t="str">
        <f aca="false">IF(L47="","",IF(ABS(L47)&lt;=O47,"Yes","No"))</f>
        <v>Yes</v>
      </c>
      <c r="S47" s="32" t="str">
        <f aca="false">IF(L47="","",IF(ABS(L47)&lt;=1.96*O47,"Yes","No"))</f>
        <v>Yes</v>
      </c>
      <c r="T47" s="66" t="n">
        <f aca="false">IF(D47="","",ROUND(SQRT(((D47+G47)*O47/100)^2+(J47*(D47+G47)*0.05464)^2),0))</f>
        <v>99</v>
      </c>
      <c r="U47" s="32"/>
    </row>
    <row r="48" customFormat="false" ht="15" hidden="false" customHeight="false" outlineLevel="0" collapsed="false">
      <c r="A48" s="32" t="s">
        <v>219</v>
      </c>
      <c r="B48" s="32" t="s">
        <v>243</v>
      </c>
      <c r="C48" s="32" t="s">
        <v>191</v>
      </c>
      <c r="D48" s="66" t="n">
        <v>1130</v>
      </c>
      <c r="E48" s="66" t="n">
        <v>1172</v>
      </c>
      <c r="F48" s="77" t="n">
        <f aca="false">IF(E48="","",D48-E48)</f>
        <v>-42</v>
      </c>
      <c r="G48" s="66" t="n">
        <v>2248</v>
      </c>
      <c r="H48" s="66" t="n">
        <v>2201</v>
      </c>
      <c r="I48" s="77" t="n">
        <f aca="false">IF(H48="","",G48-H48)</f>
        <v>47</v>
      </c>
      <c r="J48" s="47" t="n">
        <f aca="false">IF(OR(D48="",D48+G48=0),"",D48/(D48+G48))</f>
        <v>0.334517465956187</v>
      </c>
      <c r="K48" s="47" t="n">
        <f aca="false">IF(E48="","",E48/(E48+H48))</f>
        <v>0.347465164541951</v>
      </c>
      <c r="L48" s="78" t="n">
        <f aca="false">IF(OR(K48="",J48=""),"",(J48-K48)*100)</f>
        <v>-1.29476985857637</v>
      </c>
      <c r="M48" s="36" t="n">
        <v>1.91017594365553</v>
      </c>
      <c r="N48" s="36" t="n">
        <v>1.22162112090302</v>
      </c>
      <c r="O48" s="36" t="n">
        <f aca="false">SQRT(M48^2+N48^2)</f>
        <v>2.26740607275288</v>
      </c>
      <c r="P48" s="47" t="n">
        <f aca="false">IF(J48="","",MAX(0,J48-1.96*O48/100))</f>
        <v>0.290076306930231</v>
      </c>
      <c r="Q48" s="47" t="n">
        <f aca="false">IF(J48="","",MIN(1,J48+1.96*O48/100))</f>
        <v>0.378958624982144</v>
      </c>
      <c r="R48" s="32" t="str">
        <f aca="false">IF(L48="","",IF(ABS(L48)&lt;=O48,"Yes","No"))</f>
        <v>Yes</v>
      </c>
      <c r="S48" s="32" t="str">
        <f aca="false">IF(L48="","",IF(ABS(L48)&lt;=1.96*O48,"Yes","No"))</f>
        <v>Yes</v>
      </c>
      <c r="T48" s="66" t="n">
        <f aca="false">IF(D48="","",ROUND(SQRT(((D48+G48)*O48/100)^2+(J48*(D48+G48)*0.06092)^2),0))</f>
        <v>103</v>
      </c>
      <c r="U48" s="32"/>
    </row>
    <row r="49" customFormat="false" ht="15" hidden="false" customHeight="false" outlineLevel="0" collapsed="false">
      <c r="A49" s="32" t="s">
        <v>219</v>
      </c>
      <c r="B49" s="32" t="s">
        <v>244</v>
      </c>
      <c r="C49" s="32" t="s">
        <v>191</v>
      </c>
      <c r="D49" s="66" t="n">
        <v>7440</v>
      </c>
      <c r="E49" s="66" t="n">
        <v>7383</v>
      </c>
      <c r="F49" s="77" t="n">
        <f aca="false">IF(E49="","",D49-E49)</f>
        <v>57</v>
      </c>
      <c r="G49" s="66" t="n">
        <v>7040</v>
      </c>
      <c r="H49" s="66" t="n">
        <v>7036</v>
      </c>
      <c r="I49" s="77" t="n">
        <f aca="false">IF(H49="","",G49-H49)</f>
        <v>4</v>
      </c>
      <c r="J49" s="47" t="n">
        <f aca="false">IF(OR(D49="",D49+G49=0),"",D49/(D49+G49))</f>
        <v>0.513812154696133</v>
      </c>
      <c r="K49" s="47" t="n">
        <f aca="false">IF(E49="","",E49/(E49+H49))</f>
        <v>0.51203273458631</v>
      </c>
      <c r="L49" s="78" t="n">
        <f aca="false">IF(OR(K49="",J49=""),"",(J49-K49)*100)</f>
        <v>0.17794201098229</v>
      </c>
      <c r="M49" s="36" t="n">
        <v>1.36611769284749</v>
      </c>
      <c r="N49" s="36" t="n">
        <v>1.22162112090302</v>
      </c>
      <c r="O49" s="36" t="n">
        <f aca="false">SQRT(M49^2+N49^2)</f>
        <v>1.83265810061433</v>
      </c>
      <c r="P49" s="47" t="n">
        <f aca="false">IF(J49="","",MAX(0,J49-1.96*O49/100))</f>
        <v>0.477892055924092</v>
      </c>
      <c r="Q49" s="47" t="n">
        <f aca="false">IF(J49="","",MIN(1,J49+1.96*O49/100))</f>
        <v>0.549732253468173</v>
      </c>
      <c r="R49" s="32" t="str">
        <f aca="false">IF(L49="","",IF(ABS(L49)&lt;=O49,"Yes","No"))</f>
        <v>Yes</v>
      </c>
      <c r="S49" s="32" t="str">
        <f aca="false">IF(L49="","",IF(ABS(L49)&lt;=1.96*O49,"Yes","No"))</f>
        <v>Yes</v>
      </c>
      <c r="T49" s="66" t="n">
        <f aca="false">IF(D49="","",ROUND(SQRT(((D49+G49)*O49/100)^2+(J49*(D49+G49)*0.05464)^2),0))</f>
        <v>485</v>
      </c>
      <c r="U49" s="32"/>
    </row>
    <row r="50" customFormat="false" ht="15" hidden="false" customHeight="false" outlineLevel="0" collapsed="false">
      <c r="A50" s="32" t="s">
        <v>245</v>
      </c>
      <c r="B50" s="32" t="s">
        <v>246</v>
      </c>
      <c r="C50" s="32" t="s">
        <v>191</v>
      </c>
      <c r="D50" s="66" t="n">
        <v>481</v>
      </c>
      <c r="E50" s="66" t="n">
        <v>471</v>
      </c>
      <c r="F50" s="77" t="n">
        <f aca="false">IF(E50="","",D50-E50)</f>
        <v>10</v>
      </c>
      <c r="G50" s="66" t="n">
        <v>1063</v>
      </c>
      <c r="H50" s="66" t="n">
        <v>1124</v>
      </c>
      <c r="I50" s="77" t="n">
        <f aca="false">IF(H50="","",G50-H50)</f>
        <v>-61</v>
      </c>
      <c r="J50" s="47" t="n">
        <f aca="false">IF(OR(D50="",D50+G50=0),"",D50/(D50+G50))</f>
        <v>0.311528497409326</v>
      </c>
      <c r="K50" s="47" t="n">
        <f aca="false">IF(E50="","",E50/(E50+H50))</f>
        <v>0.295297805642633</v>
      </c>
      <c r="L50" s="78" t="n">
        <f aca="false">IF(OR(K50="",J50=""),"",(J50-K50)*100)</f>
        <v>1.62306917666932</v>
      </c>
      <c r="M50" s="36" t="n">
        <v>2.86632681480758</v>
      </c>
      <c r="N50" s="36" t="n">
        <v>1.22162112090302</v>
      </c>
      <c r="O50" s="36" t="n">
        <f aca="false">SQRT(M50^2+N50^2)</f>
        <v>3.11579645874395</v>
      </c>
      <c r="P50" s="47" t="n">
        <f aca="false">IF(J50="","",MAX(0,J50-1.96*O50/100))</f>
        <v>0.250458886817945</v>
      </c>
      <c r="Q50" s="47" t="n">
        <f aca="false">IF(J50="","",MIN(1,J50+1.96*O50/100))</f>
        <v>0.372598108000708</v>
      </c>
      <c r="R50" s="32" t="str">
        <f aca="false">IF(L50="","",IF(ABS(L50)&lt;=O50,"Yes","No"))</f>
        <v>Yes</v>
      </c>
      <c r="S50" s="32" t="str">
        <f aca="false">IF(L50="","",IF(ABS(L50)&lt;=1.96*O50,"Yes","No"))</f>
        <v>Yes</v>
      </c>
      <c r="T50" s="66" t="n">
        <f aca="false">IF(D50="","",ROUND(SQRT(((D50+G50)*O50/100)^2+(J50*(D50+G50)*0.07859)^2),0))</f>
        <v>61</v>
      </c>
      <c r="U50" s="32"/>
    </row>
    <row r="51" customFormat="false" ht="15" hidden="false" customHeight="false" outlineLevel="0" collapsed="false">
      <c r="A51" s="32" t="s">
        <v>245</v>
      </c>
      <c r="B51" s="32" t="s">
        <v>247</v>
      </c>
      <c r="C51" s="32" t="s">
        <v>191</v>
      </c>
      <c r="D51" s="66" t="n">
        <v>1414</v>
      </c>
      <c r="E51" s="66" t="n">
        <v>1414</v>
      </c>
      <c r="F51" s="77" t="n">
        <f aca="false">IF(E51="","",D51-E51)</f>
        <v>0</v>
      </c>
      <c r="G51" s="66" t="n">
        <v>2755</v>
      </c>
      <c r="H51" s="66" t="n">
        <v>2894</v>
      </c>
      <c r="I51" s="77" t="n">
        <f aca="false">IF(H51="","",G51-H51)</f>
        <v>-139</v>
      </c>
      <c r="J51" s="47" t="n">
        <f aca="false">IF(OR(D51="",D51+G51=0),"",D51/(D51+G51))</f>
        <v>0.339170064763732</v>
      </c>
      <c r="K51" s="47" t="n">
        <f aca="false">IF(E51="","",E51/(E51+H51))</f>
        <v>0.328226555246054</v>
      </c>
      <c r="L51" s="78" t="n">
        <f aca="false">IF(OR(K51="",J51=""),"",(J51-K51)*100)</f>
        <v>1.09435095176784</v>
      </c>
      <c r="M51" s="36" t="n">
        <v>1.36611769284749</v>
      </c>
      <c r="N51" s="36" t="n">
        <v>1.22162112090302</v>
      </c>
      <c r="O51" s="36" t="n">
        <f aca="false">SQRT(M51^2+N51^2)</f>
        <v>1.83265810061433</v>
      </c>
      <c r="P51" s="47" t="n">
        <f aca="false">IF(J51="","",MAX(0,J51-1.96*O51/100))</f>
        <v>0.303249965991691</v>
      </c>
      <c r="Q51" s="47" t="n">
        <f aca="false">IF(J51="","",MIN(1,J51+1.96*O51/100))</f>
        <v>0.375090163535773</v>
      </c>
      <c r="R51" s="32" t="str">
        <f aca="false">IF(L51="","",IF(ABS(L51)&lt;=O51,"Yes","No"))</f>
        <v>Yes</v>
      </c>
      <c r="S51" s="32" t="str">
        <f aca="false">IF(L51="","",IF(ABS(L51)&lt;=1.96*O51,"Yes","No"))</f>
        <v>Yes</v>
      </c>
      <c r="T51" s="66" t="n">
        <f aca="false">IF(D51="","",ROUND(SQRT(((D51+G51)*O51/100)^2+(J51*(D51+G51)*0.05464)^2),0))</f>
        <v>109</v>
      </c>
      <c r="U51" s="32"/>
    </row>
    <row r="52" customFormat="false" ht="15" hidden="false" customHeight="false" outlineLevel="0" collapsed="false">
      <c r="A52" s="32" t="s">
        <v>245</v>
      </c>
      <c r="B52" s="32" t="s">
        <v>248</v>
      </c>
      <c r="C52" s="32" t="s">
        <v>191</v>
      </c>
      <c r="D52" s="66" t="n">
        <v>448</v>
      </c>
      <c r="E52" s="66" t="n">
        <v>521</v>
      </c>
      <c r="F52" s="77" t="n">
        <f aca="false">IF(E52="","",D52-E52)</f>
        <v>-73</v>
      </c>
      <c r="G52" s="66" t="n">
        <v>862</v>
      </c>
      <c r="H52" s="66" t="n">
        <v>997</v>
      </c>
      <c r="I52" s="77" t="n">
        <f aca="false">IF(H52="","",G52-H52)</f>
        <v>-135</v>
      </c>
      <c r="J52" s="47" t="n">
        <f aca="false">IF(OR(D52="",D52+G52=0),"",D52/(D52+G52))</f>
        <v>0.341984732824428</v>
      </c>
      <c r="K52" s="47" t="n">
        <f aca="false">IF(E52="","",E52/(E52+H52))</f>
        <v>0.343214756258235</v>
      </c>
      <c r="L52" s="78" t="n">
        <f aca="false">IF(OR(K52="",J52=""),"",(J52-K52)*100)</f>
        <v>-0.123002343380701</v>
      </c>
      <c r="M52" s="36" t="n">
        <v>2.86632681480758</v>
      </c>
      <c r="N52" s="36" t="n">
        <v>1.22162112090302</v>
      </c>
      <c r="O52" s="36" t="n">
        <f aca="false">SQRT(M52^2+N52^2)</f>
        <v>3.11579645874395</v>
      </c>
      <c r="P52" s="47" t="n">
        <f aca="false">IF(J52="","",MAX(0,J52-1.96*O52/100))</f>
        <v>0.280915122233046</v>
      </c>
      <c r="Q52" s="47" t="n">
        <f aca="false">IF(J52="","",MIN(1,J52+1.96*O52/100))</f>
        <v>0.403054343415809</v>
      </c>
      <c r="R52" s="32" t="str">
        <f aca="false">IF(L52="","",IF(ABS(L52)&lt;=O52,"Yes","No"))</f>
        <v>Yes</v>
      </c>
      <c r="S52" s="32" t="str">
        <f aca="false">IF(L52="","",IF(ABS(L52)&lt;=1.96*O52,"Yes","No"))</f>
        <v>Yes</v>
      </c>
      <c r="T52" s="66" t="n">
        <f aca="false">IF(D52="","",ROUND(SQRT(((D52+G52)*O52/100)^2+(J52*(D52+G52)*0.07859)^2),0))</f>
        <v>54</v>
      </c>
      <c r="U52" s="32"/>
    </row>
    <row r="53" customFormat="false" ht="15" hidden="false" customHeight="false" outlineLevel="0" collapsed="false">
      <c r="A53" s="32" t="s">
        <v>249</v>
      </c>
      <c r="B53" s="32" t="s">
        <v>250</v>
      </c>
      <c r="C53" s="32" t="s">
        <v>191</v>
      </c>
      <c r="D53" s="66" t="n">
        <v>1438</v>
      </c>
      <c r="E53" s="66" t="n">
        <v>1511</v>
      </c>
      <c r="F53" s="77" t="n">
        <f aca="false">IF(E53="","",D53-E53)</f>
        <v>-73</v>
      </c>
      <c r="G53" s="66" t="n">
        <v>2026</v>
      </c>
      <c r="H53" s="66" t="n">
        <v>2018</v>
      </c>
      <c r="I53" s="77" t="n">
        <f aca="false">IF(H53="","",G53-H53)</f>
        <v>8</v>
      </c>
      <c r="J53" s="47" t="n">
        <f aca="false">IF(OR(D53="",D53+G53=0),"",D53/(D53+G53))</f>
        <v>0.415127020785219</v>
      </c>
      <c r="K53" s="47" t="n">
        <f aca="false">IF(E53="","",E53/(E53+H53))</f>
        <v>0.428166619438935</v>
      </c>
      <c r="L53" s="78" t="n">
        <f aca="false">IF(OR(K53="",J53=""),"",(J53-K53)*100)</f>
        <v>-1.30395986537151</v>
      </c>
      <c r="M53" s="36" t="n">
        <v>1.91017594365553</v>
      </c>
      <c r="N53" s="36" t="n">
        <v>1.22162112090302</v>
      </c>
      <c r="O53" s="36" t="n">
        <f aca="false">SQRT(M53^2+N53^2)</f>
        <v>2.26740607275288</v>
      </c>
      <c r="P53" s="47" t="n">
        <f aca="false">IF(J53="","",MAX(0,J53-1.96*O53/100))</f>
        <v>0.370685861759263</v>
      </c>
      <c r="Q53" s="47" t="n">
        <f aca="false">IF(J53="","",MIN(1,J53+1.96*O53/100))</f>
        <v>0.459568179811176</v>
      </c>
      <c r="R53" s="32" t="str">
        <f aca="false">IF(L53="","",IF(ABS(L53)&lt;=O53,"Yes","No"))</f>
        <v>Yes</v>
      </c>
      <c r="S53" s="32" t="str">
        <f aca="false">IF(L53="","",IF(ABS(L53)&lt;=1.96*O53,"Yes","No"))</f>
        <v>Yes</v>
      </c>
      <c r="T53" s="66" t="n">
        <f aca="false">IF(D53="","",ROUND(SQRT(((D53+G53)*O53/100)^2+(J53*(D53+G53)*0.06092)^2),0))</f>
        <v>118</v>
      </c>
      <c r="U53" s="32"/>
    </row>
    <row r="54" customFormat="false" ht="15" hidden="false" customHeight="false" outlineLevel="0" collapsed="false">
      <c r="A54" s="32" t="s">
        <v>249</v>
      </c>
      <c r="B54" s="32" t="s">
        <v>251</v>
      </c>
      <c r="C54" s="32" t="s">
        <v>191</v>
      </c>
      <c r="D54" s="66" t="n">
        <v>966</v>
      </c>
      <c r="E54" s="66" t="n">
        <v>959</v>
      </c>
      <c r="F54" s="77" t="n">
        <f aca="false">IF(E54="","",D54-E54)</f>
        <v>7</v>
      </c>
      <c r="G54" s="66" t="n">
        <v>1370</v>
      </c>
      <c r="H54" s="66" t="n">
        <v>1364</v>
      </c>
      <c r="I54" s="77" t="n">
        <f aca="false">IF(H54="","",G54-H54)</f>
        <v>6</v>
      </c>
      <c r="J54" s="47" t="n">
        <f aca="false">IF(OR(D54="",D54+G54=0),"",D54/(D54+G54))</f>
        <v>0.413527397260274</v>
      </c>
      <c r="K54" s="47" t="n">
        <f aca="false">IF(E54="","",E54/(E54+H54))</f>
        <v>0.412828239345674</v>
      </c>
      <c r="L54" s="78" t="n">
        <f aca="false">IF(OR(K54="",J54=""),"",(J54-K54)*100)</f>
        <v>0.069915791460029</v>
      </c>
      <c r="M54" s="36" t="n">
        <v>1.91017594365553</v>
      </c>
      <c r="N54" s="36" t="n">
        <v>1.22162112090302</v>
      </c>
      <c r="O54" s="36" t="n">
        <f aca="false">SQRT(M54^2+N54^2)</f>
        <v>2.26740607275288</v>
      </c>
      <c r="P54" s="47" t="n">
        <f aca="false">IF(J54="","",MAX(0,J54-1.96*O54/100))</f>
        <v>0.369086238234318</v>
      </c>
      <c r="Q54" s="47" t="n">
        <f aca="false">IF(J54="","",MIN(1,J54+1.96*O54/100))</f>
        <v>0.45796855628623</v>
      </c>
      <c r="R54" s="32" t="str">
        <f aca="false">IF(L54="","",IF(ABS(L54)&lt;=O54,"Yes","No"))</f>
        <v>Yes</v>
      </c>
      <c r="S54" s="32" t="str">
        <f aca="false">IF(L54="","",IF(ABS(L54)&lt;=1.96*O54,"Yes","No"))</f>
        <v>Yes</v>
      </c>
      <c r="T54" s="66" t="n">
        <f aca="false">IF(D54="","",ROUND(SQRT(((D54+G54)*O54/100)^2+(J54*(D54+G54)*0.06092)^2),0))</f>
        <v>79</v>
      </c>
      <c r="U54" s="32"/>
    </row>
    <row r="55" customFormat="false" ht="15" hidden="false" customHeight="false" outlineLevel="0" collapsed="false">
      <c r="A55" s="32" t="s">
        <v>249</v>
      </c>
      <c r="B55" s="32" t="s">
        <v>252</v>
      </c>
      <c r="C55" s="32" t="s">
        <v>191</v>
      </c>
      <c r="D55" s="66" t="n">
        <v>619</v>
      </c>
      <c r="E55" s="66" t="n">
        <v>623</v>
      </c>
      <c r="F55" s="77" t="n">
        <f aca="false">IF(E55="","",D55-E55)</f>
        <v>-4</v>
      </c>
      <c r="G55" s="66" t="n">
        <v>751</v>
      </c>
      <c r="H55" s="66" t="n">
        <v>726</v>
      </c>
      <c r="I55" s="77" t="n">
        <f aca="false">IF(H55="","",G55-H55)</f>
        <v>25</v>
      </c>
      <c r="J55" s="47" t="n">
        <f aca="false">IF(OR(D55="",D55+G55=0),"",D55/(D55+G55))</f>
        <v>0.451824817518248</v>
      </c>
      <c r="K55" s="47" t="n">
        <f aca="false">IF(E55="","",E55/(E55+H55))</f>
        <v>0.46182357301705</v>
      </c>
      <c r="L55" s="78" t="n">
        <f aca="false">IF(OR(K55="",J55=""),"",(J55-K55)*100)</f>
        <v>-0.999875549880153</v>
      </c>
      <c r="M55" s="36" t="n">
        <v>2.86632681480758</v>
      </c>
      <c r="N55" s="36" t="n">
        <v>1.22162112090302</v>
      </c>
      <c r="O55" s="36" t="n">
        <f aca="false">SQRT(M55^2+N55^2)</f>
        <v>3.11579645874395</v>
      </c>
      <c r="P55" s="47" t="n">
        <f aca="false">IF(J55="","",MAX(0,J55-1.96*O55/100))</f>
        <v>0.390755206926867</v>
      </c>
      <c r="Q55" s="47" t="n">
        <f aca="false">IF(J55="","",MIN(1,J55+1.96*O55/100))</f>
        <v>0.51289442810963</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249</v>
      </c>
      <c r="B56" s="32" t="s">
        <v>222</v>
      </c>
      <c r="C56" s="32" t="s">
        <v>191</v>
      </c>
      <c r="D56" s="66" t="n">
        <v>16918</v>
      </c>
      <c r="E56" s="66" t="n">
        <v>17416</v>
      </c>
      <c r="F56" s="77" t="n">
        <f aca="false">IF(E56="","",D56-E56)</f>
        <v>-498</v>
      </c>
      <c r="G56" s="66" t="n">
        <v>8665</v>
      </c>
      <c r="H56" s="66" t="n">
        <v>8640</v>
      </c>
      <c r="I56" s="77" t="n">
        <f aca="false">IF(H56="","",G56-H56)</f>
        <v>25</v>
      </c>
      <c r="J56" s="47" t="n">
        <f aca="false">IF(OR(D56="",D56+G56=0),"",D56/(D56+G56))</f>
        <v>0.661298518547473</v>
      </c>
      <c r="K56" s="47" t="n">
        <f aca="false">IF(E56="","",E56/(E56+H56))</f>
        <v>0.668406509057415</v>
      </c>
      <c r="L56" s="78" t="n">
        <f aca="false">IF(OR(K56="",J56=""),"",(J56-K56)*100)</f>
        <v>-0.710799050994193</v>
      </c>
      <c r="M56" s="36" t="n">
        <v>1.36611769284749</v>
      </c>
      <c r="N56" s="36" t="n">
        <v>1.22162112090302</v>
      </c>
      <c r="O56" s="36" t="n">
        <f aca="false">SQRT(M56^2+N56^2)</f>
        <v>1.83265810061433</v>
      </c>
      <c r="P56" s="47" t="n">
        <f aca="false">IF(J56="","",MAX(0,J56-1.96*O56/100))</f>
        <v>0.625378419775432</v>
      </c>
      <c r="Q56" s="47" t="n">
        <f aca="false">IF(J56="","",MIN(1,J56+1.96*O56/100))</f>
        <v>0.697218617319514</v>
      </c>
      <c r="R56" s="32" t="str">
        <f aca="false">IF(L56="","",IF(ABS(L56)&lt;=O56,"Yes","No"))</f>
        <v>Yes</v>
      </c>
      <c r="S56" s="32" t="str">
        <f aca="false">IF(L56="","",IF(ABS(L56)&lt;=1.96*O56,"Yes","No"))</f>
        <v>Yes</v>
      </c>
      <c r="T56" s="66" t="n">
        <f aca="false">IF(D56="","",ROUND(SQRT(((D56+G56)*O56/100)^2+(J56*(D56+G56)*0.05464)^2),0))</f>
        <v>1037</v>
      </c>
      <c r="U56" s="32"/>
    </row>
    <row r="57" customFormat="false" ht="15" hidden="false" customHeight="false" outlineLevel="0" collapsed="false">
      <c r="A57" s="32" t="s">
        <v>249</v>
      </c>
      <c r="B57" s="32" t="s">
        <v>253</v>
      </c>
      <c r="C57" s="32" t="s">
        <v>191</v>
      </c>
      <c r="D57" s="66" t="n">
        <v>8178</v>
      </c>
      <c r="E57" s="66" t="n">
        <v>8595</v>
      </c>
      <c r="F57" s="77" t="n">
        <f aca="false">IF(E57="","",D57-E57)</f>
        <v>-417</v>
      </c>
      <c r="G57" s="66" t="n">
        <v>7755</v>
      </c>
      <c r="H57" s="66" t="n">
        <v>7440</v>
      </c>
      <c r="I57" s="77" t="n">
        <f aca="false">IF(H57="","",G57-H57)</f>
        <v>315</v>
      </c>
      <c r="J57" s="47" t="n">
        <f aca="false">IF(OR(D57="",D57+G57=0),"",D57/(D57+G57))</f>
        <v>0.513274336283186</v>
      </c>
      <c r="K57" s="47" t="n">
        <f aca="false">IF(E57="","",E57/(E57+H57))</f>
        <v>0.536014967259121</v>
      </c>
      <c r="L57" s="78" t="n">
        <f aca="false">IF(OR(K57="",J57=""),"",(J57-K57)*100)</f>
        <v>-2.27406309759348</v>
      </c>
      <c r="M57" s="36" t="n">
        <v>1.36611769284749</v>
      </c>
      <c r="N57" s="36" t="n">
        <v>1.22162112090302</v>
      </c>
      <c r="O57" s="36" t="n">
        <f aca="false">SQRT(M57^2+N57^2)</f>
        <v>1.83265810061433</v>
      </c>
      <c r="P57" s="47" t="n">
        <f aca="false">IF(J57="","",MAX(0,J57-1.96*O57/100))</f>
        <v>0.477354237511145</v>
      </c>
      <c r="Q57" s="47" t="n">
        <f aca="false">IF(J57="","",MIN(1,J57+1.96*O57/100))</f>
        <v>0.549194435055227</v>
      </c>
      <c r="R57" s="32" t="str">
        <f aca="false">IF(L57="","",IF(ABS(L57)&lt;=O57,"Yes","No"))</f>
        <v>No</v>
      </c>
      <c r="S57" s="32" t="str">
        <f aca="false">IF(L57="","",IF(ABS(L57)&lt;=1.96*O57,"Yes","No"))</f>
        <v>Yes</v>
      </c>
      <c r="T57" s="66" t="n">
        <f aca="false">IF(D57="","",ROUND(SQRT(((D57+G57)*O57/100)^2+(J57*(D57+G57)*0.05464)^2),0))</f>
        <v>534</v>
      </c>
      <c r="U57" s="32"/>
    </row>
    <row r="58" customFormat="false" ht="15" hidden="false" customHeight="false" outlineLevel="0" collapsed="false">
      <c r="A58" s="32" t="s">
        <v>249</v>
      </c>
      <c r="B58" s="32" t="s">
        <v>254</v>
      </c>
      <c r="C58" s="32" t="s">
        <v>191</v>
      </c>
      <c r="D58" s="66" t="n">
        <v>1981</v>
      </c>
      <c r="E58" s="66" t="n">
        <v>2169</v>
      </c>
      <c r="F58" s="77" t="n">
        <f aca="false">IF(E58="","",D58-E58)</f>
        <v>-188</v>
      </c>
      <c r="G58" s="66" t="n">
        <v>3634</v>
      </c>
      <c r="H58" s="66" t="n">
        <v>3459</v>
      </c>
      <c r="I58" s="77" t="n">
        <f aca="false">IF(H58="","",G58-H58)</f>
        <v>175</v>
      </c>
      <c r="J58" s="47" t="n">
        <f aca="false">IF(OR(D58="",D58+G58=0),"",D58/(D58+G58))</f>
        <v>0.352804986642921</v>
      </c>
      <c r="K58" s="47" t="n">
        <f aca="false">IF(E58="","",E58/(E58+H58))</f>
        <v>0.385394456289979</v>
      </c>
      <c r="L58" s="78" t="n">
        <f aca="false">IF(OR(K58="",J58=""),"",(J58-K58)*100)</f>
        <v>-3.25894696470579</v>
      </c>
      <c r="M58" s="36" t="n">
        <v>1.36611769284749</v>
      </c>
      <c r="N58" s="36" t="n">
        <v>1.22162112090302</v>
      </c>
      <c r="O58" s="36" t="n">
        <f aca="false">SQRT(M58^2+N58^2)</f>
        <v>1.83265810061433</v>
      </c>
      <c r="P58" s="47" t="n">
        <f aca="false">IF(J58="","",MAX(0,J58-1.96*O58/100))</f>
        <v>0.31688488787088</v>
      </c>
      <c r="Q58" s="47" t="n">
        <f aca="false">IF(J58="","",MIN(1,J58+1.96*O58/100))</f>
        <v>0.388725085414962</v>
      </c>
      <c r="R58" s="32" t="str">
        <f aca="false">IF(L58="","",IF(ABS(L58)&lt;=O58,"Yes","No"))</f>
        <v>No</v>
      </c>
      <c r="S58" s="32" t="str">
        <f aca="false">IF(L58="","",IF(ABS(L58)&lt;=1.96*O58,"Yes","No"))</f>
        <v>Yes</v>
      </c>
      <c r="T58" s="66" t="n">
        <f aca="false">IF(D58="","",ROUND(SQRT(((D58+G58)*O58/100)^2+(J58*(D58+G58)*0.05464)^2),0))</f>
        <v>149</v>
      </c>
      <c r="U58" s="32"/>
    </row>
    <row r="59" customFormat="false" ht="15" hidden="false" customHeight="false" outlineLevel="0" collapsed="false">
      <c r="A59" s="32" t="s">
        <v>249</v>
      </c>
      <c r="B59" s="32" t="s">
        <v>255</v>
      </c>
      <c r="C59" s="32" t="s">
        <v>191</v>
      </c>
      <c r="D59" s="66" t="n">
        <v>42</v>
      </c>
      <c r="E59" s="66" t="n">
        <v>40</v>
      </c>
      <c r="F59" s="77" t="n">
        <f aca="false">IF(E59="","",D59-E59)</f>
        <v>2</v>
      </c>
      <c r="G59" s="66" t="n">
        <v>79</v>
      </c>
      <c r="H59" s="66" t="n">
        <v>83</v>
      </c>
      <c r="I59" s="77" t="n">
        <f aca="false">IF(H59="","",G59-H59)</f>
        <v>-4</v>
      </c>
      <c r="J59" s="47" t="n">
        <f aca="false">IF(OR(D59="",D59+G59=0),"",D59/(D59+G59))</f>
        <v>0.347107438016529</v>
      </c>
      <c r="K59" s="47" t="n">
        <f aca="false">IF(E59="","",E59/(E59+H59))</f>
        <v>0.32520325203252</v>
      </c>
      <c r="L59" s="78" t="n">
        <f aca="false">IF(OR(K59="",J59=""),"",(J59-K59)*100)</f>
        <v>2.19041859840086</v>
      </c>
      <c r="M59" s="36" t="n">
        <v>2.86632681480758</v>
      </c>
      <c r="N59" s="36" t="n">
        <v>1.22162112090302</v>
      </c>
      <c r="O59" s="36" t="n">
        <f aca="false">SQRT(M59^2+N59^2)</f>
        <v>3.11579645874395</v>
      </c>
      <c r="P59" s="47" t="n">
        <f aca="false">IF(J59="","",MAX(0,J59-1.96*O59/100))</f>
        <v>0.286037827425148</v>
      </c>
      <c r="Q59" s="47" t="n">
        <f aca="false">IF(J59="","",MIN(1,J59+1.96*O59/100))</f>
        <v>0.40817704860791</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249</v>
      </c>
      <c r="B60" s="32" t="s">
        <v>256</v>
      </c>
      <c r="C60" s="32" t="s">
        <v>191</v>
      </c>
      <c r="D60" s="66" t="n">
        <v>1380</v>
      </c>
      <c r="E60" s="66" t="n">
        <v>1484</v>
      </c>
      <c r="F60" s="77" t="n">
        <f aca="false">IF(E60="","",D60-E60)</f>
        <v>-104</v>
      </c>
      <c r="G60" s="66" t="n">
        <v>1989</v>
      </c>
      <c r="H60" s="66" t="n">
        <v>1959</v>
      </c>
      <c r="I60" s="77" t="n">
        <f aca="false">IF(H60="","",G60-H60)</f>
        <v>30</v>
      </c>
      <c r="J60" s="47" t="n">
        <f aca="false">IF(OR(D60="",D60+G60=0),"",D60/(D60+G60))</f>
        <v>0.409617097061443</v>
      </c>
      <c r="K60" s="47" t="n">
        <f aca="false">IF(E60="","",E60/(E60+H60))</f>
        <v>0.431019459773453</v>
      </c>
      <c r="L60" s="78" t="n">
        <f aca="false">IF(OR(K60="",J60=""),"",(J60-K60)*100)</f>
        <v>-2.14023627120108</v>
      </c>
      <c r="M60" s="36" t="n">
        <v>1.91017594365553</v>
      </c>
      <c r="N60" s="36" t="n">
        <v>1.22162112090302</v>
      </c>
      <c r="O60" s="36" t="n">
        <f aca="false">SQRT(M60^2+N60^2)</f>
        <v>2.26740607275288</v>
      </c>
      <c r="P60" s="47" t="n">
        <f aca="false">IF(J60="","",MAX(0,J60-1.96*O60/100))</f>
        <v>0.365175938035486</v>
      </c>
      <c r="Q60" s="47" t="n">
        <f aca="false">IF(J60="","",MIN(1,J60+1.96*O60/100))</f>
        <v>0.454058256087399</v>
      </c>
      <c r="R60" s="32" t="str">
        <f aca="false">IF(L60="","",IF(ABS(L60)&lt;=O60,"Yes","No"))</f>
        <v>Yes</v>
      </c>
      <c r="S60" s="32" t="str">
        <f aca="false">IF(L60="","",IF(ABS(L60)&lt;=1.96*O60,"Yes","No"))</f>
        <v>Yes</v>
      </c>
      <c r="T60" s="66" t="n">
        <f aca="false">IF(D60="","",ROUND(SQRT(((D60+G60)*O60/100)^2+(J60*(D60+G60)*0.06092)^2),0))</f>
        <v>114</v>
      </c>
      <c r="U60" s="32"/>
    </row>
    <row r="61" customFormat="false" ht="15" hidden="false" customHeight="false" outlineLevel="0" collapsed="false">
      <c r="A61" s="32" t="s">
        <v>249</v>
      </c>
      <c r="B61" s="32" t="s">
        <v>257</v>
      </c>
      <c r="C61" s="32" t="s">
        <v>191</v>
      </c>
      <c r="D61" s="66" t="n">
        <v>181</v>
      </c>
      <c r="E61" s="66" t="n">
        <v>217</v>
      </c>
      <c r="F61" s="77" t="n">
        <f aca="false">IF(E61="","",D61-E61)</f>
        <v>-36</v>
      </c>
      <c r="G61" s="66" t="n">
        <v>330</v>
      </c>
      <c r="H61" s="66" t="n">
        <v>309</v>
      </c>
      <c r="I61" s="77" t="n">
        <f aca="false">IF(H61="","",G61-H61)</f>
        <v>21</v>
      </c>
      <c r="J61" s="47" t="n">
        <f aca="false">IF(OR(D61="",D61+G61=0),"",D61/(D61+G61))</f>
        <v>0.354207436399217</v>
      </c>
      <c r="K61" s="47" t="n">
        <f aca="false">IF(E61="","",E61/(E61+H61))</f>
        <v>0.41254752851711</v>
      </c>
      <c r="L61" s="78" t="n">
        <f aca="false">IF(OR(K61="",J61=""),"",(J61-K61)*100)</f>
        <v>-5.8340092117893</v>
      </c>
      <c r="M61" s="36" t="n">
        <v>2.86632681480758</v>
      </c>
      <c r="N61" s="36" t="n">
        <v>1.22162112090302</v>
      </c>
      <c r="O61" s="36" t="n">
        <f aca="false">SQRT(M61^2+N61^2)</f>
        <v>3.11579645874395</v>
      </c>
      <c r="P61" s="47" t="n">
        <f aca="false">IF(J61="","",MAX(0,J61-1.96*O61/100))</f>
        <v>0.293137825807836</v>
      </c>
      <c r="Q61" s="47" t="n">
        <f aca="false">IF(J61="","",MIN(1,J61+1.96*O61/100))</f>
        <v>0.415277046990599</v>
      </c>
      <c r="R61" s="32" t="str">
        <f aca="false">IF(L61="","",IF(ABS(L61)&lt;=O61,"Yes","No"))</f>
        <v>No</v>
      </c>
      <c r="S61" s="32" t="str">
        <f aca="false">IF(L61="","",IF(ABS(L61)&lt;=1.96*O61,"Yes","No"))</f>
        <v>Yes</v>
      </c>
      <c r="T61" s="66" t="n">
        <f aca="false">IF(D61="","",ROUND(SQRT(((D61+G61)*O61/100)^2+(J61*(D61+G61)*0.07859)^2),0))</f>
        <v>21</v>
      </c>
      <c r="U61" s="32"/>
    </row>
    <row r="62" customFormat="false" ht="15" hidden="false" customHeight="false" outlineLevel="0" collapsed="false">
      <c r="A62" s="32" t="s">
        <v>249</v>
      </c>
      <c r="B62" s="32" t="s">
        <v>258</v>
      </c>
      <c r="C62" s="32" t="s">
        <v>191</v>
      </c>
      <c r="D62" s="66" t="n">
        <v>7342</v>
      </c>
      <c r="E62" s="66" t="n">
        <v>7604</v>
      </c>
      <c r="F62" s="77" t="n">
        <f aca="false">IF(E62="","",D62-E62)</f>
        <v>-262</v>
      </c>
      <c r="G62" s="66" t="n">
        <v>3189</v>
      </c>
      <c r="H62" s="66" t="n">
        <v>3303</v>
      </c>
      <c r="I62" s="77" t="n">
        <f aca="false">IF(H62="","",G62-H62)</f>
        <v>-114</v>
      </c>
      <c r="J62" s="47" t="n">
        <f aca="false">IF(OR(D62="",D62+G62=0),"",D62/(D62+G62))</f>
        <v>0.697179755009021</v>
      </c>
      <c r="K62" s="47" t="n">
        <f aca="false">IF(E62="","",E62/(E62+H62))</f>
        <v>0.697166957000092</v>
      </c>
      <c r="L62" s="78" t="n">
        <f aca="false">IF(OR(K62="",J62=""),"",(J62-K62)*100)</f>
        <v>0.00127980089292823</v>
      </c>
      <c r="M62" s="36" t="n">
        <v>1.36611769284749</v>
      </c>
      <c r="N62" s="36" t="n">
        <v>1.22162112090302</v>
      </c>
      <c r="O62" s="36" t="n">
        <f aca="false">SQRT(M62^2+N62^2)</f>
        <v>1.83265810061433</v>
      </c>
      <c r="P62" s="47" t="n">
        <f aca="false">IF(J62="","",MAX(0,J62-1.96*O62/100))</f>
        <v>0.66125965623698</v>
      </c>
      <c r="Q62" s="47" t="n">
        <f aca="false">IF(J62="","",MIN(1,J62+1.96*O62/100))</f>
        <v>0.733099853781062</v>
      </c>
      <c r="R62" s="32" t="str">
        <f aca="false">IF(L62="","",IF(ABS(L62)&lt;=O62,"Yes","No"))</f>
        <v>Yes</v>
      </c>
      <c r="S62" s="32" t="str">
        <f aca="false">IF(L62="","",IF(ABS(L62)&lt;=1.96*O62,"Yes","No"))</f>
        <v>Yes</v>
      </c>
      <c r="T62" s="66" t="n">
        <f aca="false">IF(D62="","",ROUND(SQRT(((D62+G62)*O62/100)^2+(J62*(D62+G62)*0.05464)^2),0))</f>
        <v>445</v>
      </c>
      <c r="U62" s="32"/>
    </row>
    <row r="63" customFormat="false" ht="15" hidden="false" customHeight="false" outlineLevel="0" collapsed="false">
      <c r="A63" s="32" t="s">
        <v>249</v>
      </c>
      <c r="B63" s="32" t="s">
        <v>259</v>
      </c>
      <c r="C63" s="32" t="s">
        <v>191</v>
      </c>
      <c r="D63" s="66" t="n">
        <v>5250</v>
      </c>
      <c r="E63" s="66" t="n">
        <v>5358</v>
      </c>
      <c r="F63" s="77" t="n">
        <f aca="false">IF(E63="","",D63-E63)</f>
        <v>-108</v>
      </c>
      <c r="G63" s="66" t="n">
        <v>5029</v>
      </c>
      <c r="H63" s="66" t="n">
        <v>5027</v>
      </c>
      <c r="I63" s="77" t="n">
        <f aca="false">IF(H63="","",G63-H63)</f>
        <v>2</v>
      </c>
      <c r="J63" s="47" t="n">
        <f aca="false">IF(OR(D63="",D63+G63=0),"",D63/(D63+G63))</f>
        <v>0.510750072964296</v>
      </c>
      <c r="K63" s="47" t="n">
        <f aca="false">IF(E63="","",E63/(E63+H63))</f>
        <v>0.515936446798267</v>
      </c>
      <c r="L63" s="78" t="n">
        <f aca="false">IF(OR(K63="",J63=""),"",(J63-K63)*100)</f>
        <v>-0.518637383397069</v>
      </c>
      <c r="M63" s="36" t="n">
        <v>1.36611769284749</v>
      </c>
      <c r="N63" s="36" t="n">
        <v>1.22162112090302</v>
      </c>
      <c r="O63" s="36" t="n">
        <f aca="false">SQRT(M63^2+N63^2)</f>
        <v>1.83265810061433</v>
      </c>
      <c r="P63" s="47" t="n">
        <f aca="false">IF(J63="","",MAX(0,J63-1.96*O63/100))</f>
        <v>0.474829974192255</v>
      </c>
      <c r="Q63" s="47" t="n">
        <f aca="false">IF(J63="","",MIN(1,J63+1.96*O63/100))</f>
        <v>0.546670171736337</v>
      </c>
      <c r="R63" s="32" t="str">
        <f aca="false">IF(L63="","",IF(ABS(L63)&lt;=O63,"Yes","No"))</f>
        <v>Yes</v>
      </c>
      <c r="S63" s="32" t="str">
        <f aca="false">IF(L63="","",IF(ABS(L63)&lt;=1.96*O63,"Yes","No"))</f>
        <v>Yes</v>
      </c>
      <c r="T63" s="66" t="n">
        <f aca="false">IF(D63="","",ROUND(SQRT(((D63+G63)*O63/100)^2+(J63*(D63+G63)*0.05464)^2),0))</f>
        <v>343</v>
      </c>
      <c r="U63" s="32"/>
    </row>
    <row r="64" customFormat="false" ht="15" hidden="false" customHeight="false" outlineLevel="0" collapsed="false">
      <c r="A64" s="32" t="s">
        <v>249</v>
      </c>
      <c r="B64" s="32" t="s">
        <v>260</v>
      </c>
      <c r="C64" s="32" t="s">
        <v>191</v>
      </c>
      <c r="D64" s="66" t="n">
        <v>734</v>
      </c>
      <c r="E64" s="66" t="n">
        <v>714</v>
      </c>
      <c r="F64" s="77" t="n">
        <f aca="false">IF(E64="","",D64-E64)</f>
        <v>20</v>
      </c>
      <c r="G64" s="66" t="n">
        <v>531</v>
      </c>
      <c r="H64" s="66" t="n">
        <v>484</v>
      </c>
      <c r="I64" s="77" t="n">
        <f aca="false">IF(H64="","",G64-H64)</f>
        <v>47</v>
      </c>
      <c r="J64" s="47" t="n">
        <f aca="false">IF(OR(D64="",D64+G64=0),"",D64/(D64+G64))</f>
        <v>0.580237154150198</v>
      </c>
      <c r="K64" s="47" t="n">
        <f aca="false">IF(E64="","",E64/(E64+H64))</f>
        <v>0.595993322203673</v>
      </c>
      <c r="L64" s="78" t="n">
        <f aca="false">IF(OR(K64="",J64=""),"",(J64-K64)*100)</f>
        <v>-1.57561680534751</v>
      </c>
      <c r="M64" s="36" t="n">
        <v>2.86632681480758</v>
      </c>
      <c r="N64" s="36" t="n">
        <v>1.22162112090302</v>
      </c>
      <c r="O64" s="36" t="n">
        <f aca="false">SQRT(M64^2+N64^2)</f>
        <v>3.11579645874395</v>
      </c>
      <c r="P64" s="47" t="n">
        <f aca="false">IF(J64="","",MAX(0,J64-1.96*O64/100))</f>
        <v>0.519167543558816</v>
      </c>
      <c r="Q64" s="47" t="n">
        <f aca="false">IF(J64="","",MIN(1,J64+1.96*O64/100))</f>
        <v>0.641306764741579</v>
      </c>
      <c r="R64" s="32" t="str">
        <f aca="false">IF(L64="","",IF(ABS(L64)&lt;=O64,"Yes","No"))</f>
        <v>Yes</v>
      </c>
      <c r="S64" s="32" t="str">
        <f aca="false">IF(L64="","",IF(ABS(L64)&lt;=1.96*O64,"Yes","No"))</f>
        <v>Yes</v>
      </c>
      <c r="T64" s="66" t="n">
        <f aca="false">IF(D64="","",ROUND(SQRT(((D64+G64)*O64/100)^2+(J64*(D64+G64)*0.07859)^2),0))</f>
        <v>70</v>
      </c>
      <c r="U64" s="32"/>
    </row>
    <row r="65" customFormat="false" ht="15" hidden="false" customHeight="false" outlineLevel="0" collapsed="false">
      <c r="A65" s="32" t="s">
        <v>249</v>
      </c>
      <c r="B65" s="32" t="s">
        <v>261</v>
      </c>
      <c r="C65" s="32" t="s">
        <v>191</v>
      </c>
      <c r="D65" s="66" t="n">
        <v>104</v>
      </c>
      <c r="E65" s="66" t="n">
        <v>109</v>
      </c>
      <c r="F65" s="77" t="n">
        <f aca="false">IF(E65="","",D65-E65)</f>
        <v>-5</v>
      </c>
      <c r="G65" s="66" t="n">
        <v>101</v>
      </c>
      <c r="H65" s="66" t="n">
        <v>97</v>
      </c>
      <c r="I65" s="77" t="n">
        <f aca="false">IF(H65="","",G65-H65)</f>
        <v>4</v>
      </c>
      <c r="J65" s="47" t="n">
        <f aca="false">IF(OR(D65="",D65+G65=0),"",D65/(D65+G65))</f>
        <v>0.507317073170732</v>
      </c>
      <c r="K65" s="47" t="n">
        <f aca="false">IF(E65="","",E65/(E65+H65))</f>
        <v>0.529126213592233</v>
      </c>
      <c r="L65" s="78" t="n">
        <f aca="false">IF(OR(K65="",J65=""),"",(J65-K65)*100)</f>
        <v>-2.18091404215013</v>
      </c>
      <c r="M65" s="36" t="n">
        <v>2.86632681480758</v>
      </c>
      <c r="N65" s="36" t="n">
        <v>1.22162112090302</v>
      </c>
      <c r="O65" s="36" t="n">
        <f aca="false">SQRT(M65^2+N65^2)</f>
        <v>3.11579645874395</v>
      </c>
      <c r="P65" s="47" t="n">
        <f aca="false">IF(J65="","",MAX(0,J65-1.96*O65/100))</f>
        <v>0.44624746257935</v>
      </c>
      <c r="Q65" s="47" t="n">
        <f aca="false">IF(J65="","",MIN(1,J65+1.96*O65/100))</f>
        <v>0.568386683762113</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249</v>
      </c>
      <c r="B66" s="32" t="s">
        <v>228</v>
      </c>
      <c r="C66" s="32" t="s">
        <v>191</v>
      </c>
      <c r="D66" s="66" t="n">
        <v>4116</v>
      </c>
      <c r="E66" s="66" t="n">
        <v>4341</v>
      </c>
      <c r="F66" s="77" t="n">
        <f aca="false">IF(E66="","",D66-E66)</f>
        <v>-225</v>
      </c>
      <c r="G66" s="66" t="n">
        <v>3833</v>
      </c>
      <c r="H66" s="66" t="n">
        <v>3620</v>
      </c>
      <c r="I66" s="77" t="n">
        <f aca="false">IF(H66="","",G66-H66)</f>
        <v>213</v>
      </c>
      <c r="J66" s="47" t="n">
        <f aca="false">IF(OR(D66="",D66+G66=0),"",D66/(D66+G66))</f>
        <v>0.517800981255504</v>
      </c>
      <c r="K66" s="47" t="n">
        <f aca="false">IF(E66="","",E66/(E66+H66))</f>
        <v>0.545283255872378</v>
      </c>
      <c r="L66" s="78" t="n">
        <f aca="false">IF(OR(K66="",J66=""),"",(J66-K66)*100)</f>
        <v>-2.74822746168739</v>
      </c>
      <c r="M66" s="36" t="n">
        <v>1.36611769284749</v>
      </c>
      <c r="N66" s="36" t="n">
        <v>1.22162112090302</v>
      </c>
      <c r="O66" s="36" t="n">
        <f aca="false">SQRT(M66^2+N66^2)</f>
        <v>1.83265810061433</v>
      </c>
      <c r="P66" s="47" t="n">
        <f aca="false">IF(J66="","",MAX(0,J66-1.96*O66/100))</f>
        <v>0.481880882483463</v>
      </c>
      <c r="Q66" s="47" t="n">
        <f aca="false">IF(J66="","",MIN(1,J66+1.96*O66/100))</f>
        <v>0.553721080027545</v>
      </c>
      <c r="R66" s="32" t="str">
        <f aca="false">IF(L66="","",IF(ABS(L66)&lt;=O66,"Yes","No"))</f>
        <v>No</v>
      </c>
      <c r="S66" s="32" t="str">
        <f aca="false">IF(L66="","",IF(ABS(L66)&lt;=1.96*O66,"Yes","No"))</f>
        <v>Yes</v>
      </c>
      <c r="T66" s="66" t="n">
        <f aca="false">IF(D66="","",ROUND(SQRT(((D66+G66)*O66/100)^2+(J66*(D66+G66)*0.05464)^2),0))</f>
        <v>268</v>
      </c>
      <c r="U66" s="32"/>
    </row>
    <row r="67" customFormat="false" ht="15" hidden="false" customHeight="false" outlineLevel="0" collapsed="false">
      <c r="A67" s="32" t="s">
        <v>249</v>
      </c>
      <c r="B67" s="32" t="s">
        <v>262</v>
      </c>
      <c r="C67" s="32" t="s">
        <v>191</v>
      </c>
      <c r="D67" s="66" t="n">
        <v>1717</v>
      </c>
      <c r="E67" s="66" t="n">
        <v>1726</v>
      </c>
      <c r="F67" s="77" t="n">
        <f aca="false">IF(E67="","",D67-E67)</f>
        <v>-9</v>
      </c>
      <c r="G67" s="66" t="n">
        <v>1642</v>
      </c>
      <c r="H67" s="66" t="n">
        <v>1685</v>
      </c>
      <c r="I67" s="77" t="n">
        <f aca="false">IF(H67="","",G67-H67)</f>
        <v>-43</v>
      </c>
      <c r="J67" s="47" t="n">
        <f aca="false">IF(OR(D67="",D67+G67=0),"",D67/(D67+G67))</f>
        <v>0.511164036915749</v>
      </c>
      <c r="K67" s="47" t="n">
        <f aca="false">IF(E67="","",E67/(E67+H67))</f>
        <v>0.506009967751393</v>
      </c>
      <c r="L67" s="78" t="n">
        <f aca="false">IF(OR(K67="",J67=""),"",(J67-K67)*100)</f>
        <v>0.515406916435623</v>
      </c>
      <c r="M67" s="36" t="n">
        <v>1.91017594365553</v>
      </c>
      <c r="N67" s="36" t="n">
        <v>1.22162112090302</v>
      </c>
      <c r="O67" s="36" t="n">
        <f aca="false">SQRT(M67^2+N67^2)</f>
        <v>2.26740607275288</v>
      </c>
      <c r="P67" s="47" t="n">
        <f aca="false">IF(J67="","",MAX(0,J67-1.96*O67/100))</f>
        <v>0.466722877889792</v>
      </c>
      <c r="Q67" s="47" t="n">
        <f aca="false">IF(J67="","",MIN(1,J67+1.96*O67/100))</f>
        <v>0.555605195941705</v>
      </c>
      <c r="R67" s="32" t="str">
        <f aca="false">IF(L67="","",IF(ABS(L67)&lt;=O67,"Yes","No"))</f>
        <v>Yes</v>
      </c>
      <c r="S67" s="32" t="str">
        <f aca="false">IF(L67="","",IF(ABS(L67)&lt;=1.96*O67,"Yes","No"))</f>
        <v>Yes</v>
      </c>
      <c r="T67" s="66" t="n">
        <f aca="false">IF(D67="","",ROUND(SQRT(((D67+G67)*O67/100)^2+(J67*(D67+G67)*0.06092)^2),0))</f>
        <v>129</v>
      </c>
      <c r="U67" s="32"/>
    </row>
    <row r="68" customFormat="false" ht="15" hidden="false" customHeight="false" outlineLevel="0" collapsed="false">
      <c r="A68" s="32" t="s">
        <v>249</v>
      </c>
      <c r="B68" s="32" t="s">
        <v>263</v>
      </c>
      <c r="C68" s="32" t="s">
        <v>191</v>
      </c>
      <c r="D68" s="66" t="n">
        <v>2188</v>
      </c>
      <c r="E68" s="66" t="n">
        <v>2244</v>
      </c>
      <c r="F68" s="77" t="n">
        <f aca="false">IF(E68="","",D68-E68)</f>
        <v>-56</v>
      </c>
      <c r="G68" s="66" t="n">
        <v>4461</v>
      </c>
      <c r="H68" s="66" t="n">
        <v>4439</v>
      </c>
      <c r="I68" s="77" t="n">
        <f aca="false">IF(H68="","",G68-H68)</f>
        <v>22</v>
      </c>
      <c r="J68" s="47" t="n">
        <f aca="false">IF(OR(D68="",D68+G68=0),"",D68/(D68+G68))</f>
        <v>0.329072040908407</v>
      </c>
      <c r="K68" s="47" t="n">
        <f aca="false">IF(E68="","",E68/(E68+H68))</f>
        <v>0.335777345503516</v>
      </c>
      <c r="L68" s="78" t="n">
        <f aca="false">IF(OR(K68="",J68=""),"",(J68-K68)*100)</f>
        <v>-0.67053045951091</v>
      </c>
      <c r="M68" s="36" t="n">
        <v>1.36611769284749</v>
      </c>
      <c r="N68" s="36" t="n">
        <v>1.22162112090302</v>
      </c>
      <c r="O68" s="36" t="n">
        <f aca="false">SQRT(M68^2+N68^2)</f>
        <v>1.83265810061433</v>
      </c>
      <c r="P68" s="47" t="n">
        <f aca="false">IF(J68="","",MAX(0,J68-1.96*O68/100))</f>
        <v>0.293151942136367</v>
      </c>
      <c r="Q68" s="47" t="n">
        <f aca="false">IF(J68="","",MIN(1,J68+1.96*O68/100))</f>
        <v>0.364992139680448</v>
      </c>
      <c r="R68" s="32" t="str">
        <f aca="false">IF(L68="","",IF(ABS(L68)&lt;=O68,"Yes","No"))</f>
        <v>Yes</v>
      </c>
      <c r="S68" s="32" t="str">
        <f aca="false">IF(L68="","",IF(ABS(L68)&lt;=1.96*O68,"Yes","No"))</f>
        <v>Yes</v>
      </c>
      <c r="T68" s="66" t="n">
        <f aca="false">IF(D68="","",ROUND(SQRT(((D68+G68)*O68/100)^2+(J68*(D68+G68)*0.05464)^2),0))</f>
        <v>171</v>
      </c>
      <c r="U68" s="32"/>
    </row>
    <row r="69" customFormat="false" ht="15" hidden="false" customHeight="false" outlineLevel="0" collapsed="false">
      <c r="A69" s="32" t="s">
        <v>249</v>
      </c>
      <c r="B69" s="32" t="s">
        <v>264</v>
      </c>
      <c r="C69" s="32" t="s">
        <v>191</v>
      </c>
      <c r="D69" s="66" t="n">
        <v>618</v>
      </c>
      <c r="E69" s="66" t="n">
        <v>625</v>
      </c>
      <c r="F69" s="77" t="n">
        <f aca="false">IF(E69="","",D69-E69)</f>
        <v>-7</v>
      </c>
      <c r="G69" s="66" t="n">
        <v>1173</v>
      </c>
      <c r="H69" s="66" t="n">
        <v>1214</v>
      </c>
      <c r="I69" s="77" t="n">
        <f aca="false">IF(H69="","",G69-H69)</f>
        <v>-41</v>
      </c>
      <c r="J69" s="47" t="n">
        <f aca="false">IF(OR(D69="",D69+G69=0),"",D69/(D69+G69))</f>
        <v>0.345058626465662</v>
      </c>
      <c r="K69" s="47" t="n">
        <f aca="false">IF(E69="","",E69/(E69+H69))</f>
        <v>0.339858618814573</v>
      </c>
      <c r="L69" s="78" t="n">
        <f aca="false">IF(OR(K69="",J69=""),"",(J69-K69)*100)</f>
        <v>0.520000765108852</v>
      </c>
      <c r="M69" s="36" t="n">
        <v>1.91017594365553</v>
      </c>
      <c r="N69" s="36" t="n">
        <v>1.22162112090302</v>
      </c>
      <c r="O69" s="36" t="n">
        <f aca="false">SQRT(M69^2+N69^2)</f>
        <v>2.26740607275288</v>
      </c>
      <c r="P69" s="47" t="n">
        <f aca="false">IF(J69="","",MAX(0,J69-1.96*O69/100))</f>
        <v>0.300617467439705</v>
      </c>
      <c r="Q69" s="47" t="n">
        <f aca="false">IF(J69="","",MIN(1,J69+1.96*O69/100))</f>
        <v>0.389499785491618</v>
      </c>
      <c r="R69" s="32" t="str">
        <f aca="false">IF(L69="","",IF(ABS(L69)&lt;=O69,"Yes","No"))</f>
        <v>Yes</v>
      </c>
      <c r="S69" s="32" t="str">
        <f aca="false">IF(L69="","",IF(ABS(L69)&lt;=1.96*O69,"Yes","No"))</f>
        <v>Yes</v>
      </c>
      <c r="T69" s="66" t="n">
        <f aca="false">IF(D69="","",ROUND(SQRT(((D69+G69)*O69/100)^2+(J69*(D69+G69)*0.06092)^2),0))</f>
        <v>55</v>
      </c>
      <c r="U69" s="32"/>
    </row>
    <row r="70" customFormat="false" ht="15" hidden="false" customHeight="false" outlineLevel="0" collapsed="false">
      <c r="A70" s="32" t="s">
        <v>249</v>
      </c>
      <c r="B70" s="32" t="s">
        <v>265</v>
      </c>
      <c r="C70" s="32" t="s">
        <v>191</v>
      </c>
      <c r="D70" s="66" t="n">
        <v>1887</v>
      </c>
      <c r="E70" s="66" t="n">
        <v>2047</v>
      </c>
      <c r="F70" s="77" t="n">
        <f aca="false">IF(E70="","",D70-E70)</f>
        <v>-160</v>
      </c>
      <c r="G70" s="66" t="n">
        <v>2668</v>
      </c>
      <c r="H70" s="66" t="n">
        <v>2499</v>
      </c>
      <c r="I70" s="77" t="n">
        <f aca="false">IF(H70="","",G70-H70)</f>
        <v>169</v>
      </c>
      <c r="J70" s="47" t="n">
        <f aca="false">IF(OR(D70="",D70+G70=0),"",D70/(D70+G70))</f>
        <v>0.414270032930845</v>
      </c>
      <c r="K70" s="47" t="n">
        <f aca="false">IF(E70="","",E70/(E70+H70))</f>
        <v>0.450285965684118</v>
      </c>
      <c r="L70" s="78" t="n">
        <f aca="false">IF(OR(K70="",J70=""),"",(J70-K70)*100)</f>
        <v>-3.60159327532726</v>
      </c>
      <c r="M70" s="36" t="n">
        <v>1.36611769284749</v>
      </c>
      <c r="N70" s="36" t="n">
        <v>1.22162112090302</v>
      </c>
      <c r="O70" s="36" t="n">
        <f aca="false">SQRT(M70^2+N70^2)</f>
        <v>1.83265810061433</v>
      </c>
      <c r="P70" s="47" t="n">
        <f aca="false">IF(J70="","",MAX(0,J70-1.96*O70/100))</f>
        <v>0.378349934158804</v>
      </c>
      <c r="Q70" s="47" t="n">
        <f aca="false">IF(J70="","",MIN(1,J70+1.96*O70/100))</f>
        <v>0.450190131702886</v>
      </c>
      <c r="R70" s="32" t="str">
        <f aca="false">IF(L70="","",IF(ABS(L70)&lt;=O70,"Yes","No"))</f>
        <v>No</v>
      </c>
      <c r="S70" s="32" t="str">
        <f aca="false">IF(L70="","",IF(ABS(L70)&lt;=1.96*O70,"Yes","No"))</f>
        <v>No</v>
      </c>
      <c r="T70" s="66" t="n">
        <f aca="false">IF(D70="","",ROUND(SQRT(((D70+G70)*O70/100)^2+(J70*(D70+G70)*0.05464)^2),0))</f>
        <v>133</v>
      </c>
      <c r="U70" s="32"/>
    </row>
    <row r="71" customFormat="false" ht="15" hidden="false" customHeight="false" outlineLevel="0" collapsed="false">
      <c r="A71" s="32" t="s">
        <v>249</v>
      </c>
      <c r="B71" s="32" t="s">
        <v>266</v>
      </c>
      <c r="C71" s="32" t="s">
        <v>191</v>
      </c>
      <c r="D71" s="66" t="n">
        <v>3360</v>
      </c>
      <c r="E71" s="66" t="n">
        <v>3457</v>
      </c>
      <c r="F71" s="77" t="n">
        <f aca="false">IF(E71="","",D71-E71)</f>
        <v>-97</v>
      </c>
      <c r="G71" s="66" t="n">
        <v>3863</v>
      </c>
      <c r="H71" s="66" t="n">
        <v>3805</v>
      </c>
      <c r="I71" s="77" t="n">
        <f aca="false">IF(H71="","",G71-H71)</f>
        <v>58</v>
      </c>
      <c r="J71" s="47" t="n">
        <f aca="false">IF(OR(D71="",D71+G71=0),"",D71/(D71+G71))</f>
        <v>0.465180672850616</v>
      </c>
      <c r="K71" s="47" t="n">
        <f aca="false">IF(E71="","",E71/(E71+H71))</f>
        <v>0.476039658496282</v>
      </c>
      <c r="L71" s="78" t="n">
        <f aca="false">IF(OR(K71="",J71=""),"",(J71-K71)*100)</f>
        <v>-1.08589856456659</v>
      </c>
      <c r="M71" s="36" t="n">
        <v>1.36611769284749</v>
      </c>
      <c r="N71" s="36" t="n">
        <v>1.22162112090302</v>
      </c>
      <c r="O71" s="36" t="n">
        <f aca="false">SQRT(M71^2+N71^2)</f>
        <v>1.83265810061433</v>
      </c>
      <c r="P71" s="47" t="n">
        <f aca="false">IF(J71="","",MAX(0,J71-1.96*O71/100))</f>
        <v>0.429260574078575</v>
      </c>
      <c r="Q71" s="47" t="n">
        <f aca="false">IF(J71="","",MIN(1,J71+1.96*O71/100))</f>
        <v>0.501100771622657</v>
      </c>
      <c r="R71" s="32" t="str">
        <f aca="false">IF(L71="","",IF(ABS(L71)&lt;=O71,"Yes","No"))</f>
        <v>Yes</v>
      </c>
      <c r="S71" s="32" t="str">
        <f aca="false">IF(L71="","",IF(ABS(L71)&lt;=1.96*O71,"Yes","No"))</f>
        <v>Yes</v>
      </c>
      <c r="T71" s="66" t="n">
        <f aca="false">IF(D71="","",ROUND(SQRT(((D71+G71)*O71/100)^2+(J71*(D71+G71)*0.05464)^2),0))</f>
        <v>226</v>
      </c>
      <c r="U71" s="32"/>
    </row>
    <row r="72" customFormat="false" ht="15" hidden="false" customHeight="false" outlineLevel="0" collapsed="false">
      <c r="A72" s="32" t="s">
        <v>249</v>
      </c>
      <c r="B72" s="32" t="s">
        <v>267</v>
      </c>
      <c r="C72" s="32" t="s">
        <v>191</v>
      </c>
      <c r="D72" s="66" t="n">
        <v>1913</v>
      </c>
      <c r="E72" s="66" t="n">
        <v>2006</v>
      </c>
      <c r="F72" s="77" t="n">
        <f aca="false">IF(E72="","",D72-E72)</f>
        <v>-93</v>
      </c>
      <c r="G72" s="66" t="n">
        <v>4034</v>
      </c>
      <c r="H72" s="66" t="n">
        <v>4057</v>
      </c>
      <c r="I72" s="77" t="n">
        <f aca="false">IF(H72="","",G72-H72)</f>
        <v>-23</v>
      </c>
      <c r="J72" s="47" t="n">
        <f aca="false">IF(OR(D72="",D72+G72=0),"",D72/(D72+G72))</f>
        <v>0.321674794013788</v>
      </c>
      <c r="K72" s="47" t="n">
        <f aca="false">IF(E72="","",E72/(E72+H72))</f>
        <v>0.330859310572324</v>
      </c>
      <c r="L72" s="78" t="n">
        <f aca="false">IF(OR(K72="",J72=""),"",(J72-K72)*100)</f>
        <v>-0.918451655853547</v>
      </c>
      <c r="M72" s="36" t="n">
        <v>1.36611769284749</v>
      </c>
      <c r="N72" s="36" t="n">
        <v>1.22162112090302</v>
      </c>
      <c r="O72" s="36" t="n">
        <f aca="false">SQRT(M72^2+N72^2)</f>
        <v>1.83265810061433</v>
      </c>
      <c r="P72" s="47" t="n">
        <f aca="false">IF(J72="","",MAX(0,J72-1.96*O72/100))</f>
        <v>0.285754695241748</v>
      </c>
      <c r="Q72" s="47" t="n">
        <f aca="false">IF(J72="","",MIN(1,J72+1.96*O72/100))</f>
        <v>0.357594892785829</v>
      </c>
      <c r="R72" s="32" t="str">
        <f aca="false">IF(L72="","",IF(ABS(L72)&lt;=O72,"Yes","No"))</f>
        <v>Yes</v>
      </c>
      <c r="S72" s="32" t="str">
        <f aca="false">IF(L72="","",IF(ABS(L72)&lt;=1.96*O72,"Yes","No"))</f>
        <v>Yes</v>
      </c>
      <c r="T72" s="66" t="n">
        <f aca="false">IF(D72="","",ROUND(SQRT(((D72+G72)*O72/100)^2+(J72*(D72+G72)*0.05464)^2),0))</f>
        <v>151</v>
      </c>
      <c r="U72" s="32"/>
    </row>
    <row r="73" customFormat="false" ht="15" hidden="false" customHeight="false" outlineLevel="0" collapsed="false">
      <c r="A73" s="32" t="s">
        <v>249</v>
      </c>
      <c r="B73" s="32" t="s">
        <v>268</v>
      </c>
      <c r="C73" s="32" t="s">
        <v>191</v>
      </c>
      <c r="D73" s="66" t="n">
        <v>1516</v>
      </c>
      <c r="E73" s="66" t="n">
        <v>1596</v>
      </c>
      <c r="F73" s="77" t="n">
        <f aca="false">IF(E73="","",D73-E73)</f>
        <v>-80</v>
      </c>
      <c r="G73" s="66" t="n">
        <v>1651</v>
      </c>
      <c r="H73" s="66" t="n">
        <v>1664</v>
      </c>
      <c r="I73" s="77" t="n">
        <f aca="false">IF(H73="","",G73-H73)</f>
        <v>-13</v>
      </c>
      <c r="J73" s="47" t="n">
        <f aca="false">IF(OR(D73="",D73+G73=0),"",D73/(D73+G73))</f>
        <v>0.478686454057468</v>
      </c>
      <c r="K73" s="47" t="n">
        <f aca="false">IF(E73="","",E73/(E73+H73))</f>
        <v>0.489570552147239</v>
      </c>
      <c r="L73" s="78" t="n">
        <f aca="false">IF(OR(K73="",J73=""),"",(J73-K73)*100)</f>
        <v>-1.08840980897716</v>
      </c>
      <c r="M73" s="36" t="n">
        <v>1.91017594365553</v>
      </c>
      <c r="N73" s="36" t="n">
        <v>1.22162112090302</v>
      </c>
      <c r="O73" s="36" t="n">
        <f aca="false">SQRT(M73^2+N73^2)</f>
        <v>2.26740607275288</v>
      </c>
      <c r="P73" s="47" t="n">
        <f aca="false">IF(J73="","",MAX(0,J73-1.96*O73/100))</f>
        <v>0.434245295031511</v>
      </c>
      <c r="Q73" s="47" t="n">
        <f aca="false">IF(J73="","",MIN(1,J73+1.96*O73/100))</f>
        <v>0.523127613083424</v>
      </c>
      <c r="R73" s="32" t="str">
        <f aca="false">IF(L73="","",IF(ABS(L73)&lt;=O73,"Yes","No"))</f>
        <v>Yes</v>
      </c>
      <c r="S73" s="32" t="str">
        <f aca="false">IF(L73="","",IF(ABS(L73)&lt;=1.96*O73,"Yes","No"))</f>
        <v>Yes</v>
      </c>
      <c r="T73" s="66" t="n">
        <f aca="false">IF(D73="","",ROUND(SQRT(((D73+G73)*O73/100)^2+(J73*(D73+G73)*0.06092)^2),0))</f>
        <v>117</v>
      </c>
      <c r="U73" s="32"/>
    </row>
    <row r="74" customFormat="false" ht="15" hidden="false" customHeight="false" outlineLevel="0" collapsed="false">
      <c r="A74" s="32" t="s">
        <v>249</v>
      </c>
      <c r="B74" s="32" t="s">
        <v>269</v>
      </c>
      <c r="C74" s="32" t="s">
        <v>191</v>
      </c>
      <c r="D74" s="66" t="n">
        <v>837</v>
      </c>
      <c r="E74" s="66" t="n">
        <v>847</v>
      </c>
      <c r="F74" s="77" t="n">
        <f aca="false">IF(E74="","",D74-E74)</f>
        <v>-10</v>
      </c>
      <c r="G74" s="66" t="n">
        <v>938</v>
      </c>
      <c r="H74" s="66" t="n">
        <v>889</v>
      </c>
      <c r="I74" s="77" t="n">
        <f aca="false">IF(H74="","",G74-H74)</f>
        <v>49</v>
      </c>
      <c r="J74" s="47" t="n">
        <f aca="false">IF(OR(D74="",D74+G74=0),"",D74/(D74+G74))</f>
        <v>0.471549295774648</v>
      </c>
      <c r="K74" s="47" t="n">
        <f aca="false">IF(E74="","",E74/(E74+H74))</f>
        <v>0.487903225806452</v>
      </c>
      <c r="L74" s="78" t="n">
        <f aca="false">IF(OR(K74="",J74=""),"",(J74-K74)*100)</f>
        <v>-1.63539300318037</v>
      </c>
      <c r="M74" s="36" t="n">
        <v>1.91017594365553</v>
      </c>
      <c r="N74" s="36" t="n">
        <v>1.22162112090302</v>
      </c>
      <c r="O74" s="36" t="n">
        <f aca="false">SQRT(M74^2+N74^2)</f>
        <v>2.26740607275288</v>
      </c>
      <c r="P74" s="47" t="n">
        <f aca="false">IF(J74="","",MAX(0,J74-1.96*O74/100))</f>
        <v>0.427108136748691</v>
      </c>
      <c r="Q74" s="47" t="n">
        <f aca="false">IF(J74="","",MIN(1,J74+1.96*O74/100))</f>
        <v>0.515990454800604</v>
      </c>
      <c r="R74" s="32" t="str">
        <f aca="false">IF(L74="","",IF(ABS(L74)&lt;=O74,"Yes","No"))</f>
        <v>Yes</v>
      </c>
      <c r="S74" s="32" t="str">
        <f aca="false">IF(L74="","",IF(ABS(L74)&lt;=1.96*O74,"Yes","No"))</f>
        <v>Yes</v>
      </c>
      <c r="T74" s="66" t="n">
        <f aca="false">IF(D74="","",ROUND(SQRT(((D74+G74)*O74/100)^2+(J74*(D74+G74)*0.06092)^2),0))</f>
        <v>65</v>
      </c>
      <c r="U74" s="32"/>
    </row>
    <row r="75" customFormat="false" ht="15" hidden="false" customHeight="false" outlineLevel="0" collapsed="false">
      <c r="A75" s="32" t="s">
        <v>249</v>
      </c>
      <c r="B75" s="32" t="s">
        <v>270</v>
      </c>
      <c r="C75" s="32" t="s">
        <v>191</v>
      </c>
      <c r="D75" s="66" t="n">
        <v>2663</v>
      </c>
      <c r="E75" s="66" t="n">
        <v>2573</v>
      </c>
      <c r="F75" s="77" t="n">
        <f aca="false">IF(E75="","",D75-E75)</f>
        <v>90</v>
      </c>
      <c r="G75" s="66" t="n">
        <v>3041</v>
      </c>
      <c r="H75" s="66" t="n">
        <v>3023</v>
      </c>
      <c r="I75" s="77" t="n">
        <f aca="false">IF(H75="","",G75-H75)</f>
        <v>18</v>
      </c>
      <c r="J75" s="47" t="n">
        <f aca="false">IF(OR(D75="",D75+G75=0),"",D75/(D75+G75))</f>
        <v>0.466865357643759</v>
      </c>
      <c r="K75" s="47" t="n">
        <f aca="false">IF(E75="","",E75/(E75+H75))</f>
        <v>0.459792709077913</v>
      </c>
      <c r="L75" s="78" t="n">
        <f aca="false">IF(OR(K75="",J75=""),"",(J75-K75)*100)</f>
        <v>0.707264856584594</v>
      </c>
      <c r="M75" s="36" t="n">
        <v>1.36611769284749</v>
      </c>
      <c r="N75" s="36" t="n">
        <v>1.22162112090302</v>
      </c>
      <c r="O75" s="36" t="n">
        <f aca="false">SQRT(M75^2+N75^2)</f>
        <v>1.83265810061433</v>
      </c>
      <c r="P75" s="47" t="n">
        <f aca="false">IF(J75="","",MAX(0,J75-1.96*O75/100))</f>
        <v>0.430945258871718</v>
      </c>
      <c r="Q75" s="47" t="n">
        <f aca="false">IF(J75="","",MIN(1,J75+1.96*O75/100))</f>
        <v>0.5027854564158</v>
      </c>
      <c r="R75" s="32" t="str">
        <f aca="false">IF(L75="","",IF(ABS(L75)&lt;=O75,"Yes","No"))</f>
        <v>Yes</v>
      </c>
      <c r="S75" s="32" t="str">
        <f aca="false">IF(L75="","",IF(ABS(L75)&lt;=1.96*O75,"Yes","No"))</f>
        <v>Yes</v>
      </c>
      <c r="T75" s="66" t="n">
        <f aca="false">IF(D75="","",ROUND(SQRT(((D75+G75)*O75/100)^2+(J75*(D75+G75)*0.05464)^2),0))</f>
        <v>179</v>
      </c>
      <c r="U75" s="32"/>
    </row>
    <row r="76" customFormat="false" ht="15" hidden="false" customHeight="false" outlineLevel="0" collapsed="false">
      <c r="A76" s="32" t="s">
        <v>249</v>
      </c>
      <c r="B76" s="32" t="s">
        <v>271</v>
      </c>
      <c r="C76" s="32" t="s">
        <v>191</v>
      </c>
      <c r="D76" s="66" t="n">
        <v>6994</v>
      </c>
      <c r="E76" s="66" t="n">
        <v>6974</v>
      </c>
      <c r="F76" s="77" t="n">
        <f aca="false">IF(E76="","",D76-E76)</f>
        <v>20</v>
      </c>
      <c r="G76" s="66" t="n">
        <v>6800</v>
      </c>
      <c r="H76" s="66" t="n">
        <v>6736</v>
      </c>
      <c r="I76" s="77" t="n">
        <f aca="false">IF(H76="","",G76-H76)</f>
        <v>64</v>
      </c>
      <c r="J76" s="47" t="n">
        <f aca="false">IF(OR(D76="",D76+G76=0),"",D76/(D76+G76))</f>
        <v>0.50703204291721</v>
      </c>
      <c r="K76" s="47" t="n">
        <f aca="false">IF(E76="","",E76/(E76+H76))</f>
        <v>0.508679795769511</v>
      </c>
      <c r="L76" s="78" t="n">
        <f aca="false">IF(OR(K76="",J76=""),"",(J76-K76)*100)</f>
        <v>-0.16477528523009</v>
      </c>
      <c r="M76" s="36" t="n">
        <v>1.36611769284749</v>
      </c>
      <c r="N76" s="36" t="n">
        <v>1.22162112090302</v>
      </c>
      <c r="O76" s="36" t="n">
        <f aca="false">SQRT(M76^2+N76^2)</f>
        <v>1.83265810061433</v>
      </c>
      <c r="P76" s="47" t="n">
        <f aca="false">IF(J76="","",MAX(0,J76-1.96*O76/100))</f>
        <v>0.47111194414517</v>
      </c>
      <c r="Q76" s="47" t="n">
        <f aca="false">IF(J76="","",MIN(1,J76+1.96*O76/100))</f>
        <v>0.542952141689251</v>
      </c>
      <c r="R76" s="32" t="str">
        <f aca="false">IF(L76="","",IF(ABS(L76)&lt;=O76,"Yes","No"))</f>
        <v>Yes</v>
      </c>
      <c r="S76" s="32" t="str">
        <f aca="false">IF(L76="","",IF(ABS(L76)&lt;=1.96*O76,"Yes","No"))</f>
        <v>Yes</v>
      </c>
      <c r="T76" s="66" t="n">
        <f aca="false">IF(D76="","",ROUND(SQRT(((D76+G76)*O76/100)^2+(J76*(D76+G76)*0.05464)^2),0))</f>
        <v>458</v>
      </c>
      <c r="U76" s="32"/>
    </row>
    <row r="77" customFormat="false" ht="15" hidden="false" customHeight="false" outlineLevel="0" collapsed="false">
      <c r="A77" s="32" t="s">
        <v>249</v>
      </c>
      <c r="B77" s="32" t="s">
        <v>272</v>
      </c>
      <c r="C77" s="32" t="s">
        <v>191</v>
      </c>
      <c r="D77" s="66" t="n">
        <v>686</v>
      </c>
      <c r="E77" s="66" t="n">
        <v>703</v>
      </c>
      <c r="F77" s="77" t="n">
        <f aca="false">IF(E77="","",D77-E77)</f>
        <v>-17</v>
      </c>
      <c r="G77" s="66" t="n">
        <v>1159</v>
      </c>
      <c r="H77" s="66" t="n">
        <v>1180</v>
      </c>
      <c r="I77" s="77" t="n">
        <f aca="false">IF(H77="","",G77-H77)</f>
        <v>-21</v>
      </c>
      <c r="J77" s="47" t="n">
        <f aca="false">IF(OR(D77="",D77+G77=0),"",D77/(D77+G77))</f>
        <v>0.371815718157182</v>
      </c>
      <c r="K77" s="47" t="n">
        <f aca="false">IF(E77="","",E77/(E77+H77))</f>
        <v>0.373340414232608</v>
      </c>
      <c r="L77" s="78" t="n">
        <f aca="false">IF(OR(K77="",J77=""),"",(J77-K77)*100)</f>
        <v>-0.152469607542599</v>
      </c>
      <c r="M77" s="36" t="n">
        <v>1.91017594365553</v>
      </c>
      <c r="N77" s="36" t="n">
        <v>1.22162112090302</v>
      </c>
      <c r="O77" s="36" t="n">
        <f aca="false">SQRT(M77^2+N77^2)</f>
        <v>2.26740607275288</v>
      </c>
      <c r="P77" s="47" t="n">
        <f aca="false">IF(J77="","",MAX(0,J77-1.96*O77/100))</f>
        <v>0.327374559131225</v>
      </c>
      <c r="Q77" s="47" t="n">
        <f aca="false">IF(J77="","",MIN(1,J77+1.96*O77/100))</f>
        <v>0.416256877183138</v>
      </c>
      <c r="R77" s="32" t="str">
        <f aca="false">IF(L77="","",IF(ABS(L77)&lt;=O77,"Yes","No"))</f>
        <v>Yes</v>
      </c>
      <c r="S77" s="32" t="str">
        <f aca="false">IF(L77="","",IF(ABS(L77)&lt;=1.96*O77,"Yes","No"))</f>
        <v>Yes</v>
      </c>
      <c r="T77" s="66" t="n">
        <f aca="false">IF(D77="","",ROUND(SQRT(((D77+G77)*O77/100)^2+(J77*(D77+G77)*0.06092)^2),0))</f>
        <v>59</v>
      </c>
      <c r="U77" s="32"/>
    </row>
    <row r="78" customFormat="false" ht="15" hidden="false" customHeight="false" outlineLevel="0" collapsed="false">
      <c r="A78" s="32" t="s">
        <v>249</v>
      </c>
      <c r="B78" s="32" t="s">
        <v>273</v>
      </c>
      <c r="C78" s="32" t="s">
        <v>191</v>
      </c>
      <c r="D78" s="66" t="n">
        <v>1321</v>
      </c>
      <c r="E78" s="66" t="n">
        <v>1361</v>
      </c>
      <c r="F78" s="77" t="n">
        <f aca="false">IF(E78="","",D78-E78)</f>
        <v>-40</v>
      </c>
      <c r="G78" s="66" t="n">
        <v>2629</v>
      </c>
      <c r="H78" s="66" t="n">
        <v>2561</v>
      </c>
      <c r="I78" s="77" t="n">
        <f aca="false">IF(H78="","",G78-H78)</f>
        <v>68</v>
      </c>
      <c r="J78" s="47" t="n">
        <f aca="false">IF(OR(D78="",D78+G78=0),"",D78/(D78+G78))</f>
        <v>0.334430379746835</v>
      </c>
      <c r="K78" s="47" t="n">
        <f aca="false">IF(E78="","",E78/(E78+H78))</f>
        <v>0.347016828148904</v>
      </c>
      <c r="L78" s="78" t="n">
        <f aca="false">IF(OR(K78="",J78=""),"",(J78-K78)*100)</f>
        <v>-1.25864484020682</v>
      </c>
      <c r="M78" s="36" t="n">
        <v>1.36611769284749</v>
      </c>
      <c r="N78" s="36" t="n">
        <v>1.22162112090302</v>
      </c>
      <c r="O78" s="36" t="n">
        <f aca="false">SQRT(M78^2+N78^2)</f>
        <v>1.83265810061433</v>
      </c>
      <c r="P78" s="47" t="n">
        <f aca="false">IF(J78="","",MAX(0,J78-1.96*O78/100))</f>
        <v>0.298510280974795</v>
      </c>
      <c r="Q78" s="47" t="n">
        <f aca="false">IF(J78="","",MIN(1,J78+1.96*O78/100))</f>
        <v>0.370350478518876</v>
      </c>
      <c r="R78" s="32" t="str">
        <f aca="false">IF(L78="","",IF(ABS(L78)&lt;=O78,"Yes","No"))</f>
        <v>Yes</v>
      </c>
      <c r="S78" s="32" t="str">
        <f aca="false">IF(L78="","",IF(ABS(L78)&lt;=1.96*O78,"Yes","No"))</f>
        <v>Yes</v>
      </c>
      <c r="T78" s="66" t="n">
        <f aca="false">IF(D78="","",ROUND(SQRT(((D78+G78)*O78/100)^2+(J78*(D78+G78)*0.05464)^2),0))</f>
        <v>102</v>
      </c>
      <c r="U78" s="32"/>
    </row>
    <row r="79" customFormat="false" ht="15" hidden="false" customHeight="false" outlineLevel="0" collapsed="false">
      <c r="A79" s="32" t="s">
        <v>249</v>
      </c>
      <c r="B79" s="32" t="s">
        <v>274</v>
      </c>
      <c r="C79" s="32" t="s">
        <v>191</v>
      </c>
      <c r="D79" s="66" t="n">
        <v>81</v>
      </c>
      <c r="E79" s="66" t="n">
        <v>92</v>
      </c>
      <c r="F79" s="77" t="n">
        <f aca="false">IF(E79="","",D79-E79)</f>
        <v>-11</v>
      </c>
      <c r="G79" s="66" t="n">
        <v>168</v>
      </c>
      <c r="H79" s="66" t="n">
        <v>167</v>
      </c>
      <c r="I79" s="77" t="n">
        <f aca="false">IF(H79="","",G79-H79)</f>
        <v>1</v>
      </c>
      <c r="J79" s="47" t="n">
        <f aca="false">IF(OR(D79="",D79+G79=0),"",D79/(D79+G79))</f>
        <v>0.325301204819277</v>
      </c>
      <c r="K79" s="47" t="n">
        <f aca="false">IF(E79="","",E79/(E79+H79))</f>
        <v>0.355212355212355</v>
      </c>
      <c r="L79" s="78" t="n">
        <f aca="false">IF(OR(K79="",J79=""),"",(J79-K79)*100)</f>
        <v>-2.99111503930781</v>
      </c>
      <c r="M79" s="36" t="n">
        <v>2.86632681480758</v>
      </c>
      <c r="N79" s="36" t="n">
        <v>1.22162112090302</v>
      </c>
      <c r="O79" s="36" t="n">
        <f aca="false">SQRT(M79^2+N79^2)</f>
        <v>3.11579645874395</v>
      </c>
      <c r="P79" s="47" t="n">
        <f aca="false">IF(J79="","",MAX(0,J79-1.96*O79/100))</f>
        <v>0.264231594227896</v>
      </c>
      <c r="Q79" s="47" t="n">
        <f aca="false">IF(J79="","",MIN(1,J79+1.96*O79/100))</f>
        <v>0.386370815410659</v>
      </c>
      <c r="R79" s="32" t="str">
        <f aca="false">IF(L79="","",IF(ABS(L79)&lt;=O79,"Yes","No"))</f>
        <v>Yes</v>
      </c>
      <c r="S79" s="32" t="str">
        <f aca="false">IF(L79="","",IF(ABS(L79)&lt;=1.96*O79,"Yes","No"))</f>
        <v>Yes</v>
      </c>
      <c r="T79" s="66" t="n">
        <f aca="false">IF(D79="","",ROUND(SQRT(((D79+G79)*O79/100)^2+(J79*(D79+G79)*0.07859)^2),0))</f>
        <v>10</v>
      </c>
      <c r="U79" s="32"/>
    </row>
    <row r="80" customFormat="false" ht="15" hidden="false" customHeight="false" outlineLevel="0" collapsed="false">
      <c r="A80" s="32" t="s">
        <v>249</v>
      </c>
      <c r="B80" s="32" t="s">
        <v>275</v>
      </c>
      <c r="C80" s="32" t="s">
        <v>191</v>
      </c>
      <c r="D80" s="66" t="n">
        <v>330</v>
      </c>
      <c r="E80" s="66" t="n">
        <v>335</v>
      </c>
      <c r="F80" s="77" t="n">
        <f aca="false">IF(E80="","",D80-E80)</f>
        <v>-5</v>
      </c>
      <c r="G80" s="66" t="n">
        <v>602</v>
      </c>
      <c r="H80" s="66" t="n">
        <v>581</v>
      </c>
      <c r="I80" s="77" t="n">
        <f aca="false">IF(H80="","",G80-H80)</f>
        <v>21</v>
      </c>
      <c r="J80" s="47" t="n">
        <f aca="false">IF(OR(D80="",D80+G80=0),"",D80/(D80+G80))</f>
        <v>0.354077253218884</v>
      </c>
      <c r="K80" s="47" t="n">
        <f aca="false">IF(E80="","",E80/(E80+H80))</f>
        <v>0.365720524017467</v>
      </c>
      <c r="L80" s="78" t="n">
        <f aca="false">IF(OR(K80="",J80=""),"",(J80-K80)*100)</f>
        <v>-1.16432707985831</v>
      </c>
      <c r="M80" s="36" t="n">
        <v>2.86632681480758</v>
      </c>
      <c r="N80" s="36" t="n">
        <v>1.22162112090302</v>
      </c>
      <c r="O80" s="36" t="n">
        <f aca="false">SQRT(M80^2+N80^2)</f>
        <v>3.11579645874395</v>
      </c>
      <c r="P80" s="47" t="n">
        <f aca="false">IF(J80="","",MAX(0,J80-1.96*O80/100))</f>
        <v>0.293007642627503</v>
      </c>
      <c r="Q80" s="47" t="n">
        <f aca="false">IF(J80="","",MIN(1,J80+1.96*O80/100))</f>
        <v>0.415146863810266</v>
      </c>
      <c r="R80" s="32" t="str">
        <f aca="false">IF(L80="","",IF(ABS(L80)&lt;=O80,"Yes","No"))</f>
        <v>Yes</v>
      </c>
      <c r="S80" s="32" t="str">
        <f aca="false">IF(L80="","",IF(ABS(L80)&lt;=1.96*O80,"Yes","No"))</f>
        <v>Yes</v>
      </c>
      <c r="T80" s="66" t="n">
        <f aca="false">IF(D80="","",ROUND(SQRT(((D80+G80)*O80/100)^2+(J80*(D80+G80)*0.07859)^2),0))</f>
        <v>39</v>
      </c>
      <c r="U80" s="32"/>
    </row>
    <row r="81" customFormat="false" ht="15" hidden="false" customHeight="false" outlineLevel="0" collapsed="false">
      <c r="A81" s="32" t="s">
        <v>249</v>
      </c>
      <c r="B81" s="32" t="s">
        <v>276</v>
      </c>
      <c r="C81" s="32" t="s">
        <v>191</v>
      </c>
      <c r="D81" s="66" t="n">
        <v>209</v>
      </c>
      <c r="E81" s="66" t="n">
        <v>210</v>
      </c>
      <c r="F81" s="77" t="n">
        <f aca="false">IF(E81="","",D81-E81)</f>
        <v>-1</v>
      </c>
      <c r="G81" s="66" t="n">
        <v>305</v>
      </c>
      <c r="H81" s="66" t="n">
        <v>309</v>
      </c>
      <c r="I81" s="77" t="n">
        <f aca="false">IF(H81="","",G81-H81)</f>
        <v>-4</v>
      </c>
      <c r="J81" s="47" t="n">
        <f aca="false">IF(OR(D81="",D81+G81=0),"",D81/(D81+G81))</f>
        <v>0.406614785992218</v>
      </c>
      <c r="K81" s="47" t="n">
        <f aca="false">IF(E81="","",E81/(E81+H81))</f>
        <v>0.404624277456647</v>
      </c>
      <c r="L81" s="78" t="n">
        <f aca="false">IF(OR(K81="",J81=""),"",(J81-K81)*100)</f>
        <v>0.199050853557048</v>
      </c>
      <c r="M81" s="36" t="n">
        <v>2.86632681480758</v>
      </c>
      <c r="N81" s="36" t="n">
        <v>1.22162112090302</v>
      </c>
      <c r="O81" s="36" t="n">
        <f aca="false">SQRT(M81^2+N81^2)</f>
        <v>3.11579645874395</v>
      </c>
      <c r="P81" s="47" t="n">
        <f aca="false">IF(J81="","",MAX(0,J81-1.96*O81/100))</f>
        <v>0.345545175400837</v>
      </c>
      <c r="Q81" s="47" t="n">
        <f aca="false">IF(J81="","",MIN(1,J81+1.96*O81/100))</f>
        <v>0.467684396583599</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249</v>
      </c>
      <c r="B82" s="32" t="s">
        <v>277</v>
      </c>
      <c r="C82" s="32" t="s">
        <v>191</v>
      </c>
      <c r="D82" s="66" t="n">
        <v>317</v>
      </c>
      <c r="E82" s="66" t="n">
        <v>331</v>
      </c>
      <c r="F82" s="77" t="n">
        <f aca="false">IF(E82="","",D82-E82)</f>
        <v>-14</v>
      </c>
      <c r="G82" s="66" t="n">
        <v>455</v>
      </c>
      <c r="H82" s="66" t="n">
        <v>458</v>
      </c>
      <c r="I82" s="77" t="n">
        <f aca="false">IF(H82="","",G82-H82)</f>
        <v>-3</v>
      </c>
      <c r="J82" s="47" t="n">
        <f aca="false">IF(OR(D82="",D82+G82=0),"",D82/(D82+G82))</f>
        <v>0.410621761658031</v>
      </c>
      <c r="K82" s="47" t="n">
        <f aca="false">IF(E82="","",E82/(E82+H82))</f>
        <v>0.419518377693283</v>
      </c>
      <c r="L82" s="78" t="n">
        <f aca="false">IF(OR(K82="",J82=""),"",(J82-K82)*100)</f>
        <v>-0.889661603525155</v>
      </c>
      <c r="M82" s="36" t="n">
        <v>2.86632681480758</v>
      </c>
      <c r="N82" s="36" t="n">
        <v>1.22162112090302</v>
      </c>
      <c r="O82" s="36" t="n">
        <f aca="false">SQRT(M82^2+N82^2)</f>
        <v>3.11579645874395</v>
      </c>
      <c r="P82" s="47" t="n">
        <f aca="false">IF(J82="","",MAX(0,J82-1.96*O82/100))</f>
        <v>0.34955215106665</v>
      </c>
      <c r="Q82" s="47" t="n">
        <f aca="false">IF(J82="","",MIN(1,J82+1.96*O82/100))</f>
        <v>0.471691372249413</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249</v>
      </c>
      <c r="B83" s="32" t="s">
        <v>278</v>
      </c>
      <c r="C83" s="32" t="s">
        <v>191</v>
      </c>
      <c r="D83" s="66" t="n">
        <v>1192</v>
      </c>
      <c r="E83" s="66" t="n">
        <v>1242</v>
      </c>
      <c r="F83" s="77" t="n">
        <f aca="false">IF(E83="","",D83-E83)</f>
        <v>-50</v>
      </c>
      <c r="G83" s="66" t="n">
        <v>2666</v>
      </c>
      <c r="H83" s="66" t="n">
        <v>2716</v>
      </c>
      <c r="I83" s="77" t="n">
        <f aca="false">IF(H83="","",G83-H83)</f>
        <v>-50</v>
      </c>
      <c r="J83" s="47" t="n">
        <f aca="false">IF(OR(D83="",D83+G83=0),"",D83/(D83+G83))</f>
        <v>0.308968377397615</v>
      </c>
      <c r="K83" s="47" t="n">
        <f aca="false">IF(E83="","",E83/(E83+H83))</f>
        <v>0.313794845881759</v>
      </c>
      <c r="L83" s="78" t="n">
        <f aca="false">IF(OR(K83="",J83=""),"",(J83-K83)*100)</f>
        <v>-0.482646848414314</v>
      </c>
      <c r="M83" s="36" t="n">
        <v>1.36611769284749</v>
      </c>
      <c r="N83" s="36" t="n">
        <v>1.22162112090302</v>
      </c>
      <c r="O83" s="36" t="n">
        <f aca="false">SQRT(M83^2+N83^2)</f>
        <v>1.83265810061433</v>
      </c>
      <c r="P83" s="47" t="n">
        <f aca="false">IF(J83="","",MAX(0,J83-1.96*O83/100))</f>
        <v>0.273048278625575</v>
      </c>
      <c r="Q83" s="47" t="n">
        <f aca="false">IF(J83="","",MIN(1,J83+1.96*O83/100))</f>
        <v>0.344888476169656</v>
      </c>
      <c r="R83" s="32" t="str">
        <f aca="false">IF(L83="","",IF(ABS(L83)&lt;=O83,"Yes","No"))</f>
        <v>Yes</v>
      </c>
      <c r="S83" s="32" t="str">
        <f aca="false">IF(L83="","",IF(ABS(L83)&lt;=1.96*O83,"Yes","No"))</f>
        <v>Yes</v>
      </c>
      <c r="T83" s="66" t="n">
        <f aca="false">IF(D83="","",ROUND(SQRT(((D83+G83)*O83/100)^2+(J83*(D83+G83)*0.05464)^2),0))</f>
        <v>96</v>
      </c>
      <c r="U83" s="32"/>
    </row>
    <row r="84" customFormat="false" ht="15" hidden="false" customHeight="false" outlineLevel="0" collapsed="false">
      <c r="A84" s="32" t="s">
        <v>249</v>
      </c>
      <c r="B84" s="32" t="s">
        <v>279</v>
      </c>
      <c r="C84" s="32" t="s">
        <v>191</v>
      </c>
      <c r="D84" s="66" t="n">
        <v>1900</v>
      </c>
      <c r="E84" s="66" t="n">
        <v>1964</v>
      </c>
      <c r="F84" s="77" t="n">
        <f aca="false">IF(E84="","",D84-E84)</f>
        <v>-64</v>
      </c>
      <c r="G84" s="66" t="n">
        <v>2169</v>
      </c>
      <c r="H84" s="66" t="n">
        <v>2147</v>
      </c>
      <c r="I84" s="77" t="n">
        <f aca="false">IF(H84="","",G84-H84)</f>
        <v>22</v>
      </c>
      <c r="J84" s="47" t="n">
        <f aca="false">IF(OR(D84="",D84+G84=0),"",D84/(D84+G84))</f>
        <v>0.4669451953797</v>
      </c>
      <c r="K84" s="47" t="n">
        <f aca="false">IF(E84="","",E84/(E84+H84))</f>
        <v>0.477742641693019</v>
      </c>
      <c r="L84" s="78" t="n">
        <f aca="false">IF(OR(K84="",J84=""),"",(J84-K84)*100)</f>
        <v>-1.07974463133185</v>
      </c>
      <c r="M84" s="36" t="n">
        <v>1.36611769284749</v>
      </c>
      <c r="N84" s="36" t="n">
        <v>1.22162112090302</v>
      </c>
      <c r="O84" s="36" t="n">
        <f aca="false">SQRT(M84^2+N84^2)</f>
        <v>1.83265810061433</v>
      </c>
      <c r="P84" s="47" t="n">
        <f aca="false">IF(J84="","",MAX(0,J84-1.96*O84/100))</f>
        <v>0.431025096607659</v>
      </c>
      <c r="Q84" s="47" t="n">
        <f aca="false">IF(J84="","",MIN(1,J84+1.96*O84/100))</f>
        <v>0.502865294151741</v>
      </c>
      <c r="R84" s="32" t="str">
        <f aca="false">IF(L84="","",IF(ABS(L84)&lt;=O84,"Yes","No"))</f>
        <v>Yes</v>
      </c>
      <c r="S84" s="32" t="str">
        <f aca="false">IF(L84="","",IF(ABS(L84)&lt;=1.96*O84,"Yes","No"))</f>
        <v>Yes</v>
      </c>
      <c r="T84" s="66" t="n">
        <f aca="false">IF(D84="","",ROUND(SQRT(((D84+G84)*O84/100)^2+(J84*(D84+G84)*0.05464)^2),0))</f>
        <v>128</v>
      </c>
      <c r="U84" s="32"/>
    </row>
    <row r="85" customFormat="false" ht="15" hidden="false" customHeight="false" outlineLevel="0" collapsed="false">
      <c r="A85" s="32" t="s">
        <v>249</v>
      </c>
      <c r="B85" s="32" t="s">
        <v>280</v>
      </c>
      <c r="C85" s="32" t="s">
        <v>191</v>
      </c>
      <c r="D85" s="66" t="n">
        <v>425</v>
      </c>
      <c r="E85" s="66" t="n">
        <v>416</v>
      </c>
      <c r="F85" s="77" t="n">
        <f aca="false">IF(E85="","",D85-E85)</f>
        <v>9</v>
      </c>
      <c r="G85" s="66" t="n">
        <v>636</v>
      </c>
      <c r="H85" s="66" t="n">
        <v>658</v>
      </c>
      <c r="I85" s="77" t="n">
        <f aca="false">IF(H85="","",G85-H85)</f>
        <v>-22</v>
      </c>
      <c r="J85" s="47" t="n">
        <f aca="false">IF(OR(D85="",D85+G85=0),"",D85/(D85+G85))</f>
        <v>0.400565504241282</v>
      </c>
      <c r="K85" s="47" t="n">
        <f aca="false">IF(E85="","",E85/(E85+H85))</f>
        <v>0.387337057728119</v>
      </c>
      <c r="L85" s="78" t="n">
        <f aca="false">IF(OR(K85="",J85=""),"",(J85-K85)*100)</f>
        <v>1.32284465131626</v>
      </c>
      <c r="M85" s="36" t="n">
        <v>2.86632681480758</v>
      </c>
      <c r="N85" s="36" t="n">
        <v>1.22162112090302</v>
      </c>
      <c r="O85" s="36" t="n">
        <f aca="false">SQRT(M85^2+N85^2)</f>
        <v>3.11579645874395</v>
      </c>
      <c r="P85" s="47" t="n">
        <f aca="false">IF(J85="","",MAX(0,J85-1.96*O85/100))</f>
        <v>0.3394958936499</v>
      </c>
      <c r="Q85" s="47" t="n">
        <f aca="false">IF(J85="","",MIN(1,J85+1.96*O85/100))</f>
        <v>0.461635114832663</v>
      </c>
      <c r="R85" s="32" t="str">
        <f aca="false">IF(L85="","",IF(ABS(L85)&lt;=O85,"Yes","No"))</f>
        <v>Yes</v>
      </c>
      <c r="S85" s="32" t="str">
        <f aca="false">IF(L85="","",IF(ABS(L85)&lt;=1.96*O85,"Yes","No"))</f>
        <v>Yes</v>
      </c>
      <c r="T85" s="66" t="n">
        <f aca="false">IF(D85="","",ROUND(SQRT(((D85+G85)*O85/100)^2+(J85*(D85+G85)*0.07859)^2),0))</f>
        <v>47</v>
      </c>
      <c r="U85" s="32"/>
    </row>
    <row r="86" customFormat="false" ht="15" hidden="false" customHeight="false" outlineLevel="0" collapsed="false">
      <c r="A86" s="32" t="s">
        <v>249</v>
      </c>
      <c r="B86" s="32" t="s">
        <v>242</v>
      </c>
      <c r="C86" s="32" t="s">
        <v>191</v>
      </c>
      <c r="D86" s="66" t="n">
        <v>1033</v>
      </c>
      <c r="E86" s="66" t="n">
        <v>1041</v>
      </c>
      <c r="F86" s="77" t="n">
        <f aca="false">IF(E86="","",D86-E86)</f>
        <v>-8</v>
      </c>
      <c r="G86" s="66" t="n">
        <v>2043</v>
      </c>
      <c r="H86" s="66" t="n">
        <v>2088</v>
      </c>
      <c r="I86" s="77" t="n">
        <f aca="false">IF(H86="","",G86-H86)</f>
        <v>-45</v>
      </c>
      <c r="J86" s="47" t="n">
        <f aca="false">IF(OR(D86="",D86+G86=0),"",D86/(D86+G86))</f>
        <v>0.335825747724317</v>
      </c>
      <c r="K86" s="47" t="n">
        <f aca="false">IF(E86="","",E86/(E86+H86))</f>
        <v>0.332694151486098</v>
      </c>
      <c r="L86" s="78" t="n">
        <f aca="false">IF(OR(K86="",J86=""),"",(J86-K86)*100)</f>
        <v>0.313159623821946</v>
      </c>
      <c r="M86" s="36" t="n">
        <v>1.91017594365553</v>
      </c>
      <c r="N86" s="36" t="n">
        <v>1.22162112090302</v>
      </c>
      <c r="O86" s="36" t="n">
        <f aca="false">SQRT(M86^2+N86^2)</f>
        <v>2.26740607275288</v>
      </c>
      <c r="P86" s="47" t="n">
        <f aca="false">IF(J86="","",MAX(0,J86-1.96*O86/100))</f>
        <v>0.291384588698361</v>
      </c>
      <c r="Q86" s="47" t="n">
        <f aca="false">IF(J86="","",MIN(1,J86+1.96*O86/100))</f>
        <v>0.380266906750274</v>
      </c>
      <c r="R86" s="32" t="str">
        <f aca="false">IF(L86="","",IF(ABS(L86)&lt;=O86,"Yes","No"))</f>
        <v>Yes</v>
      </c>
      <c r="S86" s="32" t="str">
        <f aca="false">IF(L86="","",IF(ABS(L86)&lt;=1.96*O86,"Yes","No"))</f>
        <v>Yes</v>
      </c>
      <c r="T86" s="66" t="n">
        <f aca="false">IF(D86="","",ROUND(SQRT(((D86+G86)*O86/100)^2+(J86*(D86+G86)*0.06092)^2),0))</f>
        <v>94</v>
      </c>
      <c r="U86" s="32"/>
    </row>
    <row r="87" customFormat="false" ht="15" hidden="false" customHeight="false" outlineLevel="0" collapsed="false">
      <c r="A87" s="32" t="s">
        <v>249</v>
      </c>
      <c r="B87" s="32" t="s">
        <v>281</v>
      </c>
      <c r="C87" s="32" t="s">
        <v>191</v>
      </c>
      <c r="D87" s="66" t="n">
        <v>275</v>
      </c>
      <c r="E87" s="66" t="n">
        <v>281</v>
      </c>
      <c r="F87" s="77" t="n">
        <f aca="false">IF(E87="","",D87-E87)</f>
        <v>-6</v>
      </c>
      <c r="G87" s="66" t="n">
        <v>332</v>
      </c>
      <c r="H87" s="66" t="n">
        <v>310</v>
      </c>
      <c r="I87" s="77" t="n">
        <f aca="false">IF(H87="","",G87-H87)</f>
        <v>22</v>
      </c>
      <c r="J87" s="47" t="n">
        <f aca="false">IF(OR(D87="",D87+G87=0),"",D87/(D87+G87))</f>
        <v>0.453047775947282</v>
      </c>
      <c r="K87" s="47" t="n">
        <f aca="false">IF(E87="","",E87/(E87+H87))</f>
        <v>0.475465313028765</v>
      </c>
      <c r="L87" s="78" t="n">
        <f aca="false">IF(OR(K87="",J87=""),"",(J87-K87)*100)</f>
        <v>-2.24175370814831</v>
      </c>
      <c r="M87" s="36" t="n">
        <v>2.86632681480758</v>
      </c>
      <c r="N87" s="36" t="n">
        <v>1.22162112090302</v>
      </c>
      <c r="O87" s="36" t="n">
        <f aca="false">SQRT(M87^2+N87^2)</f>
        <v>3.11579645874395</v>
      </c>
      <c r="P87" s="47" t="n">
        <f aca="false">IF(J87="","",MAX(0,J87-1.96*O87/100))</f>
        <v>0.3919781653559</v>
      </c>
      <c r="Q87" s="47" t="n">
        <f aca="false">IF(J87="","",MIN(1,J87+1.96*O87/100))</f>
        <v>0.514117386538663</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249</v>
      </c>
      <c r="B88" s="32" t="s">
        <v>282</v>
      </c>
      <c r="C88" s="32" t="s">
        <v>191</v>
      </c>
      <c r="D88" s="66" t="n">
        <v>1749</v>
      </c>
      <c r="E88" s="66" t="n">
        <v>1847</v>
      </c>
      <c r="F88" s="77" t="n">
        <f aca="false">IF(E88="","",D88-E88)</f>
        <v>-98</v>
      </c>
      <c r="G88" s="66" t="n">
        <v>2440</v>
      </c>
      <c r="H88" s="66" t="n">
        <v>2401</v>
      </c>
      <c r="I88" s="77" t="n">
        <f aca="false">IF(H88="","",G88-H88)</f>
        <v>39</v>
      </c>
      <c r="J88" s="47" t="n">
        <f aca="false">IF(OR(D88="",D88+G88=0),"",D88/(D88+G88))</f>
        <v>0.417522081642397</v>
      </c>
      <c r="K88" s="47" t="n">
        <f aca="false">IF(E88="","",E88/(E88+H88))</f>
        <v>0.434792843691149</v>
      </c>
      <c r="L88" s="78" t="n">
        <f aca="false">IF(OR(K88="",J88=""),"",(J88-K88)*100)</f>
        <v>-1.72707620487521</v>
      </c>
      <c r="M88" s="36" t="n">
        <v>1.36611769284749</v>
      </c>
      <c r="N88" s="36" t="n">
        <v>1.22162112090302</v>
      </c>
      <c r="O88" s="36" t="n">
        <f aca="false">SQRT(M88^2+N88^2)</f>
        <v>1.83265810061433</v>
      </c>
      <c r="P88" s="47" t="n">
        <f aca="false">IF(J88="","",MAX(0,J88-1.96*O88/100))</f>
        <v>0.381601982870356</v>
      </c>
      <c r="Q88" s="47" t="n">
        <f aca="false">IF(J88="","",MIN(1,J88+1.96*O88/100))</f>
        <v>0.453442180414438</v>
      </c>
      <c r="R88" s="32" t="str">
        <f aca="false">IF(L88="","",IF(ABS(L88)&lt;=O88,"Yes","No"))</f>
        <v>Yes</v>
      </c>
      <c r="S88" s="32" t="str">
        <f aca="false">IF(L88="","",IF(ABS(L88)&lt;=1.96*O88,"Yes","No"))</f>
        <v>Yes</v>
      </c>
      <c r="T88" s="66" t="n">
        <f aca="false">IF(D88="","",ROUND(SQRT(((D88+G88)*O88/100)^2+(J88*(D88+G88)*0.05464)^2),0))</f>
        <v>123</v>
      </c>
      <c r="U88" s="32"/>
    </row>
    <row r="89" customFormat="false" ht="15" hidden="false" customHeight="false" outlineLevel="0" collapsed="false">
      <c r="A89" s="32" t="s">
        <v>249</v>
      </c>
      <c r="B89" s="32" t="s">
        <v>283</v>
      </c>
      <c r="C89" s="32" t="s">
        <v>191</v>
      </c>
      <c r="D89" s="66" t="n">
        <v>1836</v>
      </c>
      <c r="E89" s="66" t="n">
        <v>1897</v>
      </c>
      <c r="F89" s="77" t="n">
        <f aca="false">IF(E89="","",D89-E89)</f>
        <v>-61</v>
      </c>
      <c r="G89" s="66" t="n">
        <v>1570</v>
      </c>
      <c r="H89" s="66" t="n">
        <v>1538</v>
      </c>
      <c r="I89" s="77" t="n">
        <f aca="false">IF(H89="","",G89-H89)</f>
        <v>32</v>
      </c>
      <c r="J89" s="47" t="n">
        <f aca="false">IF(OR(D89="",D89+G89=0),"",D89/(D89+G89))</f>
        <v>0.53904873752202</v>
      </c>
      <c r="K89" s="47" t="n">
        <f aca="false">IF(E89="","",E89/(E89+H89))</f>
        <v>0.552256186317322</v>
      </c>
      <c r="L89" s="78" t="n">
        <f aca="false">IF(OR(K89="",J89=""),"",(J89-K89)*100)</f>
        <v>-1.32074487953017</v>
      </c>
      <c r="M89" s="36" t="n">
        <v>1.91017594365553</v>
      </c>
      <c r="N89" s="36" t="n">
        <v>1.22162112090302</v>
      </c>
      <c r="O89" s="36" t="n">
        <f aca="false">SQRT(M89^2+N89^2)</f>
        <v>2.26740607275288</v>
      </c>
      <c r="P89" s="47" t="n">
        <f aca="false">IF(J89="","",MAX(0,J89-1.96*O89/100))</f>
        <v>0.494607578496064</v>
      </c>
      <c r="Q89" s="47" t="n">
        <f aca="false">IF(J89="","",MIN(1,J89+1.96*O89/100))</f>
        <v>0.583489896547976</v>
      </c>
      <c r="R89" s="32" t="str">
        <f aca="false">IF(L89="","",IF(ABS(L89)&lt;=O89,"Yes","No"))</f>
        <v>Yes</v>
      </c>
      <c r="S89" s="32" t="str">
        <f aca="false">IF(L89="","",IF(ABS(L89)&lt;=1.96*O89,"Yes","No"))</f>
        <v>Yes</v>
      </c>
      <c r="T89" s="66" t="n">
        <f aca="false">IF(D89="","",ROUND(SQRT(((D89+G89)*O89/100)^2+(J89*(D89+G89)*0.06092)^2),0))</f>
        <v>136</v>
      </c>
      <c r="U89" s="32"/>
    </row>
    <row r="90" customFormat="false" ht="15" hidden="false" customHeight="false" outlineLevel="0" collapsed="false">
      <c r="A90" s="32" t="s">
        <v>249</v>
      </c>
      <c r="B90" s="32" t="s">
        <v>284</v>
      </c>
      <c r="C90" s="32" t="s">
        <v>191</v>
      </c>
      <c r="D90" s="66" t="n">
        <v>626</v>
      </c>
      <c r="E90" s="66" t="n">
        <v>634</v>
      </c>
      <c r="F90" s="77" t="n">
        <f aca="false">IF(E90="","",D90-E90)</f>
        <v>-8</v>
      </c>
      <c r="G90" s="66" t="n">
        <v>900</v>
      </c>
      <c r="H90" s="66" t="n">
        <v>856</v>
      </c>
      <c r="I90" s="77" t="n">
        <f aca="false">IF(H90="","",G90-H90)</f>
        <v>44</v>
      </c>
      <c r="J90" s="47" t="n">
        <f aca="false">IF(OR(D90="",D90+G90=0),"",D90/(D90+G90))</f>
        <v>0.410222804718218</v>
      </c>
      <c r="K90" s="47" t="n">
        <f aca="false">IF(E90="","",E90/(E90+H90))</f>
        <v>0.425503355704698</v>
      </c>
      <c r="L90" s="78" t="n">
        <f aca="false">IF(OR(K90="",J90=""),"",(J90-K90)*100)</f>
        <v>-1.52805509864805</v>
      </c>
      <c r="M90" s="36" t="n">
        <v>2.86632681480758</v>
      </c>
      <c r="N90" s="36" t="n">
        <v>1.22162112090302</v>
      </c>
      <c r="O90" s="36" t="n">
        <f aca="false">SQRT(M90^2+N90^2)</f>
        <v>3.11579645874395</v>
      </c>
      <c r="P90" s="47" t="n">
        <f aca="false">IF(J90="","",MAX(0,J90-1.96*O90/100))</f>
        <v>0.349153194126836</v>
      </c>
      <c r="Q90" s="47" t="n">
        <f aca="false">IF(J90="","",MIN(1,J90+1.96*O90/100))</f>
        <v>0.471292415309599</v>
      </c>
      <c r="R90" s="32" t="str">
        <f aca="false">IF(L90="","",IF(ABS(L90)&lt;=O90,"Yes","No"))</f>
        <v>Yes</v>
      </c>
      <c r="S90" s="32" t="str">
        <f aca="false">IF(L90="","",IF(ABS(L90)&lt;=1.96*O90,"Yes","No"))</f>
        <v>Yes</v>
      </c>
      <c r="T90" s="66" t="n">
        <f aca="false">IF(D90="","",ROUND(SQRT(((D90+G90)*O90/100)^2+(J90*(D90+G90)*0.07859)^2),0))</f>
        <v>68</v>
      </c>
      <c r="U90" s="32"/>
    </row>
    <row r="92" customFormat="false" ht="15" hidden="false" customHeight="false" outlineLevel="0" collapsed="false">
      <c r="A92" s="20" t="s">
        <v>419</v>
      </c>
      <c r="B92" s="44"/>
      <c r="C92" s="44"/>
      <c r="D92" s="79" t="n">
        <f aca="false">SUMIF(E2:E90,"&lt;&gt;",D2:D90)</f>
        <v>196883</v>
      </c>
      <c r="E92" s="79" t="n">
        <f aca="false">SUM(E2:E90)</f>
        <v>199626</v>
      </c>
      <c r="F92" s="80" t="n">
        <f aca="false">D92-E92</f>
        <v>-2743</v>
      </c>
      <c r="G92" s="79" t="n">
        <f aca="false">SUMIF(H2:H90,"&lt;&gt;",G2:G90)</f>
        <v>204240</v>
      </c>
      <c r="H92" s="79" t="n">
        <f aca="false">SUM(H2:H90)</f>
        <v>203688</v>
      </c>
      <c r="I92" s="80" t="n">
        <f aca="false">G92-H92</f>
        <v>552</v>
      </c>
      <c r="J92" s="46" t="n">
        <f aca="false">D92/(D92+G92)</f>
        <v>0.490829496189448</v>
      </c>
      <c r="K92" s="46" t="n">
        <f aca="false">E92/(E92+H92)</f>
        <v>0.49496422142549</v>
      </c>
      <c r="L92" s="81" t="n">
        <f aca="false">(J92-K92)*100</f>
        <v>-0.413472523604169</v>
      </c>
      <c r="M92" s="45" t="n">
        <v>0</v>
      </c>
      <c r="N92" s="45" t="n">
        <v>1.22162112090302</v>
      </c>
      <c r="O92" s="45" t="n">
        <f aca="false">SQRT(M92^2+N92^2)</f>
        <v>1.22162112090302</v>
      </c>
      <c r="P92" s="46" t="n">
        <f aca="false">J92-1.96*O92/100</f>
        <v>0.466885722219749</v>
      </c>
      <c r="Q92" s="46" t="n">
        <f aca="false">J92+1.96*O92/100</f>
        <v>0.514773270159147</v>
      </c>
      <c r="R92" s="44" t="str">
        <f aca="false">IF(ABS(L92)&lt;=O92,"Yes","No")</f>
        <v>Yes</v>
      </c>
      <c r="S92" s="44" t="str">
        <f aca="false">IF(ABS(L92)&lt;=1.96*O92,"Yes","No")</f>
        <v>Yes</v>
      </c>
      <c r="T92" s="79" t="n">
        <f aca="false">ROUND(SQRT(((D92+G92)*O92/100)^2+(J92*(D92+G92)*0.04269)^2),0)</f>
        <v>9729</v>
      </c>
    </row>
    <row r="93" customFormat="false" ht="15" hidden="false" customHeight="false" outlineLevel="0" collapsed="false">
      <c r="A93" s="20" t="s">
        <v>420</v>
      </c>
      <c r="B93" s="44"/>
      <c r="C93" s="44"/>
      <c r="D93" s="79" t="n">
        <f aca="false">SUM(D2:D90)</f>
        <v>196883</v>
      </c>
      <c r="E93" s="79"/>
      <c r="F93" s="80"/>
      <c r="G93" s="79" t="n">
        <f aca="false">SUM(G2:G90)</f>
        <v>204240</v>
      </c>
      <c r="H93" s="79"/>
      <c r="I93" s="80"/>
      <c r="J93" s="46" t="n">
        <f aca="false">D93/(D93+G93)</f>
        <v>0.490829496189448</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72.6179775280899</v>
      </c>
    </row>
    <row r="96" customFormat="false" ht="15" hidden="false" customHeight="false" outlineLevel="0" collapsed="false">
      <c r="A96" s="2" t="s">
        <v>422</v>
      </c>
      <c r="F96" s="82" t="n">
        <f aca="false">(SUMIF(I2:I90,"&gt;0")-SUMIF(I2:I90,"&lt;0"))/COUNT(I2:I90)</f>
        <v>65.8876404494382</v>
      </c>
    </row>
    <row r="97" customFormat="false" ht="15" hidden="false" customHeight="false" outlineLevel="0" collapsed="false">
      <c r="A97" s="2" t="s">
        <v>423</v>
      </c>
      <c r="F97" s="83" t="n">
        <f aca="false">(SUMIF(L2:L90,"&gt;0")-SUMIF(L2:L90,"&lt;0"))/COUNT(L2:L90)</f>
        <v>1.48595241885073</v>
      </c>
    </row>
    <row r="98" customFormat="false" ht="15" hidden="false" customHeight="false" outlineLevel="0" collapsed="false">
      <c r="A98" s="5" t="s">
        <v>424</v>
      </c>
      <c r="F98" s="84" t="n">
        <f aca="false">SQRT(SUMSQ(L2:L90)/COUNT(L2:L90))</f>
        <v>1.94998493697388</v>
      </c>
    </row>
    <row r="99" customFormat="false" ht="15" hidden="false" customHeight="false" outlineLevel="0" collapsed="false">
      <c r="A99" s="5" t="s">
        <v>425</v>
      </c>
      <c r="F99" s="85" t="n">
        <f aca="false">L92</f>
        <v>-0.413472523604169</v>
      </c>
    </row>
    <row r="100" customFormat="false" ht="15" hidden="false" customHeight="false" outlineLevel="0" collapsed="false">
      <c r="A100" s="5" t="s">
        <v>426</v>
      </c>
      <c r="F100" s="84" t="n">
        <f aca="false">SQRT((SUMSQ(L2:L90)-2*L92*SUM(L2:L90)+COUNT(L2:L90)*L92^2)/COUNT(L2:L90))</f>
        <v>1.85185272076324</v>
      </c>
    </row>
    <row r="101" customFormat="false" ht="15" hidden="false" customHeight="false" outlineLevel="0" collapsed="false">
      <c r="A101" s="2" t="s">
        <v>427</v>
      </c>
      <c r="F101" s="86" t="n">
        <f aca="false">D92/E92-1</f>
        <v>-0.0137406950998367</v>
      </c>
    </row>
    <row r="102" customFormat="false" ht="15" hidden="false" customHeight="false" outlineLevel="0" collapsed="false">
      <c r="A102" s="5" t="s">
        <v>428</v>
      </c>
      <c r="F102" s="87" t="n">
        <f aca="false">G92/H92-1</f>
        <v>0.00271002710027091</v>
      </c>
    </row>
    <row r="103" customFormat="false" ht="15" hidden="false" customHeight="false" outlineLevel="0" collapsed="false">
      <c r="A103" s="2" t="s">
        <v>429</v>
      </c>
      <c r="F103" s="86" t="n">
        <f aca="false">(D92+G92)/(E92+H92)-1</f>
        <v>-0.00543249180539229</v>
      </c>
    </row>
    <row r="104" customFormat="false" ht="15" hidden="false" customHeight="false" outlineLevel="0" collapsed="false">
      <c r="A104" s="2" t="s">
        <v>430</v>
      </c>
      <c r="F104" s="83" t="n">
        <f aca="false">AVERAGE(O2:O90)</f>
        <v>2.40683609989418</v>
      </c>
    </row>
    <row r="105" customFormat="false" ht="15" hidden="false" customHeight="false" outlineLevel="0" collapsed="false">
      <c r="A105" s="5" t="s">
        <v>431</v>
      </c>
      <c r="F105" s="88" t="n">
        <f aca="false">COUNTIF(R2:R90,"Yes")/(COUNTIF(R2:R90,"Yes")+COUNTIF(R2:R90,"No"))</f>
        <v>0.842696629213483</v>
      </c>
    </row>
    <row r="106" customFormat="false" ht="15" hidden="false" customHeight="false" outlineLevel="0" collapsed="false">
      <c r="A106" s="5" t="s">
        <v>432</v>
      </c>
      <c r="F106" s="88" t="n">
        <f aca="false">COUNTIF(S2:S90,"Yes")/(COUNTIF(S2:S90,"Yes")+COUNTIF(S2:S90,"No"))</f>
        <v>0.97752808988764</v>
      </c>
    </row>
    <row r="107" customFormat="false" ht="15" hidden="false" customHeight="false" outlineLevel="0" collapsed="false">
      <c r="A107" s="2" t="s">
        <v>433</v>
      </c>
      <c r="F107" s="89" t="n">
        <f aca="false">COUNTIFS(L2:L90,"&gt;=-3",L2:L90,"&lt;=3")/COUNT(L2:L90)</f>
        <v>0.887640449438202</v>
      </c>
    </row>
    <row r="108" customFormat="false" ht="15" hidden="false" customHeight="false" outlineLevel="0" collapsed="false">
      <c r="A108" s="2" t="s">
        <v>434</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-1084.46660914325</v>
      </c>
    </row>
    <row r="112" customFormat="false" ht="15" hidden="false" customHeight="false" outlineLevel="0" collapsed="false">
      <c r="A112" s="2" t="s">
        <v>438</v>
      </c>
      <c r="F112" s="91" t="n">
        <f aca="false">F92-((D92+G92)-(E92+H92))*K92</f>
        <v>-1658.53339085675</v>
      </c>
    </row>
    <row r="113" customFormat="false" ht="15" hidden="false" customHeight="false" outlineLevel="0" collapsed="false">
      <c r="A113" s="2" t="s">
        <v>439</v>
      </c>
      <c r="F113" s="91" t="n">
        <f aca="false">((D92+G92)-(E92+H92))*(1-K92)</f>
        <v>-1106.53339085675</v>
      </c>
    </row>
    <row r="114" customFormat="false" ht="15" hidden="false" customHeight="false" outlineLevel="0" collapsed="false">
      <c r="A114" s="2" t="s">
        <v>440</v>
      </c>
      <c r="F114" s="91" t="n">
        <f aca="false">I92-((D92+G92)-(E92+H92))*(1-K92)</f>
        <v>1658.53339085675</v>
      </c>
    </row>
    <row r="115" customFormat="false" ht="15" hidden="false" customHeight="false" outlineLevel="0" collapsed="false">
      <c r="A115" s="2" t="s">
        <v>441</v>
      </c>
      <c r="F115" s="86" t="n">
        <f aca="false">(F92-((D92+G92)-(E92+H92))*K92)/E92</f>
        <v>-0.00830820329444437</v>
      </c>
    </row>
    <row r="116" customFormat="false" ht="15" hidden="false" customHeight="false" outlineLevel="0" collapsed="false">
      <c r="A116" s="2" t="s">
        <v>442</v>
      </c>
      <c r="F116" s="86" t="n">
        <f aca="false">(I92-((D92+G92)-(E92+H92))*(1-K92))/H92</f>
        <v>0.00814251890566333</v>
      </c>
    </row>
    <row r="118" customFormat="false" ht="15" hidden="false" customHeight="false" outlineLevel="0" collapsed="false">
      <c r="U118" s="5" t="s">
        <v>166</v>
      </c>
    </row>
    <row r="119" customFormat="false" ht="28.35" hidden="false" customHeight="false" outlineLevel="0" collapsed="false">
      <c r="U119" s="76" t="s">
        <v>443</v>
      </c>
    </row>
    <row r="120" customFormat="false" ht="15" hidden="false" customHeight="false" outlineLevel="0" collapsed="false">
      <c r="U120" s="76" t="s">
        <v>444</v>
      </c>
    </row>
    <row r="121" customFormat="false" ht="28.35" hidden="false" customHeight="false" outlineLevel="0" collapsed="false">
      <c r="U121" s="76" t="s">
        <v>445</v>
      </c>
    </row>
    <row r="122" customFormat="false" ht="15" hidden="false" customHeight="false" outlineLevel="0" collapsed="false">
      <c r="U122" s="76" t="s">
        <v>446</v>
      </c>
    </row>
    <row r="123" customFormat="false" ht="41.75" hidden="false" customHeight="false" outlineLevel="0" collapsed="false">
      <c r="U123" s="76" t="s">
        <v>447</v>
      </c>
    </row>
    <row r="124" customFormat="false" ht="28.35" hidden="false" customHeight="false" outlineLevel="0" collapsed="false">
      <c r="U124" s="76" t="s">
        <v>448</v>
      </c>
    </row>
    <row r="125" customFormat="false" ht="28.35" hidden="false" customHeight="false" outlineLevel="0" collapsed="false">
      <c r="U125" s="76" t="s">
        <v>449</v>
      </c>
    </row>
    <row r="126" customFormat="false" ht="41.75" hidden="false" customHeight="false" outlineLevel="0" collapsed="false">
      <c r="U126" s="76" t="s">
        <v>450</v>
      </c>
    </row>
    <row r="127" customFormat="false" ht="15" hidden="false" customHeight="false" outlineLevel="0" collapsed="false">
      <c r="U127" s="76" t="s">
        <v>451</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405</v>
      </c>
      <c r="H1" s="8" t="s">
        <v>406</v>
      </c>
      <c r="I1" s="8" t="s">
        <v>407</v>
      </c>
      <c r="J1" s="8" t="s">
        <v>408</v>
      </c>
      <c r="K1" s="8" t="s">
        <v>409</v>
      </c>
      <c r="L1" s="8" t="s">
        <v>410</v>
      </c>
      <c r="M1" s="8" t="s">
        <v>411</v>
      </c>
      <c r="N1" s="8" t="s">
        <v>412</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152</v>
      </c>
      <c r="E2" s="66" t="n">
        <v>181</v>
      </c>
      <c r="F2" s="77" t="n">
        <f aca="false">IF(E2="","",D2-E2)</f>
        <v>-29</v>
      </c>
      <c r="G2" s="66" t="n">
        <v>286</v>
      </c>
      <c r="H2" s="66" t="n">
        <v>285</v>
      </c>
      <c r="I2" s="77" t="n">
        <f aca="false">IF(H2="","",G2-H2)</f>
        <v>1</v>
      </c>
      <c r="J2" s="47" t="n">
        <f aca="false">IF(OR(D2="",D2+G2=0),"",D2/(D2+G2))</f>
        <v>0.34703196347032</v>
      </c>
      <c r="K2" s="47" t="n">
        <f aca="false">IF(E2="","",E2/(E2+H2))</f>
        <v>0.388412017167382</v>
      </c>
      <c r="L2" s="78" t="n">
        <f aca="false">IF(OR(K2="",J2=""),"",(J2-K2)*100)</f>
        <v>-4.13800536970624</v>
      </c>
      <c r="M2" s="36" t="n">
        <v>2.91761619548126</v>
      </c>
      <c r="N2" s="36" t="n">
        <v>1.22164882592069</v>
      </c>
      <c r="O2" s="36" t="n">
        <f aca="false">SQRT(M2^2+N2^2)</f>
        <v>3.16305392271582</v>
      </c>
      <c r="P2" s="47" t="n">
        <f aca="false">IF(J2="","",MAX(0,J2-1.96*O2/100))</f>
        <v>0.28503610658509</v>
      </c>
      <c r="Q2" s="47" t="n">
        <f aca="false">IF(J2="","",MIN(1,J2+1.96*O2/100))</f>
        <v>0.40902782035555</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189</v>
      </c>
      <c r="B3" s="32" t="s">
        <v>195</v>
      </c>
      <c r="C3" s="32" t="s">
        <v>191</v>
      </c>
      <c r="D3" s="66" t="n">
        <v>107</v>
      </c>
      <c r="E3" s="66" t="n">
        <v>118</v>
      </c>
      <c r="F3" s="77" t="n">
        <f aca="false">IF(E3="","",D3-E3)</f>
        <v>-11</v>
      </c>
      <c r="G3" s="66" t="n">
        <v>297</v>
      </c>
      <c r="H3" s="66" t="n">
        <v>300</v>
      </c>
      <c r="I3" s="77" t="n">
        <f aca="false">IF(H3="","",G3-H3)</f>
        <v>-3</v>
      </c>
      <c r="J3" s="47" t="n">
        <f aca="false">IF(OR(D3="",D3+G3=0),"",D3/(D3+G3))</f>
        <v>0.264851485148515</v>
      </c>
      <c r="K3" s="47" t="n">
        <f aca="false">IF(E3="","",E3/(E3+H3))</f>
        <v>0.282296650717703</v>
      </c>
      <c r="L3" s="78" t="n">
        <f aca="false">IF(OR(K3="",J3=""),"",(J3-K3)*100)</f>
        <v>-1.74451655691885</v>
      </c>
      <c r="M3" s="36" t="n">
        <v>2.91761619548126</v>
      </c>
      <c r="N3" s="36" t="n">
        <v>1.22164882592069</v>
      </c>
      <c r="O3" s="36" t="n">
        <f aca="false">SQRT(M3^2+N3^2)</f>
        <v>3.16305392271582</v>
      </c>
      <c r="P3" s="47" t="n">
        <f aca="false">IF(J3="","",MAX(0,J3-1.96*O3/100))</f>
        <v>0.202855628263285</v>
      </c>
      <c r="Q3" s="47" t="n">
        <f aca="false">IF(J3="","",MIN(1,J3+1.96*O3/100))</f>
        <v>0.326847342033745</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189</v>
      </c>
      <c r="B4" s="32" t="s">
        <v>196</v>
      </c>
      <c r="C4" s="32" t="s">
        <v>191</v>
      </c>
      <c r="D4" s="66" t="n">
        <v>130</v>
      </c>
      <c r="E4" s="66" t="n">
        <v>144</v>
      </c>
      <c r="F4" s="77" t="n">
        <f aca="false">IF(E4="","",D4-E4)</f>
        <v>-14</v>
      </c>
      <c r="G4" s="66" t="n">
        <v>273</v>
      </c>
      <c r="H4" s="66" t="n">
        <v>310</v>
      </c>
      <c r="I4" s="77" t="n">
        <f aca="false">IF(H4="","",G4-H4)</f>
        <v>-37</v>
      </c>
      <c r="J4" s="47" t="n">
        <f aca="false">IF(OR(D4="",D4+G4=0),"",D4/(D4+G4))</f>
        <v>0.32258064516129</v>
      </c>
      <c r="K4" s="47" t="n">
        <f aca="false">IF(E4="","",E4/(E4+H4))</f>
        <v>0.317180616740088</v>
      </c>
      <c r="L4" s="78" t="n">
        <f aca="false">IF(OR(K4="",J4=""),"",(J4-K4)*100)</f>
        <v>0.540002842120219</v>
      </c>
      <c r="M4" s="36" t="n">
        <v>2.91761619548126</v>
      </c>
      <c r="N4" s="36" t="n">
        <v>1.22164882592069</v>
      </c>
      <c r="O4" s="36" t="n">
        <f aca="false">SQRT(M4^2+N4^2)</f>
        <v>3.16305392271582</v>
      </c>
      <c r="P4" s="47" t="n">
        <f aca="false">IF(J4="","",MAX(0,J4-1.96*O4/100))</f>
        <v>0.26058478827606</v>
      </c>
      <c r="Q4" s="47" t="n">
        <f aca="false">IF(J4="","",MIN(1,J4+1.96*O4/100))</f>
        <v>0.38457650204652</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189</v>
      </c>
      <c r="B5" s="32" t="s">
        <v>197</v>
      </c>
      <c r="C5" s="32" t="s">
        <v>191</v>
      </c>
      <c r="D5" s="66" t="n">
        <v>417</v>
      </c>
      <c r="E5" s="66" t="n">
        <v>438</v>
      </c>
      <c r="F5" s="77" t="n">
        <f aca="false">IF(E5="","",D5-E5)</f>
        <v>-21</v>
      </c>
      <c r="G5" s="66" t="n">
        <v>1158</v>
      </c>
      <c r="H5" s="66" t="n">
        <v>1253</v>
      </c>
      <c r="I5" s="77" t="n">
        <f aca="false">IF(H5="","",G5-H5)</f>
        <v>-95</v>
      </c>
      <c r="J5" s="47" t="n">
        <f aca="false">IF(OR(D5="",D5+G5=0),"",D5/(D5+G5))</f>
        <v>0.264761904761905</v>
      </c>
      <c r="K5" s="47" t="n">
        <f aca="false">IF(E5="","",E5/(E5+H5))</f>
        <v>0.259018332347723</v>
      </c>
      <c r="L5" s="78" t="n">
        <f aca="false">IF(OR(K5="",J5=""),"",(J5-K5)*100)</f>
        <v>0.57435724141815</v>
      </c>
      <c r="M5" s="36" t="n">
        <v>1.95188542073243</v>
      </c>
      <c r="N5" s="36" t="n">
        <v>1.22164882592069</v>
      </c>
      <c r="O5" s="36" t="n">
        <f aca="false">SQRT(M5^2+N5^2)</f>
        <v>2.30266857136263</v>
      </c>
      <c r="P5" s="47" t="n">
        <f aca="false">IF(J5="","",MAX(0,J5-1.96*O5/100))</f>
        <v>0.219629600763197</v>
      </c>
      <c r="Q5" s="47" t="n">
        <f aca="false">IF(J5="","",MIN(1,J5+1.96*O5/100))</f>
        <v>0.309894208760612</v>
      </c>
      <c r="R5" s="32" t="str">
        <f aca="false">IF(L5="","",IF(ABS(L5)&lt;=O5,"Yes","No"))</f>
        <v>Yes</v>
      </c>
      <c r="S5" s="32" t="str">
        <f aca="false">IF(L5="","",IF(ABS(L5)&lt;=1.96*O5,"Yes","No"))</f>
        <v>Yes</v>
      </c>
      <c r="T5" s="66" t="n">
        <f aca="false">IF(D5="","",ROUND(SQRT(((D5+G5)*O5/100)^2+(J5*(D5+G5)*0.06092)^2),0))</f>
        <v>44</v>
      </c>
      <c r="U5" s="32"/>
    </row>
    <row r="6" customFormat="false" ht="15" hidden="false" customHeight="false" outlineLevel="0" collapsed="false">
      <c r="A6" s="32" t="s">
        <v>189</v>
      </c>
      <c r="B6" s="32" t="s">
        <v>199</v>
      </c>
      <c r="C6" s="32" t="s">
        <v>191</v>
      </c>
      <c r="D6" s="66" t="n">
        <v>39</v>
      </c>
      <c r="E6" s="66" t="n">
        <v>38</v>
      </c>
      <c r="F6" s="77" t="n">
        <f aca="false">IF(E6="","",D6-E6)</f>
        <v>1</v>
      </c>
      <c r="G6" s="66" t="n">
        <v>73</v>
      </c>
      <c r="H6" s="66" t="n">
        <v>78</v>
      </c>
      <c r="I6" s="77" t="n">
        <f aca="false">IF(H6="","",G6-H6)</f>
        <v>-5</v>
      </c>
      <c r="J6" s="47" t="n">
        <f aca="false">IF(OR(D6="",D6+G6=0),"",D6/(D6+G6))</f>
        <v>0.348214285714286</v>
      </c>
      <c r="K6" s="47" t="n">
        <f aca="false">IF(E6="","",E6/(E6+H6))</f>
        <v>0.327586206896552</v>
      </c>
      <c r="L6" s="78" t="n">
        <f aca="false">IF(OR(K6="",J6=""),"",(J6-K6)*100)</f>
        <v>2.0628078817734</v>
      </c>
      <c r="M6" s="36" t="n">
        <v>2.91761619548126</v>
      </c>
      <c r="N6" s="36" t="n">
        <v>1.22164882592069</v>
      </c>
      <c r="O6" s="36" t="n">
        <f aca="false">SQRT(M6^2+N6^2)</f>
        <v>3.16305392271582</v>
      </c>
      <c r="P6" s="47" t="n">
        <f aca="false">IF(J6="","",MAX(0,J6-1.96*O6/100))</f>
        <v>0.286218428829056</v>
      </c>
      <c r="Q6" s="47" t="n">
        <f aca="false">IF(J6="","",MIN(1,J6+1.96*O6/100))</f>
        <v>0.410210142599516</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189</v>
      </c>
      <c r="B7" s="32" t="s">
        <v>200</v>
      </c>
      <c r="C7" s="32" t="s">
        <v>191</v>
      </c>
      <c r="D7" s="66" t="n">
        <v>646</v>
      </c>
      <c r="E7" s="66" t="n">
        <v>708</v>
      </c>
      <c r="F7" s="77" t="n">
        <f aca="false">IF(E7="","",D7-E7)</f>
        <v>-62</v>
      </c>
      <c r="G7" s="66" t="n">
        <v>1786</v>
      </c>
      <c r="H7" s="66" t="n">
        <v>1846</v>
      </c>
      <c r="I7" s="77" t="n">
        <f aca="false">IF(H7="","",G7-H7)</f>
        <v>-60</v>
      </c>
      <c r="J7" s="47" t="n">
        <f aca="false">IF(OR(D7="",D7+G7=0),"",D7/(D7+G7))</f>
        <v>0.265625</v>
      </c>
      <c r="K7" s="47" t="n">
        <f aca="false">IF(E7="","",E7/(E7+H7))</f>
        <v>0.277212216131558</v>
      </c>
      <c r="L7" s="78" t="n">
        <f aca="false">IF(OR(K7="",J7=""),"",(J7-K7)*100)</f>
        <v>-1.15872161315583</v>
      </c>
      <c r="M7" s="36" t="n">
        <v>1.95188542073243</v>
      </c>
      <c r="N7" s="36" t="n">
        <v>1.22164882592069</v>
      </c>
      <c r="O7" s="36" t="n">
        <f aca="false">SQRT(M7^2+N7^2)</f>
        <v>2.30266857136263</v>
      </c>
      <c r="P7" s="47" t="n">
        <f aca="false">IF(J7="","",MAX(0,J7-1.96*O7/100))</f>
        <v>0.220492696001292</v>
      </c>
      <c r="Q7" s="47" t="n">
        <f aca="false">IF(J7="","",MIN(1,J7+1.96*O7/100))</f>
        <v>0.310757303998708</v>
      </c>
      <c r="R7" s="32" t="str">
        <f aca="false">IF(L7="","",IF(ABS(L7)&lt;=O7,"Yes","No"))</f>
        <v>Yes</v>
      </c>
      <c r="S7" s="32" t="str">
        <f aca="false">IF(L7="","",IF(ABS(L7)&lt;=1.96*O7,"Yes","No"))</f>
        <v>Yes</v>
      </c>
      <c r="T7" s="66" t="n">
        <f aca="false">IF(D7="","",ROUND(SQRT(((D7+G7)*O7/100)^2+(J7*(D7+G7)*0.06092)^2),0))</f>
        <v>68</v>
      </c>
      <c r="U7" s="32"/>
    </row>
    <row r="8" customFormat="false" ht="15" hidden="false" customHeight="false" outlineLevel="0" collapsed="false">
      <c r="A8" s="32" t="s">
        <v>189</v>
      </c>
      <c r="B8" s="32" t="s">
        <v>201</v>
      </c>
      <c r="C8" s="32" t="s">
        <v>191</v>
      </c>
      <c r="D8" s="66" t="n">
        <v>1043</v>
      </c>
      <c r="E8" s="66" t="n">
        <v>1104</v>
      </c>
      <c r="F8" s="77" t="n">
        <f aca="false">IF(E8="","",D8-E8)</f>
        <v>-61</v>
      </c>
      <c r="G8" s="66" t="n">
        <v>1382</v>
      </c>
      <c r="H8" s="66" t="n">
        <v>1481</v>
      </c>
      <c r="I8" s="77" t="n">
        <f aca="false">IF(H8="","",G8-H8)</f>
        <v>-99</v>
      </c>
      <c r="J8" s="47" t="n">
        <f aca="false">IF(OR(D8="",D8+G8=0),"",D8/(D8+G8))</f>
        <v>0.430103092783505</v>
      </c>
      <c r="K8" s="47" t="n">
        <f aca="false">IF(E8="","",E8/(E8+H8))</f>
        <v>0.427079303675048</v>
      </c>
      <c r="L8" s="78" t="n">
        <f aca="false">IF(OR(K8="",J8=""),"",(J8-K8)*100)</f>
        <v>0.30237891084568</v>
      </c>
      <c r="M8" s="36" t="n">
        <v>1.95188542073243</v>
      </c>
      <c r="N8" s="36" t="n">
        <v>1.22164882592069</v>
      </c>
      <c r="O8" s="36" t="n">
        <f aca="false">SQRT(M8^2+N8^2)</f>
        <v>2.30266857136263</v>
      </c>
      <c r="P8" s="47" t="n">
        <f aca="false">IF(J8="","",MAX(0,J8-1.96*O8/100))</f>
        <v>0.384970788784798</v>
      </c>
      <c r="Q8" s="47" t="n">
        <f aca="false">IF(J8="","",MIN(1,J8+1.96*O8/100))</f>
        <v>0.475235396782213</v>
      </c>
      <c r="R8" s="32" t="str">
        <f aca="false">IF(L8="","",IF(ABS(L8)&lt;=O8,"Yes","No"))</f>
        <v>Yes</v>
      </c>
      <c r="S8" s="32" t="str">
        <f aca="false">IF(L8="","",IF(ABS(L8)&lt;=1.96*O8,"Yes","No"))</f>
        <v>Yes</v>
      </c>
      <c r="T8" s="66" t="n">
        <f aca="false">IF(D8="","",ROUND(SQRT(((D8+G8)*O8/100)^2+(J8*(D8+G8)*0.06092)^2),0))</f>
        <v>85</v>
      </c>
      <c r="U8" s="32"/>
    </row>
    <row r="9" customFormat="false" ht="15" hidden="false" customHeight="false" outlineLevel="0" collapsed="false">
      <c r="A9" s="32" t="s">
        <v>189</v>
      </c>
      <c r="B9" s="32" t="s">
        <v>202</v>
      </c>
      <c r="C9" s="32" t="s">
        <v>191</v>
      </c>
      <c r="D9" s="66" t="n">
        <v>327</v>
      </c>
      <c r="E9" s="66" t="n">
        <v>351</v>
      </c>
      <c r="F9" s="77" t="n">
        <f aca="false">IF(E9="","",D9-E9)</f>
        <v>-24</v>
      </c>
      <c r="G9" s="66" t="n">
        <v>709</v>
      </c>
      <c r="H9" s="66" t="n">
        <v>697</v>
      </c>
      <c r="I9" s="77" t="n">
        <f aca="false">IF(H9="","",G9-H9)</f>
        <v>12</v>
      </c>
      <c r="J9" s="47" t="n">
        <f aca="false">IF(OR(D9="",D9+G9=0),"",D9/(D9+G9))</f>
        <v>0.315637065637066</v>
      </c>
      <c r="K9" s="47" t="n">
        <f aca="false">IF(E9="","",E9/(E9+H9))</f>
        <v>0.334923664122137</v>
      </c>
      <c r="L9" s="78" t="n">
        <f aca="false">IF(OR(K9="",J9=""),"",(J9-K9)*100)</f>
        <v>-1.92865984850718</v>
      </c>
      <c r="M9" s="36" t="n">
        <v>2.91761619548126</v>
      </c>
      <c r="N9" s="36" t="n">
        <v>1.22164882592069</v>
      </c>
      <c r="O9" s="36" t="n">
        <f aca="false">SQRT(M9^2+N9^2)</f>
        <v>3.16305392271582</v>
      </c>
      <c r="P9" s="47" t="n">
        <f aca="false">IF(J9="","",MAX(0,J9-1.96*O9/100))</f>
        <v>0.253641208751836</v>
      </c>
      <c r="Q9" s="47" t="n">
        <f aca="false">IF(J9="","",MIN(1,J9+1.96*O9/100))</f>
        <v>0.377632922522296</v>
      </c>
      <c r="R9" s="32" t="str">
        <f aca="false">IF(L9="","",IF(ABS(L9)&lt;=O9,"Yes","No"))</f>
        <v>Yes</v>
      </c>
      <c r="S9" s="32" t="str">
        <f aca="false">IF(L9="","",IF(ABS(L9)&lt;=1.96*O9,"Yes","No"))</f>
        <v>Yes</v>
      </c>
      <c r="T9" s="66" t="n">
        <f aca="false">IF(D9="","",ROUND(SQRT(((D9+G9)*O9/100)^2+(J9*(D9+G9)*0.07859)^2),0))</f>
        <v>42</v>
      </c>
      <c r="U9" s="32"/>
    </row>
    <row r="10" customFormat="false" ht="15" hidden="false" customHeight="false" outlineLevel="0" collapsed="false">
      <c r="A10" s="32" t="s">
        <v>189</v>
      </c>
      <c r="B10" s="32" t="s">
        <v>203</v>
      </c>
      <c r="C10" s="32" t="s">
        <v>191</v>
      </c>
      <c r="D10" s="66" t="n">
        <v>583</v>
      </c>
      <c r="E10" s="66" t="n">
        <v>575</v>
      </c>
      <c r="F10" s="77" t="n">
        <f aca="false">IF(E10="","",D10-E10)</f>
        <v>8</v>
      </c>
      <c r="G10" s="66" t="n">
        <v>826</v>
      </c>
      <c r="H10" s="66" t="n">
        <v>880</v>
      </c>
      <c r="I10" s="77" t="n">
        <f aca="false">IF(H10="","",G10-H10)</f>
        <v>-54</v>
      </c>
      <c r="J10" s="47" t="n">
        <f aca="false">IF(OR(D10="",D10+G10=0),"",D10/(D10+G10))</f>
        <v>0.413768630234209</v>
      </c>
      <c r="K10" s="47" t="n">
        <f aca="false">IF(E10="","",E10/(E10+H10))</f>
        <v>0.395189003436426</v>
      </c>
      <c r="L10" s="78" t="n">
        <f aca="false">IF(OR(K10="",J10=""),"",(J10-K10)*100)</f>
        <v>1.85796267977826</v>
      </c>
      <c r="M10" s="36" t="n">
        <v>2.91761619548126</v>
      </c>
      <c r="N10" s="36" t="n">
        <v>1.22164882592069</v>
      </c>
      <c r="O10" s="36" t="n">
        <f aca="false">SQRT(M10^2+N10^2)</f>
        <v>3.16305392271582</v>
      </c>
      <c r="P10" s="47" t="n">
        <f aca="false">IF(J10="","",MAX(0,J10-1.96*O10/100))</f>
        <v>0.351772773348979</v>
      </c>
      <c r="Q10" s="47" t="n">
        <f aca="false">IF(J10="","",MIN(1,J10+1.96*O10/100))</f>
        <v>0.475764487119439</v>
      </c>
      <c r="R10" s="32" t="str">
        <f aca="false">IF(L10="","",IF(ABS(L10)&lt;=O10,"Yes","No"))</f>
        <v>Yes</v>
      </c>
      <c r="S10" s="32" t="str">
        <f aca="false">IF(L10="","",IF(ABS(L10)&lt;=1.96*O10,"Yes","No"))</f>
        <v>Yes</v>
      </c>
      <c r="T10" s="66" t="n">
        <f aca="false">IF(D10="","",ROUND(SQRT(((D10+G10)*O10/100)^2+(J10*(D10+G10)*0.07859)^2),0))</f>
        <v>64</v>
      </c>
      <c r="U10" s="32"/>
    </row>
    <row r="11" customFormat="false" ht="15" hidden="false" customHeight="false" outlineLevel="0" collapsed="false">
      <c r="A11" s="32" t="s">
        <v>189</v>
      </c>
      <c r="B11" s="32" t="s">
        <v>204</v>
      </c>
      <c r="C11" s="32" t="s">
        <v>191</v>
      </c>
      <c r="D11" s="66" t="n">
        <v>41</v>
      </c>
      <c r="E11" s="66" t="n">
        <v>38</v>
      </c>
      <c r="F11" s="77" t="n">
        <f aca="false">IF(E11="","",D11-E11)</f>
        <v>3</v>
      </c>
      <c r="G11" s="66" t="n">
        <v>98</v>
      </c>
      <c r="H11" s="66" t="n">
        <v>107</v>
      </c>
      <c r="I11" s="77" t="n">
        <f aca="false">IF(H11="","",G11-H11)</f>
        <v>-9</v>
      </c>
      <c r="J11" s="47" t="n">
        <f aca="false">IF(OR(D11="",D11+G11=0),"",D11/(D11+G11))</f>
        <v>0.294964028776978</v>
      </c>
      <c r="K11" s="47" t="n">
        <f aca="false">IF(E11="","",E11/(E11+H11))</f>
        <v>0.262068965517241</v>
      </c>
      <c r="L11" s="78" t="n">
        <f aca="false">IF(OR(K11="",J11=""),"",(J11-K11)*100)</f>
        <v>3.2895063259737</v>
      </c>
      <c r="M11" s="36" t="n">
        <v>2.91761619548126</v>
      </c>
      <c r="N11" s="36" t="n">
        <v>1.22164882592069</v>
      </c>
      <c r="O11" s="36" t="n">
        <f aca="false">SQRT(M11^2+N11^2)</f>
        <v>3.16305392271582</v>
      </c>
      <c r="P11" s="47" t="n">
        <f aca="false">IF(J11="","",MAX(0,J11-1.96*O11/100))</f>
        <v>0.232968171891748</v>
      </c>
      <c r="Q11" s="47" t="n">
        <f aca="false">IF(J11="","",MIN(1,J11+1.96*O11/100))</f>
        <v>0.356959885662209</v>
      </c>
      <c r="R11" s="32" t="str">
        <f aca="false">IF(L11="","",IF(ABS(L11)&lt;=O11,"Yes","No"))</f>
        <v>No</v>
      </c>
      <c r="S11" s="32" t="str">
        <f aca="false">IF(L11="","",IF(ABS(L11)&lt;=1.96*O11,"Yes","No"))</f>
        <v>Yes</v>
      </c>
      <c r="T11" s="66" t="n">
        <f aca="false">IF(D11="","",ROUND(SQRT(((D11+G11)*O11/100)^2+(J11*(D11+G11)*0.07859)^2),0))</f>
        <v>5</v>
      </c>
      <c r="U11" s="32"/>
    </row>
    <row r="12" customFormat="false" ht="15" hidden="false" customHeight="false" outlineLevel="0" collapsed="false">
      <c r="A12" s="32" t="s">
        <v>189</v>
      </c>
      <c r="B12" s="32" t="s">
        <v>205</v>
      </c>
      <c r="C12" s="32" t="s">
        <v>191</v>
      </c>
      <c r="D12" s="66" t="n">
        <v>47</v>
      </c>
      <c r="E12" s="66" t="n">
        <v>58</v>
      </c>
      <c r="F12" s="77" t="n">
        <f aca="false">IF(E12="","",D12-E12)</f>
        <v>-11</v>
      </c>
      <c r="G12" s="66" t="n">
        <v>217</v>
      </c>
      <c r="H12" s="66" t="n">
        <v>216</v>
      </c>
      <c r="I12" s="77" t="n">
        <f aca="false">IF(H12="","",G12-H12)</f>
        <v>1</v>
      </c>
      <c r="J12" s="47" t="n">
        <f aca="false">IF(OR(D12="",D12+G12=0),"",D12/(D12+G12))</f>
        <v>0.178030303030303</v>
      </c>
      <c r="K12" s="47" t="n">
        <f aca="false">IF(E12="","",E12/(E12+H12))</f>
        <v>0.211678832116788</v>
      </c>
      <c r="L12" s="78" t="n">
        <f aca="false">IF(OR(K12="",J12=""),"",(J12-K12)*100)</f>
        <v>-3.36485290864853</v>
      </c>
      <c r="M12" s="36" t="n">
        <v>2.91761619548126</v>
      </c>
      <c r="N12" s="36" t="n">
        <v>1.22164882592069</v>
      </c>
      <c r="O12" s="36" t="n">
        <f aca="false">SQRT(M12^2+N12^2)</f>
        <v>3.16305392271582</v>
      </c>
      <c r="P12" s="47" t="n">
        <f aca="false">IF(J12="","",MAX(0,J12-1.96*O12/100))</f>
        <v>0.116034446145073</v>
      </c>
      <c r="Q12" s="47" t="n">
        <f aca="false">IF(J12="","",MIN(1,J12+1.96*O12/100))</f>
        <v>0.240026159915533</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189</v>
      </c>
      <c r="B13" s="32" t="s">
        <v>206</v>
      </c>
      <c r="C13" s="32" t="s">
        <v>191</v>
      </c>
      <c r="D13" s="66" t="n">
        <v>904</v>
      </c>
      <c r="E13" s="66" t="n">
        <v>944</v>
      </c>
      <c r="F13" s="77" t="n">
        <f aca="false">IF(E13="","",D13-E13)</f>
        <v>-40</v>
      </c>
      <c r="G13" s="66" t="n">
        <v>1360</v>
      </c>
      <c r="H13" s="66" t="n">
        <v>1486</v>
      </c>
      <c r="I13" s="77" t="n">
        <f aca="false">IF(H13="","",G13-H13)</f>
        <v>-126</v>
      </c>
      <c r="J13" s="47" t="n">
        <f aca="false">IF(OR(D13="",D13+G13=0),"",D13/(D13+G13))</f>
        <v>0.399293286219081</v>
      </c>
      <c r="K13" s="47" t="n">
        <f aca="false">IF(E13="","",E13/(E13+H13))</f>
        <v>0.388477366255144</v>
      </c>
      <c r="L13" s="78" t="n">
        <f aca="false">IF(OR(K13="",J13=""),"",(J13-K13)*100)</f>
        <v>1.08159199639373</v>
      </c>
      <c r="M13" s="36" t="n">
        <v>1.95188542073243</v>
      </c>
      <c r="N13" s="36" t="n">
        <v>1.22164882592069</v>
      </c>
      <c r="O13" s="36" t="n">
        <f aca="false">SQRT(M13^2+N13^2)</f>
        <v>2.30266857136263</v>
      </c>
      <c r="P13" s="47" t="n">
        <f aca="false">IF(J13="","",MAX(0,J13-1.96*O13/100))</f>
        <v>0.354160982220374</v>
      </c>
      <c r="Q13" s="47" t="n">
        <f aca="false">IF(J13="","",MIN(1,J13+1.96*O13/100))</f>
        <v>0.444425590217789</v>
      </c>
      <c r="R13" s="32" t="str">
        <f aca="false">IF(L13="","",IF(ABS(L13)&lt;=O13,"Yes","No"))</f>
        <v>Yes</v>
      </c>
      <c r="S13" s="32" t="str">
        <f aca="false">IF(L13="","",IF(ABS(L13)&lt;=1.96*O13,"Yes","No"))</f>
        <v>Yes</v>
      </c>
      <c r="T13" s="66" t="n">
        <f aca="false">IF(D13="","",ROUND(SQRT(((D13+G13)*O13/100)^2+(J13*(D13+G13)*0.06092)^2),0))</f>
        <v>76</v>
      </c>
      <c r="U13" s="32"/>
    </row>
    <row r="14" customFormat="false" ht="15" hidden="false" customHeight="false" outlineLevel="0" collapsed="false">
      <c r="A14" s="32" t="s">
        <v>189</v>
      </c>
      <c r="B14" s="32" t="s">
        <v>207</v>
      </c>
      <c r="C14" s="32" t="s">
        <v>191</v>
      </c>
      <c r="D14" s="66" t="n">
        <v>512</v>
      </c>
      <c r="E14" s="66" t="n">
        <v>515</v>
      </c>
      <c r="F14" s="77" t="n">
        <f aca="false">IF(E14="","",D14-E14)</f>
        <v>-3</v>
      </c>
      <c r="G14" s="66" t="n">
        <v>1169</v>
      </c>
      <c r="H14" s="66" t="n">
        <v>1293</v>
      </c>
      <c r="I14" s="77" t="n">
        <f aca="false">IF(H14="","",G14-H14)</f>
        <v>-124</v>
      </c>
      <c r="J14" s="47" t="n">
        <f aca="false">IF(OR(D14="",D14+G14=0),"",D14/(D14+G14))</f>
        <v>0.304580606781678</v>
      </c>
      <c r="K14" s="47" t="n">
        <f aca="false">IF(E14="","",E14/(E14+H14))</f>
        <v>0.284845132743363</v>
      </c>
      <c r="L14" s="78" t="n">
        <f aca="false">IF(OR(K14="",J14=""),"",(J14-K14)*100)</f>
        <v>1.97354740383148</v>
      </c>
      <c r="M14" s="36" t="n">
        <v>1.95188542073243</v>
      </c>
      <c r="N14" s="36" t="n">
        <v>1.22164882592069</v>
      </c>
      <c r="O14" s="36" t="n">
        <f aca="false">SQRT(M14^2+N14^2)</f>
        <v>2.30266857136263</v>
      </c>
      <c r="P14" s="47" t="n">
        <f aca="false">IF(J14="","",MAX(0,J14-1.96*O14/100))</f>
        <v>0.25944830278297</v>
      </c>
      <c r="Q14" s="47" t="n">
        <f aca="false">IF(J14="","",MIN(1,J14+1.96*O14/100))</f>
        <v>0.349712910780385</v>
      </c>
      <c r="R14" s="32" t="str">
        <f aca="false">IF(L14="","",IF(ABS(L14)&lt;=O14,"Yes","No"))</f>
        <v>Yes</v>
      </c>
      <c r="S14" s="32" t="str">
        <f aca="false">IF(L14="","",IF(ABS(L14)&lt;=1.96*O14,"Yes","No"))</f>
        <v>Yes</v>
      </c>
      <c r="T14" s="66" t="n">
        <f aca="false">IF(D14="","",ROUND(SQRT(((D14+G14)*O14/100)^2+(J14*(D14+G14)*0.06092)^2),0))</f>
        <v>50</v>
      </c>
      <c r="U14" s="32"/>
    </row>
    <row r="15" customFormat="false" ht="15" hidden="false" customHeight="false" outlineLevel="0" collapsed="false">
      <c r="A15" s="32" t="s">
        <v>189</v>
      </c>
      <c r="B15" s="32" t="s">
        <v>208</v>
      </c>
      <c r="C15" s="32" t="s">
        <v>191</v>
      </c>
      <c r="D15" s="66" t="n">
        <v>611</v>
      </c>
      <c r="E15" s="66" t="n">
        <v>694</v>
      </c>
      <c r="F15" s="77" t="n">
        <f aca="false">IF(E15="","",D15-E15)</f>
        <v>-83</v>
      </c>
      <c r="G15" s="66" t="n">
        <v>1578</v>
      </c>
      <c r="H15" s="66" t="n">
        <v>1695</v>
      </c>
      <c r="I15" s="77" t="n">
        <f aca="false">IF(H15="","",G15-H15)</f>
        <v>-117</v>
      </c>
      <c r="J15" s="47" t="n">
        <f aca="false">IF(OR(D15="",D15+G15=0),"",D15/(D15+G15))</f>
        <v>0.279122887163088</v>
      </c>
      <c r="K15" s="47" t="n">
        <f aca="false">IF(E15="","",E15/(E15+H15))</f>
        <v>0.290498116366681</v>
      </c>
      <c r="L15" s="78" t="n">
        <f aca="false">IF(OR(K15="",J15=""),"",(J15-K15)*100)</f>
        <v>-1.13752292035924</v>
      </c>
      <c r="M15" s="36" t="n">
        <v>1.95188542073243</v>
      </c>
      <c r="N15" s="36" t="n">
        <v>1.22164882592069</v>
      </c>
      <c r="O15" s="36" t="n">
        <f aca="false">SQRT(M15^2+N15^2)</f>
        <v>2.30266857136263</v>
      </c>
      <c r="P15" s="47" t="n">
        <f aca="false">IF(J15="","",MAX(0,J15-1.96*O15/100))</f>
        <v>0.233990583164381</v>
      </c>
      <c r="Q15" s="47" t="n">
        <f aca="false">IF(J15="","",MIN(1,J15+1.96*O15/100))</f>
        <v>0.324255191161796</v>
      </c>
      <c r="R15" s="32" t="str">
        <f aca="false">IF(L15="","",IF(ABS(L15)&lt;=O15,"Yes","No"))</f>
        <v>Yes</v>
      </c>
      <c r="S15" s="32" t="str">
        <f aca="false">IF(L15="","",IF(ABS(L15)&lt;=1.96*O15,"Yes","No"))</f>
        <v>Yes</v>
      </c>
      <c r="T15" s="66" t="n">
        <f aca="false">IF(D15="","",ROUND(SQRT(((D15+G15)*O15/100)^2+(J15*(D15+G15)*0.06092)^2),0))</f>
        <v>63</v>
      </c>
      <c r="U15" s="32"/>
    </row>
    <row r="16" customFormat="false" ht="15" hidden="false" customHeight="false" outlineLevel="0" collapsed="false">
      <c r="A16" s="32" t="s">
        <v>189</v>
      </c>
      <c r="B16" s="32" t="s">
        <v>209</v>
      </c>
      <c r="C16" s="32" t="s">
        <v>191</v>
      </c>
      <c r="D16" s="66" t="n">
        <v>576</v>
      </c>
      <c r="E16" s="66" t="n">
        <v>601</v>
      </c>
      <c r="F16" s="77" t="n">
        <f aca="false">IF(E16="","",D16-E16)</f>
        <v>-25</v>
      </c>
      <c r="G16" s="66" t="n">
        <v>880</v>
      </c>
      <c r="H16" s="66" t="n">
        <v>955</v>
      </c>
      <c r="I16" s="77" t="n">
        <f aca="false">IF(H16="","",G16-H16)</f>
        <v>-75</v>
      </c>
      <c r="J16" s="47" t="n">
        <f aca="false">IF(OR(D16="",D16+G16=0),"",D16/(D16+G16))</f>
        <v>0.395604395604396</v>
      </c>
      <c r="K16" s="47" t="n">
        <f aca="false">IF(E16="","",E16/(E16+H16))</f>
        <v>0.386246786632391</v>
      </c>
      <c r="L16" s="78" t="n">
        <f aca="false">IF(OR(K16="",J16=""),"",(J16-K16)*100)</f>
        <v>0.935760897200483</v>
      </c>
      <c r="M16" s="36" t="n">
        <v>2.91761619548126</v>
      </c>
      <c r="N16" s="36" t="n">
        <v>1.22164882592069</v>
      </c>
      <c r="O16" s="36" t="n">
        <f aca="false">SQRT(M16^2+N16^2)</f>
        <v>3.16305392271582</v>
      </c>
      <c r="P16" s="47" t="n">
        <f aca="false">IF(J16="","",MAX(0,J16-1.96*O16/100))</f>
        <v>0.333608538719165</v>
      </c>
      <c r="Q16" s="47" t="n">
        <f aca="false">IF(J16="","",MIN(1,J16+1.96*O16/100))</f>
        <v>0.457600252489626</v>
      </c>
      <c r="R16" s="32" t="str">
        <f aca="false">IF(L16="","",IF(ABS(L16)&lt;=O16,"Yes","No"))</f>
        <v>Yes</v>
      </c>
      <c r="S16" s="32" t="str">
        <f aca="false">IF(L16="","",IF(ABS(L16)&lt;=1.96*O16,"Yes","No"))</f>
        <v>Yes</v>
      </c>
      <c r="T16" s="66" t="n">
        <f aca="false">IF(D16="","",ROUND(SQRT(((D16+G16)*O16/100)^2+(J16*(D16+G16)*0.07859)^2),0))</f>
        <v>65</v>
      </c>
      <c r="U16" s="32"/>
    </row>
    <row r="17" customFormat="false" ht="15" hidden="false" customHeight="false" outlineLevel="0" collapsed="false">
      <c r="A17" s="32" t="s">
        <v>189</v>
      </c>
      <c r="B17" s="32" t="s">
        <v>210</v>
      </c>
      <c r="C17" s="32" t="s">
        <v>191</v>
      </c>
      <c r="D17" s="66" t="n">
        <v>106</v>
      </c>
      <c r="E17" s="66" t="n">
        <v>134</v>
      </c>
      <c r="F17" s="77" t="n">
        <f aca="false">IF(E17="","",D17-E17)</f>
        <v>-28</v>
      </c>
      <c r="G17" s="66" t="n">
        <v>489</v>
      </c>
      <c r="H17" s="66" t="n">
        <v>505</v>
      </c>
      <c r="I17" s="77" t="n">
        <f aca="false">IF(H17="","",G17-H17)</f>
        <v>-16</v>
      </c>
      <c r="J17" s="47" t="n">
        <f aca="false">IF(OR(D17="",D17+G17=0),"",D17/(D17+G17))</f>
        <v>0.178151260504202</v>
      </c>
      <c r="K17" s="47" t="n">
        <f aca="false">IF(E17="","",E17/(E17+H17))</f>
        <v>0.209702660406886</v>
      </c>
      <c r="L17" s="78" t="n">
        <f aca="false">IF(OR(K17="",J17=""),"",(J17-K17)*100)</f>
        <v>-3.15513999026841</v>
      </c>
      <c r="M17" s="36" t="n">
        <v>2.91761619548126</v>
      </c>
      <c r="N17" s="36" t="n">
        <v>1.22164882592069</v>
      </c>
      <c r="O17" s="36" t="n">
        <f aca="false">SQRT(M17^2+N17^2)</f>
        <v>3.16305392271582</v>
      </c>
      <c r="P17" s="47" t="n">
        <f aca="false">IF(J17="","",MAX(0,J17-1.96*O17/100))</f>
        <v>0.116155403618972</v>
      </c>
      <c r="Q17" s="47" t="n">
        <f aca="false">IF(J17="","",MIN(1,J17+1.96*O17/100))</f>
        <v>0.240147117389432</v>
      </c>
      <c r="R17" s="32" t="str">
        <f aca="false">IF(L17="","",IF(ABS(L17)&lt;=O17,"Yes","No"))</f>
        <v>Yes</v>
      </c>
      <c r="S17" s="32" t="str">
        <f aca="false">IF(L17="","",IF(ABS(L17)&lt;=1.96*O17,"Yes","No"))</f>
        <v>Yes</v>
      </c>
      <c r="T17" s="66" t="n">
        <f aca="false">IF(D17="","",ROUND(SQRT(((D17+G17)*O17/100)^2+(J17*(D17+G17)*0.07859)^2),0))</f>
        <v>21</v>
      </c>
      <c r="U17" s="32"/>
    </row>
    <row r="18" customFormat="false" ht="15" hidden="false" customHeight="false" outlineLevel="0" collapsed="false">
      <c r="A18" s="32" t="s">
        <v>189</v>
      </c>
      <c r="B18" s="32" t="s">
        <v>211</v>
      </c>
      <c r="C18" s="32" t="s">
        <v>191</v>
      </c>
      <c r="D18" s="66" t="n">
        <v>922</v>
      </c>
      <c r="E18" s="66" t="n">
        <v>981</v>
      </c>
      <c r="F18" s="77" t="n">
        <f aca="false">IF(E18="","",D18-E18)</f>
        <v>-59</v>
      </c>
      <c r="G18" s="66" t="n">
        <v>1638</v>
      </c>
      <c r="H18" s="66" t="n">
        <v>1740</v>
      </c>
      <c r="I18" s="77" t="n">
        <f aca="false">IF(H18="","",G18-H18)</f>
        <v>-102</v>
      </c>
      <c r="J18" s="47" t="n">
        <f aca="false">IF(OR(D18="",D18+G18=0),"",D18/(D18+G18))</f>
        <v>0.36015625</v>
      </c>
      <c r="K18" s="47" t="n">
        <f aca="false">IF(E18="","",E18/(E18+H18))</f>
        <v>0.360529217199559</v>
      </c>
      <c r="L18" s="78" t="n">
        <f aca="false">IF(OR(K18="",J18=""),"",(J18-K18)*100)</f>
        <v>-0.0372967199558982</v>
      </c>
      <c r="M18" s="36" t="n">
        <v>1.95188542073243</v>
      </c>
      <c r="N18" s="36" t="n">
        <v>1.22164882592069</v>
      </c>
      <c r="O18" s="36" t="n">
        <f aca="false">SQRT(M18^2+N18^2)</f>
        <v>2.30266857136263</v>
      </c>
      <c r="P18" s="47" t="n">
        <f aca="false">IF(J18="","",MAX(0,J18-1.96*O18/100))</f>
        <v>0.315023946001292</v>
      </c>
      <c r="Q18" s="47" t="n">
        <f aca="false">IF(J18="","",MIN(1,J18+1.96*O18/100))</f>
        <v>0.405288553998708</v>
      </c>
      <c r="R18" s="32" t="str">
        <f aca="false">IF(L18="","",IF(ABS(L18)&lt;=O18,"Yes","No"))</f>
        <v>Yes</v>
      </c>
      <c r="S18" s="32" t="str">
        <f aca="false">IF(L18="","",IF(ABS(L18)&lt;=1.96*O18,"Yes","No"))</f>
        <v>Yes</v>
      </c>
      <c r="T18" s="66" t="n">
        <f aca="false">IF(D18="","",ROUND(SQRT(((D18+G18)*O18/100)^2+(J18*(D18+G18)*0.06092)^2),0))</f>
        <v>81</v>
      </c>
      <c r="U18" s="32"/>
    </row>
    <row r="19" customFormat="false" ht="15" hidden="false" customHeight="false" outlineLevel="0" collapsed="false">
      <c r="A19" s="32" t="s">
        <v>189</v>
      </c>
      <c r="B19" s="32" t="s">
        <v>212</v>
      </c>
      <c r="C19" s="32" t="s">
        <v>191</v>
      </c>
      <c r="D19" s="66" t="n">
        <v>59</v>
      </c>
      <c r="E19" s="66" t="n">
        <v>74</v>
      </c>
      <c r="F19" s="77" t="n">
        <f aca="false">IF(E19="","",D19-E19)</f>
        <v>-15</v>
      </c>
      <c r="G19" s="66" t="n">
        <v>156</v>
      </c>
      <c r="H19" s="66" t="n">
        <v>162</v>
      </c>
      <c r="I19" s="77" t="n">
        <f aca="false">IF(H19="","",G19-H19)</f>
        <v>-6</v>
      </c>
      <c r="J19" s="47" t="n">
        <f aca="false">IF(OR(D19="",D19+G19=0),"",D19/(D19+G19))</f>
        <v>0.274418604651163</v>
      </c>
      <c r="K19" s="47" t="n">
        <f aca="false">IF(E19="","",E19/(E19+H19))</f>
        <v>0.313559322033898</v>
      </c>
      <c r="L19" s="78" t="n">
        <f aca="false">IF(OR(K19="",J19=""),"",(J19-K19)*100)</f>
        <v>-3.91407173827355</v>
      </c>
      <c r="M19" s="36" t="n">
        <v>2.91761619548126</v>
      </c>
      <c r="N19" s="36" t="n">
        <v>1.22164882592069</v>
      </c>
      <c r="O19" s="36" t="n">
        <f aca="false">SQRT(M19^2+N19^2)</f>
        <v>3.16305392271582</v>
      </c>
      <c r="P19" s="47" t="n">
        <f aca="false">IF(J19="","",MAX(0,J19-1.96*O19/100))</f>
        <v>0.212422747765933</v>
      </c>
      <c r="Q19" s="47" t="n">
        <f aca="false">IF(J19="","",MIN(1,J19+1.96*O19/100))</f>
        <v>0.336414461536393</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189</v>
      </c>
      <c r="B20" s="32" t="s">
        <v>213</v>
      </c>
      <c r="C20" s="32" t="s">
        <v>191</v>
      </c>
      <c r="D20" s="66" t="n">
        <v>1857</v>
      </c>
      <c r="E20" s="66" t="n">
        <v>2047</v>
      </c>
      <c r="F20" s="77" t="n">
        <f aca="false">IF(E20="","",D20-E20)</f>
        <v>-190</v>
      </c>
      <c r="G20" s="66" t="n">
        <v>3376</v>
      </c>
      <c r="H20" s="66" t="n">
        <v>3702</v>
      </c>
      <c r="I20" s="77" t="n">
        <f aca="false">IF(H20="","",G20-H20)</f>
        <v>-326</v>
      </c>
      <c r="J20" s="47" t="n">
        <f aca="false">IF(OR(D20="",D20+G20=0),"",D20/(D20+G20))</f>
        <v>0.354863367093445</v>
      </c>
      <c r="K20" s="47" t="n">
        <f aca="false">IF(E20="","",E20/(E20+H20))</f>
        <v>0.356061923812837</v>
      </c>
      <c r="L20" s="78" t="n">
        <f aca="false">IF(OR(K20="",J20=""),"",(J20-K20)*100)</f>
        <v>-0.119855671939156</v>
      </c>
      <c r="M20" s="36" t="n">
        <v>1.33503173282163</v>
      </c>
      <c r="N20" s="36" t="n">
        <v>1.22164882592069</v>
      </c>
      <c r="O20" s="36" t="n">
        <f aca="false">SQRT(M20^2+N20^2)</f>
        <v>1.80962304956422</v>
      </c>
      <c r="P20" s="47" t="n">
        <f aca="false">IF(J20="","",MAX(0,J20-1.96*O20/100))</f>
        <v>0.319394755321987</v>
      </c>
      <c r="Q20" s="47" t="n">
        <f aca="false">IF(J20="","",MIN(1,J20+1.96*O20/100))</f>
        <v>0.390331978864904</v>
      </c>
      <c r="R20" s="32" t="str">
        <f aca="false">IF(L20="","",IF(ABS(L20)&lt;=O20,"Yes","No"))</f>
        <v>Yes</v>
      </c>
      <c r="S20" s="32" t="str">
        <f aca="false">IF(L20="","",IF(ABS(L20)&lt;=1.96*O20,"Yes","No"))</f>
        <v>Yes</v>
      </c>
      <c r="T20" s="66" t="n">
        <f aca="false">IF(D20="","",ROUND(SQRT(((D20+G20)*O20/100)^2+(J20*(D20+G20)*0.05464)^2),0))</f>
        <v>139</v>
      </c>
      <c r="U20" s="32"/>
    </row>
    <row r="21" customFormat="false" ht="15" hidden="false" customHeight="false" outlineLevel="0" collapsed="false">
      <c r="A21" s="32" t="s">
        <v>189</v>
      </c>
      <c r="B21" s="32" t="s">
        <v>215</v>
      </c>
      <c r="C21" s="32" t="s">
        <v>191</v>
      </c>
      <c r="D21" s="66" t="n">
        <v>645</v>
      </c>
      <c r="E21" s="66" t="n">
        <v>660</v>
      </c>
      <c r="F21" s="77" t="n">
        <f aca="false">IF(E21="","",D21-E21)</f>
        <v>-15</v>
      </c>
      <c r="G21" s="66" t="n">
        <v>893</v>
      </c>
      <c r="H21" s="66" t="n">
        <v>913</v>
      </c>
      <c r="I21" s="77" t="n">
        <f aca="false">IF(H21="","",G21-H21)</f>
        <v>-20</v>
      </c>
      <c r="J21" s="47" t="n">
        <f aca="false">IF(OR(D21="",D21+G21=0),"",D21/(D21+G21))</f>
        <v>0.419375812743823</v>
      </c>
      <c r="K21" s="47" t="n">
        <f aca="false">IF(E21="","",E21/(E21+H21))</f>
        <v>0.41958041958042</v>
      </c>
      <c r="L21" s="78" t="n">
        <f aca="false">IF(OR(K21="",J21=""),"",(J21-K21)*100)</f>
        <v>-0.0204606836596455</v>
      </c>
      <c r="M21" s="36" t="n">
        <v>2.91761619548126</v>
      </c>
      <c r="N21" s="36" t="n">
        <v>1.22164882592069</v>
      </c>
      <c r="O21" s="36" t="n">
        <f aca="false">SQRT(M21^2+N21^2)</f>
        <v>3.16305392271582</v>
      </c>
      <c r="P21" s="47" t="n">
        <f aca="false">IF(J21="","",MAX(0,J21-1.96*O21/100))</f>
        <v>0.357379955858593</v>
      </c>
      <c r="Q21" s="47" t="n">
        <f aca="false">IF(J21="","",MIN(1,J21+1.96*O21/100))</f>
        <v>0.481371669629053</v>
      </c>
      <c r="R21" s="32" t="str">
        <f aca="false">IF(L21="","",IF(ABS(L21)&lt;=O21,"Yes","No"))</f>
        <v>Yes</v>
      </c>
      <c r="S21" s="32" t="str">
        <f aca="false">IF(L21="","",IF(ABS(L21)&lt;=1.96*O21,"Yes","No"))</f>
        <v>Yes</v>
      </c>
      <c r="T21" s="66" t="n">
        <f aca="false">IF(D21="","",ROUND(SQRT(((D21+G21)*O21/100)^2+(J21*(D21+G21)*0.07859)^2),0))</f>
        <v>70</v>
      </c>
      <c r="U21" s="32"/>
    </row>
    <row r="22" customFormat="false" ht="15" hidden="false" customHeight="false" outlineLevel="0" collapsed="false">
      <c r="A22" s="32" t="s">
        <v>189</v>
      </c>
      <c r="B22" s="32" t="s">
        <v>216</v>
      </c>
      <c r="C22" s="32" t="s">
        <v>191</v>
      </c>
      <c r="D22" s="66" t="n">
        <v>730</v>
      </c>
      <c r="E22" s="66" t="n">
        <v>802</v>
      </c>
      <c r="F22" s="77" t="n">
        <f aca="false">IF(E22="","",D22-E22)</f>
        <v>-72</v>
      </c>
      <c r="G22" s="66" t="n">
        <v>1914</v>
      </c>
      <c r="H22" s="66" t="n">
        <v>1955</v>
      </c>
      <c r="I22" s="77" t="n">
        <f aca="false">IF(H22="","",G22-H22)</f>
        <v>-41</v>
      </c>
      <c r="J22" s="47" t="n">
        <f aca="false">IF(OR(D22="",D22+G22=0),"",D22/(D22+G22))</f>
        <v>0.276096822995461</v>
      </c>
      <c r="K22" s="47" t="n">
        <f aca="false">IF(E22="","",E22/(E22+H22))</f>
        <v>0.290895901342038</v>
      </c>
      <c r="L22" s="78" t="n">
        <f aca="false">IF(OR(K22="",J22=""),"",(J22-K22)*100)</f>
        <v>-1.47990783465771</v>
      </c>
      <c r="M22" s="36" t="n">
        <v>1.95188542073243</v>
      </c>
      <c r="N22" s="36" t="n">
        <v>1.22164882592069</v>
      </c>
      <c r="O22" s="36" t="n">
        <f aca="false">SQRT(M22^2+N22^2)</f>
        <v>2.30266857136263</v>
      </c>
      <c r="P22" s="47" t="n">
        <f aca="false">IF(J22="","",MAX(0,J22-1.96*O22/100))</f>
        <v>0.230964518996754</v>
      </c>
      <c r="Q22" s="47" t="n">
        <f aca="false">IF(J22="","",MIN(1,J22+1.96*O22/100))</f>
        <v>0.321229126994169</v>
      </c>
      <c r="R22" s="32" t="str">
        <f aca="false">IF(L22="","",IF(ABS(L22)&lt;=O22,"Yes","No"))</f>
        <v>Yes</v>
      </c>
      <c r="S22" s="32" t="str">
        <f aca="false">IF(L22="","",IF(ABS(L22)&lt;=1.96*O22,"Yes","No"))</f>
        <v>Yes</v>
      </c>
      <c r="T22" s="66" t="n">
        <f aca="false">IF(D22="","",ROUND(SQRT(((D22+G22)*O22/100)^2+(J22*(D22+G22)*0.06092)^2),0))</f>
        <v>75</v>
      </c>
      <c r="U22" s="32"/>
    </row>
    <row r="23" customFormat="false" ht="15" hidden="false" customHeight="false" outlineLevel="0" collapsed="false">
      <c r="A23" s="32" t="s">
        <v>189</v>
      </c>
      <c r="B23" s="32" t="s">
        <v>217</v>
      </c>
      <c r="C23" s="32" t="s">
        <v>191</v>
      </c>
      <c r="D23" s="66" t="n">
        <v>316</v>
      </c>
      <c r="E23" s="66" t="n">
        <v>351</v>
      </c>
      <c r="F23" s="77" t="n">
        <f aca="false">IF(E23="","",D23-E23)</f>
        <v>-35</v>
      </c>
      <c r="G23" s="66" t="n">
        <v>873</v>
      </c>
      <c r="H23" s="66" t="n">
        <v>849</v>
      </c>
      <c r="I23" s="77" t="n">
        <f aca="false">IF(H23="","",G23-H23)</f>
        <v>24</v>
      </c>
      <c r="J23" s="47" t="n">
        <f aca="false">IF(OR(D23="",D23+G23=0),"",D23/(D23+G23))</f>
        <v>0.265769554247267</v>
      </c>
      <c r="K23" s="47" t="n">
        <f aca="false">IF(E23="","",E23/(E23+H23))</f>
        <v>0.2925</v>
      </c>
      <c r="L23" s="78" t="n">
        <f aca="false">IF(OR(K23="",J23=""),"",(J23-K23)*100)</f>
        <v>-2.67304457527334</v>
      </c>
      <c r="M23" s="36" t="n">
        <v>2.91761619548126</v>
      </c>
      <c r="N23" s="36" t="n">
        <v>1.22164882592069</v>
      </c>
      <c r="O23" s="36" t="n">
        <f aca="false">SQRT(M23^2+N23^2)</f>
        <v>3.16305392271582</v>
      </c>
      <c r="P23" s="47" t="n">
        <f aca="false">IF(J23="","",MAX(0,J23-1.96*O23/100))</f>
        <v>0.203773697362037</v>
      </c>
      <c r="Q23" s="47" t="n">
        <f aca="false">IF(J23="","",MIN(1,J23+1.96*O23/100))</f>
        <v>0.327765411132497</v>
      </c>
      <c r="R23" s="32" t="str">
        <f aca="false">IF(L23="","",IF(ABS(L23)&lt;=O23,"Yes","No"))</f>
        <v>Yes</v>
      </c>
      <c r="S23" s="32" t="str">
        <f aca="false">IF(L23="","",IF(ABS(L23)&lt;=1.96*O23,"Yes","No"))</f>
        <v>Yes</v>
      </c>
      <c r="T23" s="66" t="n">
        <f aca="false">IF(D23="","",ROUND(SQRT(((D23+G23)*O23/100)^2+(J23*(D23+G23)*0.07859)^2),0))</f>
        <v>45</v>
      </c>
      <c r="U23" s="32"/>
    </row>
    <row r="24" customFormat="false" ht="15" hidden="false" customHeight="false" outlineLevel="0" collapsed="false">
      <c r="A24" s="32" t="s">
        <v>189</v>
      </c>
      <c r="B24" s="32" t="s">
        <v>218</v>
      </c>
      <c r="C24" s="32" t="s">
        <v>191</v>
      </c>
      <c r="D24" s="66" t="n">
        <v>60</v>
      </c>
      <c r="E24" s="66" t="n">
        <v>58</v>
      </c>
      <c r="F24" s="77" t="n">
        <f aca="false">IF(E24="","",D24-E24)</f>
        <v>2</v>
      </c>
      <c r="G24" s="66" t="n">
        <v>83</v>
      </c>
      <c r="H24" s="66" t="n">
        <v>105</v>
      </c>
      <c r="I24" s="77" t="n">
        <f aca="false">IF(H24="","",G24-H24)</f>
        <v>-22</v>
      </c>
      <c r="J24" s="47" t="n">
        <f aca="false">IF(OR(D24="",D24+G24=0),"",D24/(D24+G24))</f>
        <v>0.41958041958042</v>
      </c>
      <c r="K24" s="47" t="n">
        <f aca="false">IF(E24="","",E24/(E24+H24))</f>
        <v>0.355828220858896</v>
      </c>
      <c r="L24" s="78" t="n">
        <f aca="false">IF(OR(K24="",J24=""),"",(J24-K24)*100)</f>
        <v>6.37521987215239</v>
      </c>
      <c r="M24" s="36" t="n">
        <v>2.91761619548126</v>
      </c>
      <c r="N24" s="36" t="n">
        <v>1.22164882592069</v>
      </c>
      <c r="O24" s="36" t="n">
        <f aca="false">SQRT(M24^2+N24^2)</f>
        <v>3.16305392271582</v>
      </c>
      <c r="P24" s="47" t="n">
        <f aca="false">IF(J24="","",MAX(0,J24-1.96*O24/100))</f>
        <v>0.357584562695189</v>
      </c>
      <c r="Q24" s="47" t="n">
        <f aca="false">IF(J24="","",MIN(1,J24+1.96*O24/100))</f>
        <v>0.48157627646565</v>
      </c>
      <c r="R24" s="32" t="str">
        <f aca="false">IF(L24="","",IF(ABS(L24)&lt;=O24,"Yes","No"))</f>
        <v>No</v>
      </c>
      <c r="S24" s="32" t="str">
        <f aca="false">IF(L24="","",IF(ABS(L24)&lt;=1.96*O24,"Yes","No"))</f>
        <v>No</v>
      </c>
      <c r="T24" s="66" t="n">
        <f aca="false">IF(D24="","",ROUND(SQRT(((D24+G24)*O24/100)^2+(J24*(D24+G24)*0.07859)^2),0))</f>
        <v>7</v>
      </c>
      <c r="U24" s="32"/>
    </row>
    <row r="25" customFormat="false" ht="15" hidden="false" customHeight="false" outlineLevel="0" collapsed="false">
      <c r="A25" s="32" t="s">
        <v>219</v>
      </c>
      <c r="B25" s="32" t="s">
        <v>220</v>
      </c>
      <c r="C25" s="32" t="s">
        <v>191</v>
      </c>
      <c r="D25" s="66" t="n">
        <v>655</v>
      </c>
      <c r="E25" s="66" t="n">
        <v>601</v>
      </c>
      <c r="F25" s="77" t="n">
        <f aca="false">IF(E25="","",D25-E25)</f>
        <v>54</v>
      </c>
      <c r="G25" s="66" t="n">
        <v>759</v>
      </c>
      <c r="H25" s="66" t="n">
        <v>766</v>
      </c>
      <c r="I25" s="77" t="n">
        <f aca="false">IF(H25="","",G25-H25)</f>
        <v>-7</v>
      </c>
      <c r="J25" s="47" t="n">
        <f aca="false">IF(OR(D25="",D25+G25=0),"",D25/(D25+G25))</f>
        <v>0.463224893917963</v>
      </c>
      <c r="K25" s="47" t="n">
        <f aca="false">IF(E25="","",E25/(E25+H25))</f>
        <v>0.439648866130212</v>
      </c>
      <c r="L25" s="78" t="n">
        <f aca="false">IF(OR(K25="",J25=""),"",(J25-K25)*100)</f>
        <v>2.35760277877511</v>
      </c>
      <c r="M25" s="36" t="n">
        <v>2.91761619548126</v>
      </c>
      <c r="N25" s="36" t="n">
        <v>1.22164882592069</v>
      </c>
      <c r="O25" s="36" t="n">
        <f aca="false">SQRT(M25^2+N25^2)</f>
        <v>3.16305392271582</v>
      </c>
      <c r="P25" s="47" t="n">
        <f aca="false">IF(J25="","",MAX(0,J25-1.96*O25/100))</f>
        <v>0.401229037032733</v>
      </c>
      <c r="Q25" s="47" t="n">
        <f aca="false">IF(J25="","",MIN(1,J25+1.96*O25/100))</f>
        <v>0.525220750803193</v>
      </c>
      <c r="R25" s="32" t="str">
        <f aca="false">IF(L25="","",IF(ABS(L25)&lt;=O25,"Yes","No"))</f>
        <v>Yes</v>
      </c>
      <c r="S25" s="32" t="str">
        <f aca="false">IF(L25="","",IF(ABS(L25)&lt;=1.96*O25,"Yes","No"))</f>
        <v>Yes</v>
      </c>
      <c r="T25" s="66" t="n">
        <f aca="false">IF(D25="","",ROUND(SQRT(((D25+G25)*O25/100)^2+(J25*(D25+G25)*0.07859)^2),0))</f>
        <v>68</v>
      </c>
      <c r="U25" s="32"/>
    </row>
    <row r="26" customFormat="false" ht="15" hidden="false" customHeight="false" outlineLevel="0" collapsed="false">
      <c r="A26" s="32" t="s">
        <v>219</v>
      </c>
      <c r="B26" s="32" t="s">
        <v>221</v>
      </c>
      <c r="C26" s="32" t="s">
        <v>191</v>
      </c>
      <c r="D26" s="66" t="n">
        <v>27876</v>
      </c>
      <c r="E26" s="66" t="n">
        <v>26568</v>
      </c>
      <c r="F26" s="77" t="n">
        <f aca="false">IF(E26="","",D26-E26)</f>
        <v>1308</v>
      </c>
      <c r="G26" s="66" t="n">
        <v>13809</v>
      </c>
      <c r="H26" s="66" t="n">
        <v>14583</v>
      </c>
      <c r="I26" s="77" t="n">
        <f aca="false">IF(H26="","",G26-H26)</f>
        <v>-774</v>
      </c>
      <c r="J26" s="47" t="n">
        <f aca="false">IF(OR(D26="",D26+G26=0),"",D26/(D26+G26))</f>
        <v>0.668729758906081</v>
      </c>
      <c r="K26" s="47" t="n">
        <f aca="false">IF(E26="","",E26/(E26+H26))</f>
        <v>0.645622220602172</v>
      </c>
      <c r="L26" s="78" t="n">
        <f aca="false">IF(OR(K26="",J26=""),"",(J26-K26)*100)</f>
        <v>2.31075383039089</v>
      </c>
      <c r="M26" s="36" t="n">
        <v>1.33503173282163</v>
      </c>
      <c r="N26" s="36" t="n">
        <v>1.22164882592069</v>
      </c>
      <c r="O26" s="36" t="n">
        <f aca="false">SQRT(M26^2+N26^2)</f>
        <v>1.80962304956422</v>
      </c>
      <c r="P26" s="47" t="n">
        <f aca="false">IF(J26="","",MAX(0,J26-1.96*O26/100))</f>
        <v>0.633261147134623</v>
      </c>
      <c r="Q26" s="47" t="n">
        <f aca="false">IF(J26="","",MIN(1,J26+1.96*O26/100))</f>
        <v>0.70419837067754</v>
      </c>
      <c r="R26" s="32" t="str">
        <f aca="false">IF(L26="","",IF(ABS(L26)&lt;=O26,"Yes","No"))</f>
        <v>No</v>
      </c>
      <c r="S26" s="32" t="str">
        <f aca="false">IF(L26="","",IF(ABS(L26)&lt;=1.96*O26,"Yes","No"))</f>
        <v>Yes</v>
      </c>
      <c r="T26" s="66" t="n">
        <f aca="false">IF(D26="","",ROUND(SQRT(((D26+G26)*O26/100)^2+(J26*(D26+G26)*0.05464)^2),0))</f>
        <v>1700</v>
      </c>
      <c r="U26" s="32"/>
    </row>
    <row r="27" customFormat="false" ht="15" hidden="false" customHeight="false" outlineLevel="0" collapsed="false">
      <c r="A27" s="32" t="s">
        <v>219</v>
      </c>
      <c r="B27" s="32" t="s">
        <v>222</v>
      </c>
      <c r="C27" s="32" t="s">
        <v>191</v>
      </c>
      <c r="D27" s="66" t="n">
        <v>6604</v>
      </c>
      <c r="E27" s="66" t="n">
        <v>6612</v>
      </c>
      <c r="F27" s="77" t="n">
        <f aca="false">IF(E27="","",D27-E27)</f>
        <v>-8</v>
      </c>
      <c r="G27" s="66" t="n">
        <v>4036</v>
      </c>
      <c r="H27" s="66" t="n">
        <v>3834</v>
      </c>
      <c r="I27" s="77" t="n">
        <f aca="false">IF(H27="","",G27-H27)</f>
        <v>202</v>
      </c>
      <c r="J27" s="47" t="n">
        <f aca="false">IF(OR(D27="",D27+G27=0),"",D27/(D27+G27))</f>
        <v>0.620676691729323</v>
      </c>
      <c r="K27" s="47" t="n">
        <f aca="false">IF(E27="","",E27/(E27+H27))</f>
        <v>0.632969557725445</v>
      </c>
      <c r="L27" s="78" t="n">
        <f aca="false">IF(OR(K27="",J27=""),"",(J27-K27)*100)</f>
        <v>-1.22928659961219</v>
      </c>
      <c r="M27" s="36" t="n">
        <v>1.33503173282163</v>
      </c>
      <c r="N27" s="36" t="n">
        <v>1.22164882592069</v>
      </c>
      <c r="O27" s="36" t="n">
        <f aca="false">SQRT(M27^2+N27^2)</f>
        <v>1.80962304956422</v>
      </c>
      <c r="P27" s="47" t="n">
        <f aca="false">IF(J27="","",MAX(0,J27-1.96*O27/100))</f>
        <v>0.585208079957865</v>
      </c>
      <c r="Q27" s="47" t="n">
        <f aca="false">IF(J27="","",MIN(1,J27+1.96*O27/100))</f>
        <v>0.656145303500782</v>
      </c>
      <c r="R27" s="32" t="str">
        <f aca="false">IF(L27="","",IF(ABS(L27)&lt;=O27,"Yes","No"))</f>
        <v>Yes</v>
      </c>
      <c r="S27" s="32" t="str">
        <f aca="false">IF(L27="","",IF(ABS(L27)&lt;=1.96*O27,"Yes","No"))</f>
        <v>Yes</v>
      </c>
      <c r="T27" s="66" t="n">
        <f aca="false">IF(D27="","",ROUND(SQRT(((D27+G27)*O27/100)^2+(J27*(D27+G27)*0.05464)^2),0))</f>
        <v>409</v>
      </c>
      <c r="U27" s="32"/>
    </row>
    <row r="28" customFormat="false" ht="15" hidden="false" customHeight="false" outlineLevel="0" collapsed="false">
      <c r="A28" s="32" t="s">
        <v>219</v>
      </c>
      <c r="B28" s="32" t="s">
        <v>223</v>
      </c>
      <c r="C28" s="32" t="s">
        <v>191</v>
      </c>
      <c r="D28" s="66" t="n">
        <v>1581</v>
      </c>
      <c r="E28" s="66" t="n">
        <v>1560</v>
      </c>
      <c r="F28" s="77" t="n">
        <f aca="false">IF(E28="","",D28-E28)</f>
        <v>21</v>
      </c>
      <c r="G28" s="66" t="n">
        <v>1505</v>
      </c>
      <c r="H28" s="66" t="n">
        <v>1491</v>
      </c>
      <c r="I28" s="77" t="n">
        <f aca="false">IF(H28="","",G28-H28)</f>
        <v>14</v>
      </c>
      <c r="J28" s="47" t="n">
        <f aca="false">IF(OR(D28="",D28+G28=0),"",D28/(D28+G28))</f>
        <v>0.512313674659754</v>
      </c>
      <c r="K28" s="47" t="n">
        <f aca="false">IF(E28="","",E28/(E28+H28))</f>
        <v>0.511307767944936</v>
      </c>
      <c r="L28" s="78" t="n">
        <f aca="false">IF(OR(K28="",J28=""),"",(J28-K28)*100)</f>
        <v>0.100590671481771</v>
      </c>
      <c r="M28" s="36" t="n">
        <v>1.95188542073243</v>
      </c>
      <c r="N28" s="36" t="n">
        <v>1.22164882592069</v>
      </c>
      <c r="O28" s="36" t="n">
        <f aca="false">SQRT(M28^2+N28^2)</f>
        <v>2.30266857136263</v>
      </c>
      <c r="P28" s="47" t="n">
        <f aca="false">IF(J28="","",MAX(0,J28-1.96*O28/100))</f>
        <v>0.467181370661046</v>
      </c>
      <c r="Q28" s="47" t="n">
        <f aca="false">IF(J28="","",MIN(1,J28+1.96*O28/100))</f>
        <v>0.557445978658461</v>
      </c>
      <c r="R28" s="32" t="str">
        <f aca="false">IF(L28="","",IF(ABS(L28)&lt;=O28,"Yes","No"))</f>
        <v>Yes</v>
      </c>
      <c r="S28" s="32" t="str">
        <f aca="false">IF(L28="","",IF(ABS(L28)&lt;=1.96*O28,"Yes","No"))</f>
        <v>Yes</v>
      </c>
      <c r="T28" s="66" t="n">
        <f aca="false">IF(D28="","",ROUND(SQRT(((D28+G28)*O28/100)^2+(J28*(D28+G28)*0.06092)^2),0))</f>
        <v>120</v>
      </c>
      <c r="U28" s="32"/>
    </row>
    <row r="29" customFormat="false" ht="15" hidden="false" customHeight="false" outlineLevel="0" collapsed="false">
      <c r="A29" s="32" t="s">
        <v>219</v>
      </c>
      <c r="B29" s="32" t="s">
        <v>224</v>
      </c>
      <c r="C29" s="32" t="s">
        <v>191</v>
      </c>
      <c r="D29" s="66" t="n">
        <v>747</v>
      </c>
      <c r="E29" s="66" t="n">
        <v>735</v>
      </c>
      <c r="F29" s="77" t="n">
        <f aca="false">IF(E29="","",D29-E29)</f>
        <v>12</v>
      </c>
      <c r="G29" s="66" t="n">
        <v>824</v>
      </c>
      <c r="H29" s="66" t="n">
        <v>804</v>
      </c>
      <c r="I29" s="77" t="n">
        <f aca="false">IF(H29="","",G29-H29)</f>
        <v>20</v>
      </c>
      <c r="J29" s="47" t="n">
        <f aca="false">IF(OR(D29="",D29+G29=0),"",D29/(D29+G29))</f>
        <v>0.475493316359007</v>
      </c>
      <c r="K29" s="47" t="n">
        <f aca="false">IF(E29="","",E29/(E29+H29))</f>
        <v>0.477582846003899</v>
      </c>
      <c r="L29" s="78" t="n">
        <f aca="false">IF(OR(K29="",J29=""),"",(J29-K29)*100)</f>
        <v>-0.208952964489162</v>
      </c>
      <c r="M29" s="36" t="n">
        <v>1.95188542073243</v>
      </c>
      <c r="N29" s="36" t="n">
        <v>1.22164882592069</v>
      </c>
      <c r="O29" s="36" t="n">
        <f aca="false">SQRT(M29^2+N29^2)</f>
        <v>2.30266857136263</v>
      </c>
      <c r="P29" s="47" t="n">
        <f aca="false">IF(J29="","",MAX(0,J29-1.96*O29/100))</f>
        <v>0.430361012360299</v>
      </c>
      <c r="Q29" s="47" t="n">
        <f aca="false">IF(J29="","",MIN(1,J29+1.96*O29/100))</f>
        <v>0.520625620357715</v>
      </c>
      <c r="R29" s="32" t="str">
        <f aca="false">IF(L29="","",IF(ABS(L29)&lt;=O29,"Yes","No"))</f>
        <v>Yes</v>
      </c>
      <c r="S29" s="32" t="str">
        <f aca="false">IF(L29="","",IF(ABS(L29)&lt;=1.96*O29,"Yes","No"))</f>
        <v>Yes</v>
      </c>
      <c r="T29" s="66" t="n">
        <f aca="false">IF(D29="","",ROUND(SQRT(((D29+G29)*O29/100)^2+(J29*(D29+G29)*0.06092)^2),0))</f>
        <v>58</v>
      </c>
      <c r="U29" s="32"/>
    </row>
    <row r="30" customFormat="false" ht="15" hidden="false" customHeight="false" outlineLevel="0" collapsed="false">
      <c r="A30" s="32" t="s">
        <v>219</v>
      </c>
      <c r="B30" s="32" t="s">
        <v>225</v>
      </c>
      <c r="C30" s="32" t="s">
        <v>191</v>
      </c>
      <c r="D30" s="66" t="n">
        <v>940</v>
      </c>
      <c r="E30" s="66" t="n">
        <v>899</v>
      </c>
      <c r="F30" s="77" t="n">
        <f aca="false">IF(E30="","",D30-E30)</f>
        <v>41</v>
      </c>
      <c r="G30" s="66" t="n">
        <v>897</v>
      </c>
      <c r="H30" s="66" t="n">
        <v>898</v>
      </c>
      <c r="I30" s="77" t="n">
        <f aca="false">IF(H30="","",G30-H30)</f>
        <v>-1</v>
      </c>
      <c r="J30" s="47" t="n">
        <f aca="false">IF(OR(D30="",D30+G30=0),"",D30/(D30+G30))</f>
        <v>0.511703864997278</v>
      </c>
      <c r="K30" s="47" t="n">
        <f aca="false">IF(E30="","",E30/(E30+H30))</f>
        <v>0.500278241513634</v>
      </c>
      <c r="L30" s="78" t="n">
        <f aca="false">IF(OR(K30="",J30=""),"",(J30-K30)*100)</f>
        <v>1.14256234836443</v>
      </c>
      <c r="M30" s="36" t="n">
        <v>1.95188542073243</v>
      </c>
      <c r="N30" s="36" t="n">
        <v>1.22164882592069</v>
      </c>
      <c r="O30" s="36" t="n">
        <f aca="false">SQRT(M30^2+N30^2)</f>
        <v>2.30266857136263</v>
      </c>
      <c r="P30" s="47" t="n">
        <f aca="false">IF(J30="","",MAX(0,J30-1.96*O30/100))</f>
        <v>0.466571560998571</v>
      </c>
      <c r="Q30" s="47" t="n">
        <f aca="false">IF(J30="","",MIN(1,J30+1.96*O30/100))</f>
        <v>0.556836168995986</v>
      </c>
      <c r="R30" s="32" t="str">
        <f aca="false">IF(L30="","",IF(ABS(L30)&lt;=O30,"Yes","No"))</f>
        <v>Yes</v>
      </c>
      <c r="S30" s="32" t="str">
        <f aca="false">IF(L30="","",IF(ABS(L30)&lt;=1.96*O30,"Yes","No"))</f>
        <v>Yes</v>
      </c>
      <c r="T30" s="66" t="n">
        <f aca="false">IF(D30="","",ROUND(SQRT(((D30+G30)*O30/100)^2+(J30*(D30+G30)*0.06092)^2),0))</f>
        <v>71</v>
      </c>
      <c r="U30" s="32"/>
    </row>
    <row r="31" customFormat="false" ht="15" hidden="false" customHeight="false" outlineLevel="0" collapsed="false">
      <c r="A31" s="32" t="s">
        <v>219</v>
      </c>
      <c r="B31" s="32" t="s">
        <v>226</v>
      </c>
      <c r="C31" s="32" t="s">
        <v>191</v>
      </c>
      <c r="D31" s="66" t="n">
        <v>3561</v>
      </c>
      <c r="E31" s="66" t="n">
        <v>3663</v>
      </c>
      <c r="F31" s="77" t="n">
        <f aca="false">IF(E31="","",D31-E31)</f>
        <v>-102</v>
      </c>
      <c r="G31" s="66" t="n">
        <v>3297</v>
      </c>
      <c r="H31" s="66" t="n">
        <v>3236</v>
      </c>
      <c r="I31" s="77" t="n">
        <f aca="false">IF(H31="","",G31-H31)</f>
        <v>61</v>
      </c>
      <c r="J31" s="47" t="n">
        <f aca="false">IF(OR(D31="",D31+G31=0),"",D31/(D31+G31))</f>
        <v>0.519247594050744</v>
      </c>
      <c r="K31" s="47" t="n">
        <f aca="false">IF(E31="","",E31/(E31+H31))</f>
        <v>0.530946513987535</v>
      </c>
      <c r="L31" s="78" t="n">
        <f aca="false">IF(OR(K31="",J31=""),"",(J31-K31)*100)</f>
        <v>-1.16989199367908</v>
      </c>
      <c r="M31" s="36" t="n">
        <v>1.33503173282163</v>
      </c>
      <c r="N31" s="36" t="n">
        <v>1.22164882592069</v>
      </c>
      <c r="O31" s="36" t="n">
        <f aca="false">SQRT(M31^2+N31^2)</f>
        <v>1.80962304956422</v>
      </c>
      <c r="P31" s="47" t="n">
        <f aca="false">IF(J31="","",MAX(0,J31-1.96*O31/100))</f>
        <v>0.483778982279285</v>
      </c>
      <c r="Q31" s="47" t="n">
        <f aca="false">IF(J31="","",MIN(1,J31+1.96*O31/100))</f>
        <v>0.554716205822202</v>
      </c>
      <c r="R31" s="32" t="str">
        <f aca="false">IF(L31="","",IF(ABS(L31)&lt;=O31,"Yes","No"))</f>
        <v>Yes</v>
      </c>
      <c r="S31" s="32" t="str">
        <f aca="false">IF(L31="","",IF(ABS(L31)&lt;=1.96*O31,"Yes","No"))</f>
        <v>Yes</v>
      </c>
      <c r="T31" s="66" t="n">
        <f aca="false">IF(D31="","",ROUND(SQRT(((D31+G31)*O31/100)^2+(J31*(D31+G31)*0.05464)^2),0))</f>
        <v>231</v>
      </c>
      <c r="U31" s="32"/>
    </row>
    <row r="32" customFormat="false" ht="15" hidden="false" customHeight="false" outlineLevel="0" collapsed="false">
      <c r="A32" s="32" t="s">
        <v>219</v>
      </c>
      <c r="B32" s="32" t="s">
        <v>227</v>
      </c>
      <c r="C32" s="32" t="s">
        <v>191</v>
      </c>
      <c r="D32" s="66" t="n">
        <v>1551</v>
      </c>
      <c r="E32" s="66" t="n">
        <v>1433</v>
      </c>
      <c r="F32" s="77" t="n">
        <f aca="false">IF(E32="","",D32-E32)</f>
        <v>118</v>
      </c>
      <c r="G32" s="66" t="n">
        <v>790</v>
      </c>
      <c r="H32" s="66" t="n">
        <v>793</v>
      </c>
      <c r="I32" s="77" t="n">
        <f aca="false">IF(H32="","",G32-H32)</f>
        <v>-3</v>
      </c>
      <c r="J32" s="47" t="n">
        <f aca="false">IF(OR(D32="",D32+G32=0),"",D32/(D32+G32))</f>
        <v>0.662537377189235</v>
      </c>
      <c r="K32" s="47" t="n">
        <f aca="false">IF(E32="","",E32/(E32+H32))</f>
        <v>0.643755615453729</v>
      </c>
      <c r="L32" s="78" t="n">
        <f aca="false">IF(OR(K32="",J32=""),"",(J32-K32)*100)</f>
        <v>1.87817617355067</v>
      </c>
      <c r="M32" s="36" t="n">
        <v>1.95188542073243</v>
      </c>
      <c r="N32" s="36" t="n">
        <v>1.22164882592069</v>
      </c>
      <c r="O32" s="36" t="n">
        <f aca="false">SQRT(M32^2+N32^2)</f>
        <v>2.30266857136263</v>
      </c>
      <c r="P32" s="47" t="n">
        <f aca="false">IF(J32="","",MAX(0,J32-1.96*O32/100))</f>
        <v>0.617405073190528</v>
      </c>
      <c r="Q32" s="47" t="n">
        <f aca="false">IF(J32="","",MIN(1,J32+1.96*O32/100))</f>
        <v>0.707669681187943</v>
      </c>
      <c r="R32" s="32" t="str">
        <f aca="false">IF(L32="","",IF(ABS(L32)&lt;=O32,"Yes","No"))</f>
        <v>Yes</v>
      </c>
      <c r="S32" s="32" t="str">
        <f aca="false">IF(L32="","",IF(ABS(L32)&lt;=1.96*O32,"Yes","No"))</f>
        <v>Yes</v>
      </c>
      <c r="T32" s="66" t="n">
        <f aca="false">IF(D32="","",ROUND(SQRT(((D32+G32)*O32/100)^2+(J32*(D32+G32)*0.06092)^2),0))</f>
        <v>109</v>
      </c>
      <c r="U32" s="32"/>
    </row>
    <row r="33" customFormat="false" ht="15" hidden="false" customHeight="false" outlineLevel="0" collapsed="false">
      <c r="A33" s="32" t="s">
        <v>219</v>
      </c>
      <c r="B33" s="32" t="s">
        <v>228</v>
      </c>
      <c r="C33" s="32" t="s">
        <v>191</v>
      </c>
      <c r="D33" s="66" t="n">
        <v>396</v>
      </c>
      <c r="E33" s="66" t="n">
        <v>379</v>
      </c>
      <c r="F33" s="77" t="n">
        <f aca="false">IF(E33="","",D33-E33)</f>
        <v>17</v>
      </c>
      <c r="G33" s="66" t="n">
        <v>343</v>
      </c>
      <c r="H33" s="66" t="n">
        <v>330</v>
      </c>
      <c r="I33" s="77" t="n">
        <f aca="false">IF(H33="","",G33-H33)</f>
        <v>13</v>
      </c>
      <c r="J33" s="47" t="n">
        <f aca="false">IF(OR(D33="",D33+G33=0),"",D33/(D33+G33))</f>
        <v>0.535859269282815</v>
      </c>
      <c r="K33" s="47" t="n">
        <f aca="false">IF(E33="","",E33/(E33+H33))</f>
        <v>0.534555712270804</v>
      </c>
      <c r="L33" s="78" t="n">
        <f aca="false">IF(OR(K33="",J33=""),"",(J33-K33)*100)</f>
        <v>0.130355701201068</v>
      </c>
      <c r="M33" s="36" t="n">
        <v>2.91761619548126</v>
      </c>
      <c r="N33" s="36" t="n">
        <v>1.22164882592069</v>
      </c>
      <c r="O33" s="36" t="n">
        <f aca="false">SQRT(M33^2+N33^2)</f>
        <v>3.16305392271582</v>
      </c>
      <c r="P33" s="47" t="n">
        <f aca="false">IF(J33="","",MAX(0,J33-1.96*O33/100))</f>
        <v>0.473863412397584</v>
      </c>
      <c r="Q33" s="47" t="n">
        <f aca="false">IF(J33="","",MIN(1,J33+1.96*O33/100))</f>
        <v>0.597855126168045</v>
      </c>
      <c r="R33" s="32" t="str">
        <f aca="false">IF(L33="","",IF(ABS(L33)&lt;=O33,"Yes","No"))</f>
        <v>Yes</v>
      </c>
      <c r="S33" s="32" t="str">
        <f aca="false">IF(L33="","",IF(ABS(L33)&lt;=1.96*O33,"Yes","No"))</f>
        <v>Yes</v>
      </c>
      <c r="T33" s="66" t="n">
        <f aca="false">IF(D33="","",ROUND(SQRT(((D33+G33)*O33/100)^2+(J33*(D33+G33)*0.07859)^2),0))</f>
        <v>39</v>
      </c>
      <c r="U33" s="32"/>
    </row>
    <row r="34" customFormat="false" ht="15" hidden="false" customHeight="false" outlineLevel="0" collapsed="false">
      <c r="A34" s="32" t="s">
        <v>219</v>
      </c>
      <c r="B34" s="32" t="s">
        <v>229</v>
      </c>
      <c r="C34" s="32" t="s">
        <v>191</v>
      </c>
      <c r="D34" s="66" t="n">
        <v>638</v>
      </c>
      <c r="E34" s="66" t="n">
        <v>654</v>
      </c>
      <c r="F34" s="77" t="n">
        <f aca="false">IF(E34="","",D34-E34)</f>
        <v>-16</v>
      </c>
      <c r="G34" s="66" t="n">
        <v>1416</v>
      </c>
      <c r="H34" s="66" t="n">
        <v>1439</v>
      </c>
      <c r="I34" s="77" t="n">
        <f aca="false">IF(H34="","",G34-H34)</f>
        <v>-23</v>
      </c>
      <c r="J34" s="47" t="n">
        <f aca="false">IF(OR(D34="",D34+G34=0),"",D34/(D34+G34))</f>
        <v>0.310613437195716</v>
      </c>
      <c r="K34" s="47" t="n">
        <f aca="false">IF(E34="","",E34/(E34+H34))</f>
        <v>0.312470138557095</v>
      </c>
      <c r="L34" s="78" t="n">
        <f aca="false">IF(OR(K34="",J34=""),"",(J34-K34)*100)</f>
        <v>-0.185670136137944</v>
      </c>
      <c r="M34" s="36" t="n">
        <v>1.95188542073243</v>
      </c>
      <c r="N34" s="36" t="n">
        <v>1.22164882592069</v>
      </c>
      <c r="O34" s="36" t="n">
        <f aca="false">SQRT(M34^2+N34^2)</f>
        <v>2.30266857136263</v>
      </c>
      <c r="P34" s="47" t="n">
        <f aca="false">IF(J34="","",MAX(0,J34-1.96*O34/100))</f>
        <v>0.265481133197008</v>
      </c>
      <c r="Q34" s="47" t="n">
        <f aca="false">IF(J34="","",MIN(1,J34+1.96*O34/100))</f>
        <v>0.355745741194423</v>
      </c>
      <c r="R34" s="32" t="str">
        <f aca="false">IF(L34="","",IF(ABS(L34)&lt;=O34,"Yes","No"))</f>
        <v>Yes</v>
      </c>
      <c r="S34" s="32" t="str">
        <f aca="false">IF(L34="","",IF(ABS(L34)&lt;=1.96*O34,"Yes","No"))</f>
        <v>Yes</v>
      </c>
      <c r="T34" s="66" t="n">
        <f aca="false">IF(D34="","",ROUND(SQRT(((D34+G34)*O34/100)^2+(J34*(D34+G34)*0.06092)^2),0))</f>
        <v>61</v>
      </c>
      <c r="U34" s="32"/>
    </row>
    <row r="35" customFormat="false" ht="15" hidden="false" customHeight="false" outlineLevel="0" collapsed="false">
      <c r="A35" s="32" t="s">
        <v>219</v>
      </c>
      <c r="B35" s="32" t="s">
        <v>230</v>
      </c>
      <c r="C35" s="32" t="s">
        <v>191</v>
      </c>
      <c r="D35" s="66" t="n">
        <v>10074</v>
      </c>
      <c r="E35" s="66" t="n">
        <v>10021</v>
      </c>
      <c r="F35" s="77" t="n">
        <f aca="false">IF(E35="","",D35-E35)</f>
        <v>53</v>
      </c>
      <c r="G35" s="66" t="n">
        <v>10362</v>
      </c>
      <c r="H35" s="66" t="n">
        <v>10199</v>
      </c>
      <c r="I35" s="77" t="n">
        <f aca="false">IF(H35="","",G35-H35)</f>
        <v>163</v>
      </c>
      <c r="J35" s="47" t="n">
        <f aca="false">IF(OR(D35="",D35+G35=0),"",D35/(D35+G35))</f>
        <v>0.492953611274222</v>
      </c>
      <c r="K35" s="47" t="n">
        <f aca="false">IF(E35="","",E35/(E35+H35))</f>
        <v>0.495598417408506</v>
      </c>
      <c r="L35" s="78" t="n">
        <f aca="false">IF(OR(K35="",J35=""),"",(J35-K35)*100)</f>
        <v>-0.264480613428447</v>
      </c>
      <c r="M35" s="36" t="n">
        <v>1.33503173282163</v>
      </c>
      <c r="N35" s="36" t="n">
        <v>1.22164882592069</v>
      </c>
      <c r="O35" s="36" t="n">
        <f aca="false">SQRT(M35^2+N35^2)</f>
        <v>1.80962304956422</v>
      </c>
      <c r="P35" s="47" t="n">
        <f aca="false">IF(J35="","",MAX(0,J35-1.96*O35/100))</f>
        <v>0.457484999502763</v>
      </c>
      <c r="Q35" s="47" t="n">
        <f aca="false">IF(J35="","",MIN(1,J35+1.96*O35/100))</f>
        <v>0.528422223045681</v>
      </c>
      <c r="R35" s="32" t="str">
        <f aca="false">IF(L35="","",IF(ABS(L35)&lt;=O35,"Yes","No"))</f>
        <v>Yes</v>
      </c>
      <c r="S35" s="32" t="str">
        <f aca="false">IF(L35="","",IF(ABS(L35)&lt;=1.96*O35,"Yes","No"))</f>
        <v>Yes</v>
      </c>
      <c r="T35" s="66" t="n">
        <f aca="false">IF(D35="","",ROUND(SQRT(((D35+G35)*O35/100)^2+(J35*(D35+G35)*0.05464)^2),0))</f>
        <v>663</v>
      </c>
      <c r="U35" s="32"/>
    </row>
    <row r="36" customFormat="false" ht="15" hidden="false" customHeight="false" outlineLevel="0" collapsed="false">
      <c r="A36" s="32" t="s">
        <v>219</v>
      </c>
      <c r="B36" s="32" t="s">
        <v>231</v>
      </c>
      <c r="C36" s="32" t="s">
        <v>191</v>
      </c>
      <c r="D36" s="66" t="n">
        <v>910</v>
      </c>
      <c r="E36" s="66" t="n">
        <v>985</v>
      </c>
      <c r="F36" s="77" t="n">
        <f aca="false">IF(E36="","",D36-E36)</f>
        <v>-75</v>
      </c>
      <c r="G36" s="66" t="n">
        <v>1691</v>
      </c>
      <c r="H36" s="66" t="n">
        <v>1586</v>
      </c>
      <c r="I36" s="77" t="n">
        <f aca="false">IF(H36="","",G36-H36)</f>
        <v>105</v>
      </c>
      <c r="J36" s="47" t="n">
        <f aca="false">IF(OR(D36="",D36+G36=0),"",D36/(D36+G36))</f>
        <v>0.349865436370627</v>
      </c>
      <c r="K36" s="47" t="n">
        <f aca="false">IF(E36="","",E36/(E36+H36))</f>
        <v>0.383119408790354</v>
      </c>
      <c r="L36" s="78" t="n">
        <f aca="false">IF(OR(K36="",J36=""),"",(J36-K36)*100)</f>
        <v>-3.32539724197273</v>
      </c>
      <c r="M36" s="36" t="n">
        <v>1.95188542073243</v>
      </c>
      <c r="N36" s="36" t="n">
        <v>1.22164882592069</v>
      </c>
      <c r="O36" s="36" t="n">
        <f aca="false">SQRT(M36^2+N36^2)</f>
        <v>2.30266857136263</v>
      </c>
      <c r="P36" s="47" t="n">
        <f aca="false">IF(J36="","",MAX(0,J36-1.96*O36/100))</f>
        <v>0.304733132371919</v>
      </c>
      <c r="Q36" s="47" t="n">
        <f aca="false">IF(J36="","",MIN(1,J36+1.96*O36/100))</f>
        <v>0.394997740369334</v>
      </c>
      <c r="R36" s="32" t="str">
        <f aca="false">IF(L36="","",IF(ABS(L36)&lt;=O36,"Yes","No"))</f>
        <v>No</v>
      </c>
      <c r="S36" s="32" t="str">
        <f aca="false">IF(L36="","",IF(ABS(L36)&lt;=1.96*O36,"Yes","No"))</f>
        <v>Yes</v>
      </c>
      <c r="T36" s="66" t="n">
        <f aca="false">IF(D36="","",ROUND(SQRT(((D36+G36)*O36/100)^2+(J36*(D36+G36)*0.06092)^2),0))</f>
        <v>82</v>
      </c>
      <c r="U36" s="32"/>
    </row>
    <row r="37" customFormat="false" ht="15" hidden="false" customHeight="false" outlineLevel="0" collapsed="false">
      <c r="A37" s="32" t="s">
        <v>219</v>
      </c>
      <c r="B37" s="32" t="s">
        <v>232</v>
      </c>
      <c r="C37" s="32" t="s">
        <v>191</v>
      </c>
      <c r="D37" s="66" t="n">
        <v>532</v>
      </c>
      <c r="E37" s="66" t="n">
        <v>543</v>
      </c>
      <c r="F37" s="77" t="n">
        <f aca="false">IF(E37="","",D37-E37)</f>
        <v>-11</v>
      </c>
      <c r="G37" s="66" t="n">
        <v>1031</v>
      </c>
      <c r="H37" s="66" t="n">
        <v>990</v>
      </c>
      <c r="I37" s="77" t="n">
        <f aca="false">IF(H37="","",G37-H37)</f>
        <v>41</v>
      </c>
      <c r="J37" s="47" t="n">
        <f aca="false">IF(OR(D37="",D37+G37=0),"",D37/(D37+G37))</f>
        <v>0.340371081253999</v>
      </c>
      <c r="K37" s="47" t="n">
        <f aca="false">IF(E37="","",E37/(E37+H37))</f>
        <v>0.354207436399217</v>
      </c>
      <c r="L37" s="78" t="n">
        <f aca="false">IF(OR(K37="",J37=""),"",(J37-K37)*100)</f>
        <v>-1.38363551452185</v>
      </c>
      <c r="M37" s="36" t="n">
        <v>1.95188542073243</v>
      </c>
      <c r="N37" s="36" t="n">
        <v>1.22164882592069</v>
      </c>
      <c r="O37" s="36" t="n">
        <f aca="false">SQRT(M37^2+N37^2)</f>
        <v>2.30266857136263</v>
      </c>
      <c r="P37" s="47" t="n">
        <f aca="false">IF(J37="","",MAX(0,J37-1.96*O37/100))</f>
        <v>0.295238777255291</v>
      </c>
      <c r="Q37" s="47" t="n">
        <f aca="false">IF(J37="","",MIN(1,J37+1.96*O37/100))</f>
        <v>0.385503385252706</v>
      </c>
      <c r="R37" s="32" t="str">
        <f aca="false">IF(L37="","",IF(ABS(L37)&lt;=O37,"Yes","No"))</f>
        <v>Yes</v>
      </c>
      <c r="S37" s="32" t="str">
        <f aca="false">IF(L37="","",IF(ABS(L37)&lt;=1.96*O37,"Yes","No"))</f>
        <v>Yes</v>
      </c>
      <c r="T37" s="66" t="n">
        <f aca="false">IF(D37="","",ROUND(SQRT(((D37+G37)*O37/100)^2+(J37*(D37+G37)*0.06092)^2),0))</f>
        <v>48</v>
      </c>
      <c r="U37" s="32"/>
    </row>
    <row r="38" customFormat="false" ht="15" hidden="false" customHeight="false" outlineLevel="0" collapsed="false">
      <c r="A38" s="32" t="s">
        <v>219</v>
      </c>
      <c r="B38" s="32" t="s">
        <v>233</v>
      </c>
      <c r="C38" s="32" t="s">
        <v>191</v>
      </c>
      <c r="D38" s="66" t="n">
        <v>835</v>
      </c>
      <c r="E38" s="66" t="n">
        <v>850</v>
      </c>
      <c r="F38" s="77" t="n">
        <f aca="false">IF(E38="","",D38-E38)</f>
        <v>-15</v>
      </c>
      <c r="G38" s="66" t="n">
        <v>1864</v>
      </c>
      <c r="H38" s="66" t="n">
        <v>1856</v>
      </c>
      <c r="I38" s="77" t="n">
        <f aca="false">IF(H38="","",G38-H38)</f>
        <v>8</v>
      </c>
      <c r="J38" s="47" t="n">
        <f aca="false">IF(OR(D38="",D38+G38=0),"",D38/(D38+G38))</f>
        <v>0.309373842163764</v>
      </c>
      <c r="K38" s="47" t="n">
        <f aca="false">IF(E38="","",E38/(E38+H38))</f>
        <v>0.314116777531412</v>
      </c>
      <c r="L38" s="78" t="n">
        <f aca="false">IF(OR(K38="",J38=""),"",(J38-K38)*100)</f>
        <v>-0.474293536764731</v>
      </c>
      <c r="M38" s="36" t="n">
        <v>1.95188542073243</v>
      </c>
      <c r="N38" s="36" t="n">
        <v>1.22164882592069</v>
      </c>
      <c r="O38" s="36" t="n">
        <f aca="false">SQRT(M38^2+N38^2)</f>
        <v>2.30266857136263</v>
      </c>
      <c r="P38" s="47" t="n">
        <f aca="false">IF(J38="","",MAX(0,J38-1.96*O38/100))</f>
        <v>0.264241538165057</v>
      </c>
      <c r="Q38" s="47" t="n">
        <f aca="false">IF(J38="","",MIN(1,J38+1.96*O38/100))</f>
        <v>0.354506146162472</v>
      </c>
      <c r="R38" s="32" t="str">
        <f aca="false">IF(L38="","",IF(ABS(L38)&lt;=O38,"Yes","No"))</f>
        <v>Yes</v>
      </c>
      <c r="S38" s="32" t="str">
        <f aca="false">IF(L38="","",IF(ABS(L38)&lt;=1.96*O38,"Yes","No"))</f>
        <v>Yes</v>
      </c>
      <c r="T38" s="66" t="n">
        <f aca="false">IF(D38="","",ROUND(SQRT(((D38+G38)*O38/100)^2+(J38*(D38+G38)*0.06092)^2),0))</f>
        <v>80</v>
      </c>
      <c r="U38" s="32"/>
    </row>
    <row r="39" customFormat="false" ht="15" hidden="false" customHeight="false" outlineLevel="0" collapsed="false">
      <c r="A39" s="32" t="s">
        <v>219</v>
      </c>
      <c r="B39" s="32" t="s">
        <v>234</v>
      </c>
      <c r="C39" s="32" t="s">
        <v>191</v>
      </c>
      <c r="D39" s="66" t="n">
        <v>974</v>
      </c>
      <c r="E39" s="66" t="n">
        <v>980</v>
      </c>
      <c r="F39" s="77" t="n">
        <f aca="false">IF(E39="","",D39-E39)</f>
        <v>-6</v>
      </c>
      <c r="G39" s="66" t="n">
        <v>919</v>
      </c>
      <c r="H39" s="66" t="n">
        <v>872</v>
      </c>
      <c r="I39" s="77" t="n">
        <f aca="false">IF(H39="","",G39-H39)</f>
        <v>47</v>
      </c>
      <c r="J39" s="47" t="n">
        <f aca="false">IF(OR(D39="",D39+G39=0),"",D39/(D39+G39))</f>
        <v>0.514527205493925</v>
      </c>
      <c r="K39" s="47" t="n">
        <f aca="false">IF(E39="","",E39/(E39+H39))</f>
        <v>0.529157667386609</v>
      </c>
      <c r="L39" s="78" t="n">
        <f aca="false">IF(OR(K39="",J39=""),"",(J39-K39)*100)</f>
        <v>-1.46304618926841</v>
      </c>
      <c r="M39" s="36" t="n">
        <v>1.95188542073243</v>
      </c>
      <c r="N39" s="36" t="n">
        <v>1.22164882592069</v>
      </c>
      <c r="O39" s="36" t="n">
        <f aca="false">SQRT(M39^2+N39^2)</f>
        <v>2.30266857136263</v>
      </c>
      <c r="P39" s="47" t="n">
        <f aca="false">IF(J39="","",MAX(0,J39-1.96*O39/100))</f>
        <v>0.469394901495217</v>
      </c>
      <c r="Q39" s="47" t="n">
        <f aca="false">IF(J39="","",MIN(1,J39+1.96*O39/100))</f>
        <v>0.559659509492632</v>
      </c>
      <c r="R39" s="32" t="str">
        <f aca="false">IF(L39="","",IF(ABS(L39)&lt;=O39,"Yes","No"))</f>
        <v>Yes</v>
      </c>
      <c r="S39" s="32" t="str">
        <f aca="false">IF(L39="","",IF(ABS(L39)&lt;=1.96*O39,"Yes","No"))</f>
        <v>Yes</v>
      </c>
      <c r="T39" s="66" t="n">
        <f aca="false">IF(D39="","",ROUND(SQRT(((D39+G39)*O39/100)^2+(J39*(D39+G39)*0.06092)^2),0))</f>
        <v>74</v>
      </c>
      <c r="U39" s="32"/>
    </row>
    <row r="40" customFormat="false" ht="15" hidden="false" customHeight="false" outlineLevel="0" collapsed="false">
      <c r="A40" s="32" t="s">
        <v>219</v>
      </c>
      <c r="B40" s="32" t="s">
        <v>235</v>
      </c>
      <c r="C40" s="32" t="s">
        <v>191</v>
      </c>
      <c r="D40" s="66" t="n">
        <v>3936</v>
      </c>
      <c r="E40" s="66" t="n">
        <v>4022</v>
      </c>
      <c r="F40" s="77" t="n">
        <f aca="false">IF(E40="","",D40-E40)</f>
        <v>-86</v>
      </c>
      <c r="G40" s="66" t="n">
        <v>6101</v>
      </c>
      <c r="H40" s="66" t="n">
        <v>5915</v>
      </c>
      <c r="I40" s="77" t="n">
        <f aca="false">IF(H40="","",G40-H40)</f>
        <v>186</v>
      </c>
      <c r="J40" s="47" t="n">
        <f aca="false">IF(OR(D40="",D40+G40=0),"",D40/(D40+G40))</f>
        <v>0.392149048520474</v>
      </c>
      <c r="K40" s="47" t="n">
        <f aca="false">IF(E40="","",E40/(E40+H40))</f>
        <v>0.404749924524504</v>
      </c>
      <c r="L40" s="78" t="n">
        <f aca="false">IF(OR(K40="",J40=""),"",(J40-K40)*100)</f>
        <v>-1.26008760040301</v>
      </c>
      <c r="M40" s="36" t="n">
        <v>1.33503173282163</v>
      </c>
      <c r="N40" s="36" t="n">
        <v>1.22164882592069</v>
      </c>
      <c r="O40" s="36" t="n">
        <f aca="false">SQRT(M40^2+N40^2)</f>
        <v>1.80962304956422</v>
      </c>
      <c r="P40" s="47" t="n">
        <f aca="false">IF(J40="","",MAX(0,J40-1.96*O40/100))</f>
        <v>0.356680436749015</v>
      </c>
      <c r="Q40" s="47" t="n">
        <f aca="false">IF(J40="","",MIN(1,J40+1.96*O40/100))</f>
        <v>0.427617660291933</v>
      </c>
      <c r="R40" s="32" t="str">
        <f aca="false">IF(L40="","",IF(ABS(L40)&lt;=O40,"Yes","No"))</f>
        <v>Yes</v>
      </c>
      <c r="S40" s="32" t="str">
        <f aca="false">IF(L40="","",IF(ABS(L40)&lt;=1.96*O40,"Yes","No"))</f>
        <v>Yes</v>
      </c>
      <c r="T40" s="66" t="n">
        <f aca="false">IF(D40="","",ROUND(SQRT(((D40+G40)*O40/100)^2+(J40*(D40+G40)*0.05464)^2),0))</f>
        <v>281</v>
      </c>
      <c r="U40" s="32"/>
    </row>
    <row r="41" customFormat="false" ht="15" hidden="false" customHeight="false" outlineLevel="0" collapsed="false">
      <c r="A41" s="32" t="s">
        <v>219</v>
      </c>
      <c r="B41" s="32" t="s">
        <v>236</v>
      </c>
      <c r="C41" s="32" t="s">
        <v>191</v>
      </c>
      <c r="D41" s="66" t="n">
        <v>3942</v>
      </c>
      <c r="E41" s="66" t="n">
        <v>4010</v>
      </c>
      <c r="F41" s="77" t="n">
        <f aca="false">IF(E41="","",D41-E41)</f>
        <v>-68</v>
      </c>
      <c r="G41" s="66" t="n">
        <v>4224</v>
      </c>
      <c r="H41" s="66" t="n">
        <v>4104</v>
      </c>
      <c r="I41" s="77" t="n">
        <f aca="false">IF(H41="","",G41-H41)</f>
        <v>120</v>
      </c>
      <c r="J41" s="47" t="n">
        <f aca="false">IF(OR(D41="",D41+G41=0),"",D41/(D41+G41))</f>
        <v>0.482733284349743</v>
      </c>
      <c r="K41" s="47" t="n">
        <f aca="false">IF(E41="","",E41/(E41+H41))</f>
        <v>0.494207542519103</v>
      </c>
      <c r="L41" s="78" t="n">
        <f aca="false">IF(OR(K41="",J41=""),"",(J41-K41)*100)</f>
        <v>-1.14742581693599</v>
      </c>
      <c r="M41" s="36" t="n">
        <v>1.33503173282163</v>
      </c>
      <c r="N41" s="36" t="n">
        <v>1.22164882592069</v>
      </c>
      <c r="O41" s="36" t="n">
        <f aca="false">SQRT(M41^2+N41^2)</f>
        <v>1.80962304956422</v>
      </c>
      <c r="P41" s="47" t="n">
        <f aca="false">IF(J41="","",MAX(0,J41-1.96*O41/100))</f>
        <v>0.447264672578284</v>
      </c>
      <c r="Q41" s="47" t="n">
        <f aca="false">IF(J41="","",MIN(1,J41+1.96*O41/100))</f>
        <v>0.518201896121202</v>
      </c>
      <c r="R41" s="32" t="str">
        <f aca="false">IF(L41="","",IF(ABS(L41)&lt;=O41,"Yes","No"))</f>
        <v>Yes</v>
      </c>
      <c r="S41" s="32" t="str">
        <f aca="false">IF(L41="","",IF(ABS(L41)&lt;=1.96*O41,"Yes","No"))</f>
        <v>Yes</v>
      </c>
      <c r="T41" s="66" t="n">
        <f aca="false">IF(D41="","",ROUND(SQRT(((D41+G41)*O41/100)^2+(J41*(D41+G41)*0.05464)^2),0))</f>
        <v>261</v>
      </c>
      <c r="U41" s="32"/>
    </row>
    <row r="42" customFormat="false" ht="15" hidden="false" customHeight="false" outlineLevel="0" collapsed="false">
      <c r="A42" s="32" t="s">
        <v>219</v>
      </c>
      <c r="B42" s="32" t="s">
        <v>237</v>
      </c>
      <c r="C42" s="32" t="s">
        <v>191</v>
      </c>
      <c r="D42" s="66" t="n">
        <v>831</v>
      </c>
      <c r="E42" s="66" t="n">
        <v>800</v>
      </c>
      <c r="F42" s="77" t="n">
        <f aca="false">IF(E42="","",D42-E42)</f>
        <v>31</v>
      </c>
      <c r="G42" s="66" t="n">
        <v>1167</v>
      </c>
      <c r="H42" s="66" t="n">
        <v>1156</v>
      </c>
      <c r="I42" s="77" t="n">
        <f aca="false">IF(H42="","",G42-H42)</f>
        <v>11</v>
      </c>
      <c r="J42" s="47" t="n">
        <f aca="false">IF(OR(D42="",D42+G42=0),"",D42/(D42+G42))</f>
        <v>0.415915915915916</v>
      </c>
      <c r="K42" s="47" t="n">
        <f aca="false">IF(E42="","",E42/(E42+H42))</f>
        <v>0.408997955010225</v>
      </c>
      <c r="L42" s="78" t="n">
        <f aca="false">IF(OR(K42="",J42=""),"",(J42-K42)*100)</f>
        <v>0.691796090569097</v>
      </c>
      <c r="M42" s="36" t="n">
        <v>1.95188542073243</v>
      </c>
      <c r="N42" s="36" t="n">
        <v>1.22164882592069</v>
      </c>
      <c r="O42" s="36" t="n">
        <f aca="false">SQRT(M42^2+N42^2)</f>
        <v>2.30266857136263</v>
      </c>
      <c r="P42" s="47" t="n">
        <f aca="false">IF(J42="","",MAX(0,J42-1.96*O42/100))</f>
        <v>0.370783611917208</v>
      </c>
      <c r="Q42" s="47" t="n">
        <f aca="false">IF(J42="","",MIN(1,J42+1.96*O42/100))</f>
        <v>0.461048219914623</v>
      </c>
      <c r="R42" s="32" t="str">
        <f aca="false">IF(L42="","",IF(ABS(L42)&lt;=O42,"Yes","No"))</f>
        <v>Yes</v>
      </c>
      <c r="S42" s="32" t="str">
        <f aca="false">IF(L42="","",IF(ABS(L42)&lt;=1.96*O42,"Yes","No"))</f>
        <v>Yes</v>
      </c>
      <c r="T42" s="66" t="n">
        <f aca="false">IF(D42="","",ROUND(SQRT(((D42+G42)*O42/100)^2+(J42*(D42+G42)*0.06092)^2),0))</f>
        <v>68</v>
      </c>
      <c r="U42" s="32"/>
    </row>
    <row r="43" customFormat="false" ht="15" hidden="false" customHeight="false" outlineLevel="0" collapsed="false">
      <c r="A43" s="32" t="s">
        <v>219</v>
      </c>
      <c r="B43" s="32" t="s">
        <v>238</v>
      </c>
      <c r="C43" s="32" t="s">
        <v>191</v>
      </c>
      <c r="D43" s="66" t="n">
        <v>6870</v>
      </c>
      <c r="E43" s="66" t="n">
        <v>7019</v>
      </c>
      <c r="F43" s="77" t="n">
        <f aca="false">IF(E43="","",D43-E43)</f>
        <v>-149</v>
      </c>
      <c r="G43" s="66" t="n">
        <v>6328</v>
      </c>
      <c r="H43" s="66" t="n">
        <v>6110</v>
      </c>
      <c r="I43" s="77" t="n">
        <f aca="false">IF(H43="","",G43-H43)</f>
        <v>218</v>
      </c>
      <c r="J43" s="47" t="n">
        <f aca="false">IF(OR(D43="",D43+G43=0),"",D43/(D43+G43))</f>
        <v>0.52053341415366</v>
      </c>
      <c r="K43" s="47" t="n">
        <f aca="false">IF(E43="","",E43/(E43+H43))</f>
        <v>0.534618021174499</v>
      </c>
      <c r="L43" s="78" t="n">
        <f aca="false">IF(OR(K43="",J43=""),"",(J43-K43)*100)</f>
        <v>-1.40846070208396</v>
      </c>
      <c r="M43" s="36" t="n">
        <v>1.33503173282163</v>
      </c>
      <c r="N43" s="36" t="n">
        <v>1.22164882592069</v>
      </c>
      <c r="O43" s="36" t="n">
        <f aca="false">SQRT(M43^2+N43^2)</f>
        <v>1.80962304956422</v>
      </c>
      <c r="P43" s="47" t="n">
        <f aca="false">IF(J43="","",MAX(0,J43-1.96*O43/100))</f>
        <v>0.485064802382201</v>
      </c>
      <c r="Q43" s="47" t="n">
        <f aca="false">IF(J43="","",MIN(1,J43+1.96*O43/100))</f>
        <v>0.556002025925118</v>
      </c>
      <c r="R43" s="32" t="str">
        <f aca="false">IF(L43="","",IF(ABS(L43)&lt;=O43,"Yes","No"))</f>
        <v>Yes</v>
      </c>
      <c r="S43" s="32" t="str">
        <f aca="false">IF(L43="","",IF(ABS(L43)&lt;=1.96*O43,"Yes","No"))</f>
        <v>Yes</v>
      </c>
      <c r="T43" s="66" t="n">
        <f aca="false">IF(D43="","",ROUND(SQRT(((D43+G43)*O43/100)^2+(J43*(D43+G43)*0.05464)^2),0))</f>
        <v>445</v>
      </c>
      <c r="U43" s="32"/>
    </row>
    <row r="44" customFormat="false" ht="15" hidden="false" customHeight="false" outlineLevel="0" collapsed="false">
      <c r="A44" s="32" t="s">
        <v>219</v>
      </c>
      <c r="B44" s="32" t="s">
        <v>239</v>
      </c>
      <c r="C44" s="32" t="s">
        <v>191</v>
      </c>
      <c r="D44" s="66" t="n">
        <v>8196</v>
      </c>
      <c r="E44" s="66" t="n">
        <v>8020</v>
      </c>
      <c r="F44" s="77" t="n">
        <f aca="false">IF(E44="","",D44-E44)</f>
        <v>176</v>
      </c>
      <c r="G44" s="66" t="n">
        <v>7764</v>
      </c>
      <c r="H44" s="66" t="n">
        <v>7607</v>
      </c>
      <c r="I44" s="77" t="n">
        <f aca="false">IF(H44="","",G44-H44)</f>
        <v>157</v>
      </c>
      <c r="J44" s="47" t="n">
        <f aca="false">IF(OR(D44="",D44+G44=0),"",D44/(D44+G44))</f>
        <v>0.513533834586466</v>
      </c>
      <c r="K44" s="47" t="n">
        <f aca="false">IF(E44="","",E44/(E44+H44))</f>
        <v>0.513214308568503</v>
      </c>
      <c r="L44" s="78" t="n">
        <f aca="false">IF(OR(K44="",J44=""),"",(J44-K44)*100)</f>
        <v>0.0319526017962923</v>
      </c>
      <c r="M44" s="36" t="n">
        <v>1.33503173282163</v>
      </c>
      <c r="N44" s="36" t="n">
        <v>1.22164882592069</v>
      </c>
      <c r="O44" s="36" t="n">
        <f aca="false">SQRT(M44^2+N44^2)</f>
        <v>1.80962304956422</v>
      </c>
      <c r="P44" s="47" t="n">
        <f aca="false">IF(J44="","",MAX(0,J44-1.96*O44/100))</f>
        <v>0.478065222815007</v>
      </c>
      <c r="Q44" s="47" t="n">
        <f aca="false">IF(J44="","",MIN(1,J44+1.96*O44/100))</f>
        <v>0.549002446357925</v>
      </c>
      <c r="R44" s="32" t="str">
        <f aca="false">IF(L44="","",IF(ABS(L44)&lt;=O44,"Yes","No"))</f>
        <v>Yes</v>
      </c>
      <c r="S44" s="32" t="str">
        <f aca="false">IF(L44="","",IF(ABS(L44)&lt;=1.96*O44,"Yes","No"))</f>
        <v>Yes</v>
      </c>
      <c r="T44" s="66" t="n">
        <f aca="false">IF(D44="","",ROUND(SQRT(((D44+G44)*O44/100)^2+(J44*(D44+G44)*0.05464)^2),0))</f>
        <v>533</v>
      </c>
      <c r="U44" s="32"/>
    </row>
    <row r="45" customFormat="false" ht="15" hidden="false" customHeight="false" outlineLevel="0" collapsed="false">
      <c r="A45" s="32" t="s">
        <v>219</v>
      </c>
      <c r="B45" s="32" t="s">
        <v>240</v>
      </c>
      <c r="C45" s="32" t="s">
        <v>191</v>
      </c>
      <c r="D45" s="66" t="n">
        <v>2254</v>
      </c>
      <c r="E45" s="66" t="n">
        <v>2380</v>
      </c>
      <c r="F45" s="77" t="n">
        <f aca="false">IF(E45="","",D45-E45)</f>
        <v>-126</v>
      </c>
      <c r="G45" s="66" t="n">
        <v>3200</v>
      </c>
      <c r="H45" s="66" t="n">
        <v>3135</v>
      </c>
      <c r="I45" s="77" t="n">
        <f aca="false">IF(H45="","",G45-H45)</f>
        <v>65</v>
      </c>
      <c r="J45" s="47" t="n">
        <f aca="false">IF(OR(D45="",D45+G45=0),"",D45/(D45+G45))</f>
        <v>0.413274660799413</v>
      </c>
      <c r="K45" s="47" t="n">
        <f aca="false">IF(E45="","",E45/(E45+H45))</f>
        <v>0.43155031731641</v>
      </c>
      <c r="L45" s="78" t="n">
        <f aca="false">IF(OR(K45="",J45=""),"",(J45-K45)*100)</f>
        <v>-1.82756565169965</v>
      </c>
      <c r="M45" s="36" t="n">
        <v>1.33503173282163</v>
      </c>
      <c r="N45" s="36" t="n">
        <v>1.22164882592069</v>
      </c>
      <c r="O45" s="36" t="n">
        <f aca="false">SQRT(M45^2+N45^2)</f>
        <v>1.80962304956422</v>
      </c>
      <c r="P45" s="47" t="n">
        <f aca="false">IF(J45="","",MAX(0,J45-1.96*O45/100))</f>
        <v>0.377806049027954</v>
      </c>
      <c r="Q45" s="47" t="n">
        <f aca="false">IF(J45="","",MIN(1,J45+1.96*O45/100))</f>
        <v>0.448743272570872</v>
      </c>
      <c r="R45" s="32" t="str">
        <f aca="false">IF(L45="","",IF(ABS(L45)&lt;=O45,"Yes","No"))</f>
        <v>No</v>
      </c>
      <c r="S45" s="32" t="str">
        <f aca="false">IF(L45="","",IF(ABS(L45)&lt;=1.96*O45,"Yes","No"))</f>
        <v>Yes</v>
      </c>
      <c r="T45" s="66" t="n">
        <f aca="false">IF(D45="","",ROUND(SQRT(((D45+G45)*O45/100)^2+(J45*(D45+G45)*0.05464)^2),0))</f>
        <v>158</v>
      </c>
      <c r="U45" s="32"/>
    </row>
    <row r="46" customFormat="false" ht="15" hidden="false" customHeight="false" outlineLevel="0" collapsed="false">
      <c r="A46" s="32" t="s">
        <v>219</v>
      </c>
      <c r="B46" s="32" t="s">
        <v>241</v>
      </c>
      <c r="C46" s="32" t="s">
        <v>191</v>
      </c>
      <c r="D46" s="66" t="n">
        <v>5241</v>
      </c>
      <c r="E46" s="66" t="n">
        <v>5462</v>
      </c>
      <c r="F46" s="77" t="n">
        <f aca="false">IF(E46="","",D46-E46)</f>
        <v>-221</v>
      </c>
      <c r="G46" s="66" t="n">
        <v>5945</v>
      </c>
      <c r="H46" s="66" t="n">
        <v>5740</v>
      </c>
      <c r="I46" s="77" t="n">
        <f aca="false">IF(H46="","",G46-H46)</f>
        <v>205</v>
      </c>
      <c r="J46" s="47" t="n">
        <f aca="false">IF(OR(D46="",D46+G46=0),"",D46/(D46+G46))</f>
        <v>0.468532093688539</v>
      </c>
      <c r="K46" s="47" t="n">
        <f aca="false">IF(E46="","",E46/(E46+H46))</f>
        <v>0.487591501517586</v>
      </c>
      <c r="L46" s="78" t="n">
        <f aca="false">IF(OR(K46="",J46=""),"",(J46-K46)*100)</f>
        <v>-1.90594078290469</v>
      </c>
      <c r="M46" s="36" t="n">
        <v>1.33503173282163</v>
      </c>
      <c r="N46" s="36" t="n">
        <v>1.22164882592069</v>
      </c>
      <c r="O46" s="36" t="n">
        <f aca="false">SQRT(M46^2+N46^2)</f>
        <v>1.80962304956422</v>
      </c>
      <c r="P46" s="47" t="n">
        <f aca="false">IF(J46="","",MAX(0,J46-1.96*O46/100))</f>
        <v>0.43306348191708</v>
      </c>
      <c r="Q46" s="47" t="n">
        <f aca="false">IF(J46="","",MIN(1,J46+1.96*O46/100))</f>
        <v>0.504000705459998</v>
      </c>
      <c r="R46" s="32" t="str">
        <f aca="false">IF(L46="","",IF(ABS(L46)&lt;=O46,"Yes","No"))</f>
        <v>No</v>
      </c>
      <c r="S46" s="32" t="str">
        <f aca="false">IF(L46="","",IF(ABS(L46)&lt;=1.96*O46,"Yes","No"))</f>
        <v>Yes</v>
      </c>
      <c r="T46" s="66" t="n">
        <f aca="false">IF(D46="","",ROUND(SQRT(((D46+G46)*O46/100)^2+(J46*(D46+G46)*0.05464)^2),0))</f>
        <v>351</v>
      </c>
      <c r="U46" s="32"/>
    </row>
    <row r="47" customFormat="false" ht="15" hidden="false" customHeight="false" outlineLevel="0" collapsed="false">
      <c r="A47" s="32" t="s">
        <v>219</v>
      </c>
      <c r="B47" s="32" t="s">
        <v>242</v>
      </c>
      <c r="C47" s="32" t="s">
        <v>191</v>
      </c>
      <c r="D47" s="66" t="n">
        <v>1246</v>
      </c>
      <c r="E47" s="66" t="n">
        <v>1266</v>
      </c>
      <c r="F47" s="77" t="n">
        <f aca="false">IF(E47="","",D47-E47)</f>
        <v>-20</v>
      </c>
      <c r="G47" s="66" t="n">
        <v>2687</v>
      </c>
      <c r="H47" s="66" t="n">
        <v>2669</v>
      </c>
      <c r="I47" s="77" t="n">
        <f aca="false">IF(H47="","",G47-H47)</f>
        <v>18</v>
      </c>
      <c r="J47" s="47" t="n">
        <f aca="false">IF(OR(D47="",D47+G47=0),"",D47/(D47+G47))</f>
        <v>0.316806509026189</v>
      </c>
      <c r="K47" s="47" t="n">
        <f aca="false">IF(E47="","",E47/(E47+H47))</f>
        <v>0.321728081321474</v>
      </c>
      <c r="L47" s="78" t="n">
        <f aca="false">IF(OR(K47="",J47=""),"",(J47-K47)*100)</f>
        <v>-0.492157229528528</v>
      </c>
      <c r="M47" s="36" t="n">
        <v>1.33503173282163</v>
      </c>
      <c r="N47" s="36" t="n">
        <v>1.22164882592069</v>
      </c>
      <c r="O47" s="36" t="n">
        <f aca="false">SQRT(M47^2+N47^2)</f>
        <v>1.80962304956422</v>
      </c>
      <c r="P47" s="47" t="n">
        <f aca="false">IF(J47="","",MAX(0,J47-1.96*O47/100))</f>
        <v>0.28133789725473</v>
      </c>
      <c r="Q47" s="47" t="n">
        <f aca="false">IF(J47="","",MIN(1,J47+1.96*O47/100))</f>
        <v>0.352275120797647</v>
      </c>
      <c r="R47" s="32" t="str">
        <f aca="false">IF(L47="","",IF(ABS(L47)&lt;=O47,"Yes","No"))</f>
        <v>Yes</v>
      </c>
      <c r="S47" s="32" t="str">
        <f aca="false">IF(L47="","",IF(ABS(L47)&lt;=1.96*O47,"Yes","No"))</f>
        <v>Yes</v>
      </c>
      <c r="T47" s="66" t="n">
        <f aca="false">IF(D47="","",ROUND(SQRT(((D47+G47)*O47/100)^2+(J47*(D47+G47)*0.05464)^2),0))</f>
        <v>98</v>
      </c>
      <c r="U47" s="32"/>
    </row>
    <row r="48" customFormat="false" ht="15" hidden="false" customHeight="false" outlineLevel="0" collapsed="false">
      <c r="A48" s="32" t="s">
        <v>219</v>
      </c>
      <c r="B48" s="32" t="s">
        <v>243</v>
      </c>
      <c r="C48" s="32" t="s">
        <v>191</v>
      </c>
      <c r="D48" s="66" t="n">
        <v>1125</v>
      </c>
      <c r="E48" s="66" t="n">
        <v>1172</v>
      </c>
      <c r="F48" s="77" t="n">
        <f aca="false">IF(E48="","",D48-E48)</f>
        <v>-47</v>
      </c>
      <c r="G48" s="66" t="n">
        <v>2253</v>
      </c>
      <c r="H48" s="66" t="n">
        <v>2201</v>
      </c>
      <c r="I48" s="77" t="n">
        <f aca="false">IF(H48="","",G48-H48)</f>
        <v>52</v>
      </c>
      <c r="J48" s="47" t="n">
        <f aca="false">IF(OR(D48="",D48+G48=0),"",D48/(D48+G48))</f>
        <v>0.33303730017762</v>
      </c>
      <c r="K48" s="47" t="n">
        <f aca="false">IF(E48="","",E48/(E48+H48))</f>
        <v>0.347465164541951</v>
      </c>
      <c r="L48" s="78" t="n">
        <f aca="false">IF(OR(K48="",J48=""),"",(J48-K48)*100)</f>
        <v>-1.44278643643309</v>
      </c>
      <c r="M48" s="36" t="n">
        <v>1.95188542073243</v>
      </c>
      <c r="N48" s="36" t="n">
        <v>1.22164882592069</v>
      </c>
      <c r="O48" s="36" t="n">
        <f aca="false">SQRT(M48^2+N48^2)</f>
        <v>2.30266857136263</v>
      </c>
      <c r="P48" s="47" t="n">
        <f aca="false">IF(J48="","",MAX(0,J48-1.96*O48/100))</f>
        <v>0.287904996178912</v>
      </c>
      <c r="Q48" s="47" t="n">
        <f aca="false">IF(J48="","",MIN(1,J48+1.96*O48/100))</f>
        <v>0.378169604176327</v>
      </c>
      <c r="R48" s="32" t="str">
        <f aca="false">IF(L48="","",IF(ABS(L48)&lt;=O48,"Yes","No"))</f>
        <v>Yes</v>
      </c>
      <c r="S48" s="32" t="str">
        <f aca="false">IF(L48="","",IF(ABS(L48)&lt;=1.96*O48,"Yes","No"))</f>
        <v>Yes</v>
      </c>
      <c r="T48" s="66" t="n">
        <f aca="false">IF(D48="","",ROUND(SQRT(((D48+G48)*O48/100)^2+(J48*(D48+G48)*0.06092)^2),0))</f>
        <v>104</v>
      </c>
      <c r="U48" s="32"/>
    </row>
    <row r="49" customFormat="false" ht="15" hidden="false" customHeight="false" outlineLevel="0" collapsed="false">
      <c r="A49" s="32" t="s">
        <v>219</v>
      </c>
      <c r="B49" s="32" t="s">
        <v>244</v>
      </c>
      <c r="C49" s="32" t="s">
        <v>191</v>
      </c>
      <c r="D49" s="66" t="n">
        <v>7408</v>
      </c>
      <c r="E49" s="66" t="n">
        <v>7383</v>
      </c>
      <c r="F49" s="77" t="n">
        <f aca="false">IF(E49="","",D49-E49)</f>
        <v>25</v>
      </c>
      <c r="G49" s="66" t="n">
        <v>7072</v>
      </c>
      <c r="H49" s="66" t="n">
        <v>7036</v>
      </c>
      <c r="I49" s="77" t="n">
        <f aca="false">IF(H49="","",G49-H49)</f>
        <v>36</v>
      </c>
      <c r="J49" s="47" t="n">
        <f aca="false">IF(OR(D49="",D49+G49=0),"",D49/(D49+G49))</f>
        <v>0.511602209944751</v>
      </c>
      <c r="K49" s="47" t="n">
        <f aca="false">IF(E49="","",E49/(E49+H49))</f>
        <v>0.51203273458631</v>
      </c>
      <c r="L49" s="78" t="n">
        <f aca="false">IF(OR(K49="",J49=""),"",(J49-K49)*100)</f>
        <v>-0.043052464155835</v>
      </c>
      <c r="M49" s="36" t="n">
        <v>1.33503173282163</v>
      </c>
      <c r="N49" s="36" t="n">
        <v>1.22164882592069</v>
      </c>
      <c r="O49" s="36" t="n">
        <f aca="false">SQRT(M49^2+N49^2)</f>
        <v>1.80962304956422</v>
      </c>
      <c r="P49" s="47" t="n">
        <f aca="false">IF(J49="","",MAX(0,J49-1.96*O49/100))</f>
        <v>0.476133598173293</v>
      </c>
      <c r="Q49" s="47" t="n">
        <f aca="false">IF(J49="","",MIN(1,J49+1.96*O49/100))</f>
        <v>0.54707082171621</v>
      </c>
      <c r="R49" s="32" t="str">
        <f aca="false">IF(L49="","",IF(ABS(L49)&lt;=O49,"Yes","No"))</f>
        <v>Yes</v>
      </c>
      <c r="S49" s="32" t="str">
        <f aca="false">IF(L49="","",IF(ABS(L49)&lt;=1.96*O49,"Yes","No"))</f>
        <v>Yes</v>
      </c>
      <c r="T49" s="66" t="n">
        <f aca="false">IF(D49="","",ROUND(SQRT(((D49+G49)*O49/100)^2+(J49*(D49+G49)*0.05464)^2),0))</f>
        <v>482</v>
      </c>
      <c r="U49" s="32"/>
    </row>
    <row r="50" customFormat="false" ht="15" hidden="false" customHeight="false" outlineLevel="0" collapsed="false">
      <c r="A50" s="32" t="s">
        <v>245</v>
      </c>
      <c r="B50" s="32" t="s">
        <v>246</v>
      </c>
      <c r="C50" s="32" t="s">
        <v>191</v>
      </c>
      <c r="D50" s="66" t="n">
        <v>484</v>
      </c>
      <c r="E50" s="66" t="n">
        <v>471</v>
      </c>
      <c r="F50" s="77" t="n">
        <f aca="false">IF(E50="","",D50-E50)</f>
        <v>13</v>
      </c>
      <c r="G50" s="66" t="n">
        <v>1060</v>
      </c>
      <c r="H50" s="66" t="n">
        <v>1124</v>
      </c>
      <c r="I50" s="77" t="n">
        <f aca="false">IF(H50="","",G50-H50)</f>
        <v>-64</v>
      </c>
      <c r="J50" s="47" t="n">
        <f aca="false">IF(OR(D50="",D50+G50=0),"",D50/(D50+G50))</f>
        <v>0.313471502590674</v>
      </c>
      <c r="K50" s="47" t="n">
        <f aca="false">IF(E50="","",E50/(E50+H50))</f>
        <v>0.295297805642633</v>
      </c>
      <c r="L50" s="78" t="n">
        <f aca="false">IF(OR(K50="",J50=""),"",(J50-K50)*100)</f>
        <v>1.81736969480403</v>
      </c>
      <c r="M50" s="36" t="n">
        <v>2.91761619548126</v>
      </c>
      <c r="N50" s="36" t="n">
        <v>1.22164882592069</v>
      </c>
      <c r="O50" s="36" t="n">
        <f aca="false">SQRT(M50^2+N50^2)</f>
        <v>3.16305392271582</v>
      </c>
      <c r="P50" s="47" t="n">
        <f aca="false">IF(J50="","",MAX(0,J50-1.96*O50/100))</f>
        <v>0.251475645705443</v>
      </c>
      <c r="Q50" s="47" t="n">
        <f aca="false">IF(J50="","",MIN(1,J50+1.96*O50/100))</f>
        <v>0.375467359475904</v>
      </c>
      <c r="R50" s="32" t="str">
        <f aca="false">IF(L50="","",IF(ABS(L50)&lt;=O50,"Yes","No"))</f>
        <v>Yes</v>
      </c>
      <c r="S50" s="32" t="str">
        <f aca="false">IF(L50="","",IF(ABS(L50)&lt;=1.96*O50,"Yes","No"))</f>
        <v>Yes</v>
      </c>
      <c r="T50" s="66" t="n">
        <f aca="false">IF(D50="","",ROUND(SQRT(((D50+G50)*O50/100)^2+(J50*(D50+G50)*0.07859)^2),0))</f>
        <v>62</v>
      </c>
      <c r="U50" s="32"/>
    </row>
    <row r="51" customFormat="false" ht="15" hidden="false" customHeight="false" outlineLevel="0" collapsed="false">
      <c r="A51" s="32" t="s">
        <v>245</v>
      </c>
      <c r="B51" s="32" t="s">
        <v>247</v>
      </c>
      <c r="C51" s="32" t="s">
        <v>191</v>
      </c>
      <c r="D51" s="66" t="n">
        <v>1418</v>
      </c>
      <c r="E51" s="66" t="n">
        <v>1414</v>
      </c>
      <c r="F51" s="77" t="n">
        <f aca="false">IF(E51="","",D51-E51)</f>
        <v>4</v>
      </c>
      <c r="G51" s="66" t="n">
        <v>2751</v>
      </c>
      <c r="H51" s="66" t="n">
        <v>2894</v>
      </c>
      <c r="I51" s="77" t="n">
        <f aca="false">IF(H51="","",G51-H51)</f>
        <v>-143</v>
      </c>
      <c r="J51" s="47" t="n">
        <f aca="false">IF(OR(D51="",D51+G51=0),"",D51/(D51+G51))</f>
        <v>0.34012952746462</v>
      </c>
      <c r="K51" s="47" t="n">
        <f aca="false">IF(E51="","",E51/(E51+H51))</f>
        <v>0.328226555246054</v>
      </c>
      <c r="L51" s="78" t="n">
        <f aca="false">IF(OR(K51="",J51=""),"",(J51-K51)*100)</f>
        <v>1.1902972218566</v>
      </c>
      <c r="M51" s="36" t="n">
        <v>1.33503173282163</v>
      </c>
      <c r="N51" s="36" t="n">
        <v>1.22164882592069</v>
      </c>
      <c r="O51" s="36" t="n">
        <f aca="false">SQRT(M51^2+N51^2)</f>
        <v>1.80962304956422</v>
      </c>
      <c r="P51" s="47" t="n">
        <f aca="false">IF(J51="","",MAX(0,J51-1.96*O51/100))</f>
        <v>0.304660915693161</v>
      </c>
      <c r="Q51" s="47" t="n">
        <f aca="false">IF(J51="","",MIN(1,J51+1.96*O51/100))</f>
        <v>0.375598139236079</v>
      </c>
      <c r="R51" s="32" t="str">
        <f aca="false">IF(L51="","",IF(ABS(L51)&lt;=O51,"Yes","No"))</f>
        <v>Yes</v>
      </c>
      <c r="S51" s="32" t="str">
        <f aca="false">IF(L51="","",IF(ABS(L51)&lt;=1.96*O51,"Yes","No"))</f>
        <v>Yes</v>
      </c>
      <c r="T51" s="66" t="n">
        <f aca="false">IF(D51="","",ROUND(SQRT(((D51+G51)*O51/100)^2+(J51*(D51+G51)*0.05464)^2),0))</f>
        <v>108</v>
      </c>
      <c r="U51" s="32"/>
    </row>
    <row r="52" customFormat="false" ht="15" hidden="false" customHeight="false" outlineLevel="0" collapsed="false">
      <c r="A52" s="32" t="s">
        <v>245</v>
      </c>
      <c r="B52" s="32" t="s">
        <v>248</v>
      </c>
      <c r="C52" s="32" t="s">
        <v>191</v>
      </c>
      <c r="D52" s="66" t="n">
        <v>453</v>
      </c>
      <c r="E52" s="66" t="n">
        <v>521</v>
      </c>
      <c r="F52" s="77" t="n">
        <f aca="false">IF(E52="","",D52-E52)</f>
        <v>-68</v>
      </c>
      <c r="G52" s="66" t="n">
        <v>857</v>
      </c>
      <c r="H52" s="66" t="n">
        <v>997</v>
      </c>
      <c r="I52" s="77" t="n">
        <f aca="false">IF(H52="","",G52-H52)</f>
        <v>-140</v>
      </c>
      <c r="J52" s="47" t="n">
        <f aca="false">IF(OR(D52="",D52+G52=0),"",D52/(D52+G52))</f>
        <v>0.345801526717557</v>
      </c>
      <c r="K52" s="47" t="n">
        <f aca="false">IF(E52="","",E52/(E52+H52))</f>
        <v>0.343214756258235</v>
      </c>
      <c r="L52" s="78" t="n">
        <f aca="false">IF(OR(K52="",J52=""),"",(J52-K52)*100)</f>
        <v>0.258677045932276</v>
      </c>
      <c r="M52" s="36" t="n">
        <v>2.91761619548126</v>
      </c>
      <c r="N52" s="36" t="n">
        <v>1.22164882592069</v>
      </c>
      <c r="O52" s="36" t="n">
        <f aca="false">SQRT(M52^2+N52^2)</f>
        <v>3.16305392271582</v>
      </c>
      <c r="P52" s="47" t="n">
        <f aca="false">IF(J52="","",MAX(0,J52-1.96*O52/100))</f>
        <v>0.283805669832327</v>
      </c>
      <c r="Q52" s="47" t="n">
        <f aca="false">IF(J52="","",MIN(1,J52+1.96*O52/100))</f>
        <v>0.407797383602787</v>
      </c>
      <c r="R52" s="32" t="str">
        <f aca="false">IF(L52="","",IF(ABS(L52)&lt;=O52,"Yes","No"))</f>
        <v>Yes</v>
      </c>
      <c r="S52" s="32" t="str">
        <f aca="false">IF(L52="","",IF(ABS(L52)&lt;=1.96*O52,"Yes","No"))</f>
        <v>Yes</v>
      </c>
      <c r="T52" s="66" t="n">
        <f aca="false">IF(D52="","",ROUND(SQRT(((D52+G52)*O52/100)^2+(J52*(D52+G52)*0.07859)^2),0))</f>
        <v>55</v>
      </c>
      <c r="U52" s="32"/>
    </row>
    <row r="53" customFormat="false" ht="15" hidden="false" customHeight="false" outlineLevel="0" collapsed="false">
      <c r="A53" s="32" t="s">
        <v>249</v>
      </c>
      <c r="B53" s="32" t="s">
        <v>250</v>
      </c>
      <c r="C53" s="32" t="s">
        <v>191</v>
      </c>
      <c r="D53" s="66" t="n">
        <v>1430</v>
      </c>
      <c r="E53" s="66" t="n">
        <v>1511</v>
      </c>
      <c r="F53" s="77" t="n">
        <f aca="false">IF(E53="","",D53-E53)</f>
        <v>-81</v>
      </c>
      <c r="G53" s="66" t="n">
        <v>2034</v>
      </c>
      <c r="H53" s="66" t="n">
        <v>2018</v>
      </c>
      <c r="I53" s="77" t="n">
        <f aca="false">IF(H53="","",G53-H53)</f>
        <v>16</v>
      </c>
      <c r="J53" s="47" t="n">
        <f aca="false">IF(OR(D53="",D53+G53=0),"",D53/(D53+G53))</f>
        <v>0.412817551963049</v>
      </c>
      <c r="K53" s="47" t="n">
        <f aca="false">IF(E53="","",E53/(E53+H53))</f>
        <v>0.428166619438935</v>
      </c>
      <c r="L53" s="78" t="n">
        <f aca="false">IF(OR(K53="",J53=""),"",(J53-K53)*100)</f>
        <v>-1.5349067475886</v>
      </c>
      <c r="M53" s="36" t="n">
        <v>1.95188542073243</v>
      </c>
      <c r="N53" s="36" t="n">
        <v>1.22164882592069</v>
      </c>
      <c r="O53" s="36" t="n">
        <f aca="false">SQRT(M53^2+N53^2)</f>
        <v>2.30266857136263</v>
      </c>
      <c r="P53" s="47" t="n">
        <f aca="false">IF(J53="","",MAX(0,J53-1.96*O53/100))</f>
        <v>0.367685247964341</v>
      </c>
      <c r="Q53" s="47" t="n">
        <f aca="false">IF(J53="","",MIN(1,J53+1.96*O53/100))</f>
        <v>0.457949855961756</v>
      </c>
      <c r="R53" s="32" t="str">
        <f aca="false">IF(L53="","",IF(ABS(L53)&lt;=O53,"Yes","No"))</f>
        <v>Yes</v>
      </c>
      <c r="S53" s="32" t="str">
        <f aca="false">IF(L53="","",IF(ABS(L53)&lt;=1.96*O53,"Yes","No"))</f>
        <v>Yes</v>
      </c>
      <c r="T53" s="66" t="n">
        <f aca="false">IF(D53="","",ROUND(SQRT(((D53+G53)*O53/100)^2+(J53*(D53+G53)*0.06092)^2),0))</f>
        <v>118</v>
      </c>
      <c r="U53" s="32"/>
    </row>
    <row r="54" customFormat="false" ht="15" hidden="false" customHeight="false" outlineLevel="0" collapsed="false">
      <c r="A54" s="32" t="s">
        <v>249</v>
      </c>
      <c r="B54" s="32" t="s">
        <v>251</v>
      </c>
      <c r="C54" s="32" t="s">
        <v>191</v>
      </c>
      <c r="D54" s="66" t="n">
        <v>957</v>
      </c>
      <c r="E54" s="66" t="n">
        <v>959</v>
      </c>
      <c r="F54" s="77" t="n">
        <f aca="false">IF(E54="","",D54-E54)</f>
        <v>-2</v>
      </c>
      <c r="G54" s="66" t="n">
        <v>1379</v>
      </c>
      <c r="H54" s="66" t="n">
        <v>1364</v>
      </c>
      <c r="I54" s="77" t="n">
        <f aca="false">IF(H54="","",G54-H54)</f>
        <v>15</v>
      </c>
      <c r="J54" s="47" t="n">
        <f aca="false">IF(OR(D54="",D54+G54=0),"",D54/(D54+G54))</f>
        <v>0.409674657534247</v>
      </c>
      <c r="K54" s="47" t="n">
        <f aca="false">IF(E54="","",E54/(E54+H54))</f>
        <v>0.412828239345674</v>
      </c>
      <c r="L54" s="78" t="n">
        <f aca="false">IF(OR(K54="",J54=""),"",(J54-K54)*100)</f>
        <v>-0.315358181142711</v>
      </c>
      <c r="M54" s="36" t="n">
        <v>1.95188542073243</v>
      </c>
      <c r="N54" s="36" t="n">
        <v>1.22164882592069</v>
      </c>
      <c r="O54" s="36" t="n">
        <f aca="false">SQRT(M54^2+N54^2)</f>
        <v>2.30266857136263</v>
      </c>
      <c r="P54" s="47" t="n">
        <f aca="false">IF(J54="","",MAX(0,J54-1.96*O54/100))</f>
        <v>0.364542353535539</v>
      </c>
      <c r="Q54" s="47" t="n">
        <f aca="false">IF(J54="","",MIN(1,J54+1.96*O54/100))</f>
        <v>0.454806961532954</v>
      </c>
      <c r="R54" s="32" t="str">
        <f aca="false">IF(L54="","",IF(ABS(L54)&lt;=O54,"Yes","No"))</f>
        <v>Yes</v>
      </c>
      <c r="S54" s="32" t="str">
        <f aca="false">IF(L54="","",IF(ABS(L54)&lt;=1.96*O54,"Yes","No"))</f>
        <v>Yes</v>
      </c>
      <c r="T54" s="66" t="n">
        <f aca="false">IF(D54="","",ROUND(SQRT(((D54+G54)*O54/100)^2+(J54*(D54+G54)*0.06092)^2),0))</f>
        <v>79</v>
      </c>
      <c r="U54" s="32"/>
    </row>
    <row r="55" customFormat="false" ht="15" hidden="false" customHeight="false" outlineLevel="0" collapsed="false">
      <c r="A55" s="32" t="s">
        <v>249</v>
      </c>
      <c r="B55" s="32" t="s">
        <v>252</v>
      </c>
      <c r="C55" s="32" t="s">
        <v>191</v>
      </c>
      <c r="D55" s="66" t="n">
        <v>618</v>
      </c>
      <c r="E55" s="66" t="n">
        <v>623</v>
      </c>
      <c r="F55" s="77" t="n">
        <f aca="false">IF(E55="","",D55-E55)</f>
        <v>-5</v>
      </c>
      <c r="G55" s="66" t="n">
        <v>752</v>
      </c>
      <c r="H55" s="66" t="n">
        <v>726</v>
      </c>
      <c r="I55" s="77" t="n">
        <f aca="false">IF(H55="","",G55-H55)</f>
        <v>26</v>
      </c>
      <c r="J55" s="47" t="n">
        <f aca="false">IF(OR(D55="",D55+G55=0),"",D55/(D55+G55))</f>
        <v>0.451094890510949</v>
      </c>
      <c r="K55" s="47" t="n">
        <f aca="false">IF(E55="","",E55/(E55+H55))</f>
        <v>0.46182357301705</v>
      </c>
      <c r="L55" s="78" t="n">
        <f aca="false">IF(OR(K55="",J55=""),"",(J55-K55)*100)</f>
        <v>-1.07286825061008</v>
      </c>
      <c r="M55" s="36" t="n">
        <v>2.91761619548126</v>
      </c>
      <c r="N55" s="36" t="n">
        <v>1.22164882592069</v>
      </c>
      <c r="O55" s="36" t="n">
        <f aca="false">SQRT(M55^2+N55^2)</f>
        <v>3.16305392271582</v>
      </c>
      <c r="P55" s="47" t="n">
        <f aca="false">IF(J55="","",MAX(0,J55-1.96*O55/100))</f>
        <v>0.389099033625719</v>
      </c>
      <c r="Q55" s="47" t="n">
        <f aca="false">IF(J55="","",MIN(1,J55+1.96*O55/100))</f>
        <v>0.513090747396179</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249</v>
      </c>
      <c r="B56" s="32" t="s">
        <v>222</v>
      </c>
      <c r="C56" s="32" t="s">
        <v>191</v>
      </c>
      <c r="D56" s="66" t="n">
        <v>16958</v>
      </c>
      <c r="E56" s="66" t="n">
        <v>17416</v>
      </c>
      <c r="F56" s="77" t="n">
        <f aca="false">IF(E56="","",D56-E56)</f>
        <v>-458</v>
      </c>
      <c r="G56" s="66" t="n">
        <v>8625</v>
      </c>
      <c r="H56" s="66" t="n">
        <v>8640</v>
      </c>
      <c r="I56" s="77" t="n">
        <f aca="false">IF(H56="","",G56-H56)</f>
        <v>-15</v>
      </c>
      <c r="J56" s="47" t="n">
        <f aca="false">IF(OR(D56="",D56+G56=0),"",D56/(D56+G56))</f>
        <v>0.662862056834617</v>
      </c>
      <c r="K56" s="47" t="n">
        <f aca="false">IF(E56="","",E56/(E56+H56))</f>
        <v>0.668406509057415</v>
      </c>
      <c r="L56" s="78" t="n">
        <f aca="false">IF(OR(K56="",J56=""),"",(J56-K56)*100)</f>
        <v>-0.554445222279809</v>
      </c>
      <c r="M56" s="36" t="n">
        <v>1.33503173282163</v>
      </c>
      <c r="N56" s="36" t="n">
        <v>1.22164882592069</v>
      </c>
      <c r="O56" s="36" t="n">
        <f aca="false">SQRT(M56^2+N56^2)</f>
        <v>1.80962304956422</v>
      </c>
      <c r="P56" s="47" t="n">
        <f aca="false">IF(J56="","",MAX(0,J56-1.96*O56/100))</f>
        <v>0.627393445063158</v>
      </c>
      <c r="Q56" s="47" t="n">
        <f aca="false">IF(J56="","",MIN(1,J56+1.96*O56/100))</f>
        <v>0.698330668606076</v>
      </c>
      <c r="R56" s="32" t="str">
        <f aca="false">IF(L56="","",IF(ABS(L56)&lt;=O56,"Yes","No"))</f>
        <v>Yes</v>
      </c>
      <c r="S56" s="32" t="str">
        <f aca="false">IF(L56="","",IF(ABS(L56)&lt;=1.96*O56,"Yes","No"))</f>
        <v>Yes</v>
      </c>
      <c r="T56" s="66" t="n">
        <f aca="false">IF(D56="","",ROUND(SQRT(((D56+G56)*O56/100)^2+(J56*(D56+G56)*0.05464)^2),0))</f>
        <v>1036</v>
      </c>
      <c r="U56" s="32"/>
    </row>
    <row r="57" customFormat="false" ht="15" hidden="false" customHeight="false" outlineLevel="0" collapsed="false">
      <c r="A57" s="32" t="s">
        <v>249</v>
      </c>
      <c r="B57" s="32" t="s">
        <v>253</v>
      </c>
      <c r="C57" s="32" t="s">
        <v>191</v>
      </c>
      <c r="D57" s="66" t="n">
        <v>8126</v>
      </c>
      <c r="E57" s="66" t="n">
        <v>8595</v>
      </c>
      <c r="F57" s="77" t="n">
        <f aca="false">IF(E57="","",D57-E57)</f>
        <v>-469</v>
      </c>
      <c r="G57" s="66" t="n">
        <v>7807</v>
      </c>
      <c r="H57" s="66" t="n">
        <v>7440</v>
      </c>
      <c r="I57" s="77" t="n">
        <f aca="false">IF(H57="","",G57-H57)</f>
        <v>367</v>
      </c>
      <c r="J57" s="47" t="n">
        <f aca="false">IF(OR(D57="",D57+G57=0),"",D57/(D57+G57))</f>
        <v>0.510010669679282</v>
      </c>
      <c r="K57" s="47" t="n">
        <f aca="false">IF(E57="","",E57/(E57+H57))</f>
        <v>0.536014967259121</v>
      </c>
      <c r="L57" s="78" t="n">
        <f aca="false">IF(OR(K57="",J57=""),"",(J57-K57)*100)</f>
        <v>-2.60042975798387</v>
      </c>
      <c r="M57" s="36" t="n">
        <v>1.33503173282163</v>
      </c>
      <c r="N57" s="36" t="n">
        <v>1.22164882592069</v>
      </c>
      <c r="O57" s="36" t="n">
        <f aca="false">SQRT(M57^2+N57^2)</f>
        <v>1.80962304956422</v>
      </c>
      <c r="P57" s="47" t="n">
        <f aca="false">IF(J57="","",MAX(0,J57-1.96*O57/100))</f>
        <v>0.474542057907823</v>
      </c>
      <c r="Q57" s="47" t="n">
        <f aca="false">IF(J57="","",MIN(1,J57+1.96*O57/100))</f>
        <v>0.545479281450741</v>
      </c>
      <c r="R57" s="32" t="str">
        <f aca="false">IF(L57="","",IF(ABS(L57)&lt;=O57,"Yes","No"))</f>
        <v>No</v>
      </c>
      <c r="S57" s="32" t="str">
        <f aca="false">IF(L57="","",IF(ABS(L57)&lt;=1.96*O57,"Yes","No"))</f>
        <v>Yes</v>
      </c>
      <c r="T57" s="66" t="n">
        <f aca="false">IF(D57="","",ROUND(SQRT(((D57+G57)*O57/100)^2+(J57*(D57+G57)*0.05464)^2),0))</f>
        <v>529</v>
      </c>
      <c r="U57" s="32"/>
    </row>
    <row r="58" customFormat="false" ht="15" hidden="false" customHeight="false" outlineLevel="0" collapsed="false">
      <c r="A58" s="32" t="s">
        <v>249</v>
      </c>
      <c r="B58" s="32" t="s">
        <v>254</v>
      </c>
      <c r="C58" s="32" t="s">
        <v>191</v>
      </c>
      <c r="D58" s="66" t="n">
        <v>1989</v>
      </c>
      <c r="E58" s="66" t="n">
        <v>2169</v>
      </c>
      <c r="F58" s="77" t="n">
        <f aca="false">IF(E58="","",D58-E58)</f>
        <v>-180</v>
      </c>
      <c r="G58" s="66" t="n">
        <v>3626</v>
      </c>
      <c r="H58" s="66" t="n">
        <v>3459</v>
      </c>
      <c r="I58" s="77" t="n">
        <f aca="false">IF(H58="","",G58-H58)</f>
        <v>167</v>
      </c>
      <c r="J58" s="47" t="n">
        <f aca="false">IF(OR(D58="",D58+G58=0),"",D58/(D58+G58))</f>
        <v>0.354229741763135</v>
      </c>
      <c r="K58" s="47" t="n">
        <f aca="false">IF(E58="","",E58/(E58+H58))</f>
        <v>0.385394456289979</v>
      </c>
      <c r="L58" s="78" t="n">
        <f aca="false">IF(OR(K58="",J58=""),"",(J58-K58)*100)</f>
        <v>-3.11647145268442</v>
      </c>
      <c r="M58" s="36" t="n">
        <v>1.33503173282163</v>
      </c>
      <c r="N58" s="36" t="n">
        <v>1.22164882592069</v>
      </c>
      <c r="O58" s="36" t="n">
        <f aca="false">SQRT(M58^2+N58^2)</f>
        <v>1.80962304956422</v>
      </c>
      <c r="P58" s="47" t="n">
        <f aca="false">IF(J58="","",MAX(0,J58-1.96*O58/100))</f>
        <v>0.318761129991676</v>
      </c>
      <c r="Q58" s="47" t="n">
        <f aca="false">IF(J58="","",MIN(1,J58+1.96*O58/100))</f>
        <v>0.389698353534593</v>
      </c>
      <c r="R58" s="32" t="str">
        <f aca="false">IF(L58="","",IF(ABS(L58)&lt;=O58,"Yes","No"))</f>
        <v>No</v>
      </c>
      <c r="S58" s="32" t="str">
        <f aca="false">IF(L58="","",IF(ABS(L58)&lt;=1.96*O58,"Yes","No"))</f>
        <v>Yes</v>
      </c>
      <c r="T58" s="66" t="n">
        <f aca="false">IF(D58="","",ROUND(SQRT(((D58+G58)*O58/100)^2+(J58*(D58+G58)*0.05464)^2),0))</f>
        <v>149</v>
      </c>
      <c r="U58" s="32"/>
    </row>
    <row r="59" customFormat="false" ht="15" hidden="false" customHeight="false" outlineLevel="0" collapsed="false">
      <c r="A59" s="32" t="s">
        <v>249</v>
      </c>
      <c r="B59" s="32" t="s">
        <v>255</v>
      </c>
      <c r="C59" s="32" t="s">
        <v>191</v>
      </c>
      <c r="D59" s="66" t="n">
        <v>43</v>
      </c>
      <c r="E59" s="66" t="n">
        <v>40</v>
      </c>
      <c r="F59" s="77" t="n">
        <f aca="false">IF(E59="","",D59-E59)</f>
        <v>3</v>
      </c>
      <c r="G59" s="66" t="n">
        <v>78</v>
      </c>
      <c r="H59" s="66" t="n">
        <v>83</v>
      </c>
      <c r="I59" s="77" t="n">
        <f aca="false">IF(H59="","",G59-H59)</f>
        <v>-5</v>
      </c>
      <c r="J59" s="47" t="n">
        <f aca="false">IF(OR(D59="",D59+G59=0),"",D59/(D59+G59))</f>
        <v>0.355371900826446</v>
      </c>
      <c r="K59" s="47" t="n">
        <f aca="false">IF(E59="","",E59/(E59+H59))</f>
        <v>0.32520325203252</v>
      </c>
      <c r="L59" s="78" t="n">
        <f aca="false">IF(OR(K59="",J59=""),"",(J59-K59)*100)</f>
        <v>3.01686487939259</v>
      </c>
      <c r="M59" s="36" t="n">
        <v>2.91761619548126</v>
      </c>
      <c r="N59" s="36" t="n">
        <v>1.22164882592069</v>
      </c>
      <c r="O59" s="36" t="n">
        <f aca="false">SQRT(M59^2+N59^2)</f>
        <v>3.16305392271582</v>
      </c>
      <c r="P59" s="47" t="n">
        <f aca="false">IF(J59="","",MAX(0,J59-1.96*O59/100))</f>
        <v>0.293376043941216</v>
      </c>
      <c r="Q59" s="47" t="n">
        <f aca="false">IF(J59="","",MIN(1,J59+1.96*O59/100))</f>
        <v>0.417367757711676</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249</v>
      </c>
      <c r="B60" s="32" t="s">
        <v>256</v>
      </c>
      <c r="C60" s="32" t="s">
        <v>191</v>
      </c>
      <c r="D60" s="66" t="n">
        <v>1367</v>
      </c>
      <c r="E60" s="66" t="n">
        <v>1484</v>
      </c>
      <c r="F60" s="77" t="n">
        <f aca="false">IF(E60="","",D60-E60)</f>
        <v>-117</v>
      </c>
      <c r="G60" s="66" t="n">
        <v>2002</v>
      </c>
      <c r="H60" s="66" t="n">
        <v>1959</v>
      </c>
      <c r="I60" s="77" t="n">
        <f aca="false">IF(H60="","",G60-H60)</f>
        <v>43</v>
      </c>
      <c r="J60" s="47" t="n">
        <f aca="false">IF(OR(D60="",D60+G60=0),"",D60/(D60+G60))</f>
        <v>0.40575838527753</v>
      </c>
      <c r="K60" s="47" t="n">
        <f aca="false">IF(E60="","",E60/(E60+H60))</f>
        <v>0.431019459773453</v>
      </c>
      <c r="L60" s="78" t="n">
        <f aca="false">IF(OR(K60="",J60=""),"",(J60-K60)*100)</f>
        <v>-2.5261074495923</v>
      </c>
      <c r="M60" s="36" t="n">
        <v>1.95188542073243</v>
      </c>
      <c r="N60" s="36" t="n">
        <v>1.22164882592069</v>
      </c>
      <c r="O60" s="36" t="n">
        <f aca="false">SQRT(M60^2+N60^2)</f>
        <v>2.30266857136263</v>
      </c>
      <c r="P60" s="47" t="n">
        <f aca="false">IF(J60="","",MAX(0,J60-1.96*O60/100))</f>
        <v>0.360626081278823</v>
      </c>
      <c r="Q60" s="47" t="n">
        <f aca="false">IF(J60="","",MIN(1,J60+1.96*O60/100))</f>
        <v>0.450890689276238</v>
      </c>
      <c r="R60" s="32" t="str">
        <f aca="false">IF(L60="","",IF(ABS(L60)&lt;=O60,"Yes","No"))</f>
        <v>No</v>
      </c>
      <c r="S60" s="32" t="str">
        <f aca="false">IF(L60="","",IF(ABS(L60)&lt;=1.96*O60,"Yes","No"))</f>
        <v>Yes</v>
      </c>
      <c r="T60" s="66" t="n">
        <f aca="false">IF(D60="","",ROUND(SQRT(((D60+G60)*O60/100)^2+(J60*(D60+G60)*0.06092)^2),0))</f>
        <v>114</v>
      </c>
      <c r="U60" s="32"/>
    </row>
    <row r="61" customFormat="false" ht="15" hidden="false" customHeight="false" outlineLevel="0" collapsed="false">
      <c r="A61" s="32" t="s">
        <v>249</v>
      </c>
      <c r="B61" s="32" t="s">
        <v>257</v>
      </c>
      <c r="C61" s="32" t="s">
        <v>191</v>
      </c>
      <c r="D61" s="66" t="n">
        <v>184</v>
      </c>
      <c r="E61" s="66" t="n">
        <v>217</v>
      </c>
      <c r="F61" s="77" t="n">
        <f aca="false">IF(E61="","",D61-E61)</f>
        <v>-33</v>
      </c>
      <c r="G61" s="66" t="n">
        <v>327</v>
      </c>
      <c r="H61" s="66" t="n">
        <v>309</v>
      </c>
      <c r="I61" s="77" t="n">
        <f aca="false">IF(H61="","",G61-H61)</f>
        <v>18</v>
      </c>
      <c r="J61" s="47" t="n">
        <f aca="false">IF(OR(D61="",D61+G61=0),"",D61/(D61+G61))</f>
        <v>0.360078277886497</v>
      </c>
      <c r="K61" s="47" t="n">
        <f aca="false">IF(E61="","",E61/(E61+H61))</f>
        <v>0.41254752851711</v>
      </c>
      <c r="L61" s="78" t="n">
        <f aca="false">IF(OR(K61="",J61=""),"",(J61-K61)*100)</f>
        <v>-5.24692506306132</v>
      </c>
      <c r="M61" s="36" t="n">
        <v>2.91761619548126</v>
      </c>
      <c r="N61" s="36" t="n">
        <v>1.22164882592069</v>
      </c>
      <c r="O61" s="36" t="n">
        <f aca="false">SQRT(M61^2+N61^2)</f>
        <v>3.16305392271582</v>
      </c>
      <c r="P61" s="47" t="n">
        <f aca="false">IF(J61="","",MAX(0,J61-1.96*O61/100))</f>
        <v>0.298082421001267</v>
      </c>
      <c r="Q61" s="47" t="n">
        <f aca="false">IF(J61="","",MIN(1,J61+1.96*O61/100))</f>
        <v>0.422074134771727</v>
      </c>
      <c r="R61" s="32" t="str">
        <f aca="false">IF(L61="","",IF(ABS(L61)&lt;=O61,"Yes","No"))</f>
        <v>No</v>
      </c>
      <c r="S61" s="32" t="str">
        <f aca="false">IF(L61="","",IF(ABS(L61)&lt;=1.96*O61,"Yes","No"))</f>
        <v>Yes</v>
      </c>
      <c r="T61" s="66" t="n">
        <f aca="false">IF(D61="","",ROUND(SQRT(((D61+G61)*O61/100)^2+(J61*(D61+G61)*0.07859)^2),0))</f>
        <v>22</v>
      </c>
      <c r="U61" s="32"/>
    </row>
    <row r="62" customFormat="false" ht="15" hidden="false" customHeight="false" outlineLevel="0" collapsed="false">
      <c r="A62" s="32" t="s">
        <v>249</v>
      </c>
      <c r="B62" s="32" t="s">
        <v>258</v>
      </c>
      <c r="C62" s="32" t="s">
        <v>191</v>
      </c>
      <c r="D62" s="66" t="n">
        <v>7237</v>
      </c>
      <c r="E62" s="66" t="n">
        <v>7604</v>
      </c>
      <c r="F62" s="77" t="n">
        <f aca="false">IF(E62="","",D62-E62)</f>
        <v>-367</v>
      </c>
      <c r="G62" s="66" t="n">
        <v>3294</v>
      </c>
      <c r="H62" s="66" t="n">
        <v>3303</v>
      </c>
      <c r="I62" s="77" t="n">
        <f aca="false">IF(H62="","",G62-H62)</f>
        <v>-9</v>
      </c>
      <c r="J62" s="47" t="n">
        <f aca="false">IF(OR(D62="",D62+G62=0),"",D62/(D62+G62))</f>
        <v>0.6872091919096</v>
      </c>
      <c r="K62" s="47" t="n">
        <f aca="false">IF(E62="","",E62/(E62+H62))</f>
        <v>0.697166957000092</v>
      </c>
      <c r="L62" s="78" t="n">
        <f aca="false">IF(OR(K62="",J62=""),"",(J62-K62)*100)</f>
        <v>-0.99577650904914</v>
      </c>
      <c r="M62" s="36" t="n">
        <v>1.33503173282163</v>
      </c>
      <c r="N62" s="36" t="n">
        <v>1.22164882592069</v>
      </c>
      <c r="O62" s="36" t="n">
        <f aca="false">SQRT(M62^2+N62^2)</f>
        <v>1.80962304956422</v>
      </c>
      <c r="P62" s="47" t="n">
        <f aca="false">IF(J62="","",MAX(0,J62-1.96*O62/100))</f>
        <v>0.651740580138142</v>
      </c>
      <c r="Q62" s="47" t="n">
        <f aca="false">IF(J62="","",MIN(1,J62+1.96*O62/100))</f>
        <v>0.722677803681059</v>
      </c>
      <c r="R62" s="32" t="str">
        <f aca="false">IF(L62="","",IF(ABS(L62)&lt;=O62,"Yes","No"))</f>
        <v>Yes</v>
      </c>
      <c r="S62" s="32" t="str">
        <f aca="false">IF(L62="","",IF(ABS(L62)&lt;=1.96*O62,"Yes","No"))</f>
        <v>Yes</v>
      </c>
      <c r="T62" s="66" t="n">
        <f aca="false">IF(D62="","",ROUND(SQRT(((D62+G62)*O62/100)^2+(J62*(D62+G62)*0.05464)^2),0))</f>
        <v>439</v>
      </c>
      <c r="U62" s="32"/>
    </row>
    <row r="63" customFormat="false" ht="15" hidden="false" customHeight="false" outlineLevel="0" collapsed="false">
      <c r="A63" s="32" t="s">
        <v>249</v>
      </c>
      <c r="B63" s="32" t="s">
        <v>259</v>
      </c>
      <c r="C63" s="32" t="s">
        <v>191</v>
      </c>
      <c r="D63" s="66" t="n">
        <v>5237</v>
      </c>
      <c r="E63" s="66" t="n">
        <v>5358</v>
      </c>
      <c r="F63" s="77" t="n">
        <f aca="false">IF(E63="","",D63-E63)</f>
        <v>-121</v>
      </c>
      <c r="G63" s="66" t="n">
        <v>5042</v>
      </c>
      <c r="H63" s="66" t="n">
        <v>5027</v>
      </c>
      <c r="I63" s="77" t="n">
        <f aca="false">IF(H63="","",G63-H63)</f>
        <v>15</v>
      </c>
      <c r="J63" s="47" t="n">
        <f aca="false">IF(OR(D63="",D63+G63=0),"",D63/(D63+G63))</f>
        <v>0.509485358497908</v>
      </c>
      <c r="K63" s="47" t="n">
        <f aca="false">IF(E63="","",E63/(E63+H63))</f>
        <v>0.515936446798267</v>
      </c>
      <c r="L63" s="78" t="n">
        <f aca="false">IF(OR(K63="",J63=""),"",(J63-K63)*100)</f>
        <v>-0.645108830035845</v>
      </c>
      <c r="M63" s="36" t="n">
        <v>1.33503173282163</v>
      </c>
      <c r="N63" s="36" t="n">
        <v>1.22164882592069</v>
      </c>
      <c r="O63" s="36" t="n">
        <f aca="false">SQRT(M63^2+N63^2)</f>
        <v>1.80962304956422</v>
      </c>
      <c r="P63" s="47" t="n">
        <f aca="false">IF(J63="","",MAX(0,J63-1.96*O63/100))</f>
        <v>0.47401674672645</v>
      </c>
      <c r="Q63" s="47" t="n">
        <f aca="false">IF(J63="","",MIN(1,J63+1.96*O63/100))</f>
        <v>0.544953970269367</v>
      </c>
      <c r="R63" s="32" t="str">
        <f aca="false">IF(L63="","",IF(ABS(L63)&lt;=O63,"Yes","No"))</f>
        <v>Yes</v>
      </c>
      <c r="S63" s="32" t="str">
        <f aca="false">IF(L63="","",IF(ABS(L63)&lt;=1.96*O63,"Yes","No"))</f>
        <v>Yes</v>
      </c>
      <c r="T63" s="66" t="n">
        <f aca="false">IF(D63="","",ROUND(SQRT(((D63+G63)*O63/100)^2+(J63*(D63+G63)*0.05464)^2),0))</f>
        <v>341</v>
      </c>
      <c r="U63" s="32"/>
    </row>
    <row r="64" customFormat="false" ht="15" hidden="false" customHeight="false" outlineLevel="0" collapsed="false">
      <c r="A64" s="32" t="s">
        <v>249</v>
      </c>
      <c r="B64" s="32" t="s">
        <v>260</v>
      </c>
      <c r="C64" s="32" t="s">
        <v>191</v>
      </c>
      <c r="D64" s="66" t="n">
        <v>745</v>
      </c>
      <c r="E64" s="66" t="n">
        <v>714</v>
      </c>
      <c r="F64" s="77" t="n">
        <f aca="false">IF(E64="","",D64-E64)</f>
        <v>31</v>
      </c>
      <c r="G64" s="66" t="n">
        <v>520</v>
      </c>
      <c r="H64" s="66" t="n">
        <v>484</v>
      </c>
      <c r="I64" s="77" t="n">
        <f aca="false">IF(H64="","",G64-H64)</f>
        <v>36</v>
      </c>
      <c r="J64" s="47" t="n">
        <f aca="false">IF(OR(D64="",D64+G64=0),"",D64/(D64+G64))</f>
        <v>0.588932806324111</v>
      </c>
      <c r="K64" s="47" t="n">
        <f aca="false">IF(E64="","",E64/(E64+H64))</f>
        <v>0.595993322203673</v>
      </c>
      <c r="L64" s="78" t="n">
        <f aca="false">IF(OR(K64="",J64=""),"",(J64-K64)*100)</f>
        <v>-0.706051587956202</v>
      </c>
      <c r="M64" s="36" t="n">
        <v>2.91761619548126</v>
      </c>
      <c r="N64" s="36" t="n">
        <v>1.22164882592069</v>
      </c>
      <c r="O64" s="36" t="n">
        <f aca="false">SQRT(M64^2+N64^2)</f>
        <v>3.16305392271582</v>
      </c>
      <c r="P64" s="47" t="n">
        <f aca="false">IF(J64="","",MAX(0,J64-1.96*O64/100))</f>
        <v>0.526936949438881</v>
      </c>
      <c r="Q64" s="47" t="n">
        <f aca="false">IF(J64="","",MIN(1,J64+1.96*O64/100))</f>
        <v>0.650928663209341</v>
      </c>
      <c r="R64" s="32" t="str">
        <f aca="false">IF(L64="","",IF(ABS(L64)&lt;=O64,"Yes","No"))</f>
        <v>Yes</v>
      </c>
      <c r="S64" s="32" t="str">
        <f aca="false">IF(L64="","",IF(ABS(L64)&lt;=1.96*O64,"Yes","No"))</f>
        <v>Yes</v>
      </c>
      <c r="T64" s="66" t="n">
        <f aca="false">IF(D64="","",ROUND(SQRT(((D64+G64)*O64/100)^2+(J64*(D64+G64)*0.07859)^2),0))</f>
        <v>71</v>
      </c>
      <c r="U64" s="32"/>
    </row>
    <row r="65" customFormat="false" ht="15" hidden="false" customHeight="false" outlineLevel="0" collapsed="false">
      <c r="A65" s="32" t="s">
        <v>249</v>
      </c>
      <c r="B65" s="32" t="s">
        <v>261</v>
      </c>
      <c r="C65" s="32" t="s">
        <v>191</v>
      </c>
      <c r="D65" s="66" t="n">
        <v>104</v>
      </c>
      <c r="E65" s="66" t="n">
        <v>109</v>
      </c>
      <c r="F65" s="77" t="n">
        <f aca="false">IF(E65="","",D65-E65)</f>
        <v>-5</v>
      </c>
      <c r="G65" s="66" t="n">
        <v>101</v>
      </c>
      <c r="H65" s="66" t="n">
        <v>97</v>
      </c>
      <c r="I65" s="77" t="n">
        <f aca="false">IF(H65="","",G65-H65)</f>
        <v>4</v>
      </c>
      <c r="J65" s="47" t="n">
        <f aca="false">IF(OR(D65="",D65+G65=0),"",D65/(D65+G65))</f>
        <v>0.507317073170732</v>
      </c>
      <c r="K65" s="47" t="n">
        <f aca="false">IF(E65="","",E65/(E65+H65))</f>
        <v>0.529126213592233</v>
      </c>
      <c r="L65" s="78" t="n">
        <f aca="false">IF(OR(K65="",J65=""),"",(J65-K65)*100)</f>
        <v>-2.18091404215013</v>
      </c>
      <c r="M65" s="36" t="n">
        <v>2.91761619548126</v>
      </c>
      <c r="N65" s="36" t="n">
        <v>1.22164882592069</v>
      </c>
      <c r="O65" s="36" t="n">
        <f aca="false">SQRT(M65^2+N65^2)</f>
        <v>3.16305392271582</v>
      </c>
      <c r="P65" s="47" t="n">
        <f aca="false">IF(J65="","",MAX(0,J65-1.96*O65/100))</f>
        <v>0.445321216285502</v>
      </c>
      <c r="Q65" s="47" t="n">
        <f aca="false">IF(J65="","",MIN(1,J65+1.96*O65/100))</f>
        <v>0.569312930055962</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249</v>
      </c>
      <c r="B66" s="32" t="s">
        <v>228</v>
      </c>
      <c r="C66" s="32" t="s">
        <v>191</v>
      </c>
      <c r="D66" s="66" t="n">
        <v>4100</v>
      </c>
      <c r="E66" s="66" t="n">
        <v>4341</v>
      </c>
      <c r="F66" s="77" t="n">
        <f aca="false">IF(E66="","",D66-E66)</f>
        <v>-241</v>
      </c>
      <c r="G66" s="66" t="n">
        <v>3849</v>
      </c>
      <c r="H66" s="66" t="n">
        <v>3620</v>
      </c>
      <c r="I66" s="77" t="n">
        <f aca="false">IF(H66="","",G66-H66)</f>
        <v>229</v>
      </c>
      <c r="J66" s="47" t="n">
        <f aca="false">IF(OR(D66="",D66+G66=0),"",D66/(D66+G66))</f>
        <v>0.515788149452761</v>
      </c>
      <c r="K66" s="47" t="n">
        <f aca="false">IF(E66="","",E66/(E66+H66))</f>
        <v>0.545283255872378</v>
      </c>
      <c r="L66" s="78" t="n">
        <f aca="false">IF(OR(K66="",J66=""),"",(J66-K66)*100)</f>
        <v>-2.94951064196165</v>
      </c>
      <c r="M66" s="36" t="n">
        <v>1.33503173282163</v>
      </c>
      <c r="N66" s="36" t="n">
        <v>1.22164882592069</v>
      </c>
      <c r="O66" s="36" t="n">
        <f aca="false">SQRT(M66^2+N66^2)</f>
        <v>1.80962304956422</v>
      </c>
      <c r="P66" s="47" t="n">
        <f aca="false">IF(J66="","",MAX(0,J66-1.96*O66/100))</f>
        <v>0.480319537681303</v>
      </c>
      <c r="Q66" s="47" t="n">
        <f aca="false">IF(J66="","",MIN(1,J66+1.96*O66/100))</f>
        <v>0.55125676122422</v>
      </c>
      <c r="R66" s="32" t="str">
        <f aca="false">IF(L66="","",IF(ABS(L66)&lt;=O66,"Yes","No"))</f>
        <v>No</v>
      </c>
      <c r="S66" s="32" t="str">
        <f aca="false">IF(L66="","",IF(ABS(L66)&lt;=1.96*O66,"Yes","No"))</f>
        <v>Yes</v>
      </c>
      <c r="T66" s="66" t="n">
        <f aca="false">IF(D66="","",ROUND(SQRT(((D66+G66)*O66/100)^2+(J66*(D66+G66)*0.05464)^2),0))</f>
        <v>266</v>
      </c>
      <c r="U66" s="32"/>
    </row>
    <row r="67" customFormat="false" ht="15" hidden="false" customHeight="false" outlineLevel="0" collapsed="false">
      <c r="A67" s="32" t="s">
        <v>249</v>
      </c>
      <c r="B67" s="32" t="s">
        <v>262</v>
      </c>
      <c r="C67" s="32" t="s">
        <v>191</v>
      </c>
      <c r="D67" s="66" t="n">
        <v>1700</v>
      </c>
      <c r="E67" s="66" t="n">
        <v>1726</v>
      </c>
      <c r="F67" s="77" t="n">
        <f aca="false">IF(E67="","",D67-E67)</f>
        <v>-26</v>
      </c>
      <c r="G67" s="66" t="n">
        <v>1659</v>
      </c>
      <c r="H67" s="66" t="n">
        <v>1685</v>
      </c>
      <c r="I67" s="77" t="n">
        <f aca="false">IF(H67="","",G67-H67)</f>
        <v>-26</v>
      </c>
      <c r="J67" s="47" t="n">
        <f aca="false">IF(OR(D67="",D67+G67=0),"",D67/(D67+G67))</f>
        <v>0.506103006847276</v>
      </c>
      <c r="K67" s="47" t="n">
        <f aca="false">IF(E67="","",E67/(E67+H67))</f>
        <v>0.506009967751393</v>
      </c>
      <c r="L67" s="78" t="n">
        <f aca="false">IF(OR(K67="",J67=""),"",(J67-K67)*100)</f>
        <v>0.00930390958834293</v>
      </c>
      <c r="M67" s="36" t="n">
        <v>1.95188542073243</v>
      </c>
      <c r="N67" s="36" t="n">
        <v>1.22164882592069</v>
      </c>
      <c r="O67" s="36" t="n">
        <f aca="false">SQRT(M67^2+N67^2)</f>
        <v>2.30266857136263</v>
      </c>
      <c r="P67" s="47" t="n">
        <f aca="false">IF(J67="","",MAX(0,J67-1.96*O67/100))</f>
        <v>0.460970702848568</v>
      </c>
      <c r="Q67" s="47" t="n">
        <f aca="false">IF(J67="","",MIN(1,J67+1.96*O67/100))</f>
        <v>0.551235310845983</v>
      </c>
      <c r="R67" s="32" t="str">
        <f aca="false">IF(L67="","",IF(ABS(L67)&lt;=O67,"Yes","No"))</f>
        <v>Yes</v>
      </c>
      <c r="S67" s="32" t="str">
        <f aca="false">IF(L67="","",IF(ABS(L67)&lt;=1.96*O67,"Yes","No"))</f>
        <v>Yes</v>
      </c>
      <c r="T67" s="66" t="n">
        <f aca="false">IF(D67="","",ROUND(SQRT(((D67+G67)*O67/100)^2+(J67*(D67+G67)*0.06092)^2),0))</f>
        <v>129</v>
      </c>
      <c r="U67" s="32"/>
    </row>
    <row r="68" customFormat="false" ht="15" hidden="false" customHeight="false" outlineLevel="0" collapsed="false">
      <c r="A68" s="32" t="s">
        <v>249</v>
      </c>
      <c r="B68" s="32" t="s">
        <v>263</v>
      </c>
      <c r="C68" s="32" t="s">
        <v>191</v>
      </c>
      <c r="D68" s="66" t="n">
        <v>2199</v>
      </c>
      <c r="E68" s="66" t="n">
        <v>2244</v>
      </c>
      <c r="F68" s="77" t="n">
        <f aca="false">IF(E68="","",D68-E68)</f>
        <v>-45</v>
      </c>
      <c r="G68" s="66" t="n">
        <v>4450</v>
      </c>
      <c r="H68" s="66" t="n">
        <v>4439</v>
      </c>
      <c r="I68" s="77" t="n">
        <f aca="false">IF(H68="","",G68-H68)</f>
        <v>11</v>
      </c>
      <c r="J68" s="47" t="n">
        <f aca="false">IF(OR(D68="",D68+G68=0),"",D68/(D68+G68))</f>
        <v>0.33072642502632</v>
      </c>
      <c r="K68" s="47" t="n">
        <f aca="false">IF(E68="","",E68/(E68+H68))</f>
        <v>0.335777345503516</v>
      </c>
      <c r="L68" s="78" t="n">
        <f aca="false">IF(OR(K68="",J68=""),"",(J68-K68)*100)</f>
        <v>-0.505092047719663</v>
      </c>
      <c r="M68" s="36" t="n">
        <v>1.33503173282163</v>
      </c>
      <c r="N68" s="36" t="n">
        <v>1.22164882592069</v>
      </c>
      <c r="O68" s="36" t="n">
        <f aca="false">SQRT(M68^2+N68^2)</f>
        <v>1.80962304956422</v>
      </c>
      <c r="P68" s="47" t="n">
        <f aca="false">IF(J68="","",MAX(0,J68-1.96*O68/100))</f>
        <v>0.295257813254861</v>
      </c>
      <c r="Q68" s="47" t="n">
        <f aca="false">IF(J68="","",MIN(1,J68+1.96*O68/100))</f>
        <v>0.366195036797779</v>
      </c>
      <c r="R68" s="32" t="str">
        <f aca="false">IF(L68="","",IF(ABS(L68)&lt;=O68,"Yes","No"))</f>
        <v>Yes</v>
      </c>
      <c r="S68" s="32" t="str">
        <f aca="false">IF(L68="","",IF(ABS(L68)&lt;=1.96*O68,"Yes","No"))</f>
        <v>Yes</v>
      </c>
      <c r="T68" s="66" t="n">
        <f aca="false">IF(D68="","",ROUND(SQRT(((D68+G68)*O68/100)^2+(J68*(D68+G68)*0.05464)^2),0))</f>
        <v>170</v>
      </c>
      <c r="U68" s="32"/>
    </row>
    <row r="69" customFormat="false" ht="15" hidden="false" customHeight="false" outlineLevel="0" collapsed="false">
      <c r="A69" s="32" t="s">
        <v>249</v>
      </c>
      <c r="B69" s="32" t="s">
        <v>264</v>
      </c>
      <c r="C69" s="32" t="s">
        <v>191</v>
      </c>
      <c r="D69" s="66" t="n">
        <v>623</v>
      </c>
      <c r="E69" s="66" t="n">
        <v>625</v>
      </c>
      <c r="F69" s="77" t="n">
        <f aca="false">IF(E69="","",D69-E69)</f>
        <v>-2</v>
      </c>
      <c r="G69" s="66" t="n">
        <v>1168</v>
      </c>
      <c r="H69" s="66" t="n">
        <v>1214</v>
      </c>
      <c r="I69" s="77" t="n">
        <f aca="false">IF(H69="","",G69-H69)</f>
        <v>-46</v>
      </c>
      <c r="J69" s="47" t="n">
        <f aca="false">IF(OR(D69="",D69+G69=0),"",D69/(D69+G69))</f>
        <v>0.34785036292574</v>
      </c>
      <c r="K69" s="47" t="n">
        <f aca="false">IF(E69="","",E69/(E69+H69))</f>
        <v>0.339858618814573</v>
      </c>
      <c r="L69" s="78" t="n">
        <f aca="false">IF(OR(K69="",J69=""),"",(J69-K69)*100)</f>
        <v>0.799174411116665</v>
      </c>
      <c r="M69" s="36" t="n">
        <v>1.95188542073243</v>
      </c>
      <c r="N69" s="36" t="n">
        <v>1.22164882592069</v>
      </c>
      <c r="O69" s="36" t="n">
        <f aca="false">SQRT(M69^2+N69^2)</f>
        <v>2.30266857136263</v>
      </c>
      <c r="P69" s="47" t="n">
        <f aca="false">IF(J69="","",MAX(0,J69-1.96*O69/100))</f>
        <v>0.302718058927032</v>
      </c>
      <c r="Q69" s="47" t="n">
        <f aca="false">IF(J69="","",MIN(1,J69+1.96*O69/100))</f>
        <v>0.392982666924447</v>
      </c>
      <c r="R69" s="32" t="str">
        <f aca="false">IF(L69="","",IF(ABS(L69)&lt;=O69,"Yes","No"))</f>
        <v>Yes</v>
      </c>
      <c r="S69" s="32" t="str">
        <f aca="false">IF(L69="","",IF(ABS(L69)&lt;=1.96*O69,"Yes","No"))</f>
        <v>Yes</v>
      </c>
      <c r="T69" s="66" t="n">
        <f aca="false">IF(D69="","",ROUND(SQRT(((D69+G69)*O69/100)^2+(J69*(D69+G69)*0.06092)^2),0))</f>
        <v>56</v>
      </c>
      <c r="U69" s="32"/>
    </row>
    <row r="70" customFormat="false" ht="15" hidden="false" customHeight="false" outlineLevel="0" collapsed="false">
      <c r="A70" s="32" t="s">
        <v>249</v>
      </c>
      <c r="B70" s="32" t="s">
        <v>265</v>
      </c>
      <c r="C70" s="32" t="s">
        <v>191</v>
      </c>
      <c r="D70" s="66" t="n">
        <v>1881</v>
      </c>
      <c r="E70" s="66" t="n">
        <v>2047</v>
      </c>
      <c r="F70" s="77" t="n">
        <f aca="false">IF(E70="","",D70-E70)</f>
        <v>-166</v>
      </c>
      <c r="G70" s="66" t="n">
        <v>2674</v>
      </c>
      <c r="H70" s="66" t="n">
        <v>2499</v>
      </c>
      <c r="I70" s="77" t="n">
        <f aca="false">IF(H70="","",G70-H70)</f>
        <v>175</v>
      </c>
      <c r="J70" s="47" t="n">
        <f aca="false">IF(OR(D70="",D70+G70=0),"",D70/(D70+G70))</f>
        <v>0.412952799121844</v>
      </c>
      <c r="K70" s="47" t="n">
        <f aca="false">IF(E70="","",E70/(E70+H70))</f>
        <v>0.450285965684118</v>
      </c>
      <c r="L70" s="78" t="n">
        <f aca="false">IF(OR(K70="",J70=""),"",(J70-K70)*100)</f>
        <v>-3.73331665622738</v>
      </c>
      <c r="M70" s="36" t="n">
        <v>1.33503173282163</v>
      </c>
      <c r="N70" s="36" t="n">
        <v>1.22164882592069</v>
      </c>
      <c r="O70" s="36" t="n">
        <f aca="false">SQRT(M70^2+N70^2)</f>
        <v>1.80962304956422</v>
      </c>
      <c r="P70" s="47" t="n">
        <f aca="false">IF(J70="","",MAX(0,J70-1.96*O70/100))</f>
        <v>0.377484187350385</v>
      </c>
      <c r="Q70" s="47" t="n">
        <f aca="false">IF(J70="","",MIN(1,J70+1.96*O70/100))</f>
        <v>0.448421410893303</v>
      </c>
      <c r="R70" s="32" t="str">
        <f aca="false">IF(L70="","",IF(ABS(L70)&lt;=O70,"Yes","No"))</f>
        <v>No</v>
      </c>
      <c r="S70" s="32" t="str">
        <f aca="false">IF(L70="","",IF(ABS(L70)&lt;=1.96*O70,"Yes","No"))</f>
        <v>No</v>
      </c>
      <c r="T70" s="66" t="n">
        <f aca="false">IF(D70="","",ROUND(SQRT(((D70+G70)*O70/100)^2+(J70*(D70+G70)*0.05464)^2),0))</f>
        <v>132</v>
      </c>
      <c r="U70" s="32"/>
    </row>
    <row r="71" customFormat="false" ht="15" hidden="false" customHeight="false" outlineLevel="0" collapsed="false">
      <c r="A71" s="32" t="s">
        <v>249</v>
      </c>
      <c r="B71" s="32" t="s">
        <v>266</v>
      </c>
      <c r="C71" s="32" t="s">
        <v>191</v>
      </c>
      <c r="D71" s="66" t="n">
        <v>3362</v>
      </c>
      <c r="E71" s="66" t="n">
        <v>3457</v>
      </c>
      <c r="F71" s="77" t="n">
        <f aca="false">IF(E71="","",D71-E71)</f>
        <v>-95</v>
      </c>
      <c r="G71" s="66" t="n">
        <v>3861</v>
      </c>
      <c r="H71" s="66" t="n">
        <v>3805</v>
      </c>
      <c r="I71" s="77" t="n">
        <f aca="false">IF(H71="","",G71-H71)</f>
        <v>56</v>
      </c>
      <c r="J71" s="47" t="n">
        <f aca="false">IF(OR(D71="",D71+G71=0),"",D71/(D71+G71))</f>
        <v>0.465457566108265</v>
      </c>
      <c r="K71" s="47" t="n">
        <f aca="false">IF(E71="","",E71/(E71+H71))</f>
        <v>0.476039658496282</v>
      </c>
      <c r="L71" s="78" t="n">
        <f aca="false">IF(OR(K71="",J71=""),"",(J71-K71)*100)</f>
        <v>-1.05820923880167</v>
      </c>
      <c r="M71" s="36" t="n">
        <v>1.33503173282163</v>
      </c>
      <c r="N71" s="36" t="n">
        <v>1.22164882592069</v>
      </c>
      <c r="O71" s="36" t="n">
        <f aca="false">SQRT(M71^2+N71^2)</f>
        <v>1.80962304956422</v>
      </c>
      <c r="P71" s="47" t="n">
        <f aca="false">IF(J71="","",MAX(0,J71-1.96*O71/100))</f>
        <v>0.429988954336807</v>
      </c>
      <c r="Q71" s="47" t="n">
        <f aca="false">IF(J71="","",MIN(1,J71+1.96*O71/100))</f>
        <v>0.500926177879724</v>
      </c>
      <c r="R71" s="32" t="str">
        <f aca="false">IF(L71="","",IF(ABS(L71)&lt;=O71,"Yes","No"))</f>
        <v>Yes</v>
      </c>
      <c r="S71" s="32" t="str">
        <f aca="false">IF(L71="","",IF(ABS(L71)&lt;=1.96*O71,"Yes","No"))</f>
        <v>Yes</v>
      </c>
      <c r="T71" s="66" t="n">
        <f aca="false">IF(D71="","",ROUND(SQRT(((D71+G71)*O71/100)^2+(J71*(D71+G71)*0.05464)^2),0))</f>
        <v>225</v>
      </c>
      <c r="U71" s="32"/>
    </row>
    <row r="72" customFormat="false" ht="15" hidden="false" customHeight="false" outlineLevel="0" collapsed="false">
      <c r="A72" s="32" t="s">
        <v>249</v>
      </c>
      <c r="B72" s="32" t="s">
        <v>267</v>
      </c>
      <c r="C72" s="32" t="s">
        <v>191</v>
      </c>
      <c r="D72" s="66" t="n">
        <v>1900</v>
      </c>
      <c r="E72" s="66" t="n">
        <v>2006</v>
      </c>
      <c r="F72" s="77" t="n">
        <f aca="false">IF(E72="","",D72-E72)</f>
        <v>-106</v>
      </c>
      <c r="G72" s="66" t="n">
        <v>4047</v>
      </c>
      <c r="H72" s="66" t="n">
        <v>4057</v>
      </c>
      <c r="I72" s="77" t="n">
        <f aca="false">IF(H72="","",G72-H72)</f>
        <v>-10</v>
      </c>
      <c r="J72" s="47" t="n">
        <f aca="false">IF(OR(D72="",D72+G72=0),"",D72/(D72+G72))</f>
        <v>0.319488817891374</v>
      </c>
      <c r="K72" s="47" t="n">
        <f aca="false">IF(E72="","",E72/(E72+H72))</f>
        <v>0.330859310572324</v>
      </c>
      <c r="L72" s="78" t="n">
        <f aca="false">IF(OR(K72="",J72=""),"",(J72-K72)*100)</f>
        <v>-1.13704926809501</v>
      </c>
      <c r="M72" s="36" t="n">
        <v>1.33503173282163</v>
      </c>
      <c r="N72" s="36" t="n">
        <v>1.22164882592069</v>
      </c>
      <c r="O72" s="36" t="n">
        <f aca="false">SQRT(M72^2+N72^2)</f>
        <v>1.80962304956422</v>
      </c>
      <c r="P72" s="47" t="n">
        <f aca="false">IF(J72="","",MAX(0,J72-1.96*O72/100))</f>
        <v>0.284020206119915</v>
      </c>
      <c r="Q72" s="47" t="n">
        <f aca="false">IF(J72="","",MIN(1,J72+1.96*O72/100))</f>
        <v>0.354957429662833</v>
      </c>
      <c r="R72" s="32" t="str">
        <f aca="false">IF(L72="","",IF(ABS(L72)&lt;=O72,"Yes","No"))</f>
        <v>Yes</v>
      </c>
      <c r="S72" s="32" t="str">
        <f aca="false">IF(L72="","",IF(ABS(L72)&lt;=1.96*O72,"Yes","No"))</f>
        <v>Yes</v>
      </c>
      <c r="T72" s="66" t="n">
        <f aca="false">IF(D72="","",ROUND(SQRT(((D72+G72)*O72/100)^2+(J72*(D72+G72)*0.05464)^2),0))</f>
        <v>150</v>
      </c>
      <c r="U72" s="32"/>
    </row>
    <row r="73" customFormat="false" ht="15" hidden="false" customHeight="false" outlineLevel="0" collapsed="false">
      <c r="A73" s="32" t="s">
        <v>249</v>
      </c>
      <c r="B73" s="32" t="s">
        <v>268</v>
      </c>
      <c r="C73" s="32" t="s">
        <v>191</v>
      </c>
      <c r="D73" s="66" t="n">
        <v>1523</v>
      </c>
      <c r="E73" s="66" t="n">
        <v>1596</v>
      </c>
      <c r="F73" s="77" t="n">
        <f aca="false">IF(E73="","",D73-E73)</f>
        <v>-73</v>
      </c>
      <c r="G73" s="66" t="n">
        <v>1644</v>
      </c>
      <c r="H73" s="66" t="n">
        <v>1664</v>
      </c>
      <c r="I73" s="77" t="n">
        <f aca="false">IF(H73="","",G73-H73)</f>
        <v>-20</v>
      </c>
      <c r="J73" s="47" t="n">
        <f aca="false">IF(OR(D73="",D73+G73=0),"",D73/(D73+G73))</f>
        <v>0.480896747710767</v>
      </c>
      <c r="K73" s="47" t="n">
        <f aca="false">IF(E73="","",E73/(E73+H73))</f>
        <v>0.489570552147239</v>
      </c>
      <c r="L73" s="78" t="n">
        <f aca="false">IF(OR(K73="",J73=""),"",(J73-K73)*100)</f>
        <v>-0.867380443647198</v>
      </c>
      <c r="M73" s="36" t="n">
        <v>1.95188542073243</v>
      </c>
      <c r="N73" s="36" t="n">
        <v>1.22164882592069</v>
      </c>
      <c r="O73" s="36" t="n">
        <f aca="false">SQRT(M73^2+N73^2)</f>
        <v>2.30266857136263</v>
      </c>
      <c r="P73" s="47" t="n">
        <f aca="false">IF(J73="","",MAX(0,J73-1.96*O73/100))</f>
        <v>0.43576444371206</v>
      </c>
      <c r="Q73" s="47" t="n">
        <f aca="false">IF(J73="","",MIN(1,J73+1.96*O73/100))</f>
        <v>0.526029051709475</v>
      </c>
      <c r="R73" s="32" t="str">
        <f aca="false">IF(L73="","",IF(ABS(L73)&lt;=O73,"Yes","No"))</f>
        <v>Yes</v>
      </c>
      <c r="S73" s="32" t="str">
        <f aca="false">IF(L73="","",IF(ABS(L73)&lt;=1.96*O73,"Yes","No"))</f>
        <v>Yes</v>
      </c>
      <c r="T73" s="66" t="n">
        <f aca="false">IF(D73="","",ROUND(SQRT(((D73+G73)*O73/100)^2+(J73*(D73+G73)*0.06092)^2),0))</f>
        <v>118</v>
      </c>
      <c r="U73" s="32"/>
    </row>
    <row r="74" customFormat="false" ht="15" hidden="false" customHeight="false" outlineLevel="0" collapsed="false">
      <c r="A74" s="32" t="s">
        <v>249</v>
      </c>
      <c r="B74" s="32" t="s">
        <v>269</v>
      </c>
      <c r="C74" s="32" t="s">
        <v>191</v>
      </c>
      <c r="D74" s="66" t="n">
        <v>837</v>
      </c>
      <c r="E74" s="66" t="n">
        <v>847</v>
      </c>
      <c r="F74" s="77" t="n">
        <f aca="false">IF(E74="","",D74-E74)</f>
        <v>-10</v>
      </c>
      <c r="G74" s="66" t="n">
        <v>938</v>
      </c>
      <c r="H74" s="66" t="n">
        <v>889</v>
      </c>
      <c r="I74" s="77" t="n">
        <f aca="false">IF(H74="","",G74-H74)</f>
        <v>49</v>
      </c>
      <c r="J74" s="47" t="n">
        <f aca="false">IF(OR(D74="",D74+G74=0),"",D74/(D74+G74))</f>
        <v>0.471549295774648</v>
      </c>
      <c r="K74" s="47" t="n">
        <f aca="false">IF(E74="","",E74/(E74+H74))</f>
        <v>0.487903225806452</v>
      </c>
      <c r="L74" s="78" t="n">
        <f aca="false">IF(OR(K74="",J74=""),"",(J74-K74)*100)</f>
        <v>-1.63539300318037</v>
      </c>
      <c r="M74" s="36" t="n">
        <v>1.95188542073243</v>
      </c>
      <c r="N74" s="36" t="n">
        <v>1.22164882592069</v>
      </c>
      <c r="O74" s="36" t="n">
        <f aca="false">SQRT(M74^2+N74^2)</f>
        <v>2.30266857136263</v>
      </c>
      <c r="P74" s="47" t="n">
        <f aca="false">IF(J74="","",MAX(0,J74-1.96*O74/100))</f>
        <v>0.42641699177594</v>
      </c>
      <c r="Q74" s="47" t="n">
        <f aca="false">IF(J74="","",MIN(1,J74+1.96*O74/100))</f>
        <v>0.516681599773355</v>
      </c>
      <c r="R74" s="32" t="str">
        <f aca="false">IF(L74="","",IF(ABS(L74)&lt;=O74,"Yes","No"))</f>
        <v>Yes</v>
      </c>
      <c r="S74" s="32" t="str">
        <f aca="false">IF(L74="","",IF(ABS(L74)&lt;=1.96*O74,"Yes","No"))</f>
        <v>Yes</v>
      </c>
      <c r="T74" s="66" t="n">
        <f aca="false">IF(D74="","",ROUND(SQRT(((D74+G74)*O74/100)^2+(J74*(D74+G74)*0.06092)^2),0))</f>
        <v>65</v>
      </c>
      <c r="U74" s="32"/>
    </row>
    <row r="75" customFormat="false" ht="15" hidden="false" customHeight="false" outlineLevel="0" collapsed="false">
      <c r="A75" s="32" t="s">
        <v>249</v>
      </c>
      <c r="B75" s="32" t="s">
        <v>270</v>
      </c>
      <c r="C75" s="32" t="s">
        <v>191</v>
      </c>
      <c r="D75" s="66" t="n">
        <v>2657</v>
      </c>
      <c r="E75" s="66" t="n">
        <v>2573</v>
      </c>
      <c r="F75" s="77" t="n">
        <f aca="false">IF(E75="","",D75-E75)</f>
        <v>84</v>
      </c>
      <c r="G75" s="66" t="n">
        <v>3047</v>
      </c>
      <c r="H75" s="66" t="n">
        <v>3023</v>
      </c>
      <c r="I75" s="77" t="n">
        <f aca="false">IF(H75="","",G75-H75)</f>
        <v>24</v>
      </c>
      <c r="J75" s="47" t="n">
        <f aca="false">IF(OR(D75="",D75+G75=0),"",D75/(D75+G75))</f>
        <v>0.465813464235624</v>
      </c>
      <c r="K75" s="47" t="n">
        <f aca="false">IF(E75="","",E75/(E75+H75))</f>
        <v>0.459792709077913</v>
      </c>
      <c r="L75" s="78" t="n">
        <f aca="false">IF(OR(K75="",J75=""),"",(J75-K75)*100)</f>
        <v>0.602075515771133</v>
      </c>
      <c r="M75" s="36" t="n">
        <v>1.33503173282163</v>
      </c>
      <c r="N75" s="36" t="n">
        <v>1.22164882592069</v>
      </c>
      <c r="O75" s="36" t="n">
        <f aca="false">SQRT(M75^2+N75^2)</f>
        <v>1.80962304956422</v>
      </c>
      <c r="P75" s="47" t="n">
        <f aca="false">IF(J75="","",MAX(0,J75-1.96*O75/100))</f>
        <v>0.430344852464165</v>
      </c>
      <c r="Q75" s="47" t="n">
        <f aca="false">IF(J75="","",MIN(1,J75+1.96*O75/100))</f>
        <v>0.501282076007083</v>
      </c>
      <c r="R75" s="32" t="str">
        <f aca="false">IF(L75="","",IF(ABS(L75)&lt;=O75,"Yes","No"))</f>
        <v>Yes</v>
      </c>
      <c r="S75" s="32" t="str">
        <f aca="false">IF(L75="","",IF(ABS(L75)&lt;=1.96*O75,"Yes","No"))</f>
        <v>Yes</v>
      </c>
      <c r="T75" s="66" t="n">
        <f aca="false">IF(D75="","",ROUND(SQRT(((D75+G75)*O75/100)^2+(J75*(D75+G75)*0.05464)^2),0))</f>
        <v>178</v>
      </c>
      <c r="U75" s="32"/>
    </row>
    <row r="76" customFormat="false" ht="15" hidden="false" customHeight="false" outlineLevel="0" collapsed="false">
      <c r="A76" s="32" t="s">
        <v>249</v>
      </c>
      <c r="B76" s="32" t="s">
        <v>271</v>
      </c>
      <c r="C76" s="32" t="s">
        <v>191</v>
      </c>
      <c r="D76" s="66" t="n">
        <v>6966</v>
      </c>
      <c r="E76" s="66" t="n">
        <v>6974</v>
      </c>
      <c r="F76" s="77" t="n">
        <f aca="false">IF(E76="","",D76-E76)</f>
        <v>-8</v>
      </c>
      <c r="G76" s="66" t="n">
        <v>6828</v>
      </c>
      <c r="H76" s="66" t="n">
        <v>6736</v>
      </c>
      <c r="I76" s="77" t="n">
        <f aca="false">IF(H76="","",G76-H76)</f>
        <v>92</v>
      </c>
      <c r="J76" s="47" t="n">
        <f aca="false">IF(OR(D76="",D76+G76=0),"",D76/(D76+G76))</f>
        <v>0.505002174858634</v>
      </c>
      <c r="K76" s="47" t="n">
        <f aca="false">IF(E76="","",E76/(E76+H76))</f>
        <v>0.508679795769511</v>
      </c>
      <c r="L76" s="78" t="n">
        <f aca="false">IF(OR(K76="",J76=""),"",(J76-K76)*100)</f>
        <v>-0.367762091087709</v>
      </c>
      <c r="M76" s="36" t="n">
        <v>1.33503173282163</v>
      </c>
      <c r="N76" s="36" t="n">
        <v>1.22164882592069</v>
      </c>
      <c r="O76" s="36" t="n">
        <f aca="false">SQRT(M76^2+N76^2)</f>
        <v>1.80962304956422</v>
      </c>
      <c r="P76" s="47" t="n">
        <f aca="false">IF(J76="","",MAX(0,J76-1.96*O76/100))</f>
        <v>0.469533563087175</v>
      </c>
      <c r="Q76" s="47" t="n">
        <f aca="false">IF(J76="","",MIN(1,J76+1.96*O76/100))</f>
        <v>0.540470786630093</v>
      </c>
      <c r="R76" s="32" t="str">
        <f aca="false">IF(L76="","",IF(ABS(L76)&lt;=O76,"Yes","No"))</f>
        <v>Yes</v>
      </c>
      <c r="S76" s="32" t="str">
        <f aca="false">IF(L76="","",IF(ABS(L76)&lt;=1.96*O76,"Yes","No"))</f>
        <v>Yes</v>
      </c>
      <c r="T76" s="66" t="n">
        <f aca="false">IF(D76="","",ROUND(SQRT(((D76+G76)*O76/100)^2+(J76*(D76+G76)*0.05464)^2),0))</f>
        <v>455</v>
      </c>
      <c r="U76" s="32"/>
    </row>
    <row r="77" customFormat="false" ht="15" hidden="false" customHeight="false" outlineLevel="0" collapsed="false">
      <c r="A77" s="32" t="s">
        <v>249</v>
      </c>
      <c r="B77" s="32" t="s">
        <v>272</v>
      </c>
      <c r="C77" s="32" t="s">
        <v>191</v>
      </c>
      <c r="D77" s="66" t="n">
        <v>682</v>
      </c>
      <c r="E77" s="66" t="n">
        <v>703</v>
      </c>
      <c r="F77" s="77" t="n">
        <f aca="false">IF(E77="","",D77-E77)</f>
        <v>-21</v>
      </c>
      <c r="G77" s="66" t="n">
        <v>1163</v>
      </c>
      <c r="H77" s="66" t="n">
        <v>1180</v>
      </c>
      <c r="I77" s="77" t="n">
        <f aca="false">IF(H77="","",G77-H77)</f>
        <v>-17</v>
      </c>
      <c r="J77" s="47" t="n">
        <f aca="false">IF(OR(D77="",D77+G77=0),"",D77/(D77+G77))</f>
        <v>0.369647696476965</v>
      </c>
      <c r="K77" s="47" t="n">
        <f aca="false">IF(E77="","",E77/(E77+H77))</f>
        <v>0.373340414232608</v>
      </c>
      <c r="L77" s="78" t="n">
        <f aca="false">IF(OR(K77="",J77=""),"",(J77-K77)*100)</f>
        <v>-0.369271775564278</v>
      </c>
      <c r="M77" s="36" t="n">
        <v>1.95188542073243</v>
      </c>
      <c r="N77" s="36" t="n">
        <v>1.22164882592069</v>
      </c>
      <c r="O77" s="36" t="n">
        <f aca="false">SQRT(M77^2+N77^2)</f>
        <v>2.30266857136263</v>
      </c>
      <c r="P77" s="47" t="n">
        <f aca="false">IF(J77="","",MAX(0,J77-1.96*O77/100))</f>
        <v>0.324515392478257</v>
      </c>
      <c r="Q77" s="47" t="n">
        <f aca="false">IF(J77="","",MIN(1,J77+1.96*O77/100))</f>
        <v>0.414780000475672</v>
      </c>
      <c r="R77" s="32" t="str">
        <f aca="false">IF(L77="","",IF(ABS(L77)&lt;=O77,"Yes","No"))</f>
        <v>Yes</v>
      </c>
      <c r="S77" s="32" t="str">
        <f aca="false">IF(L77="","",IF(ABS(L77)&lt;=1.96*O77,"Yes","No"))</f>
        <v>Yes</v>
      </c>
      <c r="T77" s="66" t="n">
        <f aca="false">IF(D77="","",ROUND(SQRT(((D77+G77)*O77/100)^2+(J77*(D77+G77)*0.06092)^2),0))</f>
        <v>59</v>
      </c>
      <c r="U77" s="32"/>
    </row>
    <row r="78" customFormat="false" ht="15" hidden="false" customHeight="false" outlineLevel="0" collapsed="false">
      <c r="A78" s="32" t="s">
        <v>249</v>
      </c>
      <c r="B78" s="32" t="s">
        <v>273</v>
      </c>
      <c r="C78" s="32" t="s">
        <v>191</v>
      </c>
      <c r="D78" s="66" t="n">
        <v>1336</v>
      </c>
      <c r="E78" s="66" t="n">
        <v>1361</v>
      </c>
      <c r="F78" s="77" t="n">
        <f aca="false">IF(E78="","",D78-E78)</f>
        <v>-25</v>
      </c>
      <c r="G78" s="66" t="n">
        <v>2614</v>
      </c>
      <c r="H78" s="66" t="n">
        <v>2561</v>
      </c>
      <c r="I78" s="77" t="n">
        <f aca="false">IF(H78="","",G78-H78)</f>
        <v>53</v>
      </c>
      <c r="J78" s="47" t="n">
        <f aca="false">IF(OR(D78="",D78+G78=0),"",D78/(D78+G78))</f>
        <v>0.338227848101266</v>
      </c>
      <c r="K78" s="47" t="n">
        <f aca="false">IF(E78="","",E78/(E78+H78))</f>
        <v>0.347016828148904</v>
      </c>
      <c r="L78" s="78" t="n">
        <f aca="false">IF(OR(K78="",J78=""),"",(J78-K78)*100)</f>
        <v>-0.878898004763778</v>
      </c>
      <c r="M78" s="36" t="n">
        <v>1.33503173282163</v>
      </c>
      <c r="N78" s="36" t="n">
        <v>1.22164882592069</v>
      </c>
      <c r="O78" s="36" t="n">
        <f aca="false">SQRT(M78^2+N78^2)</f>
        <v>1.80962304956422</v>
      </c>
      <c r="P78" s="47" t="n">
        <f aca="false">IF(J78="","",MAX(0,J78-1.96*O78/100))</f>
        <v>0.302759236329807</v>
      </c>
      <c r="Q78" s="47" t="n">
        <f aca="false">IF(J78="","",MIN(1,J78+1.96*O78/100))</f>
        <v>0.373696459872725</v>
      </c>
      <c r="R78" s="32" t="str">
        <f aca="false">IF(L78="","",IF(ABS(L78)&lt;=O78,"Yes","No"))</f>
        <v>Yes</v>
      </c>
      <c r="S78" s="32" t="str">
        <f aca="false">IF(L78="","",IF(ABS(L78)&lt;=1.96*O78,"Yes","No"))</f>
        <v>Yes</v>
      </c>
      <c r="T78" s="66" t="n">
        <f aca="false">IF(D78="","",ROUND(SQRT(((D78+G78)*O78/100)^2+(J78*(D78+G78)*0.05464)^2),0))</f>
        <v>102</v>
      </c>
      <c r="U78" s="32"/>
    </row>
    <row r="79" customFormat="false" ht="15" hidden="false" customHeight="false" outlineLevel="0" collapsed="false">
      <c r="A79" s="32" t="s">
        <v>249</v>
      </c>
      <c r="B79" s="32" t="s">
        <v>274</v>
      </c>
      <c r="C79" s="32" t="s">
        <v>191</v>
      </c>
      <c r="D79" s="66" t="n">
        <v>81</v>
      </c>
      <c r="E79" s="66" t="n">
        <v>92</v>
      </c>
      <c r="F79" s="77" t="n">
        <f aca="false">IF(E79="","",D79-E79)</f>
        <v>-11</v>
      </c>
      <c r="G79" s="66" t="n">
        <v>168</v>
      </c>
      <c r="H79" s="66" t="n">
        <v>167</v>
      </c>
      <c r="I79" s="77" t="n">
        <f aca="false">IF(H79="","",G79-H79)</f>
        <v>1</v>
      </c>
      <c r="J79" s="47" t="n">
        <f aca="false">IF(OR(D79="",D79+G79=0),"",D79/(D79+G79))</f>
        <v>0.325301204819277</v>
      </c>
      <c r="K79" s="47" t="n">
        <f aca="false">IF(E79="","",E79/(E79+H79))</f>
        <v>0.355212355212355</v>
      </c>
      <c r="L79" s="78" t="n">
        <f aca="false">IF(OR(K79="",J79=""),"",(J79-K79)*100)</f>
        <v>-2.99111503930781</v>
      </c>
      <c r="M79" s="36" t="n">
        <v>2.91761619548126</v>
      </c>
      <c r="N79" s="36" t="n">
        <v>1.22164882592069</v>
      </c>
      <c r="O79" s="36" t="n">
        <f aca="false">SQRT(M79^2+N79^2)</f>
        <v>3.16305392271582</v>
      </c>
      <c r="P79" s="47" t="n">
        <f aca="false">IF(J79="","",MAX(0,J79-1.96*O79/100))</f>
        <v>0.263305347934047</v>
      </c>
      <c r="Q79" s="47" t="n">
        <f aca="false">IF(J79="","",MIN(1,J79+1.96*O79/100))</f>
        <v>0.387297061704507</v>
      </c>
      <c r="R79" s="32" t="str">
        <f aca="false">IF(L79="","",IF(ABS(L79)&lt;=O79,"Yes","No"))</f>
        <v>Yes</v>
      </c>
      <c r="S79" s="32" t="str">
        <f aca="false">IF(L79="","",IF(ABS(L79)&lt;=1.96*O79,"Yes","No"))</f>
        <v>Yes</v>
      </c>
      <c r="T79" s="66" t="n">
        <f aca="false">IF(D79="","",ROUND(SQRT(((D79+G79)*O79/100)^2+(J79*(D79+G79)*0.07859)^2),0))</f>
        <v>10</v>
      </c>
      <c r="U79" s="32"/>
    </row>
    <row r="80" customFormat="false" ht="15" hidden="false" customHeight="false" outlineLevel="0" collapsed="false">
      <c r="A80" s="32" t="s">
        <v>249</v>
      </c>
      <c r="B80" s="32" t="s">
        <v>275</v>
      </c>
      <c r="C80" s="32" t="s">
        <v>191</v>
      </c>
      <c r="D80" s="66" t="n">
        <v>334</v>
      </c>
      <c r="E80" s="66" t="n">
        <v>335</v>
      </c>
      <c r="F80" s="77" t="n">
        <f aca="false">IF(E80="","",D80-E80)</f>
        <v>-1</v>
      </c>
      <c r="G80" s="66" t="n">
        <v>598</v>
      </c>
      <c r="H80" s="66" t="n">
        <v>581</v>
      </c>
      <c r="I80" s="77" t="n">
        <f aca="false">IF(H80="","",G80-H80)</f>
        <v>17</v>
      </c>
      <c r="J80" s="47" t="n">
        <f aca="false">IF(OR(D80="",D80+G80=0),"",D80/(D80+G80))</f>
        <v>0.358369098712446</v>
      </c>
      <c r="K80" s="47" t="n">
        <f aca="false">IF(E80="","",E80/(E80+H80))</f>
        <v>0.365720524017467</v>
      </c>
      <c r="L80" s="78" t="n">
        <f aca="false">IF(OR(K80="",J80=""),"",(J80-K80)*100)</f>
        <v>-0.735142530502086</v>
      </c>
      <c r="M80" s="36" t="n">
        <v>2.91761619548126</v>
      </c>
      <c r="N80" s="36" t="n">
        <v>1.22164882592069</v>
      </c>
      <c r="O80" s="36" t="n">
        <f aca="false">SQRT(M80^2+N80^2)</f>
        <v>3.16305392271582</v>
      </c>
      <c r="P80" s="47" t="n">
        <f aca="false">IF(J80="","",MAX(0,J80-1.96*O80/100))</f>
        <v>0.296373241827216</v>
      </c>
      <c r="Q80" s="47" t="n">
        <f aca="false">IF(J80="","",MIN(1,J80+1.96*O80/100))</f>
        <v>0.420364955597677</v>
      </c>
      <c r="R80" s="32" t="str">
        <f aca="false">IF(L80="","",IF(ABS(L80)&lt;=O80,"Yes","No"))</f>
        <v>Yes</v>
      </c>
      <c r="S80" s="32" t="str">
        <f aca="false">IF(L80="","",IF(ABS(L80)&lt;=1.96*O80,"Yes","No"))</f>
        <v>Yes</v>
      </c>
      <c r="T80" s="66" t="n">
        <f aca="false">IF(D80="","",ROUND(SQRT(((D80+G80)*O80/100)^2+(J80*(D80+G80)*0.07859)^2),0))</f>
        <v>39</v>
      </c>
      <c r="U80" s="32"/>
    </row>
    <row r="81" customFormat="false" ht="15" hidden="false" customHeight="false" outlineLevel="0" collapsed="false">
      <c r="A81" s="32" t="s">
        <v>249</v>
      </c>
      <c r="B81" s="32" t="s">
        <v>276</v>
      </c>
      <c r="C81" s="32" t="s">
        <v>191</v>
      </c>
      <c r="D81" s="66" t="n">
        <v>209</v>
      </c>
      <c r="E81" s="66" t="n">
        <v>210</v>
      </c>
      <c r="F81" s="77" t="n">
        <f aca="false">IF(E81="","",D81-E81)</f>
        <v>-1</v>
      </c>
      <c r="G81" s="66" t="n">
        <v>305</v>
      </c>
      <c r="H81" s="66" t="n">
        <v>309</v>
      </c>
      <c r="I81" s="77" t="n">
        <f aca="false">IF(H81="","",G81-H81)</f>
        <v>-4</v>
      </c>
      <c r="J81" s="47" t="n">
        <f aca="false">IF(OR(D81="",D81+G81=0),"",D81/(D81+G81))</f>
        <v>0.406614785992218</v>
      </c>
      <c r="K81" s="47" t="n">
        <f aca="false">IF(E81="","",E81/(E81+H81))</f>
        <v>0.404624277456647</v>
      </c>
      <c r="L81" s="78" t="n">
        <f aca="false">IF(OR(K81="",J81=""),"",(J81-K81)*100)</f>
        <v>0.199050853557048</v>
      </c>
      <c r="M81" s="36" t="n">
        <v>2.91761619548126</v>
      </c>
      <c r="N81" s="36" t="n">
        <v>1.22164882592069</v>
      </c>
      <c r="O81" s="36" t="n">
        <f aca="false">SQRT(M81^2+N81^2)</f>
        <v>3.16305392271582</v>
      </c>
      <c r="P81" s="47" t="n">
        <f aca="false">IF(J81="","",MAX(0,J81-1.96*O81/100))</f>
        <v>0.344618929106988</v>
      </c>
      <c r="Q81" s="47" t="n">
        <f aca="false">IF(J81="","",MIN(1,J81+1.96*O81/100))</f>
        <v>0.468610642877448</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249</v>
      </c>
      <c r="B82" s="32" t="s">
        <v>277</v>
      </c>
      <c r="C82" s="32" t="s">
        <v>191</v>
      </c>
      <c r="D82" s="66" t="n">
        <v>319</v>
      </c>
      <c r="E82" s="66" t="n">
        <v>331</v>
      </c>
      <c r="F82" s="77" t="n">
        <f aca="false">IF(E82="","",D82-E82)</f>
        <v>-12</v>
      </c>
      <c r="G82" s="66" t="n">
        <v>453</v>
      </c>
      <c r="H82" s="66" t="n">
        <v>458</v>
      </c>
      <c r="I82" s="77" t="n">
        <f aca="false">IF(H82="","",G82-H82)</f>
        <v>-5</v>
      </c>
      <c r="J82" s="47" t="n">
        <f aca="false">IF(OR(D82="",D82+G82=0),"",D82/(D82+G82))</f>
        <v>0.413212435233161</v>
      </c>
      <c r="K82" s="47" t="n">
        <f aca="false">IF(E82="","",E82/(E82+H82))</f>
        <v>0.419518377693283</v>
      </c>
      <c r="L82" s="78" t="n">
        <f aca="false">IF(OR(K82="",J82=""),"",(J82-K82)*100)</f>
        <v>-0.630594246012201</v>
      </c>
      <c r="M82" s="36" t="n">
        <v>2.91761619548126</v>
      </c>
      <c r="N82" s="36" t="n">
        <v>1.22164882592069</v>
      </c>
      <c r="O82" s="36" t="n">
        <f aca="false">SQRT(M82^2+N82^2)</f>
        <v>3.16305392271582</v>
      </c>
      <c r="P82" s="47" t="n">
        <f aca="false">IF(J82="","",MAX(0,J82-1.96*O82/100))</f>
        <v>0.351216578347931</v>
      </c>
      <c r="Q82" s="47" t="n">
        <f aca="false">IF(J82="","",MIN(1,J82+1.96*O82/100))</f>
        <v>0.475208292118391</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249</v>
      </c>
      <c r="B83" s="32" t="s">
        <v>278</v>
      </c>
      <c r="C83" s="32" t="s">
        <v>191</v>
      </c>
      <c r="D83" s="66" t="n">
        <v>1194</v>
      </c>
      <c r="E83" s="66" t="n">
        <v>1242</v>
      </c>
      <c r="F83" s="77" t="n">
        <f aca="false">IF(E83="","",D83-E83)</f>
        <v>-48</v>
      </c>
      <c r="G83" s="66" t="n">
        <v>2664</v>
      </c>
      <c r="H83" s="66" t="n">
        <v>2716</v>
      </c>
      <c r="I83" s="77" t="n">
        <f aca="false">IF(H83="","",G83-H83)</f>
        <v>-52</v>
      </c>
      <c r="J83" s="47" t="n">
        <f aca="false">IF(OR(D83="",D83+G83=0),"",D83/(D83+G83))</f>
        <v>0.309486780715397</v>
      </c>
      <c r="K83" s="47" t="n">
        <f aca="false">IF(E83="","",E83/(E83+H83))</f>
        <v>0.313794845881759</v>
      </c>
      <c r="L83" s="78" t="n">
        <f aca="false">IF(OR(K83="",J83=""),"",(J83-K83)*100)</f>
        <v>-0.43080651663619</v>
      </c>
      <c r="M83" s="36" t="n">
        <v>1.33503173282163</v>
      </c>
      <c r="N83" s="36" t="n">
        <v>1.22164882592069</v>
      </c>
      <c r="O83" s="36" t="n">
        <f aca="false">SQRT(M83^2+N83^2)</f>
        <v>1.80962304956422</v>
      </c>
      <c r="P83" s="47" t="n">
        <f aca="false">IF(J83="","",MAX(0,J83-1.96*O83/100))</f>
        <v>0.274018168943938</v>
      </c>
      <c r="Q83" s="47" t="n">
        <f aca="false">IF(J83="","",MIN(1,J83+1.96*O83/100))</f>
        <v>0.344955392486855</v>
      </c>
      <c r="R83" s="32" t="str">
        <f aca="false">IF(L83="","",IF(ABS(L83)&lt;=O83,"Yes","No"))</f>
        <v>Yes</v>
      </c>
      <c r="S83" s="32" t="str">
        <f aca="false">IF(L83="","",IF(ABS(L83)&lt;=1.96*O83,"Yes","No"))</f>
        <v>Yes</v>
      </c>
      <c r="T83" s="66" t="n">
        <f aca="false">IF(D83="","",ROUND(SQRT(((D83+G83)*O83/100)^2+(J83*(D83+G83)*0.05464)^2),0))</f>
        <v>96</v>
      </c>
      <c r="U83" s="32"/>
    </row>
    <row r="84" customFormat="false" ht="15" hidden="false" customHeight="false" outlineLevel="0" collapsed="false">
      <c r="A84" s="32" t="s">
        <v>249</v>
      </c>
      <c r="B84" s="32" t="s">
        <v>279</v>
      </c>
      <c r="C84" s="32" t="s">
        <v>191</v>
      </c>
      <c r="D84" s="66" t="n">
        <v>1902</v>
      </c>
      <c r="E84" s="66" t="n">
        <v>1964</v>
      </c>
      <c r="F84" s="77" t="n">
        <f aca="false">IF(E84="","",D84-E84)</f>
        <v>-62</v>
      </c>
      <c r="G84" s="66" t="n">
        <v>2167</v>
      </c>
      <c r="H84" s="66" t="n">
        <v>2147</v>
      </c>
      <c r="I84" s="77" t="n">
        <f aca="false">IF(H84="","",G84-H84)</f>
        <v>20</v>
      </c>
      <c r="J84" s="47" t="n">
        <f aca="false">IF(OR(D84="",D84+G84=0),"",D84/(D84+G84))</f>
        <v>0.467436716637995</v>
      </c>
      <c r="K84" s="47" t="n">
        <f aca="false">IF(E84="","",E84/(E84+H84))</f>
        <v>0.477742641693019</v>
      </c>
      <c r="L84" s="78" t="n">
        <f aca="false">IF(OR(K84="",J84=""),"",(J84-K84)*100)</f>
        <v>-1.03059250550241</v>
      </c>
      <c r="M84" s="36" t="n">
        <v>1.33503173282163</v>
      </c>
      <c r="N84" s="36" t="n">
        <v>1.22164882592069</v>
      </c>
      <c r="O84" s="36" t="n">
        <f aca="false">SQRT(M84^2+N84^2)</f>
        <v>1.80962304956422</v>
      </c>
      <c r="P84" s="47" t="n">
        <f aca="false">IF(J84="","",MAX(0,J84-1.96*O84/100))</f>
        <v>0.431968104866536</v>
      </c>
      <c r="Q84" s="47" t="n">
        <f aca="false">IF(J84="","",MIN(1,J84+1.96*O84/100))</f>
        <v>0.502905328409453</v>
      </c>
      <c r="R84" s="32" t="str">
        <f aca="false">IF(L84="","",IF(ABS(L84)&lt;=O84,"Yes","No"))</f>
        <v>Yes</v>
      </c>
      <c r="S84" s="32" t="str">
        <f aca="false">IF(L84="","",IF(ABS(L84)&lt;=1.96*O84,"Yes","No"))</f>
        <v>Yes</v>
      </c>
      <c r="T84" s="66" t="n">
        <f aca="false">IF(D84="","",ROUND(SQRT(((D84+G84)*O84/100)^2+(J84*(D84+G84)*0.05464)^2),0))</f>
        <v>127</v>
      </c>
      <c r="U84" s="32"/>
    </row>
    <row r="85" customFormat="false" ht="15" hidden="false" customHeight="false" outlineLevel="0" collapsed="false">
      <c r="A85" s="32" t="s">
        <v>249</v>
      </c>
      <c r="B85" s="32" t="s">
        <v>280</v>
      </c>
      <c r="C85" s="32" t="s">
        <v>191</v>
      </c>
      <c r="D85" s="66" t="n">
        <v>425</v>
      </c>
      <c r="E85" s="66" t="n">
        <v>416</v>
      </c>
      <c r="F85" s="77" t="n">
        <f aca="false">IF(E85="","",D85-E85)</f>
        <v>9</v>
      </c>
      <c r="G85" s="66" t="n">
        <v>636</v>
      </c>
      <c r="H85" s="66" t="n">
        <v>658</v>
      </c>
      <c r="I85" s="77" t="n">
        <f aca="false">IF(H85="","",G85-H85)</f>
        <v>-22</v>
      </c>
      <c r="J85" s="47" t="n">
        <f aca="false">IF(OR(D85="",D85+G85=0),"",D85/(D85+G85))</f>
        <v>0.400565504241282</v>
      </c>
      <c r="K85" s="47" t="n">
        <f aca="false">IF(E85="","",E85/(E85+H85))</f>
        <v>0.387337057728119</v>
      </c>
      <c r="L85" s="78" t="n">
        <f aca="false">IF(OR(K85="",J85=""),"",(J85-K85)*100)</f>
        <v>1.32284465131626</v>
      </c>
      <c r="M85" s="36" t="n">
        <v>2.91761619548126</v>
      </c>
      <c r="N85" s="36" t="n">
        <v>1.22164882592069</v>
      </c>
      <c r="O85" s="36" t="n">
        <f aca="false">SQRT(M85^2+N85^2)</f>
        <v>3.16305392271582</v>
      </c>
      <c r="P85" s="47" t="n">
        <f aca="false">IF(J85="","",MAX(0,J85-1.96*O85/100))</f>
        <v>0.338569647356052</v>
      </c>
      <c r="Q85" s="47" t="n">
        <f aca="false">IF(J85="","",MIN(1,J85+1.96*O85/100))</f>
        <v>0.462561361126512</v>
      </c>
      <c r="R85" s="32" t="str">
        <f aca="false">IF(L85="","",IF(ABS(L85)&lt;=O85,"Yes","No"))</f>
        <v>Yes</v>
      </c>
      <c r="S85" s="32" t="str">
        <f aca="false">IF(L85="","",IF(ABS(L85)&lt;=1.96*O85,"Yes","No"))</f>
        <v>Yes</v>
      </c>
      <c r="T85" s="66" t="n">
        <f aca="false">IF(D85="","",ROUND(SQRT(((D85+G85)*O85/100)^2+(J85*(D85+G85)*0.07859)^2),0))</f>
        <v>47</v>
      </c>
      <c r="U85" s="32"/>
    </row>
    <row r="86" customFormat="false" ht="15" hidden="false" customHeight="false" outlineLevel="0" collapsed="false">
      <c r="A86" s="32" t="s">
        <v>249</v>
      </c>
      <c r="B86" s="32" t="s">
        <v>242</v>
      </c>
      <c r="C86" s="32" t="s">
        <v>191</v>
      </c>
      <c r="D86" s="66" t="n">
        <v>1048</v>
      </c>
      <c r="E86" s="66" t="n">
        <v>1041</v>
      </c>
      <c r="F86" s="77" t="n">
        <f aca="false">IF(E86="","",D86-E86)</f>
        <v>7</v>
      </c>
      <c r="G86" s="66" t="n">
        <v>2028</v>
      </c>
      <c r="H86" s="66" t="n">
        <v>2088</v>
      </c>
      <c r="I86" s="77" t="n">
        <f aca="false">IF(H86="","",G86-H86)</f>
        <v>-60</v>
      </c>
      <c r="J86" s="47" t="n">
        <f aca="false">IF(OR(D86="",D86+G86=0),"",D86/(D86+G86))</f>
        <v>0.340702210663199</v>
      </c>
      <c r="K86" s="47" t="n">
        <f aca="false">IF(E86="","",E86/(E86+H86))</f>
        <v>0.332694151486098</v>
      </c>
      <c r="L86" s="78" t="n">
        <f aca="false">IF(OR(K86="",J86=""),"",(J86-K86)*100)</f>
        <v>0.800805917710112</v>
      </c>
      <c r="M86" s="36" t="n">
        <v>1.95188542073243</v>
      </c>
      <c r="N86" s="36" t="n">
        <v>1.22164882592069</v>
      </c>
      <c r="O86" s="36" t="n">
        <f aca="false">SQRT(M86^2+N86^2)</f>
        <v>2.30266857136263</v>
      </c>
      <c r="P86" s="47" t="n">
        <f aca="false">IF(J86="","",MAX(0,J86-1.96*O86/100))</f>
        <v>0.295569906664491</v>
      </c>
      <c r="Q86" s="47" t="n">
        <f aca="false">IF(J86="","",MIN(1,J86+1.96*O86/100))</f>
        <v>0.385834514661907</v>
      </c>
      <c r="R86" s="32" t="str">
        <f aca="false">IF(L86="","",IF(ABS(L86)&lt;=O86,"Yes","No"))</f>
        <v>Yes</v>
      </c>
      <c r="S86" s="32" t="str">
        <f aca="false">IF(L86="","",IF(ABS(L86)&lt;=1.96*O86,"Yes","No"))</f>
        <v>Yes</v>
      </c>
      <c r="T86" s="66" t="n">
        <f aca="false">IF(D86="","",ROUND(SQRT(((D86+G86)*O86/100)^2+(J86*(D86+G86)*0.06092)^2),0))</f>
        <v>95</v>
      </c>
      <c r="U86" s="32"/>
    </row>
    <row r="87" customFormat="false" ht="15" hidden="false" customHeight="false" outlineLevel="0" collapsed="false">
      <c r="A87" s="32" t="s">
        <v>249</v>
      </c>
      <c r="B87" s="32" t="s">
        <v>281</v>
      </c>
      <c r="C87" s="32" t="s">
        <v>191</v>
      </c>
      <c r="D87" s="66" t="n">
        <v>274</v>
      </c>
      <c r="E87" s="66" t="n">
        <v>281</v>
      </c>
      <c r="F87" s="77" t="n">
        <f aca="false">IF(E87="","",D87-E87)</f>
        <v>-7</v>
      </c>
      <c r="G87" s="66" t="n">
        <v>333</v>
      </c>
      <c r="H87" s="66" t="n">
        <v>310</v>
      </c>
      <c r="I87" s="77" t="n">
        <f aca="false">IF(H87="","",G87-H87)</f>
        <v>23</v>
      </c>
      <c r="J87" s="47" t="n">
        <f aca="false">IF(OR(D87="",D87+G87=0),"",D87/(D87+G87))</f>
        <v>0.451400329489292</v>
      </c>
      <c r="K87" s="47" t="n">
        <f aca="false">IF(E87="","",E87/(E87+H87))</f>
        <v>0.475465313028765</v>
      </c>
      <c r="L87" s="78" t="n">
        <f aca="false">IF(OR(K87="",J87=""),"",(J87-K87)*100)</f>
        <v>-2.40649835394732</v>
      </c>
      <c r="M87" s="36" t="n">
        <v>2.91761619548126</v>
      </c>
      <c r="N87" s="36" t="n">
        <v>1.22164882592069</v>
      </c>
      <c r="O87" s="36" t="n">
        <f aca="false">SQRT(M87^2+N87^2)</f>
        <v>3.16305392271582</v>
      </c>
      <c r="P87" s="47" t="n">
        <f aca="false">IF(J87="","",MAX(0,J87-1.96*O87/100))</f>
        <v>0.389404472604061</v>
      </c>
      <c r="Q87" s="47" t="n">
        <f aca="false">IF(J87="","",MIN(1,J87+1.96*O87/100))</f>
        <v>0.513396186374522</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249</v>
      </c>
      <c r="B88" s="32" t="s">
        <v>282</v>
      </c>
      <c r="C88" s="32" t="s">
        <v>191</v>
      </c>
      <c r="D88" s="66" t="n">
        <v>1739</v>
      </c>
      <c r="E88" s="66" t="n">
        <v>1847</v>
      </c>
      <c r="F88" s="77" t="n">
        <f aca="false">IF(E88="","",D88-E88)</f>
        <v>-108</v>
      </c>
      <c r="G88" s="66" t="n">
        <v>2450</v>
      </c>
      <c r="H88" s="66" t="n">
        <v>2401</v>
      </c>
      <c r="I88" s="77" t="n">
        <f aca="false">IF(H88="","",G88-H88)</f>
        <v>49</v>
      </c>
      <c r="J88" s="47" t="n">
        <f aca="false">IF(OR(D88="",D88+G88=0),"",D88/(D88+G88))</f>
        <v>0.415134877058964</v>
      </c>
      <c r="K88" s="47" t="n">
        <f aca="false">IF(E88="","",E88/(E88+H88))</f>
        <v>0.434792843691149</v>
      </c>
      <c r="L88" s="78" t="n">
        <f aca="false">IF(OR(K88="",J88=""),"",(J88-K88)*100)</f>
        <v>-1.96579666321848</v>
      </c>
      <c r="M88" s="36" t="n">
        <v>1.33503173282163</v>
      </c>
      <c r="N88" s="36" t="n">
        <v>1.22164882592069</v>
      </c>
      <c r="O88" s="36" t="n">
        <f aca="false">SQRT(M88^2+N88^2)</f>
        <v>1.80962304956422</v>
      </c>
      <c r="P88" s="47" t="n">
        <f aca="false">IF(J88="","",MAX(0,J88-1.96*O88/100))</f>
        <v>0.379666265287505</v>
      </c>
      <c r="Q88" s="47" t="n">
        <f aca="false">IF(J88="","",MIN(1,J88+1.96*O88/100))</f>
        <v>0.450603488830423</v>
      </c>
      <c r="R88" s="32" t="str">
        <f aca="false">IF(L88="","",IF(ABS(L88)&lt;=O88,"Yes","No"))</f>
        <v>No</v>
      </c>
      <c r="S88" s="32" t="str">
        <f aca="false">IF(L88="","",IF(ABS(L88)&lt;=1.96*O88,"Yes","No"))</f>
        <v>Yes</v>
      </c>
      <c r="T88" s="66" t="n">
        <f aca="false">IF(D88="","",ROUND(SQRT(((D88+G88)*O88/100)^2+(J88*(D88+G88)*0.05464)^2),0))</f>
        <v>122</v>
      </c>
      <c r="U88" s="32"/>
    </row>
    <row r="89" customFormat="false" ht="15" hidden="false" customHeight="false" outlineLevel="0" collapsed="false">
      <c r="A89" s="32" t="s">
        <v>249</v>
      </c>
      <c r="B89" s="32" t="s">
        <v>283</v>
      </c>
      <c r="C89" s="32" t="s">
        <v>191</v>
      </c>
      <c r="D89" s="66" t="n">
        <v>1855</v>
      </c>
      <c r="E89" s="66" t="n">
        <v>1897</v>
      </c>
      <c r="F89" s="77" t="n">
        <f aca="false">IF(E89="","",D89-E89)</f>
        <v>-42</v>
      </c>
      <c r="G89" s="66" t="n">
        <v>1551</v>
      </c>
      <c r="H89" s="66" t="n">
        <v>1538</v>
      </c>
      <c r="I89" s="77" t="n">
        <f aca="false">IF(H89="","",G89-H89)</f>
        <v>13</v>
      </c>
      <c r="J89" s="47" t="n">
        <f aca="false">IF(OR(D89="",D89+G89=0),"",D89/(D89+G89))</f>
        <v>0.544627128596594</v>
      </c>
      <c r="K89" s="47" t="n">
        <f aca="false">IF(E89="","",E89/(E89+H89))</f>
        <v>0.552256186317322</v>
      </c>
      <c r="L89" s="78" t="n">
        <f aca="false">IF(OR(K89="",J89=""),"",(J89-K89)*100)</f>
        <v>-0.762905772072742</v>
      </c>
      <c r="M89" s="36" t="n">
        <v>1.95188542073243</v>
      </c>
      <c r="N89" s="36" t="n">
        <v>1.22164882592069</v>
      </c>
      <c r="O89" s="36" t="n">
        <f aca="false">SQRT(M89^2+N89^2)</f>
        <v>2.30266857136263</v>
      </c>
      <c r="P89" s="47" t="n">
        <f aca="false">IF(J89="","",MAX(0,J89-1.96*O89/100))</f>
        <v>0.499494824597887</v>
      </c>
      <c r="Q89" s="47" t="n">
        <f aca="false">IF(J89="","",MIN(1,J89+1.96*O89/100))</f>
        <v>0.589759432595302</v>
      </c>
      <c r="R89" s="32" t="str">
        <f aca="false">IF(L89="","",IF(ABS(L89)&lt;=O89,"Yes","No"))</f>
        <v>Yes</v>
      </c>
      <c r="S89" s="32" t="str">
        <f aca="false">IF(L89="","",IF(ABS(L89)&lt;=1.96*O89,"Yes","No"))</f>
        <v>Yes</v>
      </c>
      <c r="T89" s="66" t="n">
        <f aca="false">IF(D89="","",ROUND(SQRT(((D89+G89)*O89/100)^2+(J89*(D89+G89)*0.06092)^2),0))</f>
        <v>138</v>
      </c>
      <c r="U89" s="32"/>
    </row>
    <row r="90" customFormat="false" ht="15" hidden="false" customHeight="false" outlineLevel="0" collapsed="false">
      <c r="A90" s="32" t="s">
        <v>249</v>
      </c>
      <c r="B90" s="32" t="s">
        <v>284</v>
      </c>
      <c r="C90" s="32" t="s">
        <v>191</v>
      </c>
      <c r="D90" s="66" t="n">
        <v>630</v>
      </c>
      <c r="E90" s="66" t="n">
        <v>634</v>
      </c>
      <c r="F90" s="77" t="n">
        <f aca="false">IF(E90="","",D90-E90)</f>
        <v>-4</v>
      </c>
      <c r="G90" s="66" t="n">
        <v>896</v>
      </c>
      <c r="H90" s="66" t="n">
        <v>856</v>
      </c>
      <c r="I90" s="77" t="n">
        <f aca="false">IF(H90="","",G90-H90)</f>
        <v>40</v>
      </c>
      <c r="J90" s="47" t="n">
        <f aca="false">IF(OR(D90="",D90+G90=0),"",D90/(D90+G90))</f>
        <v>0.412844036697248</v>
      </c>
      <c r="K90" s="47" t="n">
        <f aca="false">IF(E90="","",E90/(E90+H90))</f>
        <v>0.425503355704698</v>
      </c>
      <c r="L90" s="78" t="n">
        <f aca="false">IF(OR(K90="",J90=""),"",(J90-K90)*100)</f>
        <v>-1.26593190074503</v>
      </c>
      <c r="M90" s="36" t="n">
        <v>2.91761619548126</v>
      </c>
      <c r="N90" s="36" t="n">
        <v>1.22164882592069</v>
      </c>
      <c r="O90" s="36" t="n">
        <f aca="false">SQRT(M90^2+N90^2)</f>
        <v>3.16305392271582</v>
      </c>
      <c r="P90" s="47" t="n">
        <f aca="false">IF(J90="","",MAX(0,J90-1.96*O90/100))</f>
        <v>0.350848179812018</v>
      </c>
      <c r="Q90" s="47" t="n">
        <f aca="false">IF(J90="","",MIN(1,J90+1.96*O90/100))</f>
        <v>0.474839893582478</v>
      </c>
      <c r="R90" s="32" t="str">
        <f aca="false">IF(L90="","",IF(ABS(L90)&lt;=O90,"Yes","No"))</f>
        <v>Yes</v>
      </c>
      <c r="S90" s="32" t="str">
        <f aca="false">IF(L90="","",IF(ABS(L90)&lt;=1.96*O90,"Yes","No"))</f>
        <v>Yes</v>
      </c>
      <c r="T90" s="66" t="n">
        <f aca="false">IF(D90="","",ROUND(SQRT(((D90+G90)*O90/100)^2+(J90*(D90+G90)*0.07859)^2),0))</f>
        <v>69</v>
      </c>
      <c r="U90" s="32"/>
    </row>
    <row r="92" customFormat="false" ht="15" hidden="false" customHeight="false" outlineLevel="0" collapsed="false">
      <c r="A92" s="20" t="s">
        <v>419</v>
      </c>
      <c r="B92" s="44"/>
      <c r="C92" s="44"/>
      <c r="D92" s="79" t="n">
        <f aca="false">SUMIF(E2:E90,"&lt;&gt;",D2:D90)</f>
        <v>196879</v>
      </c>
      <c r="E92" s="79" t="n">
        <f aca="false">SUM(E2:E90)</f>
        <v>199626</v>
      </c>
      <c r="F92" s="80" t="n">
        <f aca="false">D92-E92</f>
        <v>-2747</v>
      </c>
      <c r="G92" s="79" t="n">
        <f aca="false">SUMIF(H2:H90,"&lt;&gt;",G2:G90)</f>
        <v>204244</v>
      </c>
      <c r="H92" s="79" t="n">
        <f aca="false">SUM(H2:H90)</f>
        <v>203688</v>
      </c>
      <c r="I92" s="80" t="n">
        <f aca="false">G92-H92</f>
        <v>556</v>
      </c>
      <c r="J92" s="46" t="n">
        <f aca="false">D92/(D92+G92)</f>
        <v>0.490819524185848</v>
      </c>
      <c r="K92" s="46" t="n">
        <f aca="false">E92/(E92+H92)</f>
        <v>0.49496422142549</v>
      </c>
      <c r="L92" s="81" t="n">
        <f aca="false">(J92-K92)*100</f>
        <v>-0.414469723964156</v>
      </c>
      <c r="M92" s="45" t="n">
        <v>0</v>
      </c>
      <c r="N92" s="45" t="n">
        <v>1.22164882592069</v>
      </c>
      <c r="O92" s="45" t="n">
        <f aca="false">SQRT(M92^2+N92^2)</f>
        <v>1.22164882592069</v>
      </c>
      <c r="P92" s="46" t="n">
        <f aca="false">J92-1.96*O92/100</f>
        <v>0.466875207197803</v>
      </c>
      <c r="Q92" s="46" t="n">
        <f aca="false">J92+1.96*O92/100</f>
        <v>0.514763841173894</v>
      </c>
      <c r="R92" s="44" t="str">
        <f aca="false">IF(ABS(L92)&lt;=O92,"Yes","No")</f>
        <v>Yes</v>
      </c>
      <c r="S92" s="44" t="str">
        <f aca="false">IF(ABS(L92)&lt;=1.96*O92,"Yes","No")</f>
        <v>Yes</v>
      </c>
      <c r="T92" s="79" t="n">
        <f aca="false">ROUND(SQRT(((D92+G92)*O92/100)^2+(J92*(D92+G92)*0.04269)^2),0)</f>
        <v>9729</v>
      </c>
    </row>
    <row r="93" customFormat="false" ht="15" hidden="false" customHeight="false" outlineLevel="0" collapsed="false">
      <c r="A93" s="20" t="s">
        <v>420</v>
      </c>
      <c r="B93" s="44"/>
      <c r="C93" s="44"/>
      <c r="D93" s="79" t="n">
        <f aca="false">SUM(D2:D90)</f>
        <v>196879</v>
      </c>
      <c r="E93" s="79"/>
      <c r="F93" s="80"/>
      <c r="G93" s="79" t="n">
        <f aca="false">SUM(G2:G90)</f>
        <v>204244</v>
      </c>
      <c r="H93" s="79"/>
      <c r="I93" s="80"/>
      <c r="J93" s="46" t="n">
        <f aca="false">D93/(D93+G93)</f>
        <v>0.490819524185848</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76.2808988764045</v>
      </c>
    </row>
    <row r="96" customFormat="false" ht="15" hidden="false" customHeight="false" outlineLevel="0" collapsed="false">
      <c r="A96" s="2" t="s">
        <v>422</v>
      </c>
      <c r="F96" s="82" t="n">
        <f aca="false">(SUMIF(I2:I90,"&gt;0")-SUMIF(I2:I90,"&lt;0"))/COUNT(I2:I90)</f>
        <v>68.7865168539326</v>
      </c>
    </row>
    <row r="97" customFormat="false" ht="15" hidden="false" customHeight="false" outlineLevel="0" collapsed="false">
      <c r="A97" s="2" t="s">
        <v>423</v>
      </c>
      <c r="F97" s="83" t="n">
        <f aca="false">(SUMIF(L2:L90,"&gt;0")-SUMIF(L2:L90,"&lt;0"))/COUNT(L2:L90)</f>
        <v>1.44914840502396</v>
      </c>
    </row>
    <row r="98" customFormat="false" ht="15" hidden="false" customHeight="false" outlineLevel="0" collapsed="false">
      <c r="A98" s="5" t="s">
        <v>424</v>
      </c>
      <c r="F98" s="84" t="n">
        <f aca="false">SQRT(SUMSQ(L2:L90)/COUNT(L2:L90))</f>
        <v>1.89059663662692</v>
      </c>
    </row>
    <row r="99" customFormat="false" ht="15" hidden="false" customHeight="false" outlineLevel="0" collapsed="false">
      <c r="A99" s="5" t="s">
        <v>425</v>
      </c>
      <c r="F99" s="85" t="n">
        <f aca="false">L92</f>
        <v>-0.414469723964156</v>
      </c>
    </row>
    <row r="100" customFormat="false" ht="15" hidden="false" customHeight="false" outlineLevel="0" collapsed="false">
      <c r="A100" s="5" t="s">
        <v>426</v>
      </c>
      <c r="F100" s="84" t="n">
        <f aca="false">SQRT((SUMSQ(L2:L90)-2*L92*SUM(L2:L90)+COUNT(L2:L90)*L92^2)/COUNT(L2:L90))</f>
        <v>1.8017453557877</v>
      </c>
    </row>
    <row r="101" customFormat="false" ht="15" hidden="false" customHeight="false" outlineLevel="0" collapsed="false">
      <c r="A101" s="2" t="s">
        <v>427</v>
      </c>
      <c r="F101" s="86" t="n">
        <f aca="false">D92/E92-1</f>
        <v>-0.0137607325699057</v>
      </c>
    </row>
    <row r="102" customFormat="false" ht="15" hidden="false" customHeight="false" outlineLevel="0" collapsed="false">
      <c r="A102" s="5" t="s">
        <v>428</v>
      </c>
      <c r="F102" s="87" t="n">
        <f aca="false">G92/H92-1</f>
        <v>0.00272966497780924</v>
      </c>
    </row>
    <row r="103" customFormat="false" ht="15" hidden="false" customHeight="false" outlineLevel="0" collapsed="false">
      <c r="A103" s="2" t="s">
        <v>429</v>
      </c>
      <c r="F103" s="86" t="n">
        <f aca="false">(D92+G92)/(E92+H92)-1</f>
        <v>-0.00543249180539229</v>
      </c>
    </row>
    <row r="104" customFormat="false" ht="15" hidden="false" customHeight="false" outlineLevel="0" collapsed="false">
      <c r="A104" s="2" t="s">
        <v>430</v>
      </c>
      <c r="F104" s="83" t="n">
        <f aca="false">AVERAGE(O2:O90)</f>
        <v>2.4264909858193</v>
      </c>
    </row>
    <row r="105" customFormat="false" ht="15" hidden="false" customHeight="false" outlineLevel="0" collapsed="false">
      <c r="A105" s="5" t="s">
        <v>431</v>
      </c>
      <c r="F105" s="88" t="n">
        <f aca="false">COUNTIF(R2:R90,"Yes")/(COUNTIF(R2:R90,"Yes")+COUNTIF(R2:R90,"No"))</f>
        <v>0.820224719101124</v>
      </c>
    </row>
    <row r="106" customFormat="false" ht="15" hidden="false" customHeight="false" outlineLevel="0" collapsed="false">
      <c r="A106" s="5" t="s">
        <v>432</v>
      </c>
      <c r="F106" s="88" t="n">
        <f aca="false">COUNTIF(S2:S90,"Yes")/(COUNTIF(S2:S90,"Yes")+COUNTIF(S2:S90,"No"))</f>
        <v>0.97752808988764</v>
      </c>
    </row>
    <row r="107" customFormat="false" ht="15" hidden="false" customHeight="false" outlineLevel="0" collapsed="false">
      <c r="A107" s="2" t="s">
        <v>433</v>
      </c>
      <c r="F107" s="89" t="n">
        <f aca="false">COUNTIFS(L2:L90,"&gt;=-3",L2:L90,"&lt;=3")/COUNT(L2:L90)</f>
        <v>0.876404494382023</v>
      </c>
    </row>
    <row r="108" customFormat="false" ht="15" hidden="false" customHeight="false" outlineLevel="0" collapsed="false">
      <c r="A108" s="2" t="s">
        <v>434</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-1084.46660914325</v>
      </c>
    </row>
    <row r="112" customFormat="false" ht="15" hidden="false" customHeight="false" outlineLevel="0" collapsed="false">
      <c r="A112" s="2" t="s">
        <v>438</v>
      </c>
      <c r="F112" s="91" t="n">
        <f aca="false">F92-((D92+G92)-(E92+H92))*K92</f>
        <v>-1662.53339085675</v>
      </c>
    </row>
    <row r="113" customFormat="false" ht="15" hidden="false" customHeight="false" outlineLevel="0" collapsed="false">
      <c r="A113" s="2" t="s">
        <v>439</v>
      </c>
      <c r="F113" s="91" t="n">
        <f aca="false">((D92+G92)-(E92+H92))*(1-K92)</f>
        <v>-1106.53339085675</v>
      </c>
    </row>
    <row r="114" customFormat="false" ht="15" hidden="false" customHeight="false" outlineLevel="0" collapsed="false">
      <c r="A114" s="2" t="s">
        <v>440</v>
      </c>
      <c r="F114" s="91" t="n">
        <f aca="false">I92-((D92+G92)-(E92+H92))*(1-K92)</f>
        <v>1662.53339085675</v>
      </c>
    </row>
    <row r="115" customFormat="false" ht="15" hidden="false" customHeight="false" outlineLevel="0" collapsed="false">
      <c r="A115" s="2" t="s">
        <v>441</v>
      </c>
      <c r="F115" s="86" t="n">
        <f aca="false">(F92-((D92+G92)-(E92+H92))*K92)/E92</f>
        <v>-0.0083282407645134</v>
      </c>
    </row>
    <row r="116" customFormat="false" ht="15" hidden="false" customHeight="false" outlineLevel="0" collapsed="false">
      <c r="A116" s="2" t="s">
        <v>442</v>
      </c>
      <c r="F116" s="86" t="n">
        <f aca="false">(I92-((D92+G92)-(E92+H92))*(1-K92))/H92</f>
        <v>0.00816215678320152</v>
      </c>
    </row>
    <row r="118" customFormat="false" ht="15" hidden="false" customHeight="false" outlineLevel="0" collapsed="false">
      <c r="U118" s="5" t="s">
        <v>166</v>
      </c>
    </row>
    <row r="119" customFormat="false" ht="28.35" hidden="false" customHeight="false" outlineLevel="0" collapsed="false">
      <c r="U119" s="76" t="s">
        <v>443</v>
      </c>
    </row>
    <row r="120" customFormat="false" ht="15" hidden="false" customHeight="false" outlineLevel="0" collapsed="false">
      <c r="U120" s="76" t="s">
        <v>444</v>
      </c>
    </row>
    <row r="121" customFormat="false" ht="108.95" hidden="false" customHeight="false" outlineLevel="0" collapsed="false">
      <c r="U121" s="76" t="s">
        <v>452</v>
      </c>
    </row>
    <row r="122" customFormat="false" ht="15" hidden="false" customHeight="false" outlineLevel="0" collapsed="false">
      <c r="U122" s="76" t="s">
        <v>446</v>
      </c>
    </row>
    <row r="123" customFormat="false" ht="41.75" hidden="false" customHeight="false" outlineLevel="0" collapsed="false">
      <c r="U123" s="76" t="s">
        <v>447</v>
      </c>
    </row>
    <row r="124" customFormat="false" ht="28.35" hidden="false" customHeight="false" outlineLevel="0" collapsed="false">
      <c r="U124" s="76" t="s">
        <v>448</v>
      </c>
    </row>
    <row r="125" customFormat="false" ht="28.35" hidden="false" customHeight="false" outlineLevel="0" collapsed="false">
      <c r="U125" s="76" t="s">
        <v>449</v>
      </c>
    </row>
    <row r="126" customFormat="false" ht="41.75" hidden="false" customHeight="false" outlineLevel="0" collapsed="false">
      <c r="U126" s="76" t="s">
        <v>450</v>
      </c>
    </row>
    <row r="127" customFormat="false" ht="15" hidden="false" customHeight="false" outlineLevel="0" collapsed="false">
      <c r="U127" s="76" t="s">
        <v>451</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405</v>
      </c>
      <c r="H1" s="8" t="s">
        <v>406</v>
      </c>
      <c r="I1" s="8" t="s">
        <v>407</v>
      </c>
      <c r="J1" s="8" t="s">
        <v>408</v>
      </c>
      <c r="K1" s="8" t="s">
        <v>409</v>
      </c>
      <c r="L1" s="8" t="s">
        <v>410</v>
      </c>
      <c r="M1" s="8" t="s">
        <v>411</v>
      </c>
      <c r="N1" s="8" t="s">
        <v>412</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151</v>
      </c>
      <c r="E2" s="66" t="n">
        <v>181</v>
      </c>
      <c r="F2" s="77" t="n">
        <f aca="false">IF(E2="","",D2-E2)</f>
        <v>-30</v>
      </c>
      <c r="G2" s="66" t="n">
        <v>287</v>
      </c>
      <c r="H2" s="66" t="n">
        <v>285</v>
      </c>
      <c r="I2" s="77" t="n">
        <f aca="false">IF(H2="","",G2-H2)</f>
        <v>2</v>
      </c>
      <c r="J2" s="47" t="n">
        <f aca="false">IF(OR(D2="",D2+G2=0),"",D2/(D2+G2))</f>
        <v>0.344748858447489</v>
      </c>
      <c r="K2" s="47" t="n">
        <f aca="false">IF(E2="","",E2/(E2+H2))</f>
        <v>0.388412017167382</v>
      </c>
      <c r="L2" s="78" t="n">
        <f aca="false">IF(OR(K2="",J2=""),"",(J2-K2)*100)</f>
        <v>-4.36631587198934</v>
      </c>
      <c r="M2" s="36" t="n">
        <v>2.97095236107082</v>
      </c>
      <c r="N2" s="36" t="n">
        <v>1.22110921059482</v>
      </c>
      <c r="O2" s="36" t="n">
        <f aca="false">SQRT(M2^2+N2^2)</f>
        <v>3.21211233239932</v>
      </c>
      <c r="P2" s="47" t="n">
        <f aca="false">IF(J2="","",MAX(0,J2-1.96*O2/100))</f>
        <v>0.281791456732462</v>
      </c>
      <c r="Q2" s="47" t="n">
        <f aca="false">IF(J2="","",MIN(1,J2+1.96*O2/100))</f>
        <v>0.407706260162515</v>
      </c>
      <c r="R2" s="32" t="str">
        <f aca="false">IF(L2="","",IF(ABS(L2)&lt;=O2,"Yes","No"))</f>
        <v>No</v>
      </c>
      <c r="S2" s="32" t="str">
        <f aca="false">IF(L2="","",IF(ABS(L2)&lt;=1.96*O2,"Yes","No"))</f>
        <v>Yes</v>
      </c>
      <c r="T2" s="66" t="n">
        <f aca="false">IF(D2="","",ROUND(SQRT(((D2+G2)*O2/100)^2+(J2*(D2+G2)*0.07859)^2),0))</f>
        <v>18</v>
      </c>
      <c r="U2" s="32"/>
    </row>
    <row r="3" customFormat="false" ht="15" hidden="false" customHeight="false" outlineLevel="0" collapsed="false">
      <c r="A3" s="32" t="s">
        <v>189</v>
      </c>
      <c r="B3" s="32" t="s">
        <v>195</v>
      </c>
      <c r="C3" s="32" t="s">
        <v>191</v>
      </c>
      <c r="D3" s="66" t="n">
        <v>107</v>
      </c>
      <c r="E3" s="66" t="n">
        <v>118</v>
      </c>
      <c r="F3" s="77" t="n">
        <f aca="false">IF(E3="","",D3-E3)</f>
        <v>-11</v>
      </c>
      <c r="G3" s="66" t="n">
        <v>297</v>
      </c>
      <c r="H3" s="66" t="n">
        <v>300</v>
      </c>
      <c r="I3" s="77" t="n">
        <f aca="false">IF(H3="","",G3-H3)</f>
        <v>-3</v>
      </c>
      <c r="J3" s="47" t="n">
        <f aca="false">IF(OR(D3="",D3+G3=0),"",D3/(D3+G3))</f>
        <v>0.264851485148515</v>
      </c>
      <c r="K3" s="47" t="n">
        <f aca="false">IF(E3="","",E3/(E3+H3))</f>
        <v>0.282296650717703</v>
      </c>
      <c r="L3" s="78" t="n">
        <f aca="false">IF(OR(K3="",J3=""),"",(J3-K3)*100)</f>
        <v>-1.74451655691885</v>
      </c>
      <c r="M3" s="36" t="n">
        <v>2.97095236107082</v>
      </c>
      <c r="N3" s="36" t="n">
        <v>1.22110921059482</v>
      </c>
      <c r="O3" s="36" t="n">
        <f aca="false">SQRT(M3^2+N3^2)</f>
        <v>3.21211233239932</v>
      </c>
      <c r="P3" s="47" t="n">
        <f aca="false">IF(J3="","",MAX(0,J3-1.96*O3/100))</f>
        <v>0.201894083433488</v>
      </c>
      <c r="Q3" s="47" t="n">
        <f aca="false">IF(J3="","",MIN(1,J3+1.96*O3/100))</f>
        <v>0.327808886863542</v>
      </c>
      <c r="R3" s="32" t="str">
        <f aca="false">IF(L3="","",IF(ABS(L3)&lt;=O3,"Yes","No"))</f>
        <v>Yes</v>
      </c>
      <c r="S3" s="32" t="str">
        <f aca="false">IF(L3="","",IF(ABS(L3)&lt;=1.96*O3,"Yes","No"))</f>
        <v>Yes</v>
      </c>
      <c r="T3" s="66" t="n">
        <f aca="false">IF(D3="","",ROUND(SQRT(((D3+G3)*O3/100)^2+(J3*(D3+G3)*0.07859)^2),0))</f>
        <v>15</v>
      </c>
      <c r="U3" s="32"/>
    </row>
    <row r="4" customFormat="false" ht="15" hidden="false" customHeight="false" outlineLevel="0" collapsed="false">
      <c r="A4" s="32" t="s">
        <v>189</v>
      </c>
      <c r="B4" s="32" t="s">
        <v>196</v>
      </c>
      <c r="C4" s="32" t="s">
        <v>191</v>
      </c>
      <c r="D4" s="66" t="n">
        <v>128</v>
      </c>
      <c r="E4" s="66" t="n">
        <v>144</v>
      </c>
      <c r="F4" s="77" t="n">
        <f aca="false">IF(E4="","",D4-E4)</f>
        <v>-16</v>
      </c>
      <c r="G4" s="66" t="n">
        <v>275</v>
      </c>
      <c r="H4" s="66" t="n">
        <v>310</v>
      </c>
      <c r="I4" s="77" t="n">
        <f aca="false">IF(H4="","",G4-H4)</f>
        <v>-35</v>
      </c>
      <c r="J4" s="47" t="n">
        <f aca="false">IF(OR(D4="",D4+G4=0),"",D4/(D4+G4))</f>
        <v>0.317617866004963</v>
      </c>
      <c r="K4" s="47" t="n">
        <f aca="false">IF(E4="","",E4/(E4+H4))</f>
        <v>0.317180616740088</v>
      </c>
      <c r="L4" s="78" t="n">
        <f aca="false">IF(OR(K4="",J4=""),"",(J4-K4)*100)</f>
        <v>0.0437249264874651</v>
      </c>
      <c r="M4" s="36" t="n">
        <v>2.97095236107082</v>
      </c>
      <c r="N4" s="36" t="n">
        <v>1.22110921059482</v>
      </c>
      <c r="O4" s="36" t="n">
        <f aca="false">SQRT(M4^2+N4^2)</f>
        <v>3.21211233239932</v>
      </c>
      <c r="P4" s="47" t="n">
        <f aca="false">IF(J4="","",MAX(0,J4-1.96*O4/100))</f>
        <v>0.254660464289936</v>
      </c>
      <c r="Q4" s="47" t="n">
        <f aca="false">IF(J4="","",MIN(1,J4+1.96*O4/100))</f>
        <v>0.380575267719989</v>
      </c>
      <c r="R4" s="32" t="str">
        <f aca="false">IF(L4="","",IF(ABS(L4)&lt;=O4,"Yes","No"))</f>
        <v>Yes</v>
      </c>
      <c r="S4" s="32" t="str">
        <f aca="false">IF(L4="","",IF(ABS(L4)&lt;=1.96*O4,"Yes","No"))</f>
        <v>Yes</v>
      </c>
      <c r="T4" s="66" t="n">
        <f aca="false">IF(D4="","",ROUND(SQRT(((D4+G4)*O4/100)^2+(J4*(D4+G4)*0.07859)^2),0))</f>
        <v>16</v>
      </c>
      <c r="U4" s="32"/>
    </row>
    <row r="5" customFormat="false" ht="15" hidden="false" customHeight="false" outlineLevel="0" collapsed="false">
      <c r="A5" s="32" t="s">
        <v>189</v>
      </c>
      <c r="B5" s="32" t="s">
        <v>197</v>
      </c>
      <c r="C5" s="32" t="s">
        <v>191</v>
      </c>
      <c r="D5" s="66" t="n">
        <v>433</v>
      </c>
      <c r="E5" s="66" t="n">
        <v>438</v>
      </c>
      <c r="F5" s="77" t="n">
        <f aca="false">IF(E5="","",D5-E5)</f>
        <v>-5</v>
      </c>
      <c r="G5" s="66" t="n">
        <v>1142</v>
      </c>
      <c r="H5" s="66" t="n">
        <v>1253</v>
      </c>
      <c r="I5" s="77" t="n">
        <f aca="false">IF(H5="","",G5-H5)</f>
        <v>-111</v>
      </c>
      <c r="J5" s="47" t="n">
        <f aca="false">IF(OR(D5="",D5+G5=0),"",D5/(D5+G5))</f>
        <v>0.274920634920635</v>
      </c>
      <c r="K5" s="47" t="n">
        <f aca="false">IF(E5="","",E5/(E5+H5))</f>
        <v>0.259018332347723</v>
      </c>
      <c r="L5" s="78" t="n">
        <f aca="false">IF(OR(K5="",J5=""),"",(J5-K5)*100)</f>
        <v>1.59023025729116</v>
      </c>
      <c r="M5" s="36" t="n">
        <v>2.18929868476011</v>
      </c>
      <c r="N5" s="36" t="n">
        <v>1.22110921059482</v>
      </c>
      <c r="O5" s="36" t="n">
        <f aca="false">SQRT(M5^2+N5^2)</f>
        <v>2.50681799006068</v>
      </c>
      <c r="P5" s="47" t="n">
        <f aca="false">IF(J5="","",MAX(0,J5-1.96*O5/100))</f>
        <v>0.225787002315446</v>
      </c>
      <c r="Q5" s="47" t="n">
        <f aca="false">IF(J5="","",MIN(1,J5+1.96*O5/100))</f>
        <v>0.324054267525824</v>
      </c>
      <c r="R5" s="32" t="str">
        <f aca="false">IF(L5="","",IF(ABS(L5)&lt;=O5,"Yes","No"))</f>
        <v>Yes</v>
      </c>
      <c r="S5" s="32" t="str">
        <f aca="false">IF(L5="","",IF(ABS(L5)&lt;=1.96*O5,"Yes","No"))</f>
        <v>Yes</v>
      </c>
      <c r="T5" s="66" t="n">
        <f aca="false">IF(D5="","",ROUND(SQRT(((D5+G5)*O5/100)^2+(J5*(D5+G5)*0.06092)^2),0))</f>
        <v>47</v>
      </c>
      <c r="U5" s="32"/>
    </row>
    <row r="6" customFormat="false" ht="15" hidden="false" customHeight="false" outlineLevel="0" collapsed="false">
      <c r="A6" s="32" t="s">
        <v>189</v>
      </c>
      <c r="B6" s="32" t="s">
        <v>199</v>
      </c>
      <c r="C6" s="32" t="s">
        <v>191</v>
      </c>
      <c r="D6" s="66" t="n">
        <v>39</v>
      </c>
      <c r="E6" s="66" t="n">
        <v>38</v>
      </c>
      <c r="F6" s="77" t="n">
        <f aca="false">IF(E6="","",D6-E6)</f>
        <v>1</v>
      </c>
      <c r="G6" s="66" t="n">
        <v>73</v>
      </c>
      <c r="H6" s="66" t="n">
        <v>78</v>
      </c>
      <c r="I6" s="77" t="n">
        <f aca="false">IF(H6="","",G6-H6)</f>
        <v>-5</v>
      </c>
      <c r="J6" s="47" t="n">
        <f aca="false">IF(OR(D6="",D6+G6=0),"",D6/(D6+G6))</f>
        <v>0.348214285714286</v>
      </c>
      <c r="K6" s="47" t="n">
        <f aca="false">IF(E6="","",E6/(E6+H6))</f>
        <v>0.327586206896552</v>
      </c>
      <c r="L6" s="78" t="n">
        <f aca="false">IF(OR(K6="",J6=""),"",(J6-K6)*100)</f>
        <v>2.0628078817734</v>
      </c>
      <c r="M6" s="36" t="n">
        <v>2.97095236107082</v>
      </c>
      <c r="N6" s="36" t="n">
        <v>1.22110921059482</v>
      </c>
      <c r="O6" s="36" t="n">
        <f aca="false">SQRT(M6^2+N6^2)</f>
        <v>3.21211233239932</v>
      </c>
      <c r="P6" s="47" t="n">
        <f aca="false">IF(J6="","",MAX(0,J6-1.96*O6/100))</f>
        <v>0.285256883999259</v>
      </c>
      <c r="Q6" s="47" t="n">
        <f aca="false">IF(J6="","",MIN(1,J6+1.96*O6/100))</f>
        <v>0.411171687429312</v>
      </c>
      <c r="R6" s="32" t="str">
        <f aca="false">IF(L6="","",IF(ABS(L6)&lt;=O6,"Yes","No"))</f>
        <v>Yes</v>
      </c>
      <c r="S6" s="32" t="str">
        <f aca="false">IF(L6="","",IF(ABS(L6)&lt;=1.96*O6,"Yes","No"))</f>
        <v>Yes</v>
      </c>
      <c r="T6" s="66" t="n">
        <f aca="false">IF(D6="","",ROUND(SQRT(((D6+G6)*O6/100)^2+(J6*(D6+G6)*0.07859)^2),0))</f>
        <v>5</v>
      </c>
      <c r="U6" s="32"/>
    </row>
    <row r="7" customFormat="false" ht="15" hidden="false" customHeight="false" outlineLevel="0" collapsed="false">
      <c r="A7" s="32" t="s">
        <v>189</v>
      </c>
      <c r="B7" s="32" t="s">
        <v>200</v>
      </c>
      <c r="C7" s="32" t="s">
        <v>191</v>
      </c>
      <c r="D7" s="66" t="n">
        <v>665</v>
      </c>
      <c r="E7" s="66" t="n">
        <v>708</v>
      </c>
      <c r="F7" s="77" t="n">
        <f aca="false">IF(E7="","",D7-E7)</f>
        <v>-43</v>
      </c>
      <c r="G7" s="66" t="n">
        <v>1767</v>
      </c>
      <c r="H7" s="66" t="n">
        <v>1846</v>
      </c>
      <c r="I7" s="77" t="n">
        <f aca="false">IF(H7="","",G7-H7)</f>
        <v>-79</v>
      </c>
      <c r="J7" s="47" t="n">
        <f aca="false">IF(OR(D7="",D7+G7=0),"",D7/(D7+G7))</f>
        <v>0.2734375</v>
      </c>
      <c r="K7" s="47" t="n">
        <f aca="false">IF(E7="","",E7/(E7+H7))</f>
        <v>0.277212216131558</v>
      </c>
      <c r="L7" s="78" t="n">
        <f aca="false">IF(OR(K7="",J7=""),"",(J7-K7)*100)</f>
        <v>-0.377471613155833</v>
      </c>
      <c r="M7" s="36" t="n">
        <v>2.18929868476011</v>
      </c>
      <c r="N7" s="36" t="n">
        <v>1.22110921059482</v>
      </c>
      <c r="O7" s="36" t="n">
        <f aca="false">SQRT(M7^2+N7^2)</f>
        <v>2.50681799006068</v>
      </c>
      <c r="P7" s="47" t="n">
        <f aca="false">IF(J7="","",MAX(0,J7-1.96*O7/100))</f>
        <v>0.224303867394811</v>
      </c>
      <c r="Q7" s="47" t="n">
        <f aca="false">IF(J7="","",MIN(1,J7+1.96*O7/100))</f>
        <v>0.322571132605189</v>
      </c>
      <c r="R7" s="32" t="str">
        <f aca="false">IF(L7="","",IF(ABS(L7)&lt;=O7,"Yes","No"))</f>
        <v>Yes</v>
      </c>
      <c r="S7" s="32" t="str">
        <f aca="false">IF(L7="","",IF(ABS(L7)&lt;=1.96*O7,"Yes","No"))</f>
        <v>Yes</v>
      </c>
      <c r="T7" s="66" t="n">
        <f aca="false">IF(D7="","",ROUND(SQRT(((D7+G7)*O7/100)^2+(J7*(D7+G7)*0.06092)^2),0))</f>
        <v>73</v>
      </c>
      <c r="U7" s="32"/>
    </row>
    <row r="8" customFormat="false" ht="15" hidden="false" customHeight="false" outlineLevel="0" collapsed="false">
      <c r="A8" s="32" t="s">
        <v>189</v>
      </c>
      <c r="B8" s="32" t="s">
        <v>201</v>
      </c>
      <c r="C8" s="32" t="s">
        <v>191</v>
      </c>
      <c r="D8" s="66" t="n">
        <v>1046</v>
      </c>
      <c r="E8" s="66" t="n">
        <v>1104</v>
      </c>
      <c r="F8" s="77" t="n">
        <f aca="false">IF(E8="","",D8-E8)</f>
        <v>-58</v>
      </c>
      <c r="G8" s="66" t="n">
        <v>1379</v>
      </c>
      <c r="H8" s="66" t="n">
        <v>1481</v>
      </c>
      <c r="I8" s="77" t="n">
        <f aca="false">IF(H8="","",G8-H8)</f>
        <v>-102</v>
      </c>
      <c r="J8" s="47" t="n">
        <f aca="false">IF(OR(D8="",D8+G8=0),"",D8/(D8+G8))</f>
        <v>0.431340206185567</v>
      </c>
      <c r="K8" s="47" t="n">
        <f aca="false">IF(E8="","",E8/(E8+H8))</f>
        <v>0.427079303675048</v>
      </c>
      <c r="L8" s="78" t="n">
        <f aca="false">IF(OR(K8="",J8=""),"",(J8-K8)*100)</f>
        <v>0.426090251051864</v>
      </c>
      <c r="M8" s="36" t="n">
        <v>2.18929868476011</v>
      </c>
      <c r="N8" s="36" t="n">
        <v>1.22110921059482</v>
      </c>
      <c r="O8" s="36" t="n">
        <f aca="false">SQRT(M8^2+N8^2)</f>
        <v>2.50681799006068</v>
      </c>
      <c r="P8" s="47" t="n">
        <f aca="false">IF(J8="","",MAX(0,J8-1.96*O8/100))</f>
        <v>0.382206573580378</v>
      </c>
      <c r="Q8" s="47" t="n">
        <f aca="false">IF(J8="","",MIN(1,J8+1.96*O8/100))</f>
        <v>0.480473838790756</v>
      </c>
      <c r="R8" s="32" t="str">
        <f aca="false">IF(L8="","",IF(ABS(L8)&lt;=O8,"Yes","No"))</f>
        <v>Yes</v>
      </c>
      <c r="S8" s="32" t="str">
        <f aca="false">IF(L8="","",IF(ABS(L8)&lt;=1.96*O8,"Yes","No"))</f>
        <v>Yes</v>
      </c>
      <c r="T8" s="66" t="n">
        <f aca="false">IF(D8="","",ROUND(SQRT(((D8+G8)*O8/100)^2+(J8*(D8+G8)*0.06092)^2),0))</f>
        <v>88</v>
      </c>
      <c r="U8" s="32"/>
    </row>
    <row r="9" customFormat="false" ht="15" hidden="false" customHeight="false" outlineLevel="0" collapsed="false">
      <c r="A9" s="32" t="s">
        <v>189</v>
      </c>
      <c r="B9" s="32" t="s">
        <v>202</v>
      </c>
      <c r="C9" s="32" t="s">
        <v>191</v>
      </c>
      <c r="D9" s="66" t="n">
        <v>328</v>
      </c>
      <c r="E9" s="66" t="n">
        <v>351</v>
      </c>
      <c r="F9" s="77" t="n">
        <f aca="false">IF(E9="","",D9-E9)</f>
        <v>-23</v>
      </c>
      <c r="G9" s="66" t="n">
        <v>708</v>
      </c>
      <c r="H9" s="66" t="n">
        <v>697</v>
      </c>
      <c r="I9" s="77" t="n">
        <f aca="false">IF(H9="","",G9-H9)</f>
        <v>11</v>
      </c>
      <c r="J9" s="47" t="n">
        <f aca="false">IF(OR(D9="",D9+G9=0),"",D9/(D9+G9))</f>
        <v>0.316602316602317</v>
      </c>
      <c r="K9" s="47" t="n">
        <f aca="false">IF(E9="","",E9/(E9+H9))</f>
        <v>0.334923664122137</v>
      </c>
      <c r="L9" s="78" t="n">
        <f aca="false">IF(OR(K9="",J9=""),"",(J9-K9)*100)</f>
        <v>-1.83213475198208</v>
      </c>
      <c r="M9" s="36" t="n">
        <v>2.97095236107082</v>
      </c>
      <c r="N9" s="36" t="n">
        <v>1.22110921059482</v>
      </c>
      <c r="O9" s="36" t="n">
        <f aca="false">SQRT(M9^2+N9^2)</f>
        <v>3.21211233239932</v>
      </c>
      <c r="P9" s="47" t="n">
        <f aca="false">IF(J9="","",MAX(0,J9-1.96*O9/100))</f>
        <v>0.25364491488729</v>
      </c>
      <c r="Q9" s="47" t="n">
        <f aca="false">IF(J9="","",MIN(1,J9+1.96*O9/100))</f>
        <v>0.379559718317343</v>
      </c>
      <c r="R9" s="32" t="str">
        <f aca="false">IF(L9="","",IF(ABS(L9)&lt;=O9,"Yes","No"))</f>
        <v>Yes</v>
      </c>
      <c r="S9" s="32" t="str">
        <f aca="false">IF(L9="","",IF(ABS(L9)&lt;=1.96*O9,"Yes","No"))</f>
        <v>Yes</v>
      </c>
      <c r="T9" s="66" t="n">
        <f aca="false">IF(D9="","",ROUND(SQRT(((D9+G9)*O9/100)^2+(J9*(D9+G9)*0.07859)^2),0))</f>
        <v>42</v>
      </c>
      <c r="U9" s="32"/>
    </row>
    <row r="10" customFormat="false" ht="15" hidden="false" customHeight="false" outlineLevel="0" collapsed="false">
      <c r="A10" s="32" t="s">
        <v>189</v>
      </c>
      <c r="B10" s="32" t="s">
        <v>203</v>
      </c>
      <c r="C10" s="32" t="s">
        <v>191</v>
      </c>
      <c r="D10" s="66" t="n">
        <v>589</v>
      </c>
      <c r="E10" s="66" t="n">
        <v>575</v>
      </c>
      <c r="F10" s="77" t="n">
        <f aca="false">IF(E10="","",D10-E10)</f>
        <v>14</v>
      </c>
      <c r="G10" s="66" t="n">
        <v>820</v>
      </c>
      <c r="H10" s="66" t="n">
        <v>880</v>
      </c>
      <c r="I10" s="77" t="n">
        <f aca="false">IF(H10="","",G10-H10)</f>
        <v>-60</v>
      </c>
      <c r="J10" s="47" t="n">
        <f aca="false">IF(OR(D10="",D10+G10=0),"",D10/(D10+G10))</f>
        <v>0.418026969481902</v>
      </c>
      <c r="K10" s="47" t="n">
        <f aca="false">IF(E10="","",E10/(E10+H10))</f>
        <v>0.395189003436426</v>
      </c>
      <c r="L10" s="78" t="n">
        <f aca="false">IF(OR(K10="",J10=""),"",(J10-K10)*100)</f>
        <v>2.28379660454759</v>
      </c>
      <c r="M10" s="36" t="n">
        <v>2.97095236107082</v>
      </c>
      <c r="N10" s="36" t="n">
        <v>1.22110921059482</v>
      </c>
      <c r="O10" s="36" t="n">
        <f aca="false">SQRT(M10^2+N10^2)</f>
        <v>3.21211233239932</v>
      </c>
      <c r="P10" s="47" t="n">
        <f aca="false">IF(J10="","",MAX(0,J10-1.96*O10/100))</f>
        <v>0.355069567766875</v>
      </c>
      <c r="Q10" s="47" t="n">
        <f aca="false">IF(J10="","",MIN(1,J10+1.96*O10/100))</f>
        <v>0.480984371196929</v>
      </c>
      <c r="R10" s="32" t="str">
        <f aca="false">IF(L10="","",IF(ABS(L10)&lt;=O10,"Yes","No"))</f>
        <v>Yes</v>
      </c>
      <c r="S10" s="32" t="str">
        <f aca="false">IF(L10="","",IF(ABS(L10)&lt;=1.96*O10,"Yes","No"))</f>
        <v>Yes</v>
      </c>
      <c r="T10" s="66" t="n">
        <f aca="false">IF(D10="","",ROUND(SQRT(((D10+G10)*O10/100)^2+(J10*(D10+G10)*0.07859)^2),0))</f>
        <v>65</v>
      </c>
      <c r="U10" s="32"/>
    </row>
    <row r="11" customFormat="false" ht="15" hidden="false" customHeight="false" outlineLevel="0" collapsed="false">
      <c r="A11" s="32" t="s">
        <v>189</v>
      </c>
      <c r="B11" s="32" t="s">
        <v>204</v>
      </c>
      <c r="C11" s="32" t="s">
        <v>191</v>
      </c>
      <c r="D11" s="66" t="n">
        <v>41</v>
      </c>
      <c r="E11" s="66" t="n">
        <v>38</v>
      </c>
      <c r="F11" s="77" t="n">
        <f aca="false">IF(E11="","",D11-E11)</f>
        <v>3</v>
      </c>
      <c r="G11" s="66" t="n">
        <v>98</v>
      </c>
      <c r="H11" s="66" t="n">
        <v>107</v>
      </c>
      <c r="I11" s="77" t="n">
        <f aca="false">IF(H11="","",G11-H11)</f>
        <v>-9</v>
      </c>
      <c r="J11" s="47" t="n">
        <f aca="false">IF(OR(D11="",D11+G11=0),"",D11/(D11+G11))</f>
        <v>0.294964028776978</v>
      </c>
      <c r="K11" s="47" t="n">
        <f aca="false">IF(E11="","",E11/(E11+H11))</f>
        <v>0.262068965517241</v>
      </c>
      <c r="L11" s="78" t="n">
        <f aca="false">IF(OR(K11="",J11=""),"",(J11-K11)*100)</f>
        <v>3.2895063259737</v>
      </c>
      <c r="M11" s="36" t="n">
        <v>2.97095236107082</v>
      </c>
      <c r="N11" s="36" t="n">
        <v>1.22110921059482</v>
      </c>
      <c r="O11" s="36" t="n">
        <f aca="false">SQRT(M11^2+N11^2)</f>
        <v>3.21211233239932</v>
      </c>
      <c r="P11" s="47" t="n">
        <f aca="false">IF(J11="","",MAX(0,J11-1.96*O11/100))</f>
        <v>0.232006627061952</v>
      </c>
      <c r="Q11" s="47" t="n">
        <f aca="false">IF(J11="","",MIN(1,J11+1.96*O11/100))</f>
        <v>0.357921430492005</v>
      </c>
      <c r="R11" s="32" t="str">
        <f aca="false">IF(L11="","",IF(ABS(L11)&lt;=O11,"Yes","No"))</f>
        <v>No</v>
      </c>
      <c r="S11" s="32" t="str">
        <f aca="false">IF(L11="","",IF(ABS(L11)&lt;=1.96*O11,"Yes","No"))</f>
        <v>Yes</v>
      </c>
      <c r="T11" s="66" t="n">
        <f aca="false">IF(D11="","",ROUND(SQRT(((D11+G11)*O11/100)^2+(J11*(D11+G11)*0.07859)^2),0))</f>
        <v>6</v>
      </c>
      <c r="U11" s="32"/>
    </row>
    <row r="12" customFormat="false" ht="15" hidden="false" customHeight="false" outlineLevel="0" collapsed="false">
      <c r="A12" s="32" t="s">
        <v>189</v>
      </c>
      <c r="B12" s="32" t="s">
        <v>205</v>
      </c>
      <c r="C12" s="32" t="s">
        <v>191</v>
      </c>
      <c r="D12" s="66" t="n">
        <v>46</v>
      </c>
      <c r="E12" s="66" t="n">
        <v>58</v>
      </c>
      <c r="F12" s="77" t="n">
        <f aca="false">IF(E12="","",D12-E12)</f>
        <v>-12</v>
      </c>
      <c r="G12" s="66" t="n">
        <v>218</v>
      </c>
      <c r="H12" s="66" t="n">
        <v>216</v>
      </c>
      <c r="I12" s="77" t="n">
        <f aca="false">IF(H12="","",G12-H12)</f>
        <v>2</v>
      </c>
      <c r="J12" s="47" t="n">
        <f aca="false">IF(OR(D12="",D12+G12=0),"",D12/(D12+G12))</f>
        <v>0.174242424242424</v>
      </c>
      <c r="K12" s="47" t="n">
        <f aca="false">IF(E12="","",E12/(E12+H12))</f>
        <v>0.211678832116788</v>
      </c>
      <c r="L12" s="78" t="n">
        <f aca="false">IF(OR(K12="",J12=""),"",(J12-K12)*100)</f>
        <v>-3.74364078743641</v>
      </c>
      <c r="M12" s="36" t="n">
        <v>2.97095236107082</v>
      </c>
      <c r="N12" s="36" t="n">
        <v>1.22110921059482</v>
      </c>
      <c r="O12" s="36" t="n">
        <f aca="false">SQRT(M12^2+N12^2)</f>
        <v>3.21211233239932</v>
      </c>
      <c r="P12" s="47" t="n">
        <f aca="false">IF(J12="","",MAX(0,J12-1.96*O12/100))</f>
        <v>0.111285022527398</v>
      </c>
      <c r="Q12" s="47" t="n">
        <f aca="false">IF(J12="","",MIN(1,J12+1.96*O12/100))</f>
        <v>0.237199825957451</v>
      </c>
      <c r="R12" s="32" t="str">
        <f aca="false">IF(L12="","",IF(ABS(L12)&lt;=O12,"Yes","No"))</f>
        <v>No</v>
      </c>
      <c r="S12" s="32" t="str">
        <f aca="false">IF(L12="","",IF(ABS(L12)&lt;=1.96*O12,"Yes","No"))</f>
        <v>Yes</v>
      </c>
      <c r="T12" s="66" t="n">
        <f aca="false">IF(D12="","",ROUND(SQRT(((D12+G12)*O12/100)^2+(J12*(D12+G12)*0.07859)^2),0))</f>
        <v>9</v>
      </c>
      <c r="U12" s="32"/>
    </row>
    <row r="13" customFormat="false" ht="15" hidden="false" customHeight="false" outlineLevel="0" collapsed="false">
      <c r="A13" s="32" t="s">
        <v>189</v>
      </c>
      <c r="B13" s="32" t="s">
        <v>206</v>
      </c>
      <c r="C13" s="32" t="s">
        <v>191</v>
      </c>
      <c r="D13" s="66" t="n">
        <v>903</v>
      </c>
      <c r="E13" s="66" t="n">
        <v>944</v>
      </c>
      <c r="F13" s="77" t="n">
        <f aca="false">IF(E13="","",D13-E13)</f>
        <v>-41</v>
      </c>
      <c r="G13" s="66" t="n">
        <v>1361</v>
      </c>
      <c r="H13" s="66" t="n">
        <v>1486</v>
      </c>
      <c r="I13" s="77" t="n">
        <f aca="false">IF(H13="","",G13-H13)</f>
        <v>-125</v>
      </c>
      <c r="J13" s="47" t="n">
        <f aca="false">IF(OR(D13="",D13+G13=0),"",D13/(D13+G13))</f>
        <v>0.398851590106007</v>
      </c>
      <c r="K13" s="47" t="n">
        <f aca="false">IF(E13="","",E13/(E13+H13))</f>
        <v>0.388477366255144</v>
      </c>
      <c r="L13" s="78" t="n">
        <f aca="false">IF(OR(K13="",J13=""),"",(J13-K13)*100)</f>
        <v>1.03742238508631</v>
      </c>
      <c r="M13" s="36" t="n">
        <v>2.18929868476011</v>
      </c>
      <c r="N13" s="36" t="n">
        <v>1.22110921059482</v>
      </c>
      <c r="O13" s="36" t="n">
        <f aca="false">SQRT(M13^2+N13^2)</f>
        <v>2.50681799006068</v>
      </c>
      <c r="P13" s="47" t="n">
        <f aca="false">IF(J13="","",MAX(0,J13-1.96*O13/100))</f>
        <v>0.349717957500818</v>
      </c>
      <c r="Q13" s="47" t="n">
        <f aca="false">IF(J13="","",MIN(1,J13+1.96*O13/100))</f>
        <v>0.447985222711196</v>
      </c>
      <c r="R13" s="32" t="str">
        <f aca="false">IF(L13="","",IF(ABS(L13)&lt;=O13,"Yes","No"))</f>
        <v>Yes</v>
      </c>
      <c r="S13" s="32" t="str">
        <f aca="false">IF(L13="","",IF(ABS(L13)&lt;=1.96*O13,"Yes","No"))</f>
        <v>Yes</v>
      </c>
      <c r="T13" s="66" t="n">
        <f aca="false">IF(D13="","",ROUND(SQRT(((D13+G13)*O13/100)^2+(J13*(D13+G13)*0.06092)^2),0))</f>
        <v>79</v>
      </c>
      <c r="U13" s="32"/>
    </row>
    <row r="14" customFormat="false" ht="15" hidden="false" customHeight="false" outlineLevel="0" collapsed="false">
      <c r="A14" s="32" t="s">
        <v>189</v>
      </c>
      <c r="B14" s="32" t="s">
        <v>207</v>
      </c>
      <c r="C14" s="32" t="s">
        <v>191</v>
      </c>
      <c r="D14" s="66" t="n">
        <v>513</v>
      </c>
      <c r="E14" s="66" t="n">
        <v>515</v>
      </c>
      <c r="F14" s="77" t="n">
        <f aca="false">IF(E14="","",D14-E14)</f>
        <v>-2</v>
      </c>
      <c r="G14" s="66" t="n">
        <v>1168</v>
      </c>
      <c r="H14" s="66" t="n">
        <v>1293</v>
      </c>
      <c r="I14" s="77" t="n">
        <f aca="false">IF(H14="","",G14-H14)</f>
        <v>-125</v>
      </c>
      <c r="J14" s="47" t="n">
        <f aca="false">IF(OR(D14="",D14+G14=0),"",D14/(D14+G14))</f>
        <v>0.305175490779298</v>
      </c>
      <c r="K14" s="47" t="n">
        <f aca="false">IF(E14="","",E14/(E14+H14))</f>
        <v>0.284845132743363</v>
      </c>
      <c r="L14" s="78" t="n">
        <f aca="false">IF(OR(K14="",J14=""),"",(J14-K14)*100)</f>
        <v>2.03303580359353</v>
      </c>
      <c r="M14" s="36" t="n">
        <v>2.18929868476011</v>
      </c>
      <c r="N14" s="36" t="n">
        <v>1.22110921059482</v>
      </c>
      <c r="O14" s="36" t="n">
        <f aca="false">SQRT(M14^2+N14^2)</f>
        <v>2.50681799006068</v>
      </c>
      <c r="P14" s="47" t="n">
        <f aca="false">IF(J14="","",MAX(0,J14-1.96*O14/100))</f>
        <v>0.256041858174109</v>
      </c>
      <c r="Q14" s="47" t="n">
        <f aca="false">IF(J14="","",MIN(1,J14+1.96*O14/100))</f>
        <v>0.354309123384487</v>
      </c>
      <c r="R14" s="32" t="str">
        <f aca="false">IF(L14="","",IF(ABS(L14)&lt;=O14,"Yes","No"))</f>
        <v>Yes</v>
      </c>
      <c r="S14" s="32" t="str">
        <f aca="false">IF(L14="","",IF(ABS(L14)&lt;=1.96*O14,"Yes","No"))</f>
        <v>Yes</v>
      </c>
      <c r="T14" s="66" t="n">
        <f aca="false">IF(D14="","",ROUND(SQRT(((D14+G14)*O14/100)^2+(J14*(D14+G14)*0.06092)^2),0))</f>
        <v>52</v>
      </c>
      <c r="U14" s="32"/>
    </row>
    <row r="15" customFormat="false" ht="15" hidden="false" customHeight="false" outlineLevel="0" collapsed="false">
      <c r="A15" s="32" t="s">
        <v>189</v>
      </c>
      <c r="B15" s="32" t="s">
        <v>208</v>
      </c>
      <c r="C15" s="32" t="s">
        <v>191</v>
      </c>
      <c r="D15" s="66" t="n">
        <v>621</v>
      </c>
      <c r="E15" s="66" t="n">
        <v>694</v>
      </c>
      <c r="F15" s="77" t="n">
        <f aca="false">IF(E15="","",D15-E15)</f>
        <v>-73</v>
      </c>
      <c r="G15" s="66" t="n">
        <v>1568</v>
      </c>
      <c r="H15" s="66" t="n">
        <v>1695</v>
      </c>
      <c r="I15" s="77" t="n">
        <f aca="false">IF(H15="","",G15-H15)</f>
        <v>-127</v>
      </c>
      <c r="J15" s="47" t="n">
        <f aca="false">IF(OR(D15="",D15+G15=0),"",D15/(D15+G15))</f>
        <v>0.283691183188671</v>
      </c>
      <c r="K15" s="47" t="n">
        <f aca="false">IF(E15="","",E15/(E15+H15))</f>
        <v>0.290498116366681</v>
      </c>
      <c r="L15" s="78" t="n">
        <f aca="false">IF(OR(K15="",J15=""),"",(J15-K15)*100)</f>
        <v>-0.680693317800996</v>
      </c>
      <c r="M15" s="36" t="n">
        <v>2.18929868476011</v>
      </c>
      <c r="N15" s="36" t="n">
        <v>1.22110921059482</v>
      </c>
      <c r="O15" s="36" t="n">
        <f aca="false">SQRT(M15^2+N15^2)</f>
        <v>2.50681799006068</v>
      </c>
      <c r="P15" s="47" t="n">
        <f aca="false">IF(J15="","",MAX(0,J15-1.96*O15/100))</f>
        <v>0.234557550583481</v>
      </c>
      <c r="Q15" s="47" t="n">
        <f aca="false">IF(J15="","",MIN(1,J15+1.96*O15/100))</f>
        <v>0.33282481579386</v>
      </c>
      <c r="R15" s="32" t="str">
        <f aca="false">IF(L15="","",IF(ABS(L15)&lt;=O15,"Yes","No"))</f>
        <v>Yes</v>
      </c>
      <c r="S15" s="32" t="str">
        <f aca="false">IF(L15="","",IF(ABS(L15)&lt;=1.96*O15,"Yes","No"))</f>
        <v>Yes</v>
      </c>
      <c r="T15" s="66" t="n">
        <f aca="false">IF(D15="","",ROUND(SQRT(((D15+G15)*O15/100)^2+(J15*(D15+G15)*0.06092)^2),0))</f>
        <v>67</v>
      </c>
      <c r="U15" s="32"/>
    </row>
    <row r="16" customFormat="false" ht="15" hidden="false" customHeight="false" outlineLevel="0" collapsed="false">
      <c r="A16" s="32" t="s">
        <v>189</v>
      </c>
      <c r="B16" s="32" t="s">
        <v>209</v>
      </c>
      <c r="C16" s="32" t="s">
        <v>191</v>
      </c>
      <c r="D16" s="66" t="n">
        <v>573</v>
      </c>
      <c r="E16" s="66" t="n">
        <v>601</v>
      </c>
      <c r="F16" s="77" t="n">
        <f aca="false">IF(E16="","",D16-E16)</f>
        <v>-28</v>
      </c>
      <c r="G16" s="66" t="n">
        <v>883</v>
      </c>
      <c r="H16" s="66" t="n">
        <v>955</v>
      </c>
      <c r="I16" s="77" t="n">
        <f aca="false">IF(H16="","",G16-H16)</f>
        <v>-72</v>
      </c>
      <c r="J16" s="47" t="n">
        <f aca="false">IF(OR(D16="",D16+G16=0),"",D16/(D16+G16))</f>
        <v>0.393543956043956</v>
      </c>
      <c r="K16" s="47" t="n">
        <f aca="false">IF(E16="","",E16/(E16+H16))</f>
        <v>0.386246786632391</v>
      </c>
      <c r="L16" s="78" t="n">
        <f aca="false">IF(OR(K16="",J16=""),"",(J16-K16)*100)</f>
        <v>0.729716941156527</v>
      </c>
      <c r="M16" s="36" t="n">
        <v>2.97095236107082</v>
      </c>
      <c r="N16" s="36" t="n">
        <v>1.22110921059482</v>
      </c>
      <c r="O16" s="36" t="n">
        <f aca="false">SQRT(M16^2+N16^2)</f>
        <v>3.21211233239932</v>
      </c>
      <c r="P16" s="47" t="n">
        <f aca="false">IF(J16="","",MAX(0,J16-1.96*O16/100))</f>
        <v>0.330586554328929</v>
      </c>
      <c r="Q16" s="47" t="n">
        <f aca="false">IF(J16="","",MIN(1,J16+1.96*O16/100))</f>
        <v>0.456501357758983</v>
      </c>
      <c r="R16" s="32" t="str">
        <f aca="false">IF(L16="","",IF(ABS(L16)&lt;=O16,"Yes","No"))</f>
        <v>Yes</v>
      </c>
      <c r="S16" s="32" t="str">
        <f aca="false">IF(L16="","",IF(ABS(L16)&lt;=1.96*O16,"Yes","No"))</f>
        <v>Yes</v>
      </c>
      <c r="T16" s="66" t="n">
        <f aca="false">IF(D16="","",ROUND(SQRT(((D16+G16)*O16/100)^2+(J16*(D16+G16)*0.07859)^2),0))</f>
        <v>65</v>
      </c>
      <c r="U16" s="32"/>
    </row>
    <row r="17" customFormat="false" ht="15" hidden="false" customHeight="false" outlineLevel="0" collapsed="false">
      <c r="A17" s="32" t="s">
        <v>189</v>
      </c>
      <c r="B17" s="32" t="s">
        <v>210</v>
      </c>
      <c r="C17" s="32" t="s">
        <v>191</v>
      </c>
      <c r="D17" s="66" t="n">
        <v>102</v>
      </c>
      <c r="E17" s="66" t="n">
        <v>134</v>
      </c>
      <c r="F17" s="77" t="n">
        <f aca="false">IF(E17="","",D17-E17)</f>
        <v>-32</v>
      </c>
      <c r="G17" s="66" t="n">
        <v>493</v>
      </c>
      <c r="H17" s="66" t="n">
        <v>505</v>
      </c>
      <c r="I17" s="77" t="n">
        <f aca="false">IF(H17="","",G17-H17)</f>
        <v>-12</v>
      </c>
      <c r="J17" s="47" t="n">
        <f aca="false">IF(OR(D17="",D17+G17=0),"",D17/(D17+G17))</f>
        <v>0.171428571428571</v>
      </c>
      <c r="K17" s="47" t="n">
        <f aca="false">IF(E17="","",E17/(E17+H17))</f>
        <v>0.209702660406886</v>
      </c>
      <c r="L17" s="78" t="n">
        <f aca="false">IF(OR(K17="",J17=""),"",(J17-K17)*100)</f>
        <v>-3.82740889783143</v>
      </c>
      <c r="M17" s="36" t="n">
        <v>2.97095236107082</v>
      </c>
      <c r="N17" s="36" t="n">
        <v>1.22110921059482</v>
      </c>
      <c r="O17" s="36" t="n">
        <f aca="false">SQRT(M17^2+N17^2)</f>
        <v>3.21211233239932</v>
      </c>
      <c r="P17" s="47" t="n">
        <f aca="false">IF(J17="","",MAX(0,J17-1.96*O17/100))</f>
        <v>0.108471169713545</v>
      </c>
      <c r="Q17" s="47" t="n">
        <f aca="false">IF(J17="","",MIN(1,J17+1.96*O17/100))</f>
        <v>0.234385973143598</v>
      </c>
      <c r="R17" s="32" t="str">
        <f aca="false">IF(L17="","",IF(ABS(L17)&lt;=O17,"Yes","No"))</f>
        <v>No</v>
      </c>
      <c r="S17" s="32" t="str">
        <f aca="false">IF(L17="","",IF(ABS(L17)&lt;=1.96*O17,"Yes","No"))</f>
        <v>Yes</v>
      </c>
      <c r="T17" s="66" t="n">
        <f aca="false">IF(D17="","",ROUND(SQRT(((D17+G17)*O17/100)^2+(J17*(D17+G17)*0.07859)^2),0))</f>
        <v>21</v>
      </c>
      <c r="U17" s="32"/>
    </row>
    <row r="18" customFormat="false" ht="15" hidden="false" customHeight="false" outlineLevel="0" collapsed="false">
      <c r="A18" s="32" t="s">
        <v>189</v>
      </c>
      <c r="B18" s="32" t="s">
        <v>211</v>
      </c>
      <c r="C18" s="32" t="s">
        <v>191</v>
      </c>
      <c r="D18" s="66" t="n">
        <v>913</v>
      </c>
      <c r="E18" s="66" t="n">
        <v>981</v>
      </c>
      <c r="F18" s="77" t="n">
        <f aca="false">IF(E18="","",D18-E18)</f>
        <v>-68</v>
      </c>
      <c r="G18" s="66" t="n">
        <v>1647</v>
      </c>
      <c r="H18" s="66" t="n">
        <v>1740</v>
      </c>
      <c r="I18" s="77" t="n">
        <f aca="false">IF(H18="","",G18-H18)</f>
        <v>-93</v>
      </c>
      <c r="J18" s="47" t="n">
        <f aca="false">IF(OR(D18="",D18+G18=0),"",D18/(D18+G18))</f>
        <v>0.356640625</v>
      </c>
      <c r="K18" s="47" t="n">
        <f aca="false">IF(E18="","",E18/(E18+H18))</f>
        <v>0.360529217199559</v>
      </c>
      <c r="L18" s="78" t="n">
        <f aca="false">IF(OR(K18="",J18=""),"",(J18-K18)*100)</f>
        <v>-0.3888592199559</v>
      </c>
      <c r="M18" s="36" t="n">
        <v>2.18929868476011</v>
      </c>
      <c r="N18" s="36" t="n">
        <v>1.22110921059482</v>
      </c>
      <c r="O18" s="36" t="n">
        <f aca="false">SQRT(M18^2+N18^2)</f>
        <v>2.50681799006068</v>
      </c>
      <c r="P18" s="47" t="n">
        <f aca="false">IF(J18="","",MAX(0,J18-1.96*O18/100))</f>
        <v>0.307506992394811</v>
      </c>
      <c r="Q18" s="47" t="n">
        <f aca="false">IF(J18="","",MIN(1,J18+1.96*O18/100))</f>
        <v>0.405774257605189</v>
      </c>
      <c r="R18" s="32" t="str">
        <f aca="false">IF(L18="","",IF(ABS(L18)&lt;=O18,"Yes","No"))</f>
        <v>Yes</v>
      </c>
      <c r="S18" s="32" t="str">
        <f aca="false">IF(L18="","",IF(ABS(L18)&lt;=1.96*O18,"Yes","No"))</f>
        <v>Yes</v>
      </c>
      <c r="T18" s="66" t="n">
        <f aca="false">IF(D18="","",ROUND(SQRT(((D18+G18)*O18/100)^2+(J18*(D18+G18)*0.06092)^2),0))</f>
        <v>85</v>
      </c>
      <c r="U18" s="32"/>
    </row>
    <row r="19" customFormat="false" ht="15" hidden="false" customHeight="false" outlineLevel="0" collapsed="false">
      <c r="A19" s="32" t="s">
        <v>189</v>
      </c>
      <c r="B19" s="32" t="s">
        <v>212</v>
      </c>
      <c r="C19" s="32" t="s">
        <v>191</v>
      </c>
      <c r="D19" s="66" t="n">
        <v>58</v>
      </c>
      <c r="E19" s="66" t="n">
        <v>74</v>
      </c>
      <c r="F19" s="77" t="n">
        <f aca="false">IF(E19="","",D19-E19)</f>
        <v>-16</v>
      </c>
      <c r="G19" s="66" t="n">
        <v>157</v>
      </c>
      <c r="H19" s="66" t="n">
        <v>162</v>
      </c>
      <c r="I19" s="77" t="n">
        <f aca="false">IF(H19="","",G19-H19)</f>
        <v>-5</v>
      </c>
      <c r="J19" s="47" t="n">
        <f aca="false">IF(OR(D19="",D19+G19=0),"",D19/(D19+G19))</f>
        <v>0.269767441860465</v>
      </c>
      <c r="K19" s="47" t="n">
        <f aca="false">IF(E19="","",E19/(E19+H19))</f>
        <v>0.313559322033898</v>
      </c>
      <c r="L19" s="78" t="n">
        <f aca="false">IF(OR(K19="",J19=""),"",(J19-K19)*100)</f>
        <v>-4.37918801734332</v>
      </c>
      <c r="M19" s="36" t="n">
        <v>2.97095236107082</v>
      </c>
      <c r="N19" s="36" t="n">
        <v>1.22110921059482</v>
      </c>
      <c r="O19" s="36" t="n">
        <f aca="false">SQRT(M19^2+N19^2)</f>
        <v>3.21211233239932</v>
      </c>
      <c r="P19" s="47" t="n">
        <f aca="false">IF(J19="","",MAX(0,J19-1.96*O19/100))</f>
        <v>0.206810040145438</v>
      </c>
      <c r="Q19" s="47" t="n">
        <f aca="false">IF(J19="","",MIN(1,J19+1.96*O19/100))</f>
        <v>0.332724843575492</v>
      </c>
      <c r="R19" s="32" t="str">
        <f aca="false">IF(L19="","",IF(ABS(L19)&lt;=O19,"Yes","No"))</f>
        <v>No</v>
      </c>
      <c r="S19" s="32" t="str">
        <f aca="false">IF(L19="","",IF(ABS(L19)&lt;=1.96*O19,"Yes","No"))</f>
        <v>Yes</v>
      </c>
      <c r="T19" s="66" t="n">
        <f aca="false">IF(D19="","",ROUND(SQRT(((D19+G19)*O19/100)^2+(J19*(D19+G19)*0.07859)^2),0))</f>
        <v>8</v>
      </c>
      <c r="U19" s="32"/>
    </row>
    <row r="20" customFormat="false" ht="15" hidden="false" customHeight="false" outlineLevel="0" collapsed="false">
      <c r="A20" s="32" t="s">
        <v>189</v>
      </c>
      <c r="B20" s="32" t="s">
        <v>213</v>
      </c>
      <c r="C20" s="32" t="s">
        <v>191</v>
      </c>
      <c r="D20" s="66" t="n">
        <v>1850</v>
      </c>
      <c r="E20" s="66" t="n">
        <v>2047</v>
      </c>
      <c r="F20" s="77" t="n">
        <f aca="false">IF(E20="","",D20-E20)</f>
        <v>-197</v>
      </c>
      <c r="G20" s="66" t="n">
        <v>3383</v>
      </c>
      <c r="H20" s="66" t="n">
        <v>3702</v>
      </c>
      <c r="I20" s="77" t="n">
        <f aca="false">IF(H20="","",G20-H20)</f>
        <v>-319</v>
      </c>
      <c r="J20" s="47" t="n">
        <f aca="false">IF(OR(D20="",D20+G20=0),"",D20/(D20+G20))</f>
        <v>0.35352570227403</v>
      </c>
      <c r="K20" s="47" t="n">
        <f aca="false">IF(E20="","",E20/(E20+H20))</f>
        <v>0.356061923812837</v>
      </c>
      <c r="L20" s="78" t="n">
        <f aca="false">IF(OR(K20="",J20=""),"",(J20-K20)*100)</f>
        <v>-0.253622153880684</v>
      </c>
      <c r="M20" s="36" t="n">
        <v>1.52774813447451</v>
      </c>
      <c r="N20" s="36" t="n">
        <v>1.22110921059482</v>
      </c>
      <c r="O20" s="36" t="n">
        <f aca="false">SQRT(M20^2+N20^2)</f>
        <v>1.9557919282454</v>
      </c>
      <c r="P20" s="47" t="n">
        <f aca="false">IF(J20="","",MAX(0,J20-1.96*O20/100))</f>
        <v>0.31519218048042</v>
      </c>
      <c r="Q20" s="47" t="n">
        <f aca="false">IF(J20="","",MIN(1,J20+1.96*O20/100))</f>
        <v>0.39185922406764</v>
      </c>
      <c r="R20" s="32" t="str">
        <f aca="false">IF(L20="","",IF(ABS(L20)&lt;=O20,"Yes","No"))</f>
        <v>Yes</v>
      </c>
      <c r="S20" s="32" t="str">
        <f aca="false">IF(L20="","",IF(ABS(L20)&lt;=1.96*O20,"Yes","No"))</f>
        <v>Yes</v>
      </c>
      <c r="T20" s="66" t="n">
        <f aca="false">IF(D20="","",ROUND(SQRT(((D20+G20)*O20/100)^2+(J20*(D20+G20)*0.05464)^2),0))</f>
        <v>144</v>
      </c>
      <c r="U20" s="32"/>
    </row>
    <row r="21" customFormat="false" ht="15" hidden="false" customHeight="false" outlineLevel="0" collapsed="false">
      <c r="A21" s="32" t="s">
        <v>189</v>
      </c>
      <c r="B21" s="32" t="s">
        <v>215</v>
      </c>
      <c r="C21" s="32" t="s">
        <v>191</v>
      </c>
      <c r="D21" s="66" t="n">
        <v>642</v>
      </c>
      <c r="E21" s="66" t="n">
        <v>660</v>
      </c>
      <c r="F21" s="77" t="n">
        <f aca="false">IF(E21="","",D21-E21)</f>
        <v>-18</v>
      </c>
      <c r="G21" s="66" t="n">
        <v>896</v>
      </c>
      <c r="H21" s="66" t="n">
        <v>913</v>
      </c>
      <c r="I21" s="77" t="n">
        <f aca="false">IF(H21="","",G21-H21)</f>
        <v>-17</v>
      </c>
      <c r="J21" s="47" t="n">
        <f aca="false">IF(OR(D21="",D21+G21=0),"",D21/(D21+G21))</f>
        <v>0.417425227568271</v>
      </c>
      <c r="K21" s="47" t="n">
        <f aca="false">IF(E21="","",E21/(E21+H21))</f>
        <v>0.41958041958042</v>
      </c>
      <c r="L21" s="78" t="n">
        <f aca="false">IF(OR(K21="",J21=""),"",(J21-K21)*100)</f>
        <v>-0.215519201214909</v>
      </c>
      <c r="M21" s="36" t="n">
        <v>2.97095236107082</v>
      </c>
      <c r="N21" s="36" t="n">
        <v>1.22110921059482</v>
      </c>
      <c r="O21" s="36" t="n">
        <f aca="false">SQRT(M21^2+N21^2)</f>
        <v>3.21211233239932</v>
      </c>
      <c r="P21" s="47" t="n">
        <f aca="false">IF(J21="","",MAX(0,J21-1.96*O21/100))</f>
        <v>0.354467825853244</v>
      </c>
      <c r="Q21" s="47" t="n">
        <f aca="false">IF(J21="","",MIN(1,J21+1.96*O21/100))</f>
        <v>0.480382629283297</v>
      </c>
      <c r="R21" s="32" t="str">
        <f aca="false">IF(L21="","",IF(ABS(L21)&lt;=O21,"Yes","No"))</f>
        <v>Yes</v>
      </c>
      <c r="S21" s="32" t="str">
        <f aca="false">IF(L21="","",IF(ABS(L21)&lt;=1.96*O21,"Yes","No"))</f>
        <v>Yes</v>
      </c>
      <c r="T21" s="66" t="n">
        <f aca="false">IF(D21="","",ROUND(SQRT(((D21+G21)*O21/100)^2+(J21*(D21+G21)*0.07859)^2),0))</f>
        <v>71</v>
      </c>
      <c r="U21" s="32"/>
    </row>
    <row r="22" customFormat="false" ht="15" hidden="false" customHeight="false" outlineLevel="0" collapsed="false">
      <c r="A22" s="32" t="s">
        <v>189</v>
      </c>
      <c r="B22" s="32" t="s">
        <v>216</v>
      </c>
      <c r="C22" s="32" t="s">
        <v>191</v>
      </c>
      <c r="D22" s="66" t="n">
        <v>728</v>
      </c>
      <c r="E22" s="66" t="n">
        <v>802</v>
      </c>
      <c r="F22" s="77" t="n">
        <f aca="false">IF(E22="","",D22-E22)</f>
        <v>-74</v>
      </c>
      <c r="G22" s="66" t="n">
        <v>1916</v>
      </c>
      <c r="H22" s="66" t="n">
        <v>1955</v>
      </c>
      <c r="I22" s="77" t="n">
        <f aca="false">IF(H22="","",G22-H22)</f>
        <v>-39</v>
      </c>
      <c r="J22" s="47" t="n">
        <f aca="false">IF(OR(D22="",D22+G22=0),"",D22/(D22+G22))</f>
        <v>0.275340393343419</v>
      </c>
      <c r="K22" s="47" t="n">
        <f aca="false">IF(E22="","",E22/(E22+H22))</f>
        <v>0.290895901342038</v>
      </c>
      <c r="L22" s="78" t="n">
        <f aca="false">IF(OR(K22="",J22=""),"",(J22-K22)*100)</f>
        <v>-1.55555079986194</v>
      </c>
      <c r="M22" s="36" t="n">
        <v>2.18929868476011</v>
      </c>
      <c r="N22" s="36" t="n">
        <v>1.22110921059482</v>
      </c>
      <c r="O22" s="36" t="n">
        <f aca="false">SQRT(M22^2+N22^2)</f>
        <v>2.50681799006068</v>
      </c>
      <c r="P22" s="47" t="n">
        <f aca="false">IF(J22="","",MAX(0,J22-1.96*O22/100))</f>
        <v>0.22620676073823</v>
      </c>
      <c r="Q22" s="47" t="n">
        <f aca="false">IF(J22="","",MIN(1,J22+1.96*O22/100))</f>
        <v>0.324474025948608</v>
      </c>
      <c r="R22" s="32" t="str">
        <f aca="false">IF(L22="","",IF(ABS(L22)&lt;=O22,"Yes","No"))</f>
        <v>Yes</v>
      </c>
      <c r="S22" s="32" t="str">
        <f aca="false">IF(L22="","",IF(ABS(L22)&lt;=1.96*O22,"Yes","No"))</f>
        <v>Yes</v>
      </c>
      <c r="T22" s="66" t="n">
        <f aca="false">IF(D22="","",ROUND(SQRT(((D22+G22)*O22/100)^2+(J22*(D22+G22)*0.06092)^2),0))</f>
        <v>80</v>
      </c>
      <c r="U22" s="32"/>
    </row>
    <row r="23" customFormat="false" ht="15" hidden="false" customHeight="false" outlineLevel="0" collapsed="false">
      <c r="A23" s="32" t="s">
        <v>189</v>
      </c>
      <c r="B23" s="32" t="s">
        <v>217</v>
      </c>
      <c r="C23" s="32" t="s">
        <v>191</v>
      </c>
      <c r="D23" s="66" t="n">
        <v>317</v>
      </c>
      <c r="E23" s="66" t="n">
        <v>351</v>
      </c>
      <c r="F23" s="77" t="n">
        <f aca="false">IF(E23="","",D23-E23)</f>
        <v>-34</v>
      </c>
      <c r="G23" s="66" t="n">
        <v>872</v>
      </c>
      <c r="H23" s="66" t="n">
        <v>849</v>
      </c>
      <c r="I23" s="77" t="n">
        <f aca="false">IF(H23="","",G23-H23)</f>
        <v>23</v>
      </c>
      <c r="J23" s="47" t="n">
        <f aca="false">IF(OR(D23="",D23+G23=0),"",D23/(D23+G23))</f>
        <v>0.266610597140454</v>
      </c>
      <c r="K23" s="47" t="n">
        <f aca="false">IF(E23="","",E23/(E23+H23))</f>
        <v>0.2925</v>
      </c>
      <c r="L23" s="78" t="n">
        <f aca="false">IF(OR(K23="",J23=""),"",(J23-K23)*100)</f>
        <v>-2.58894028595458</v>
      </c>
      <c r="M23" s="36" t="n">
        <v>2.97095236107082</v>
      </c>
      <c r="N23" s="36" t="n">
        <v>1.22110921059482</v>
      </c>
      <c r="O23" s="36" t="n">
        <f aca="false">SQRT(M23^2+N23^2)</f>
        <v>3.21211233239932</v>
      </c>
      <c r="P23" s="47" t="n">
        <f aca="false">IF(J23="","",MAX(0,J23-1.96*O23/100))</f>
        <v>0.203653195425427</v>
      </c>
      <c r="Q23" s="47" t="n">
        <f aca="false">IF(J23="","",MIN(1,J23+1.96*O23/100))</f>
        <v>0.329567998855481</v>
      </c>
      <c r="R23" s="32" t="str">
        <f aca="false">IF(L23="","",IF(ABS(L23)&lt;=O23,"Yes","No"))</f>
        <v>Yes</v>
      </c>
      <c r="S23" s="32" t="str">
        <f aca="false">IF(L23="","",IF(ABS(L23)&lt;=1.96*O23,"Yes","No"))</f>
        <v>Yes</v>
      </c>
      <c r="T23" s="66" t="n">
        <f aca="false">IF(D23="","",ROUND(SQRT(((D23+G23)*O23/100)^2+(J23*(D23+G23)*0.07859)^2),0))</f>
        <v>46</v>
      </c>
      <c r="U23" s="32"/>
    </row>
    <row r="24" customFormat="false" ht="15" hidden="false" customHeight="false" outlineLevel="0" collapsed="false">
      <c r="A24" s="32" t="s">
        <v>189</v>
      </c>
      <c r="B24" s="32" t="s">
        <v>218</v>
      </c>
      <c r="C24" s="32" t="s">
        <v>191</v>
      </c>
      <c r="D24" s="66" t="n">
        <v>60</v>
      </c>
      <c r="E24" s="66" t="n">
        <v>58</v>
      </c>
      <c r="F24" s="77" t="n">
        <f aca="false">IF(E24="","",D24-E24)</f>
        <v>2</v>
      </c>
      <c r="G24" s="66" t="n">
        <v>83</v>
      </c>
      <c r="H24" s="66" t="n">
        <v>105</v>
      </c>
      <c r="I24" s="77" t="n">
        <f aca="false">IF(H24="","",G24-H24)</f>
        <v>-22</v>
      </c>
      <c r="J24" s="47" t="n">
        <f aca="false">IF(OR(D24="",D24+G24=0),"",D24/(D24+G24))</f>
        <v>0.41958041958042</v>
      </c>
      <c r="K24" s="47" t="n">
        <f aca="false">IF(E24="","",E24/(E24+H24))</f>
        <v>0.355828220858896</v>
      </c>
      <c r="L24" s="78" t="n">
        <f aca="false">IF(OR(K24="",J24=""),"",(J24-K24)*100)</f>
        <v>6.37521987215239</v>
      </c>
      <c r="M24" s="36" t="n">
        <v>2.97095236107082</v>
      </c>
      <c r="N24" s="36" t="n">
        <v>1.22110921059482</v>
      </c>
      <c r="O24" s="36" t="n">
        <f aca="false">SQRT(M24^2+N24^2)</f>
        <v>3.21211233239932</v>
      </c>
      <c r="P24" s="47" t="n">
        <f aca="false">IF(J24="","",MAX(0,J24-1.96*O24/100))</f>
        <v>0.356623017865393</v>
      </c>
      <c r="Q24" s="47" t="n">
        <f aca="false">IF(J24="","",MIN(1,J24+1.96*O24/100))</f>
        <v>0.482537821295446</v>
      </c>
      <c r="R24" s="32" t="str">
        <f aca="false">IF(L24="","",IF(ABS(L24)&lt;=O24,"Yes","No"))</f>
        <v>No</v>
      </c>
      <c r="S24" s="32" t="str">
        <f aca="false">IF(L24="","",IF(ABS(L24)&lt;=1.96*O24,"Yes","No"))</f>
        <v>No</v>
      </c>
      <c r="T24" s="66" t="n">
        <f aca="false">IF(D24="","",ROUND(SQRT(((D24+G24)*O24/100)^2+(J24*(D24+G24)*0.07859)^2),0))</f>
        <v>7</v>
      </c>
      <c r="U24" s="32"/>
    </row>
    <row r="25" customFormat="false" ht="15" hidden="false" customHeight="false" outlineLevel="0" collapsed="false">
      <c r="A25" s="32" t="s">
        <v>219</v>
      </c>
      <c r="B25" s="32" t="s">
        <v>220</v>
      </c>
      <c r="C25" s="32" t="s">
        <v>191</v>
      </c>
      <c r="D25" s="66" t="n">
        <v>653</v>
      </c>
      <c r="E25" s="66" t="n">
        <v>601</v>
      </c>
      <c r="F25" s="77" t="n">
        <f aca="false">IF(E25="","",D25-E25)</f>
        <v>52</v>
      </c>
      <c r="G25" s="66" t="n">
        <v>761</v>
      </c>
      <c r="H25" s="66" t="n">
        <v>766</v>
      </c>
      <c r="I25" s="77" t="n">
        <f aca="false">IF(H25="","",G25-H25)</f>
        <v>-5</v>
      </c>
      <c r="J25" s="47" t="n">
        <f aca="false">IF(OR(D25="",D25+G25=0),"",D25/(D25+G25))</f>
        <v>0.461810466760962</v>
      </c>
      <c r="K25" s="47" t="n">
        <f aca="false">IF(E25="","",E25/(E25+H25))</f>
        <v>0.439648866130212</v>
      </c>
      <c r="L25" s="78" t="n">
        <f aca="false">IF(OR(K25="",J25=""),"",(J25-K25)*100)</f>
        <v>2.21616006307497</v>
      </c>
      <c r="M25" s="36" t="n">
        <v>2.97095236107082</v>
      </c>
      <c r="N25" s="36" t="n">
        <v>1.22110921059482</v>
      </c>
      <c r="O25" s="36" t="n">
        <f aca="false">SQRT(M25^2+N25^2)</f>
        <v>3.21211233239932</v>
      </c>
      <c r="P25" s="47" t="n">
        <f aca="false">IF(J25="","",MAX(0,J25-1.96*O25/100))</f>
        <v>0.398853065045935</v>
      </c>
      <c r="Q25" s="47" t="n">
        <f aca="false">IF(J25="","",MIN(1,J25+1.96*O25/100))</f>
        <v>0.524767868475989</v>
      </c>
      <c r="R25" s="32" t="str">
        <f aca="false">IF(L25="","",IF(ABS(L25)&lt;=O25,"Yes","No"))</f>
        <v>Yes</v>
      </c>
      <c r="S25" s="32" t="str">
        <f aca="false">IF(L25="","",IF(ABS(L25)&lt;=1.96*O25,"Yes","No"))</f>
        <v>Yes</v>
      </c>
      <c r="T25" s="66" t="n">
        <f aca="false">IF(D25="","",ROUND(SQRT(((D25+G25)*O25/100)^2+(J25*(D25+G25)*0.07859)^2),0))</f>
        <v>69</v>
      </c>
      <c r="U25" s="32"/>
    </row>
    <row r="26" customFormat="false" ht="15" hidden="false" customHeight="false" outlineLevel="0" collapsed="false">
      <c r="A26" s="32" t="s">
        <v>219</v>
      </c>
      <c r="B26" s="32" t="s">
        <v>221</v>
      </c>
      <c r="C26" s="32" t="s">
        <v>191</v>
      </c>
      <c r="D26" s="66" t="n">
        <v>27878</v>
      </c>
      <c r="E26" s="66" t="n">
        <v>26568</v>
      </c>
      <c r="F26" s="77" t="n">
        <f aca="false">IF(E26="","",D26-E26)</f>
        <v>1310</v>
      </c>
      <c r="G26" s="66" t="n">
        <v>13807</v>
      </c>
      <c r="H26" s="66" t="n">
        <v>14583</v>
      </c>
      <c r="I26" s="77" t="n">
        <f aca="false">IF(H26="","",G26-H26)</f>
        <v>-776</v>
      </c>
      <c r="J26" s="47" t="n">
        <f aca="false">IF(OR(D26="",D26+G26=0),"",D26/(D26+G26))</f>
        <v>0.66877773779537</v>
      </c>
      <c r="K26" s="47" t="n">
        <f aca="false">IF(E26="","",E26/(E26+H26))</f>
        <v>0.645622220602172</v>
      </c>
      <c r="L26" s="78" t="n">
        <f aca="false">IF(OR(K26="",J26=""),"",(J26-K26)*100)</f>
        <v>2.31555171931976</v>
      </c>
      <c r="M26" s="36" t="n">
        <v>1.52774813447451</v>
      </c>
      <c r="N26" s="36" t="n">
        <v>1.22110921059482</v>
      </c>
      <c r="O26" s="36" t="n">
        <f aca="false">SQRT(M26^2+N26^2)</f>
        <v>1.9557919282454</v>
      </c>
      <c r="P26" s="47" t="n">
        <f aca="false">IF(J26="","",MAX(0,J26-1.96*O26/100))</f>
        <v>0.63044421600176</v>
      </c>
      <c r="Q26" s="47" t="n">
        <f aca="false">IF(J26="","",MIN(1,J26+1.96*O26/100))</f>
        <v>0.70711125958898</v>
      </c>
      <c r="R26" s="32" t="str">
        <f aca="false">IF(L26="","",IF(ABS(L26)&lt;=O26,"Yes","No"))</f>
        <v>No</v>
      </c>
      <c r="S26" s="32" t="str">
        <f aca="false">IF(L26="","",IF(ABS(L26)&lt;=1.96*O26,"Yes","No"))</f>
        <v>Yes</v>
      </c>
      <c r="T26" s="66" t="n">
        <f aca="false">IF(D26="","",ROUND(SQRT(((D26+G26)*O26/100)^2+(J26*(D26+G26)*0.05464)^2),0))</f>
        <v>1728</v>
      </c>
      <c r="U26" s="32"/>
    </row>
    <row r="27" customFormat="false" ht="15" hidden="false" customHeight="false" outlineLevel="0" collapsed="false">
      <c r="A27" s="32" t="s">
        <v>219</v>
      </c>
      <c r="B27" s="32" t="s">
        <v>222</v>
      </c>
      <c r="C27" s="32" t="s">
        <v>191</v>
      </c>
      <c r="D27" s="66" t="n">
        <v>6639</v>
      </c>
      <c r="E27" s="66" t="n">
        <v>6612</v>
      </c>
      <c r="F27" s="77" t="n">
        <f aca="false">IF(E27="","",D27-E27)</f>
        <v>27</v>
      </c>
      <c r="G27" s="66" t="n">
        <v>4001</v>
      </c>
      <c r="H27" s="66" t="n">
        <v>3834</v>
      </c>
      <c r="I27" s="77" t="n">
        <f aca="false">IF(H27="","",G27-H27)</f>
        <v>167</v>
      </c>
      <c r="J27" s="47" t="n">
        <f aca="false">IF(OR(D27="",D27+G27=0),"",D27/(D27+G27))</f>
        <v>0.623966165413534</v>
      </c>
      <c r="K27" s="47" t="n">
        <f aca="false">IF(E27="","",E27/(E27+H27))</f>
        <v>0.632969557725445</v>
      </c>
      <c r="L27" s="78" t="n">
        <f aca="false">IF(OR(K27="",J27=""),"",(J27-K27)*100)</f>
        <v>-0.900339231191139</v>
      </c>
      <c r="M27" s="36" t="n">
        <v>1.52774813447451</v>
      </c>
      <c r="N27" s="36" t="n">
        <v>1.22110921059482</v>
      </c>
      <c r="O27" s="36" t="n">
        <f aca="false">SQRT(M27^2+N27^2)</f>
        <v>1.9557919282454</v>
      </c>
      <c r="P27" s="47" t="n">
        <f aca="false">IF(J27="","",MAX(0,J27-1.96*O27/100))</f>
        <v>0.585632643619924</v>
      </c>
      <c r="Q27" s="47" t="n">
        <f aca="false">IF(J27="","",MIN(1,J27+1.96*O27/100))</f>
        <v>0.662299687207144</v>
      </c>
      <c r="R27" s="32" t="str">
        <f aca="false">IF(L27="","",IF(ABS(L27)&lt;=O27,"Yes","No"))</f>
        <v>Yes</v>
      </c>
      <c r="S27" s="32" t="str">
        <f aca="false">IF(L27="","",IF(ABS(L27)&lt;=1.96*O27,"Yes","No"))</f>
        <v>Yes</v>
      </c>
      <c r="T27" s="66" t="n">
        <f aca="false">IF(D27="","",ROUND(SQRT(((D27+G27)*O27/100)^2+(J27*(D27+G27)*0.05464)^2),0))</f>
        <v>418</v>
      </c>
      <c r="U27" s="32"/>
    </row>
    <row r="28" customFormat="false" ht="15" hidden="false" customHeight="false" outlineLevel="0" collapsed="false">
      <c r="A28" s="32" t="s">
        <v>219</v>
      </c>
      <c r="B28" s="32" t="s">
        <v>223</v>
      </c>
      <c r="C28" s="32" t="s">
        <v>191</v>
      </c>
      <c r="D28" s="66" t="n">
        <v>1580</v>
      </c>
      <c r="E28" s="66" t="n">
        <v>1560</v>
      </c>
      <c r="F28" s="77" t="n">
        <f aca="false">IF(E28="","",D28-E28)</f>
        <v>20</v>
      </c>
      <c r="G28" s="66" t="n">
        <v>1506</v>
      </c>
      <c r="H28" s="66" t="n">
        <v>1491</v>
      </c>
      <c r="I28" s="77" t="n">
        <f aca="false">IF(H28="","",G28-H28)</f>
        <v>15</v>
      </c>
      <c r="J28" s="47" t="n">
        <f aca="false">IF(OR(D28="",D28+G28=0),"",D28/(D28+G28))</f>
        <v>0.51198963058976</v>
      </c>
      <c r="K28" s="47" t="n">
        <f aca="false">IF(E28="","",E28/(E28+H28))</f>
        <v>0.511307767944936</v>
      </c>
      <c r="L28" s="78" t="n">
        <f aca="false">IF(OR(K28="",J28=""),"",(J28-K28)*100)</f>
        <v>0.0681862644824172</v>
      </c>
      <c r="M28" s="36" t="n">
        <v>2.18929868476011</v>
      </c>
      <c r="N28" s="36" t="n">
        <v>1.22110921059482</v>
      </c>
      <c r="O28" s="36" t="n">
        <f aca="false">SQRT(M28^2+N28^2)</f>
        <v>2.50681799006068</v>
      </c>
      <c r="P28" s="47" t="n">
        <f aca="false">IF(J28="","",MAX(0,J28-1.96*O28/100))</f>
        <v>0.462855997984571</v>
      </c>
      <c r="Q28" s="47" t="n">
        <f aca="false">IF(J28="","",MIN(1,J28+1.96*O28/100))</f>
        <v>0.561123263194949</v>
      </c>
      <c r="R28" s="32" t="str">
        <f aca="false">IF(L28="","",IF(ABS(L28)&lt;=O28,"Yes","No"))</f>
        <v>Yes</v>
      </c>
      <c r="S28" s="32" t="str">
        <f aca="false">IF(L28="","",IF(ABS(L28)&lt;=1.96*O28,"Yes","No"))</f>
        <v>Yes</v>
      </c>
      <c r="T28" s="66" t="n">
        <f aca="false">IF(D28="","",ROUND(SQRT(((D28+G28)*O28/100)^2+(J28*(D28+G28)*0.06092)^2),0))</f>
        <v>123</v>
      </c>
      <c r="U28" s="32"/>
    </row>
    <row r="29" customFormat="false" ht="15" hidden="false" customHeight="false" outlineLevel="0" collapsed="false">
      <c r="A29" s="32" t="s">
        <v>219</v>
      </c>
      <c r="B29" s="32" t="s">
        <v>224</v>
      </c>
      <c r="C29" s="32" t="s">
        <v>191</v>
      </c>
      <c r="D29" s="66" t="n">
        <v>737</v>
      </c>
      <c r="E29" s="66" t="n">
        <v>735</v>
      </c>
      <c r="F29" s="77" t="n">
        <f aca="false">IF(E29="","",D29-E29)</f>
        <v>2</v>
      </c>
      <c r="G29" s="66" t="n">
        <v>834</v>
      </c>
      <c r="H29" s="66" t="n">
        <v>804</v>
      </c>
      <c r="I29" s="77" t="n">
        <f aca="false">IF(H29="","",G29-H29)</f>
        <v>30</v>
      </c>
      <c r="J29" s="47" t="n">
        <f aca="false">IF(OR(D29="",D29+G29=0),"",D29/(D29+G29))</f>
        <v>0.469127943984723</v>
      </c>
      <c r="K29" s="47" t="n">
        <f aca="false">IF(E29="","",E29/(E29+H29))</f>
        <v>0.477582846003899</v>
      </c>
      <c r="L29" s="78" t="n">
        <f aca="false">IF(OR(K29="",J29=""),"",(J29-K29)*100)</f>
        <v>-0.845490201917548</v>
      </c>
      <c r="M29" s="36" t="n">
        <v>2.18929868476011</v>
      </c>
      <c r="N29" s="36" t="n">
        <v>1.22110921059482</v>
      </c>
      <c r="O29" s="36" t="n">
        <f aca="false">SQRT(M29^2+N29^2)</f>
        <v>2.50681799006068</v>
      </c>
      <c r="P29" s="47" t="n">
        <f aca="false">IF(J29="","",MAX(0,J29-1.96*O29/100))</f>
        <v>0.419994311379534</v>
      </c>
      <c r="Q29" s="47" t="n">
        <f aca="false">IF(J29="","",MIN(1,J29+1.96*O29/100))</f>
        <v>0.518261576589912</v>
      </c>
      <c r="R29" s="32" t="str">
        <f aca="false">IF(L29="","",IF(ABS(L29)&lt;=O29,"Yes","No"))</f>
        <v>Yes</v>
      </c>
      <c r="S29" s="32" t="str">
        <f aca="false">IF(L29="","",IF(ABS(L29)&lt;=1.96*O29,"Yes","No"))</f>
        <v>Yes</v>
      </c>
      <c r="T29" s="66" t="n">
        <f aca="false">IF(D29="","",ROUND(SQRT(((D29+G29)*O29/100)^2+(J29*(D29+G29)*0.06092)^2),0))</f>
        <v>60</v>
      </c>
      <c r="U29" s="32"/>
    </row>
    <row r="30" customFormat="false" ht="15" hidden="false" customHeight="false" outlineLevel="0" collapsed="false">
      <c r="A30" s="32" t="s">
        <v>219</v>
      </c>
      <c r="B30" s="32" t="s">
        <v>225</v>
      </c>
      <c r="C30" s="32" t="s">
        <v>191</v>
      </c>
      <c r="D30" s="66" t="n">
        <v>937</v>
      </c>
      <c r="E30" s="66" t="n">
        <v>899</v>
      </c>
      <c r="F30" s="77" t="n">
        <f aca="false">IF(E30="","",D30-E30)</f>
        <v>38</v>
      </c>
      <c r="G30" s="66" t="n">
        <v>900</v>
      </c>
      <c r="H30" s="66" t="n">
        <v>898</v>
      </c>
      <c r="I30" s="77" t="n">
        <f aca="false">IF(H30="","",G30-H30)</f>
        <v>2</v>
      </c>
      <c r="J30" s="47" t="n">
        <f aca="false">IF(OR(D30="",D30+G30=0),"",D30/(D30+G30))</f>
        <v>0.510070767555798</v>
      </c>
      <c r="K30" s="47" t="n">
        <f aca="false">IF(E30="","",E30/(E30+H30))</f>
        <v>0.500278241513634</v>
      </c>
      <c r="L30" s="78" t="n">
        <f aca="false">IF(OR(K30="",J30=""),"",(J30-K30)*100)</f>
        <v>0.979252604216363</v>
      </c>
      <c r="M30" s="36" t="n">
        <v>2.18929868476011</v>
      </c>
      <c r="N30" s="36" t="n">
        <v>1.22110921059482</v>
      </c>
      <c r="O30" s="36" t="n">
        <f aca="false">SQRT(M30^2+N30^2)</f>
        <v>2.50681799006068</v>
      </c>
      <c r="P30" s="47" t="n">
        <f aca="false">IF(J30="","",MAX(0,J30-1.96*O30/100))</f>
        <v>0.460937134950608</v>
      </c>
      <c r="Q30" s="47" t="n">
        <f aca="false">IF(J30="","",MIN(1,J30+1.96*O30/100))</f>
        <v>0.559204400160987</v>
      </c>
      <c r="R30" s="32" t="str">
        <f aca="false">IF(L30="","",IF(ABS(L30)&lt;=O30,"Yes","No"))</f>
        <v>Yes</v>
      </c>
      <c r="S30" s="32" t="str">
        <f aca="false">IF(L30="","",IF(ABS(L30)&lt;=1.96*O30,"Yes","No"))</f>
        <v>Yes</v>
      </c>
      <c r="T30" s="66" t="n">
        <f aca="false">IF(D30="","",ROUND(SQRT(((D30+G30)*O30/100)^2+(J30*(D30+G30)*0.06092)^2),0))</f>
        <v>73</v>
      </c>
      <c r="U30" s="32"/>
    </row>
    <row r="31" customFormat="false" ht="15" hidden="false" customHeight="false" outlineLevel="0" collapsed="false">
      <c r="A31" s="32" t="s">
        <v>219</v>
      </c>
      <c r="B31" s="32" t="s">
        <v>226</v>
      </c>
      <c r="C31" s="32" t="s">
        <v>191</v>
      </c>
      <c r="D31" s="66" t="n">
        <v>3547</v>
      </c>
      <c r="E31" s="66" t="n">
        <v>3663</v>
      </c>
      <c r="F31" s="77" t="n">
        <f aca="false">IF(E31="","",D31-E31)</f>
        <v>-116</v>
      </c>
      <c r="G31" s="66" t="n">
        <v>3311</v>
      </c>
      <c r="H31" s="66" t="n">
        <v>3236</v>
      </c>
      <c r="I31" s="77" t="n">
        <f aca="false">IF(H31="","",G31-H31)</f>
        <v>75</v>
      </c>
      <c r="J31" s="47" t="n">
        <f aca="false">IF(OR(D31="",D31+G31=0),"",D31/(D31+G31))</f>
        <v>0.517206182560513</v>
      </c>
      <c r="K31" s="47" t="n">
        <f aca="false">IF(E31="","",E31/(E31+H31))</f>
        <v>0.530946513987535</v>
      </c>
      <c r="L31" s="78" t="n">
        <f aca="false">IF(OR(K31="",J31=""),"",(J31-K31)*100)</f>
        <v>-1.37403314270211</v>
      </c>
      <c r="M31" s="36" t="n">
        <v>1.52774813447451</v>
      </c>
      <c r="N31" s="36" t="n">
        <v>1.22110921059482</v>
      </c>
      <c r="O31" s="36" t="n">
        <f aca="false">SQRT(M31^2+N31^2)</f>
        <v>1.9557919282454</v>
      </c>
      <c r="P31" s="47" t="n">
        <f aca="false">IF(J31="","",MAX(0,J31-1.96*O31/100))</f>
        <v>0.478872660766904</v>
      </c>
      <c r="Q31" s="47" t="n">
        <f aca="false">IF(J31="","",MIN(1,J31+1.96*O31/100))</f>
        <v>0.555539704354123</v>
      </c>
      <c r="R31" s="32" t="str">
        <f aca="false">IF(L31="","",IF(ABS(L31)&lt;=O31,"Yes","No"))</f>
        <v>Yes</v>
      </c>
      <c r="S31" s="32" t="str">
        <f aca="false">IF(L31="","",IF(ABS(L31)&lt;=1.96*O31,"Yes","No"))</f>
        <v>Yes</v>
      </c>
      <c r="T31" s="66" t="n">
        <f aca="false">IF(D31="","",ROUND(SQRT(((D31+G31)*O31/100)^2+(J31*(D31+G31)*0.05464)^2),0))</f>
        <v>236</v>
      </c>
      <c r="U31" s="32"/>
    </row>
    <row r="32" customFormat="false" ht="15" hidden="false" customHeight="false" outlineLevel="0" collapsed="false">
      <c r="A32" s="32" t="s">
        <v>219</v>
      </c>
      <c r="B32" s="32" t="s">
        <v>227</v>
      </c>
      <c r="C32" s="32" t="s">
        <v>191</v>
      </c>
      <c r="D32" s="66" t="n">
        <v>1557</v>
      </c>
      <c r="E32" s="66" t="n">
        <v>1433</v>
      </c>
      <c r="F32" s="77" t="n">
        <f aca="false">IF(E32="","",D32-E32)</f>
        <v>124</v>
      </c>
      <c r="G32" s="66" t="n">
        <v>784</v>
      </c>
      <c r="H32" s="66" t="n">
        <v>793</v>
      </c>
      <c r="I32" s="77" t="n">
        <f aca="false">IF(H32="","",G32-H32)</f>
        <v>-9</v>
      </c>
      <c r="J32" s="47" t="n">
        <f aca="false">IF(OR(D32="",D32+G32=0),"",D32/(D32+G32))</f>
        <v>0.665100384451089</v>
      </c>
      <c r="K32" s="47" t="n">
        <f aca="false">IF(E32="","",E32/(E32+H32))</f>
        <v>0.643755615453729</v>
      </c>
      <c r="L32" s="78" t="n">
        <f aca="false">IF(OR(K32="",J32=""),"",(J32-K32)*100)</f>
        <v>2.13447689973607</v>
      </c>
      <c r="M32" s="36" t="n">
        <v>2.18929868476011</v>
      </c>
      <c r="N32" s="36" t="n">
        <v>1.22110921059482</v>
      </c>
      <c r="O32" s="36" t="n">
        <f aca="false">SQRT(M32^2+N32^2)</f>
        <v>2.50681799006068</v>
      </c>
      <c r="P32" s="47" t="n">
        <f aca="false">IF(J32="","",MAX(0,J32-1.96*O32/100))</f>
        <v>0.6159667518459</v>
      </c>
      <c r="Q32" s="47" t="n">
        <f aca="false">IF(J32="","",MIN(1,J32+1.96*O32/100))</f>
        <v>0.714234017056279</v>
      </c>
      <c r="R32" s="32" t="str">
        <f aca="false">IF(L32="","",IF(ABS(L32)&lt;=O32,"Yes","No"))</f>
        <v>Yes</v>
      </c>
      <c r="S32" s="32" t="str">
        <f aca="false">IF(L32="","",IF(ABS(L32)&lt;=1.96*O32,"Yes","No"))</f>
        <v>Yes</v>
      </c>
      <c r="T32" s="66" t="n">
        <f aca="false">IF(D32="","",ROUND(SQRT(((D32+G32)*O32/100)^2+(J32*(D32+G32)*0.06092)^2),0))</f>
        <v>112</v>
      </c>
      <c r="U32" s="32"/>
    </row>
    <row r="33" customFormat="false" ht="15" hidden="false" customHeight="false" outlineLevel="0" collapsed="false">
      <c r="A33" s="32" t="s">
        <v>219</v>
      </c>
      <c r="B33" s="32" t="s">
        <v>228</v>
      </c>
      <c r="C33" s="32" t="s">
        <v>191</v>
      </c>
      <c r="D33" s="66" t="n">
        <v>392</v>
      </c>
      <c r="E33" s="66" t="n">
        <v>379</v>
      </c>
      <c r="F33" s="77" t="n">
        <f aca="false">IF(E33="","",D33-E33)</f>
        <v>13</v>
      </c>
      <c r="G33" s="66" t="n">
        <v>347</v>
      </c>
      <c r="H33" s="66" t="n">
        <v>330</v>
      </c>
      <c r="I33" s="77" t="n">
        <f aca="false">IF(H33="","",G33-H33)</f>
        <v>17</v>
      </c>
      <c r="J33" s="47" t="n">
        <f aca="false">IF(OR(D33="",D33+G33=0),"",D33/(D33+G33))</f>
        <v>0.530446549391069</v>
      </c>
      <c r="K33" s="47" t="n">
        <f aca="false">IF(E33="","",E33/(E33+H33))</f>
        <v>0.534555712270804</v>
      </c>
      <c r="L33" s="78" t="n">
        <f aca="false">IF(OR(K33="",J33=""),"",(J33-K33)*100)</f>
        <v>-0.410916287973484</v>
      </c>
      <c r="M33" s="36" t="n">
        <v>2.97095236107082</v>
      </c>
      <c r="N33" s="36" t="n">
        <v>1.22110921059482</v>
      </c>
      <c r="O33" s="36" t="n">
        <f aca="false">SQRT(M33^2+N33^2)</f>
        <v>3.21211233239932</v>
      </c>
      <c r="P33" s="47" t="n">
        <f aca="false">IF(J33="","",MAX(0,J33-1.96*O33/100))</f>
        <v>0.467489147676042</v>
      </c>
      <c r="Q33" s="47" t="n">
        <f aca="false">IF(J33="","",MIN(1,J33+1.96*O33/100))</f>
        <v>0.593403951106096</v>
      </c>
      <c r="R33" s="32" t="str">
        <f aca="false">IF(L33="","",IF(ABS(L33)&lt;=O33,"Yes","No"))</f>
        <v>Yes</v>
      </c>
      <c r="S33" s="32" t="str">
        <f aca="false">IF(L33="","",IF(ABS(L33)&lt;=1.96*O33,"Yes","No"))</f>
        <v>Yes</v>
      </c>
      <c r="T33" s="66" t="n">
        <f aca="false">IF(D33="","",ROUND(SQRT(((D33+G33)*O33/100)^2+(J33*(D33+G33)*0.07859)^2),0))</f>
        <v>39</v>
      </c>
      <c r="U33" s="32"/>
    </row>
    <row r="34" customFormat="false" ht="15" hidden="false" customHeight="false" outlineLevel="0" collapsed="false">
      <c r="A34" s="32" t="s">
        <v>219</v>
      </c>
      <c r="B34" s="32" t="s">
        <v>229</v>
      </c>
      <c r="C34" s="32" t="s">
        <v>191</v>
      </c>
      <c r="D34" s="66" t="n">
        <v>641</v>
      </c>
      <c r="E34" s="66" t="n">
        <v>654</v>
      </c>
      <c r="F34" s="77" t="n">
        <f aca="false">IF(E34="","",D34-E34)</f>
        <v>-13</v>
      </c>
      <c r="G34" s="66" t="n">
        <v>1413</v>
      </c>
      <c r="H34" s="66" t="n">
        <v>1439</v>
      </c>
      <c r="I34" s="77" t="n">
        <f aca="false">IF(H34="","",G34-H34)</f>
        <v>-26</v>
      </c>
      <c r="J34" s="47" t="n">
        <f aca="false">IF(OR(D34="",D34+G34=0),"",D34/(D34+G34))</f>
        <v>0.31207400194742</v>
      </c>
      <c r="K34" s="47" t="n">
        <f aca="false">IF(E34="","",E34/(E34+H34))</f>
        <v>0.312470138557095</v>
      </c>
      <c r="L34" s="78" t="n">
        <f aca="false">IF(OR(K34="",J34=""),"",(J34-K34)*100)</f>
        <v>-0.0396136609675413</v>
      </c>
      <c r="M34" s="36" t="n">
        <v>2.18929868476011</v>
      </c>
      <c r="N34" s="36" t="n">
        <v>1.22110921059482</v>
      </c>
      <c r="O34" s="36" t="n">
        <f aca="false">SQRT(M34^2+N34^2)</f>
        <v>2.50681799006068</v>
      </c>
      <c r="P34" s="47" t="n">
        <f aca="false">IF(J34="","",MAX(0,J34-1.96*O34/100))</f>
        <v>0.26294036934223</v>
      </c>
      <c r="Q34" s="47" t="n">
        <f aca="false">IF(J34="","",MIN(1,J34+1.96*O34/100))</f>
        <v>0.361207634552609</v>
      </c>
      <c r="R34" s="32" t="str">
        <f aca="false">IF(L34="","",IF(ABS(L34)&lt;=O34,"Yes","No"))</f>
        <v>Yes</v>
      </c>
      <c r="S34" s="32" t="str">
        <f aca="false">IF(L34="","",IF(ABS(L34)&lt;=1.96*O34,"Yes","No"))</f>
        <v>Yes</v>
      </c>
      <c r="T34" s="66" t="n">
        <f aca="false">IF(D34="","",ROUND(SQRT(((D34+G34)*O34/100)^2+(J34*(D34+G34)*0.06092)^2),0))</f>
        <v>65</v>
      </c>
      <c r="U34" s="32"/>
    </row>
    <row r="35" customFormat="false" ht="15" hidden="false" customHeight="false" outlineLevel="0" collapsed="false">
      <c r="A35" s="32" t="s">
        <v>219</v>
      </c>
      <c r="B35" s="32" t="s">
        <v>230</v>
      </c>
      <c r="C35" s="32" t="s">
        <v>191</v>
      </c>
      <c r="D35" s="66" t="n">
        <v>9988</v>
      </c>
      <c r="E35" s="66" t="n">
        <v>10021</v>
      </c>
      <c r="F35" s="77" t="n">
        <f aca="false">IF(E35="","",D35-E35)</f>
        <v>-33</v>
      </c>
      <c r="G35" s="66" t="n">
        <v>10448</v>
      </c>
      <c r="H35" s="66" t="n">
        <v>10199</v>
      </c>
      <c r="I35" s="77" t="n">
        <f aca="false">IF(H35="","",G35-H35)</f>
        <v>249</v>
      </c>
      <c r="J35" s="47" t="n">
        <f aca="false">IF(OR(D35="",D35+G35=0),"",D35/(D35+G35))</f>
        <v>0.488745351340771</v>
      </c>
      <c r="K35" s="47" t="n">
        <f aca="false">IF(E35="","",E35/(E35+H35))</f>
        <v>0.495598417408506</v>
      </c>
      <c r="L35" s="78" t="n">
        <f aca="false">IF(OR(K35="",J35=""),"",(J35-K35)*100)</f>
        <v>-0.685306606773523</v>
      </c>
      <c r="M35" s="36" t="n">
        <v>1.52774813447451</v>
      </c>
      <c r="N35" s="36" t="n">
        <v>1.22110921059482</v>
      </c>
      <c r="O35" s="36" t="n">
        <f aca="false">SQRT(M35^2+N35^2)</f>
        <v>1.9557919282454</v>
      </c>
      <c r="P35" s="47" t="n">
        <f aca="false">IF(J35="","",MAX(0,J35-1.96*O35/100))</f>
        <v>0.450411829547161</v>
      </c>
      <c r="Q35" s="47" t="n">
        <f aca="false">IF(J35="","",MIN(1,J35+1.96*O35/100))</f>
        <v>0.527078873134381</v>
      </c>
      <c r="R35" s="32" t="str">
        <f aca="false">IF(L35="","",IF(ABS(L35)&lt;=O35,"Yes","No"))</f>
        <v>Yes</v>
      </c>
      <c r="S35" s="32" t="str">
        <f aca="false">IF(L35="","",IF(ABS(L35)&lt;=1.96*O35,"Yes","No"))</f>
        <v>Yes</v>
      </c>
      <c r="T35" s="66" t="n">
        <f aca="false">IF(D35="","",ROUND(SQRT(((D35+G35)*O35/100)^2+(J35*(D35+G35)*0.05464)^2),0))</f>
        <v>676</v>
      </c>
      <c r="U35" s="32"/>
    </row>
    <row r="36" customFormat="false" ht="15" hidden="false" customHeight="false" outlineLevel="0" collapsed="false">
      <c r="A36" s="32" t="s">
        <v>219</v>
      </c>
      <c r="B36" s="32" t="s">
        <v>231</v>
      </c>
      <c r="C36" s="32" t="s">
        <v>191</v>
      </c>
      <c r="D36" s="66" t="n">
        <v>904</v>
      </c>
      <c r="E36" s="66" t="n">
        <v>985</v>
      </c>
      <c r="F36" s="77" t="n">
        <f aca="false">IF(E36="","",D36-E36)</f>
        <v>-81</v>
      </c>
      <c r="G36" s="66" t="n">
        <v>1697</v>
      </c>
      <c r="H36" s="66" t="n">
        <v>1586</v>
      </c>
      <c r="I36" s="77" t="n">
        <f aca="false">IF(H36="","",G36-H36)</f>
        <v>111</v>
      </c>
      <c r="J36" s="47" t="n">
        <f aca="false">IF(OR(D36="",D36+G36=0),"",D36/(D36+G36))</f>
        <v>0.347558631295656</v>
      </c>
      <c r="K36" s="47" t="n">
        <f aca="false">IF(E36="","",E36/(E36+H36))</f>
        <v>0.383119408790354</v>
      </c>
      <c r="L36" s="78" t="n">
        <f aca="false">IF(OR(K36="",J36=""),"",(J36-K36)*100)</f>
        <v>-3.55607774946984</v>
      </c>
      <c r="M36" s="36" t="n">
        <v>2.18929868476011</v>
      </c>
      <c r="N36" s="36" t="n">
        <v>1.22110921059482</v>
      </c>
      <c r="O36" s="36" t="n">
        <f aca="false">SQRT(M36^2+N36^2)</f>
        <v>2.50681799006068</v>
      </c>
      <c r="P36" s="47" t="n">
        <f aca="false">IF(J36="","",MAX(0,J36-1.96*O36/100))</f>
        <v>0.298424998690466</v>
      </c>
      <c r="Q36" s="47" t="n">
        <f aca="false">IF(J36="","",MIN(1,J36+1.96*O36/100))</f>
        <v>0.396692263900845</v>
      </c>
      <c r="R36" s="32" t="str">
        <f aca="false">IF(L36="","",IF(ABS(L36)&lt;=O36,"Yes","No"))</f>
        <v>No</v>
      </c>
      <c r="S36" s="32" t="str">
        <f aca="false">IF(L36="","",IF(ABS(L36)&lt;=1.96*O36,"Yes","No"))</f>
        <v>Yes</v>
      </c>
      <c r="T36" s="66" t="n">
        <f aca="false">IF(D36="","",ROUND(SQRT(((D36+G36)*O36/100)^2+(J36*(D36+G36)*0.06092)^2),0))</f>
        <v>85</v>
      </c>
      <c r="U36" s="32"/>
    </row>
    <row r="37" customFormat="false" ht="15" hidden="false" customHeight="false" outlineLevel="0" collapsed="false">
      <c r="A37" s="32" t="s">
        <v>219</v>
      </c>
      <c r="B37" s="32" t="s">
        <v>232</v>
      </c>
      <c r="C37" s="32" t="s">
        <v>191</v>
      </c>
      <c r="D37" s="66" t="n">
        <v>530</v>
      </c>
      <c r="E37" s="66" t="n">
        <v>543</v>
      </c>
      <c r="F37" s="77" t="n">
        <f aca="false">IF(E37="","",D37-E37)</f>
        <v>-13</v>
      </c>
      <c r="G37" s="66" t="n">
        <v>1033</v>
      </c>
      <c r="H37" s="66" t="n">
        <v>990</v>
      </c>
      <c r="I37" s="77" t="n">
        <f aca="false">IF(H37="","",G37-H37)</f>
        <v>43</v>
      </c>
      <c r="J37" s="47" t="n">
        <f aca="false">IF(OR(D37="",D37+G37=0),"",D37/(D37+G37))</f>
        <v>0.339091490722969</v>
      </c>
      <c r="K37" s="47" t="n">
        <f aca="false">IF(E37="","",E37/(E37+H37))</f>
        <v>0.354207436399217</v>
      </c>
      <c r="L37" s="78" t="n">
        <f aca="false">IF(OR(K37="",J37=""),"",(J37-K37)*100)</f>
        <v>-1.51159456762486</v>
      </c>
      <c r="M37" s="36" t="n">
        <v>2.18929868476011</v>
      </c>
      <c r="N37" s="36" t="n">
        <v>1.22110921059482</v>
      </c>
      <c r="O37" s="36" t="n">
        <f aca="false">SQRT(M37^2+N37^2)</f>
        <v>2.50681799006068</v>
      </c>
      <c r="P37" s="47" t="n">
        <f aca="false">IF(J37="","",MAX(0,J37-1.96*O37/100))</f>
        <v>0.289957858117779</v>
      </c>
      <c r="Q37" s="47" t="n">
        <f aca="false">IF(J37="","",MIN(1,J37+1.96*O37/100))</f>
        <v>0.388225123328158</v>
      </c>
      <c r="R37" s="32" t="str">
        <f aca="false">IF(L37="","",IF(ABS(L37)&lt;=O37,"Yes","No"))</f>
        <v>Yes</v>
      </c>
      <c r="S37" s="32" t="str">
        <f aca="false">IF(L37="","",IF(ABS(L37)&lt;=1.96*O37,"Yes","No"))</f>
        <v>Yes</v>
      </c>
      <c r="T37" s="66" t="n">
        <f aca="false">IF(D37="","",ROUND(SQRT(((D37+G37)*O37/100)^2+(J37*(D37+G37)*0.06092)^2),0))</f>
        <v>51</v>
      </c>
      <c r="U37" s="32"/>
    </row>
    <row r="38" customFormat="false" ht="15" hidden="false" customHeight="false" outlineLevel="0" collapsed="false">
      <c r="A38" s="32" t="s">
        <v>219</v>
      </c>
      <c r="B38" s="32" t="s">
        <v>233</v>
      </c>
      <c r="C38" s="32" t="s">
        <v>191</v>
      </c>
      <c r="D38" s="66" t="n">
        <v>842</v>
      </c>
      <c r="E38" s="66" t="n">
        <v>850</v>
      </c>
      <c r="F38" s="77" t="n">
        <f aca="false">IF(E38="","",D38-E38)</f>
        <v>-8</v>
      </c>
      <c r="G38" s="66" t="n">
        <v>1857</v>
      </c>
      <c r="H38" s="66" t="n">
        <v>1856</v>
      </c>
      <c r="I38" s="77" t="n">
        <f aca="false">IF(H38="","",G38-H38)</f>
        <v>1</v>
      </c>
      <c r="J38" s="47" t="n">
        <f aca="false">IF(OR(D38="",D38+G38=0),"",D38/(D38+G38))</f>
        <v>0.311967395331604</v>
      </c>
      <c r="K38" s="47" t="n">
        <f aca="false">IF(E38="","",E38/(E38+H38))</f>
        <v>0.314116777531412</v>
      </c>
      <c r="L38" s="78" t="n">
        <f aca="false">IF(OR(K38="",J38=""),"",(J38-K38)*100)</f>
        <v>-0.214938219980737</v>
      </c>
      <c r="M38" s="36" t="n">
        <v>2.18929868476011</v>
      </c>
      <c r="N38" s="36" t="n">
        <v>1.22110921059482</v>
      </c>
      <c r="O38" s="36" t="n">
        <f aca="false">SQRT(M38^2+N38^2)</f>
        <v>2.50681799006068</v>
      </c>
      <c r="P38" s="47" t="n">
        <f aca="false">IF(J38="","",MAX(0,J38-1.96*O38/100))</f>
        <v>0.262833762726415</v>
      </c>
      <c r="Q38" s="47" t="n">
        <f aca="false">IF(J38="","",MIN(1,J38+1.96*O38/100))</f>
        <v>0.361101027936794</v>
      </c>
      <c r="R38" s="32" t="str">
        <f aca="false">IF(L38="","",IF(ABS(L38)&lt;=O38,"Yes","No"))</f>
        <v>Yes</v>
      </c>
      <c r="S38" s="32" t="str">
        <f aca="false">IF(L38="","",IF(ABS(L38)&lt;=1.96*O38,"Yes","No"))</f>
        <v>Yes</v>
      </c>
      <c r="T38" s="66" t="n">
        <f aca="false">IF(D38="","",ROUND(SQRT(((D38+G38)*O38/100)^2+(J38*(D38+G38)*0.06092)^2),0))</f>
        <v>85</v>
      </c>
      <c r="U38" s="32"/>
    </row>
    <row r="39" customFormat="false" ht="15" hidden="false" customHeight="false" outlineLevel="0" collapsed="false">
      <c r="A39" s="32" t="s">
        <v>219</v>
      </c>
      <c r="B39" s="32" t="s">
        <v>234</v>
      </c>
      <c r="C39" s="32" t="s">
        <v>191</v>
      </c>
      <c r="D39" s="66" t="n">
        <v>973</v>
      </c>
      <c r="E39" s="66" t="n">
        <v>980</v>
      </c>
      <c r="F39" s="77" t="n">
        <f aca="false">IF(E39="","",D39-E39)</f>
        <v>-7</v>
      </c>
      <c r="G39" s="66" t="n">
        <v>920</v>
      </c>
      <c r="H39" s="66" t="n">
        <v>872</v>
      </c>
      <c r="I39" s="77" t="n">
        <f aca="false">IF(H39="","",G39-H39)</f>
        <v>48</v>
      </c>
      <c r="J39" s="47" t="n">
        <f aca="false">IF(OR(D39="",D39+G39=0),"",D39/(D39+G39))</f>
        <v>0.513998943475964</v>
      </c>
      <c r="K39" s="47" t="n">
        <f aca="false">IF(E39="","",E39/(E39+H39))</f>
        <v>0.529157667386609</v>
      </c>
      <c r="L39" s="78" t="n">
        <f aca="false">IF(OR(K39="",J39=""),"",(J39-K39)*100)</f>
        <v>-1.5158723910645</v>
      </c>
      <c r="M39" s="36" t="n">
        <v>2.18929868476011</v>
      </c>
      <c r="N39" s="36" t="n">
        <v>1.22110921059482</v>
      </c>
      <c r="O39" s="36" t="n">
        <f aca="false">SQRT(M39^2+N39^2)</f>
        <v>2.50681799006068</v>
      </c>
      <c r="P39" s="47" t="n">
        <f aca="false">IF(J39="","",MAX(0,J39-1.96*O39/100))</f>
        <v>0.464865310870775</v>
      </c>
      <c r="Q39" s="47" t="n">
        <f aca="false">IF(J39="","",MIN(1,J39+1.96*O39/100))</f>
        <v>0.563132576081153</v>
      </c>
      <c r="R39" s="32" t="str">
        <f aca="false">IF(L39="","",IF(ABS(L39)&lt;=O39,"Yes","No"))</f>
        <v>Yes</v>
      </c>
      <c r="S39" s="32" t="str">
        <f aca="false">IF(L39="","",IF(ABS(L39)&lt;=1.96*O39,"Yes","No"))</f>
        <v>Yes</v>
      </c>
      <c r="T39" s="66" t="n">
        <f aca="false">IF(D39="","",ROUND(SQRT(((D39+G39)*O39/100)^2+(J39*(D39+G39)*0.06092)^2),0))</f>
        <v>76</v>
      </c>
      <c r="U39" s="32"/>
    </row>
    <row r="40" customFormat="false" ht="15" hidden="false" customHeight="false" outlineLevel="0" collapsed="false">
      <c r="A40" s="32" t="s">
        <v>219</v>
      </c>
      <c r="B40" s="32" t="s">
        <v>235</v>
      </c>
      <c r="C40" s="32" t="s">
        <v>191</v>
      </c>
      <c r="D40" s="66" t="n">
        <v>3994</v>
      </c>
      <c r="E40" s="66" t="n">
        <v>4022</v>
      </c>
      <c r="F40" s="77" t="n">
        <f aca="false">IF(E40="","",D40-E40)</f>
        <v>-28</v>
      </c>
      <c r="G40" s="66" t="n">
        <v>6043</v>
      </c>
      <c r="H40" s="66" t="n">
        <v>5915</v>
      </c>
      <c r="I40" s="77" t="n">
        <f aca="false">IF(H40="","",G40-H40)</f>
        <v>128</v>
      </c>
      <c r="J40" s="47" t="n">
        <f aca="false">IF(OR(D40="",D40+G40=0),"",D40/(D40+G40))</f>
        <v>0.39792766762977</v>
      </c>
      <c r="K40" s="47" t="n">
        <f aca="false">IF(E40="","",E40/(E40+H40))</f>
        <v>0.404749924524504</v>
      </c>
      <c r="L40" s="78" t="n">
        <f aca="false">IF(OR(K40="",J40=""),"",(J40-K40)*100)</f>
        <v>-0.682225689473454</v>
      </c>
      <c r="M40" s="36" t="n">
        <v>1.52774813447451</v>
      </c>
      <c r="N40" s="36" t="n">
        <v>1.22110921059482</v>
      </c>
      <c r="O40" s="36" t="n">
        <f aca="false">SQRT(M40^2+N40^2)</f>
        <v>1.9557919282454</v>
      </c>
      <c r="P40" s="47" t="n">
        <f aca="false">IF(J40="","",MAX(0,J40-1.96*O40/100))</f>
        <v>0.35959414583616</v>
      </c>
      <c r="Q40" s="47" t="n">
        <f aca="false">IF(J40="","",MIN(1,J40+1.96*O40/100))</f>
        <v>0.43626118942338</v>
      </c>
      <c r="R40" s="32" t="str">
        <f aca="false">IF(L40="","",IF(ABS(L40)&lt;=O40,"Yes","No"))</f>
        <v>Yes</v>
      </c>
      <c r="S40" s="32" t="str">
        <f aca="false">IF(L40="","",IF(ABS(L40)&lt;=1.96*O40,"Yes","No"))</f>
        <v>Yes</v>
      </c>
      <c r="T40" s="66" t="n">
        <f aca="false">IF(D40="","",ROUND(SQRT(((D40+G40)*O40/100)^2+(J40*(D40+G40)*0.05464)^2),0))</f>
        <v>294</v>
      </c>
      <c r="U40" s="32"/>
    </row>
    <row r="41" customFormat="false" ht="15" hidden="false" customHeight="false" outlineLevel="0" collapsed="false">
      <c r="A41" s="32" t="s">
        <v>219</v>
      </c>
      <c r="B41" s="32" t="s">
        <v>236</v>
      </c>
      <c r="C41" s="32" t="s">
        <v>191</v>
      </c>
      <c r="D41" s="66" t="n">
        <v>3908</v>
      </c>
      <c r="E41" s="66" t="n">
        <v>4010</v>
      </c>
      <c r="F41" s="77" t="n">
        <f aca="false">IF(E41="","",D41-E41)</f>
        <v>-102</v>
      </c>
      <c r="G41" s="66" t="n">
        <v>4258</v>
      </c>
      <c r="H41" s="66" t="n">
        <v>4104</v>
      </c>
      <c r="I41" s="77" t="n">
        <f aca="false">IF(H41="","",G41-H41)</f>
        <v>154</v>
      </c>
      <c r="J41" s="47" t="n">
        <f aca="false">IF(OR(D41="",D41+G41=0),"",D41/(D41+G41))</f>
        <v>0.478569679157482</v>
      </c>
      <c r="K41" s="47" t="n">
        <f aca="false">IF(E41="","",E41/(E41+H41))</f>
        <v>0.494207542519103</v>
      </c>
      <c r="L41" s="78" t="n">
        <f aca="false">IF(OR(K41="",J41=""),"",(J41-K41)*100)</f>
        <v>-1.56378633616205</v>
      </c>
      <c r="M41" s="36" t="n">
        <v>1.52774813447451</v>
      </c>
      <c r="N41" s="36" t="n">
        <v>1.22110921059482</v>
      </c>
      <c r="O41" s="36" t="n">
        <f aca="false">SQRT(M41^2+N41^2)</f>
        <v>1.9557919282454</v>
      </c>
      <c r="P41" s="47" t="n">
        <f aca="false">IF(J41="","",MAX(0,J41-1.96*O41/100))</f>
        <v>0.440236157363872</v>
      </c>
      <c r="Q41" s="47" t="n">
        <f aca="false">IF(J41="","",MIN(1,J41+1.96*O41/100))</f>
        <v>0.516903200951092</v>
      </c>
      <c r="R41" s="32" t="str">
        <f aca="false">IF(L41="","",IF(ABS(L41)&lt;=O41,"Yes","No"))</f>
        <v>Yes</v>
      </c>
      <c r="S41" s="32" t="str">
        <f aca="false">IF(L41="","",IF(ABS(L41)&lt;=1.96*O41,"Yes","No"))</f>
        <v>Yes</v>
      </c>
      <c r="T41" s="66" t="n">
        <f aca="false">IF(D41="","",ROUND(SQRT(((D41+G41)*O41/100)^2+(J41*(D41+G41)*0.05464)^2),0))</f>
        <v>267</v>
      </c>
      <c r="U41" s="32"/>
    </row>
    <row r="42" customFormat="false" ht="15" hidden="false" customHeight="false" outlineLevel="0" collapsed="false">
      <c r="A42" s="32" t="s">
        <v>219</v>
      </c>
      <c r="B42" s="32" t="s">
        <v>237</v>
      </c>
      <c r="C42" s="32" t="s">
        <v>191</v>
      </c>
      <c r="D42" s="66" t="n">
        <v>833</v>
      </c>
      <c r="E42" s="66" t="n">
        <v>800</v>
      </c>
      <c r="F42" s="77" t="n">
        <f aca="false">IF(E42="","",D42-E42)</f>
        <v>33</v>
      </c>
      <c r="G42" s="66" t="n">
        <v>1165</v>
      </c>
      <c r="H42" s="66" t="n">
        <v>1156</v>
      </c>
      <c r="I42" s="77" t="n">
        <f aca="false">IF(H42="","",G42-H42)</f>
        <v>9</v>
      </c>
      <c r="J42" s="47" t="n">
        <f aca="false">IF(OR(D42="",D42+G42=0),"",D42/(D42+G42))</f>
        <v>0.416916916916917</v>
      </c>
      <c r="K42" s="47" t="n">
        <f aca="false">IF(E42="","",E42/(E42+H42))</f>
        <v>0.408997955010225</v>
      </c>
      <c r="L42" s="78" t="n">
        <f aca="false">IF(OR(K42="",J42=""),"",(J42-K42)*100)</f>
        <v>0.791896190669195</v>
      </c>
      <c r="M42" s="36" t="n">
        <v>2.18929868476011</v>
      </c>
      <c r="N42" s="36" t="n">
        <v>1.22110921059482</v>
      </c>
      <c r="O42" s="36" t="n">
        <f aca="false">SQRT(M42^2+N42^2)</f>
        <v>2.50681799006068</v>
      </c>
      <c r="P42" s="47" t="n">
        <f aca="false">IF(J42="","",MAX(0,J42-1.96*O42/100))</f>
        <v>0.367783284311728</v>
      </c>
      <c r="Q42" s="47" t="n">
        <f aca="false">IF(J42="","",MIN(1,J42+1.96*O42/100))</f>
        <v>0.466050549522106</v>
      </c>
      <c r="R42" s="32" t="str">
        <f aca="false">IF(L42="","",IF(ABS(L42)&lt;=O42,"Yes","No"))</f>
        <v>Yes</v>
      </c>
      <c r="S42" s="32" t="str">
        <f aca="false">IF(L42="","",IF(ABS(L42)&lt;=1.96*O42,"Yes","No"))</f>
        <v>Yes</v>
      </c>
      <c r="T42" s="66" t="n">
        <f aca="false">IF(D42="","",ROUND(SQRT(((D42+G42)*O42/100)^2+(J42*(D42+G42)*0.06092)^2),0))</f>
        <v>71</v>
      </c>
      <c r="U42" s="32"/>
    </row>
    <row r="43" customFormat="false" ht="15" hidden="false" customHeight="false" outlineLevel="0" collapsed="false">
      <c r="A43" s="32" t="s">
        <v>219</v>
      </c>
      <c r="B43" s="32" t="s">
        <v>238</v>
      </c>
      <c r="C43" s="32" t="s">
        <v>191</v>
      </c>
      <c r="D43" s="66" t="n">
        <v>6842</v>
      </c>
      <c r="E43" s="66" t="n">
        <v>7019</v>
      </c>
      <c r="F43" s="77" t="n">
        <f aca="false">IF(E43="","",D43-E43)</f>
        <v>-177</v>
      </c>
      <c r="G43" s="66" t="n">
        <v>6356</v>
      </c>
      <c r="H43" s="66" t="n">
        <v>6110</v>
      </c>
      <c r="I43" s="77" t="n">
        <f aca="false">IF(H43="","",G43-H43)</f>
        <v>246</v>
      </c>
      <c r="J43" s="47" t="n">
        <f aca="false">IF(OR(D43="",D43+G43=0),"",D43/(D43+G43))</f>
        <v>0.518411880587968</v>
      </c>
      <c r="K43" s="47" t="n">
        <f aca="false">IF(E43="","",E43/(E43+H43))</f>
        <v>0.534618021174499</v>
      </c>
      <c r="L43" s="78" t="n">
        <f aca="false">IF(OR(K43="",J43=""),"",(J43-K43)*100)</f>
        <v>-1.62061405865314</v>
      </c>
      <c r="M43" s="36" t="n">
        <v>1.52774813447451</v>
      </c>
      <c r="N43" s="36" t="n">
        <v>1.22110921059482</v>
      </c>
      <c r="O43" s="36" t="n">
        <f aca="false">SQRT(M43^2+N43^2)</f>
        <v>1.9557919282454</v>
      </c>
      <c r="P43" s="47" t="n">
        <f aca="false">IF(J43="","",MAX(0,J43-1.96*O43/100))</f>
        <v>0.480078358794358</v>
      </c>
      <c r="Q43" s="47" t="n">
        <f aca="false">IF(J43="","",MIN(1,J43+1.96*O43/100))</f>
        <v>0.556745402381578</v>
      </c>
      <c r="R43" s="32" t="str">
        <f aca="false">IF(L43="","",IF(ABS(L43)&lt;=O43,"Yes","No"))</f>
        <v>Yes</v>
      </c>
      <c r="S43" s="32" t="str">
        <f aca="false">IF(L43="","",IF(ABS(L43)&lt;=1.96*O43,"Yes","No"))</f>
        <v>Yes</v>
      </c>
      <c r="T43" s="66" t="n">
        <f aca="false">IF(D43="","",ROUND(SQRT(((D43+G43)*O43/100)^2+(J43*(D43+G43)*0.05464)^2),0))</f>
        <v>454</v>
      </c>
      <c r="U43" s="32"/>
    </row>
    <row r="44" customFormat="false" ht="15" hidden="false" customHeight="false" outlineLevel="0" collapsed="false">
      <c r="A44" s="32" t="s">
        <v>219</v>
      </c>
      <c r="B44" s="32" t="s">
        <v>239</v>
      </c>
      <c r="C44" s="32" t="s">
        <v>191</v>
      </c>
      <c r="D44" s="66" t="n">
        <v>8138</v>
      </c>
      <c r="E44" s="66" t="n">
        <v>8020</v>
      </c>
      <c r="F44" s="77" t="n">
        <f aca="false">IF(E44="","",D44-E44)</f>
        <v>118</v>
      </c>
      <c r="G44" s="66" t="n">
        <v>7822</v>
      </c>
      <c r="H44" s="66" t="n">
        <v>7607</v>
      </c>
      <c r="I44" s="77" t="n">
        <f aca="false">IF(H44="","",G44-H44)</f>
        <v>215</v>
      </c>
      <c r="J44" s="47" t="n">
        <f aca="false">IF(OR(D44="",D44+G44=0),"",D44/(D44+G44))</f>
        <v>0.509899749373434</v>
      </c>
      <c r="K44" s="47" t="n">
        <f aca="false">IF(E44="","",E44/(E44+H44))</f>
        <v>0.513214308568503</v>
      </c>
      <c r="L44" s="78" t="n">
        <f aca="false">IF(OR(K44="",J44=""),"",(J44-K44)*100)</f>
        <v>-0.331455919506962</v>
      </c>
      <c r="M44" s="36" t="n">
        <v>1.52774813447451</v>
      </c>
      <c r="N44" s="36" t="n">
        <v>1.22110921059482</v>
      </c>
      <c r="O44" s="36" t="n">
        <f aca="false">SQRT(M44^2+N44^2)</f>
        <v>1.9557919282454</v>
      </c>
      <c r="P44" s="47" t="n">
        <f aca="false">IF(J44="","",MAX(0,J44-1.96*O44/100))</f>
        <v>0.471566227579824</v>
      </c>
      <c r="Q44" s="47" t="n">
        <f aca="false">IF(J44="","",MIN(1,J44+1.96*O44/100))</f>
        <v>0.548233271167044</v>
      </c>
      <c r="R44" s="32" t="str">
        <f aca="false">IF(L44="","",IF(ABS(L44)&lt;=O44,"Yes","No"))</f>
        <v>Yes</v>
      </c>
      <c r="S44" s="32" t="str">
        <f aca="false">IF(L44="","",IF(ABS(L44)&lt;=1.96*O44,"Yes","No"))</f>
        <v>Yes</v>
      </c>
      <c r="T44" s="66" t="n">
        <f aca="false">IF(D44="","",ROUND(SQRT(((D44+G44)*O44/100)^2+(J44*(D44+G44)*0.05464)^2),0))</f>
        <v>543</v>
      </c>
      <c r="U44" s="32"/>
    </row>
    <row r="45" customFormat="false" ht="15" hidden="false" customHeight="false" outlineLevel="0" collapsed="false">
      <c r="A45" s="32" t="s">
        <v>219</v>
      </c>
      <c r="B45" s="32" t="s">
        <v>240</v>
      </c>
      <c r="C45" s="32" t="s">
        <v>191</v>
      </c>
      <c r="D45" s="66" t="n">
        <v>2264</v>
      </c>
      <c r="E45" s="66" t="n">
        <v>2380</v>
      </c>
      <c r="F45" s="77" t="n">
        <f aca="false">IF(E45="","",D45-E45)</f>
        <v>-116</v>
      </c>
      <c r="G45" s="66" t="n">
        <v>3190</v>
      </c>
      <c r="H45" s="66" t="n">
        <v>3135</v>
      </c>
      <c r="I45" s="77" t="n">
        <f aca="false">IF(H45="","",G45-H45)</f>
        <v>55</v>
      </c>
      <c r="J45" s="47" t="n">
        <f aca="false">IF(OR(D45="",D45+G45=0),"",D45/(D45+G45))</f>
        <v>0.415108177484415</v>
      </c>
      <c r="K45" s="47" t="n">
        <f aca="false">IF(E45="","",E45/(E45+H45))</f>
        <v>0.43155031731641</v>
      </c>
      <c r="L45" s="78" t="n">
        <f aca="false">IF(OR(K45="",J45=""),"",(J45-K45)*100)</f>
        <v>-1.64421398319947</v>
      </c>
      <c r="M45" s="36" t="n">
        <v>1.52774813447451</v>
      </c>
      <c r="N45" s="36" t="n">
        <v>1.22110921059482</v>
      </c>
      <c r="O45" s="36" t="n">
        <f aca="false">SQRT(M45^2+N45^2)</f>
        <v>1.9557919282454</v>
      </c>
      <c r="P45" s="47" t="n">
        <f aca="false">IF(J45="","",MAX(0,J45-1.96*O45/100))</f>
        <v>0.376774655690805</v>
      </c>
      <c r="Q45" s="47" t="n">
        <f aca="false">IF(J45="","",MIN(1,J45+1.96*O45/100))</f>
        <v>0.453441699278025</v>
      </c>
      <c r="R45" s="32" t="str">
        <f aca="false">IF(L45="","",IF(ABS(L45)&lt;=O45,"Yes","No"))</f>
        <v>Yes</v>
      </c>
      <c r="S45" s="32" t="str">
        <f aca="false">IF(L45="","",IF(ABS(L45)&lt;=1.96*O45,"Yes","No"))</f>
        <v>Yes</v>
      </c>
      <c r="T45" s="66" t="n">
        <f aca="false">IF(D45="","",ROUND(SQRT(((D45+G45)*O45/100)^2+(J45*(D45+G45)*0.05464)^2),0))</f>
        <v>163</v>
      </c>
      <c r="U45" s="32"/>
    </row>
    <row r="46" customFormat="false" ht="15" hidden="false" customHeight="false" outlineLevel="0" collapsed="false">
      <c r="A46" s="32" t="s">
        <v>219</v>
      </c>
      <c r="B46" s="32" t="s">
        <v>241</v>
      </c>
      <c r="C46" s="32" t="s">
        <v>191</v>
      </c>
      <c r="D46" s="66" t="n">
        <v>5199</v>
      </c>
      <c r="E46" s="66" t="n">
        <v>5462</v>
      </c>
      <c r="F46" s="77" t="n">
        <f aca="false">IF(E46="","",D46-E46)</f>
        <v>-263</v>
      </c>
      <c r="G46" s="66" t="n">
        <v>5987</v>
      </c>
      <c r="H46" s="66" t="n">
        <v>5740</v>
      </c>
      <c r="I46" s="77" t="n">
        <f aca="false">IF(H46="","",G46-H46)</f>
        <v>247</v>
      </c>
      <c r="J46" s="47" t="n">
        <f aca="false">IF(OR(D46="",D46+G46=0),"",D46/(D46+G46))</f>
        <v>0.464777400321831</v>
      </c>
      <c r="K46" s="47" t="n">
        <f aca="false">IF(E46="","",E46/(E46+H46))</f>
        <v>0.487591501517586</v>
      </c>
      <c r="L46" s="78" t="n">
        <f aca="false">IF(OR(K46="",J46=""),"",(J46-K46)*100)</f>
        <v>-2.28141011957553</v>
      </c>
      <c r="M46" s="36" t="n">
        <v>1.52774813447451</v>
      </c>
      <c r="N46" s="36" t="n">
        <v>1.22110921059482</v>
      </c>
      <c r="O46" s="36" t="n">
        <f aca="false">SQRT(M46^2+N46^2)</f>
        <v>1.9557919282454</v>
      </c>
      <c r="P46" s="47" t="n">
        <f aca="false">IF(J46="","",MAX(0,J46-1.96*O46/100))</f>
        <v>0.426443878528221</v>
      </c>
      <c r="Q46" s="47" t="n">
        <f aca="false">IF(J46="","",MIN(1,J46+1.96*O46/100))</f>
        <v>0.503110922115441</v>
      </c>
      <c r="R46" s="32" t="str">
        <f aca="false">IF(L46="","",IF(ABS(L46)&lt;=O46,"Yes","No"))</f>
        <v>No</v>
      </c>
      <c r="S46" s="32" t="str">
        <f aca="false">IF(L46="","",IF(ABS(L46)&lt;=1.96*O46,"Yes","No"))</f>
        <v>Yes</v>
      </c>
      <c r="T46" s="66" t="n">
        <f aca="false">IF(D46="","",ROUND(SQRT(((D46+G46)*O46/100)^2+(J46*(D46+G46)*0.05464)^2),0))</f>
        <v>359</v>
      </c>
      <c r="U46" s="32"/>
    </row>
    <row r="47" customFormat="false" ht="15" hidden="false" customHeight="false" outlineLevel="0" collapsed="false">
      <c r="A47" s="32" t="s">
        <v>219</v>
      </c>
      <c r="B47" s="32" t="s">
        <v>242</v>
      </c>
      <c r="C47" s="32" t="s">
        <v>191</v>
      </c>
      <c r="D47" s="66" t="n">
        <v>1253</v>
      </c>
      <c r="E47" s="66" t="n">
        <v>1266</v>
      </c>
      <c r="F47" s="77" t="n">
        <f aca="false">IF(E47="","",D47-E47)</f>
        <v>-13</v>
      </c>
      <c r="G47" s="66" t="n">
        <v>2680</v>
      </c>
      <c r="H47" s="66" t="n">
        <v>2669</v>
      </c>
      <c r="I47" s="77" t="n">
        <f aca="false">IF(H47="","",G47-H47)</f>
        <v>11</v>
      </c>
      <c r="J47" s="47" t="n">
        <f aca="false">IF(OR(D47="",D47+G47=0),"",D47/(D47+G47))</f>
        <v>0.31858632087465</v>
      </c>
      <c r="K47" s="47" t="n">
        <f aca="false">IF(E47="","",E47/(E47+H47))</f>
        <v>0.321728081321474</v>
      </c>
      <c r="L47" s="78" t="n">
        <f aca="false">IF(OR(K47="",J47=""),"",(J47-K47)*100)</f>
        <v>-0.314176044682357</v>
      </c>
      <c r="M47" s="36" t="n">
        <v>1.52774813447451</v>
      </c>
      <c r="N47" s="36" t="n">
        <v>1.22110921059482</v>
      </c>
      <c r="O47" s="36" t="n">
        <f aca="false">SQRT(M47^2+N47^2)</f>
        <v>1.9557919282454</v>
      </c>
      <c r="P47" s="47" t="n">
        <f aca="false">IF(J47="","",MAX(0,J47-1.96*O47/100))</f>
        <v>0.280252799081041</v>
      </c>
      <c r="Q47" s="47" t="n">
        <f aca="false">IF(J47="","",MIN(1,J47+1.96*O47/100))</f>
        <v>0.35691984266826</v>
      </c>
      <c r="R47" s="32" t="str">
        <f aca="false">IF(L47="","",IF(ABS(L47)&lt;=O47,"Yes","No"))</f>
        <v>Yes</v>
      </c>
      <c r="S47" s="32" t="str">
        <f aca="false">IF(L47="","",IF(ABS(L47)&lt;=1.96*O47,"Yes","No"))</f>
        <v>Yes</v>
      </c>
      <c r="T47" s="66" t="n">
        <f aca="false">IF(D47="","",ROUND(SQRT(((D47+G47)*O47/100)^2+(J47*(D47+G47)*0.05464)^2),0))</f>
        <v>103</v>
      </c>
      <c r="U47" s="32"/>
    </row>
    <row r="48" customFormat="false" ht="15" hidden="false" customHeight="false" outlineLevel="0" collapsed="false">
      <c r="A48" s="32" t="s">
        <v>219</v>
      </c>
      <c r="B48" s="32" t="s">
        <v>243</v>
      </c>
      <c r="C48" s="32" t="s">
        <v>191</v>
      </c>
      <c r="D48" s="66" t="n">
        <v>1136</v>
      </c>
      <c r="E48" s="66" t="n">
        <v>1172</v>
      </c>
      <c r="F48" s="77" t="n">
        <f aca="false">IF(E48="","",D48-E48)</f>
        <v>-36</v>
      </c>
      <c r="G48" s="66" t="n">
        <v>2242</v>
      </c>
      <c r="H48" s="66" t="n">
        <v>2201</v>
      </c>
      <c r="I48" s="77" t="n">
        <f aca="false">IF(H48="","",G48-H48)</f>
        <v>41</v>
      </c>
      <c r="J48" s="47" t="n">
        <f aca="false">IF(OR(D48="",D48+G48=0),"",D48/(D48+G48))</f>
        <v>0.336293664890468</v>
      </c>
      <c r="K48" s="47" t="n">
        <f aca="false">IF(E48="","",E48/(E48+H48))</f>
        <v>0.347465164541951</v>
      </c>
      <c r="L48" s="78" t="n">
        <f aca="false">IF(OR(K48="",J48=""),"",(J48-K48)*100)</f>
        <v>-1.11714996514831</v>
      </c>
      <c r="M48" s="36" t="n">
        <v>2.18929868476011</v>
      </c>
      <c r="N48" s="36" t="n">
        <v>1.22110921059482</v>
      </c>
      <c r="O48" s="36" t="n">
        <f aca="false">SQRT(M48^2+N48^2)</f>
        <v>2.50681799006068</v>
      </c>
      <c r="P48" s="47" t="n">
        <f aca="false">IF(J48="","",MAX(0,J48-1.96*O48/100))</f>
        <v>0.287160032285279</v>
      </c>
      <c r="Q48" s="47" t="n">
        <f aca="false">IF(J48="","",MIN(1,J48+1.96*O48/100))</f>
        <v>0.385427297495657</v>
      </c>
      <c r="R48" s="32" t="str">
        <f aca="false">IF(L48="","",IF(ABS(L48)&lt;=O48,"Yes","No"))</f>
        <v>Yes</v>
      </c>
      <c r="S48" s="32" t="str">
        <f aca="false">IF(L48="","",IF(ABS(L48)&lt;=1.96*O48,"Yes","No"))</f>
        <v>Yes</v>
      </c>
      <c r="T48" s="66" t="n">
        <f aca="false">IF(D48="","",ROUND(SQRT(((D48+G48)*O48/100)^2+(J48*(D48+G48)*0.06092)^2),0))</f>
        <v>109</v>
      </c>
      <c r="U48" s="32"/>
    </row>
    <row r="49" customFormat="false" ht="15" hidden="false" customHeight="false" outlineLevel="0" collapsed="false">
      <c r="A49" s="32" t="s">
        <v>219</v>
      </c>
      <c r="B49" s="32" t="s">
        <v>244</v>
      </c>
      <c r="C49" s="32" t="s">
        <v>191</v>
      </c>
      <c r="D49" s="66" t="n">
        <v>7395</v>
      </c>
      <c r="E49" s="66" t="n">
        <v>7383</v>
      </c>
      <c r="F49" s="77" t="n">
        <f aca="false">IF(E49="","",D49-E49)</f>
        <v>12</v>
      </c>
      <c r="G49" s="66" t="n">
        <v>7085</v>
      </c>
      <c r="H49" s="66" t="n">
        <v>7036</v>
      </c>
      <c r="I49" s="77" t="n">
        <f aca="false">IF(H49="","",G49-H49)</f>
        <v>49</v>
      </c>
      <c r="J49" s="47" t="n">
        <f aca="false">IF(OR(D49="",D49+G49=0),"",D49/(D49+G49))</f>
        <v>0.510704419889503</v>
      </c>
      <c r="K49" s="47" t="n">
        <f aca="false">IF(E49="","",E49/(E49+H49))</f>
        <v>0.51203273458631</v>
      </c>
      <c r="L49" s="78" t="n">
        <f aca="false">IF(OR(K49="",J49=""),"",(J49-K49)*100)</f>
        <v>-0.132831469680694</v>
      </c>
      <c r="M49" s="36" t="n">
        <v>1.52774813447451</v>
      </c>
      <c r="N49" s="36" t="n">
        <v>1.22110921059482</v>
      </c>
      <c r="O49" s="36" t="n">
        <f aca="false">SQRT(M49^2+N49^2)</f>
        <v>1.9557919282454</v>
      </c>
      <c r="P49" s="47" t="n">
        <f aca="false">IF(J49="","",MAX(0,J49-1.96*O49/100))</f>
        <v>0.472370898095893</v>
      </c>
      <c r="Q49" s="47" t="n">
        <f aca="false">IF(J49="","",MIN(1,J49+1.96*O49/100))</f>
        <v>0.549037941683113</v>
      </c>
      <c r="R49" s="32" t="str">
        <f aca="false">IF(L49="","",IF(ABS(L49)&lt;=O49,"Yes","No"))</f>
        <v>Yes</v>
      </c>
      <c r="S49" s="32" t="str">
        <f aca="false">IF(L49="","",IF(ABS(L49)&lt;=1.96*O49,"Yes","No"))</f>
        <v>Yes</v>
      </c>
      <c r="T49" s="66" t="n">
        <f aca="false">IF(D49="","",ROUND(SQRT(((D49+G49)*O49/100)^2+(J49*(D49+G49)*0.05464)^2),0))</f>
        <v>493</v>
      </c>
      <c r="U49" s="32"/>
    </row>
    <row r="50" customFormat="false" ht="15" hidden="false" customHeight="false" outlineLevel="0" collapsed="false">
      <c r="A50" s="32" t="s">
        <v>245</v>
      </c>
      <c r="B50" s="32" t="s">
        <v>246</v>
      </c>
      <c r="C50" s="32" t="s">
        <v>191</v>
      </c>
      <c r="D50" s="66" t="n">
        <v>484</v>
      </c>
      <c r="E50" s="66" t="n">
        <v>471</v>
      </c>
      <c r="F50" s="77" t="n">
        <f aca="false">IF(E50="","",D50-E50)</f>
        <v>13</v>
      </c>
      <c r="G50" s="66" t="n">
        <v>1060</v>
      </c>
      <c r="H50" s="66" t="n">
        <v>1124</v>
      </c>
      <c r="I50" s="77" t="n">
        <f aca="false">IF(H50="","",G50-H50)</f>
        <v>-64</v>
      </c>
      <c r="J50" s="47" t="n">
        <f aca="false">IF(OR(D50="",D50+G50=0),"",D50/(D50+G50))</f>
        <v>0.313471502590674</v>
      </c>
      <c r="K50" s="47" t="n">
        <f aca="false">IF(E50="","",E50/(E50+H50))</f>
        <v>0.295297805642633</v>
      </c>
      <c r="L50" s="78" t="n">
        <f aca="false">IF(OR(K50="",J50=""),"",(J50-K50)*100)</f>
        <v>1.81736969480403</v>
      </c>
      <c r="M50" s="36" t="n">
        <v>2.97095236107082</v>
      </c>
      <c r="N50" s="36" t="n">
        <v>1.22110921059482</v>
      </c>
      <c r="O50" s="36" t="n">
        <f aca="false">SQRT(M50^2+N50^2)</f>
        <v>3.21211233239932</v>
      </c>
      <c r="P50" s="47" t="n">
        <f aca="false">IF(J50="","",MAX(0,J50-1.96*O50/100))</f>
        <v>0.250514100875647</v>
      </c>
      <c r="Q50" s="47" t="n">
        <f aca="false">IF(J50="","",MIN(1,J50+1.96*O50/100))</f>
        <v>0.3764289043057</v>
      </c>
      <c r="R50" s="32" t="str">
        <f aca="false">IF(L50="","",IF(ABS(L50)&lt;=O50,"Yes","No"))</f>
        <v>Yes</v>
      </c>
      <c r="S50" s="32" t="str">
        <f aca="false">IF(L50="","",IF(ABS(L50)&lt;=1.96*O50,"Yes","No"))</f>
        <v>Yes</v>
      </c>
      <c r="T50" s="66" t="n">
        <f aca="false">IF(D50="","",ROUND(SQRT(((D50+G50)*O50/100)^2+(J50*(D50+G50)*0.07859)^2),0))</f>
        <v>63</v>
      </c>
      <c r="U50" s="32"/>
    </row>
    <row r="51" customFormat="false" ht="15" hidden="false" customHeight="false" outlineLevel="0" collapsed="false">
      <c r="A51" s="32" t="s">
        <v>245</v>
      </c>
      <c r="B51" s="32" t="s">
        <v>247</v>
      </c>
      <c r="C51" s="32" t="s">
        <v>191</v>
      </c>
      <c r="D51" s="66" t="n">
        <v>1424</v>
      </c>
      <c r="E51" s="66" t="n">
        <v>1414</v>
      </c>
      <c r="F51" s="77" t="n">
        <f aca="false">IF(E51="","",D51-E51)</f>
        <v>10</v>
      </c>
      <c r="G51" s="66" t="n">
        <v>2745</v>
      </c>
      <c r="H51" s="66" t="n">
        <v>2894</v>
      </c>
      <c r="I51" s="77" t="n">
        <f aca="false">IF(H51="","",G51-H51)</f>
        <v>-149</v>
      </c>
      <c r="J51" s="47" t="n">
        <f aca="false">IF(OR(D51="",D51+G51=0),"",D51/(D51+G51))</f>
        <v>0.341568721515951</v>
      </c>
      <c r="K51" s="47" t="n">
        <f aca="false">IF(E51="","",E51/(E51+H51))</f>
        <v>0.328226555246054</v>
      </c>
      <c r="L51" s="78" t="n">
        <f aca="false">IF(OR(K51="",J51=""),"",(J51-K51)*100)</f>
        <v>1.33421662698972</v>
      </c>
      <c r="M51" s="36" t="n">
        <v>1.52774813447451</v>
      </c>
      <c r="N51" s="36" t="n">
        <v>1.22110921059482</v>
      </c>
      <c r="O51" s="36" t="n">
        <f aca="false">SQRT(M51^2+N51^2)</f>
        <v>1.9557919282454</v>
      </c>
      <c r="P51" s="47" t="n">
        <f aca="false">IF(J51="","",MAX(0,J51-1.96*O51/100))</f>
        <v>0.303235199722341</v>
      </c>
      <c r="Q51" s="47" t="n">
        <f aca="false">IF(J51="","",MIN(1,J51+1.96*O51/100))</f>
        <v>0.379902243309561</v>
      </c>
      <c r="R51" s="32" t="str">
        <f aca="false">IF(L51="","",IF(ABS(L51)&lt;=O51,"Yes","No"))</f>
        <v>Yes</v>
      </c>
      <c r="S51" s="32" t="str">
        <f aca="false">IF(L51="","",IF(ABS(L51)&lt;=1.96*O51,"Yes","No"))</f>
        <v>Yes</v>
      </c>
      <c r="T51" s="66" t="n">
        <f aca="false">IF(D51="","",ROUND(SQRT(((D51+G51)*O51/100)^2+(J51*(D51+G51)*0.05464)^2),0))</f>
        <v>113</v>
      </c>
      <c r="U51" s="32"/>
    </row>
    <row r="52" customFormat="false" ht="15" hidden="false" customHeight="false" outlineLevel="0" collapsed="false">
      <c r="A52" s="32" t="s">
        <v>245</v>
      </c>
      <c r="B52" s="32" t="s">
        <v>248</v>
      </c>
      <c r="C52" s="32" t="s">
        <v>191</v>
      </c>
      <c r="D52" s="66" t="n">
        <v>449</v>
      </c>
      <c r="E52" s="66" t="n">
        <v>521</v>
      </c>
      <c r="F52" s="77" t="n">
        <f aca="false">IF(E52="","",D52-E52)</f>
        <v>-72</v>
      </c>
      <c r="G52" s="66" t="n">
        <v>861</v>
      </c>
      <c r="H52" s="66" t="n">
        <v>997</v>
      </c>
      <c r="I52" s="77" t="n">
        <f aca="false">IF(H52="","",G52-H52)</f>
        <v>-136</v>
      </c>
      <c r="J52" s="47" t="n">
        <f aca="false">IF(OR(D52="",D52+G52=0),"",D52/(D52+G52))</f>
        <v>0.342748091603053</v>
      </c>
      <c r="K52" s="47" t="n">
        <f aca="false">IF(E52="","",E52/(E52+H52))</f>
        <v>0.343214756258235</v>
      </c>
      <c r="L52" s="78" t="n">
        <f aca="false">IF(OR(K52="",J52=""),"",(J52-K52)*100)</f>
        <v>-0.0466664655181082</v>
      </c>
      <c r="M52" s="36" t="n">
        <v>2.97095236107082</v>
      </c>
      <c r="N52" s="36" t="n">
        <v>1.22110921059482</v>
      </c>
      <c r="O52" s="36" t="n">
        <f aca="false">SQRT(M52^2+N52^2)</f>
        <v>3.21211233239932</v>
      </c>
      <c r="P52" s="47" t="n">
        <f aca="false">IF(J52="","",MAX(0,J52-1.96*O52/100))</f>
        <v>0.279790689888027</v>
      </c>
      <c r="Q52" s="47" t="n">
        <f aca="false">IF(J52="","",MIN(1,J52+1.96*O52/100))</f>
        <v>0.40570549331808</v>
      </c>
      <c r="R52" s="32" t="str">
        <f aca="false">IF(L52="","",IF(ABS(L52)&lt;=O52,"Yes","No"))</f>
        <v>Yes</v>
      </c>
      <c r="S52" s="32" t="str">
        <f aca="false">IF(L52="","",IF(ABS(L52)&lt;=1.96*O52,"Yes","No"))</f>
        <v>Yes</v>
      </c>
      <c r="T52" s="66" t="n">
        <f aca="false">IF(D52="","",ROUND(SQRT(((D52+G52)*O52/100)^2+(J52*(D52+G52)*0.07859)^2),0))</f>
        <v>55</v>
      </c>
      <c r="U52" s="32"/>
    </row>
    <row r="53" customFormat="false" ht="15" hidden="false" customHeight="false" outlineLevel="0" collapsed="false">
      <c r="A53" s="32" t="s">
        <v>249</v>
      </c>
      <c r="B53" s="32" t="s">
        <v>250</v>
      </c>
      <c r="C53" s="32" t="s">
        <v>191</v>
      </c>
      <c r="D53" s="66" t="n">
        <v>1441</v>
      </c>
      <c r="E53" s="66" t="n">
        <v>1511</v>
      </c>
      <c r="F53" s="77" t="n">
        <f aca="false">IF(E53="","",D53-E53)</f>
        <v>-70</v>
      </c>
      <c r="G53" s="66" t="n">
        <v>2023</v>
      </c>
      <c r="H53" s="66" t="n">
        <v>2018</v>
      </c>
      <c r="I53" s="77" t="n">
        <f aca="false">IF(H53="","",G53-H53)</f>
        <v>5</v>
      </c>
      <c r="J53" s="47" t="n">
        <f aca="false">IF(OR(D53="",D53+G53=0),"",D53/(D53+G53))</f>
        <v>0.415993071593534</v>
      </c>
      <c r="K53" s="47" t="n">
        <f aca="false">IF(E53="","",E53/(E53+H53))</f>
        <v>0.428166619438935</v>
      </c>
      <c r="L53" s="78" t="n">
        <f aca="false">IF(OR(K53="",J53=""),"",(J53-K53)*100)</f>
        <v>-1.2173547845401</v>
      </c>
      <c r="M53" s="36" t="n">
        <v>2.18929868476011</v>
      </c>
      <c r="N53" s="36" t="n">
        <v>1.22110921059482</v>
      </c>
      <c r="O53" s="36" t="n">
        <f aca="false">SQRT(M53^2+N53^2)</f>
        <v>2.50681799006068</v>
      </c>
      <c r="P53" s="47" t="n">
        <f aca="false">IF(J53="","",MAX(0,J53-1.96*O53/100))</f>
        <v>0.366859438988344</v>
      </c>
      <c r="Q53" s="47" t="n">
        <f aca="false">IF(J53="","",MIN(1,J53+1.96*O53/100))</f>
        <v>0.465126704198723</v>
      </c>
      <c r="R53" s="32" t="str">
        <f aca="false">IF(L53="","",IF(ABS(L53)&lt;=O53,"Yes","No"))</f>
        <v>Yes</v>
      </c>
      <c r="S53" s="32" t="str">
        <f aca="false">IF(L53="","",IF(ABS(L53)&lt;=1.96*O53,"Yes","No"))</f>
        <v>Yes</v>
      </c>
      <c r="T53" s="66" t="n">
        <f aca="false">IF(D53="","",ROUND(SQRT(((D53+G53)*O53/100)^2+(J53*(D53+G53)*0.06092)^2),0))</f>
        <v>123</v>
      </c>
      <c r="U53" s="32"/>
    </row>
    <row r="54" customFormat="false" ht="15" hidden="false" customHeight="false" outlineLevel="0" collapsed="false">
      <c r="A54" s="32" t="s">
        <v>249</v>
      </c>
      <c r="B54" s="32" t="s">
        <v>251</v>
      </c>
      <c r="C54" s="32" t="s">
        <v>191</v>
      </c>
      <c r="D54" s="66" t="n">
        <v>966</v>
      </c>
      <c r="E54" s="66" t="n">
        <v>959</v>
      </c>
      <c r="F54" s="77" t="n">
        <f aca="false">IF(E54="","",D54-E54)</f>
        <v>7</v>
      </c>
      <c r="G54" s="66" t="n">
        <v>1370</v>
      </c>
      <c r="H54" s="66" t="n">
        <v>1364</v>
      </c>
      <c r="I54" s="77" t="n">
        <f aca="false">IF(H54="","",G54-H54)</f>
        <v>6</v>
      </c>
      <c r="J54" s="47" t="n">
        <f aca="false">IF(OR(D54="",D54+G54=0),"",D54/(D54+G54))</f>
        <v>0.413527397260274</v>
      </c>
      <c r="K54" s="47" t="n">
        <f aca="false">IF(E54="","",E54/(E54+H54))</f>
        <v>0.412828239345674</v>
      </c>
      <c r="L54" s="78" t="n">
        <f aca="false">IF(OR(K54="",J54=""),"",(J54-K54)*100)</f>
        <v>0.069915791460029</v>
      </c>
      <c r="M54" s="36" t="n">
        <v>2.18929868476011</v>
      </c>
      <c r="N54" s="36" t="n">
        <v>1.22110921059482</v>
      </c>
      <c r="O54" s="36" t="n">
        <f aca="false">SQRT(M54^2+N54^2)</f>
        <v>2.50681799006068</v>
      </c>
      <c r="P54" s="47" t="n">
        <f aca="false">IF(J54="","",MAX(0,J54-1.96*O54/100))</f>
        <v>0.364393764655085</v>
      </c>
      <c r="Q54" s="47" t="n">
        <f aca="false">IF(J54="","",MIN(1,J54+1.96*O54/100))</f>
        <v>0.462661029865463</v>
      </c>
      <c r="R54" s="32" t="str">
        <f aca="false">IF(L54="","",IF(ABS(L54)&lt;=O54,"Yes","No"))</f>
        <v>Yes</v>
      </c>
      <c r="S54" s="32" t="str">
        <f aca="false">IF(L54="","",IF(ABS(L54)&lt;=1.96*O54,"Yes","No"))</f>
        <v>Yes</v>
      </c>
      <c r="T54" s="66" t="n">
        <f aca="false">IF(D54="","",ROUND(SQRT(((D54+G54)*O54/100)^2+(J54*(D54+G54)*0.06092)^2),0))</f>
        <v>83</v>
      </c>
      <c r="U54" s="32"/>
    </row>
    <row r="55" customFormat="false" ht="15" hidden="false" customHeight="false" outlineLevel="0" collapsed="false">
      <c r="A55" s="32" t="s">
        <v>249</v>
      </c>
      <c r="B55" s="32" t="s">
        <v>252</v>
      </c>
      <c r="C55" s="32" t="s">
        <v>191</v>
      </c>
      <c r="D55" s="66" t="n">
        <v>617</v>
      </c>
      <c r="E55" s="66" t="n">
        <v>623</v>
      </c>
      <c r="F55" s="77" t="n">
        <f aca="false">IF(E55="","",D55-E55)</f>
        <v>-6</v>
      </c>
      <c r="G55" s="66" t="n">
        <v>753</v>
      </c>
      <c r="H55" s="66" t="n">
        <v>726</v>
      </c>
      <c r="I55" s="77" t="n">
        <f aca="false">IF(H55="","",G55-H55)</f>
        <v>27</v>
      </c>
      <c r="J55" s="47" t="n">
        <f aca="false">IF(OR(D55="",D55+G55=0),"",D55/(D55+G55))</f>
        <v>0.45036496350365</v>
      </c>
      <c r="K55" s="47" t="n">
        <f aca="false">IF(E55="","",E55/(E55+H55))</f>
        <v>0.46182357301705</v>
      </c>
      <c r="L55" s="78" t="n">
        <f aca="false">IF(OR(K55="",J55=""),"",(J55-K55)*100)</f>
        <v>-1.14586095134001</v>
      </c>
      <c r="M55" s="36" t="n">
        <v>2.97095236107082</v>
      </c>
      <c r="N55" s="36" t="n">
        <v>1.22110921059482</v>
      </c>
      <c r="O55" s="36" t="n">
        <f aca="false">SQRT(M55^2+N55^2)</f>
        <v>3.21211233239932</v>
      </c>
      <c r="P55" s="47" t="n">
        <f aca="false">IF(J55="","",MAX(0,J55-1.96*O55/100))</f>
        <v>0.387407561788623</v>
      </c>
      <c r="Q55" s="47" t="n">
        <f aca="false">IF(J55="","",MIN(1,J55+1.96*O55/100))</f>
        <v>0.513322365218676</v>
      </c>
      <c r="R55" s="32" t="str">
        <f aca="false">IF(L55="","",IF(ABS(L55)&lt;=O55,"Yes","No"))</f>
        <v>Yes</v>
      </c>
      <c r="S55" s="32" t="str">
        <f aca="false">IF(L55="","",IF(ABS(L55)&lt;=1.96*O55,"Yes","No"))</f>
        <v>Yes</v>
      </c>
      <c r="T55" s="66" t="n">
        <f aca="false">IF(D55="","",ROUND(SQRT(((D55+G55)*O55/100)^2+(J55*(D55+G55)*0.07859)^2),0))</f>
        <v>65</v>
      </c>
      <c r="U55" s="32"/>
    </row>
    <row r="56" customFormat="false" ht="15" hidden="false" customHeight="false" outlineLevel="0" collapsed="false">
      <c r="A56" s="32" t="s">
        <v>249</v>
      </c>
      <c r="B56" s="32" t="s">
        <v>222</v>
      </c>
      <c r="C56" s="32" t="s">
        <v>191</v>
      </c>
      <c r="D56" s="66" t="n">
        <v>17035</v>
      </c>
      <c r="E56" s="66" t="n">
        <v>17416</v>
      </c>
      <c r="F56" s="77" t="n">
        <f aca="false">IF(E56="","",D56-E56)</f>
        <v>-381</v>
      </c>
      <c r="G56" s="66" t="n">
        <v>8548</v>
      </c>
      <c r="H56" s="66" t="n">
        <v>8640</v>
      </c>
      <c r="I56" s="77" t="n">
        <f aca="false">IF(H56="","",G56-H56)</f>
        <v>-92</v>
      </c>
      <c r="J56" s="47" t="n">
        <f aca="false">IF(OR(D56="",D56+G56=0),"",D56/(D56+G56))</f>
        <v>0.665871868037369</v>
      </c>
      <c r="K56" s="47" t="n">
        <f aca="false">IF(E56="","",E56/(E56+H56))</f>
        <v>0.668406509057415</v>
      </c>
      <c r="L56" s="78" t="n">
        <f aca="false">IF(OR(K56="",J56=""),"",(J56-K56)*100)</f>
        <v>-0.25346410200463</v>
      </c>
      <c r="M56" s="36" t="n">
        <v>1.52774813447451</v>
      </c>
      <c r="N56" s="36" t="n">
        <v>1.22110921059482</v>
      </c>
      <c r="O56" s="36" t="n">
        <f aca="false">SQRT(M56^2+N56^2)</f>
        <v>1.9557919282454</v>
      </c>
      <c r="P56" s="47" t="n">
        <f aca="false">IF(J56="","",MAX(0,J56-1.96*O56/100))</f>
        <v>0.627538346243759</v>
      </c>
      <c r="Q56" s="47" t="n">
        <f aca="false">IF(J56="","",MIN(1,J56+1.96*O56/100))</f>
        <v>0.704205389830978</v>
      </c>
      <c r="R56" s="32" t="str">
        <f aca="false">IF(L56="","",IF(ABS(L56)&lt;=O56,"Yes","No"))</f>
        <v>Yes</v>
      </c>
      <c r="S56" s="32" t="str">
        <f aca="false">IF(L56="","",IF(ABS(L56)&lt;=1.96*O56,"Yes","No"))</f>
        <v>Yes</v>
      </c>
      <c r="T56" s="66" t="n">
        <f aca="false">IF(D56="","",ROUND(SQRT(((D56+G56)*O56/100)^2+(J56*(D56+G56)*0.05464)^2),0))</f>
        <v>1057</v>
      </c>
      <c r="U56" s="32"/>
    </row>
    <row r="57" customFormat="false" ht="15" hidden="false" customHeight="false" outlineLevel="0" collapsed="false">
      <c r="A57" s="32" t="s">
        <v>249</v>
      </c>
      <c r="B57" s="32" t="s">
        <v>253</v>
      </c>
      <c r="C57" s="32" t="s">
        <v>191</v>
      </c>
      <c r="D57" s="66" t="n">
        <v>8120</v>
      </c>
      <c r="E57" s="66" t="n">
        <v>8595</v>
      </c>
      <c r="F57" s="77" t="n">
        <f aca="false">IF(E57="","",D57-E57)</f>
        <v>-475</v>
      </c>
      <c r="G57" s="66" t="n">
        <v>7813</v>
      </c>
      <c r="H57" s="66" t="n">
        <v>7440</v>
      </c>
      <c r="I57" s="77" t="n">
        <f aca="false">IF(H57="","",G57-H57)</f>
        <v>373</v>
      </c>
      <c r="J57" s="47" t="n">
        <f aca="false">IF(OR(D57="",D57+G57=0),"",D57/(D57+G57))</f>
        <v>0.509634092763447</v>
      </c>
      <c r="K57" s="47" t="n">
        <f aca="false">IF(E57="","",E57/(E57+H57))</f>
        <v>0.536014967259121</v>
      </c>
      <c r="L57" s="78" t="n">
        <f aca="false">IF(OR(K57="",J57=""),"",(J57-K57)*100)</f>
        <v>-2.63808744956737</v>
      </c>
      <c r="M57" s="36" t="n">
        <v>1.52774813447451</v>
      </c>
      <c r="N57" s="36" t="n">
        <v>1.22110921059482</v>
      </c>
      <c r="O57" s="36" t="n">
        <f aca="false">SQRT(M57^2+N57^2)</f>
        <v>1.9557919282454</v>
      </c>
      <c r="P57" s="47" t="n">
        <f aca="false">IF(J57="","",MAX(0,J57-1.96*O57/100))</f>
        <v>0.471300570969837</v>
      </c>
      <c r="Q57" s="47" t="n">
        <f aca="false">IF(J57="","",MIN(1,J57+1.96*O57/100))</f>
        <v>0.547967614557057</v>
      </c>
      <c r="R57" s="32" t="str">
        <f aca="false">IF(L57="","",IF(ABS(L57)&lt;=O57,"Yes","No"))</f>
        <v>No</v>
      </c>
      <c r="S57" s="32" t="str">
        <f aca="false">IF(L57="","",IF(ABS(L57)&lt;=1.96*O57,"Yes","No"))</f>
        <v>Yes</v>
      </c>
      <c r="T57" s="66" t="n">
        <f aca="false">IF(D57="","",ROUND(SQRT(((D57+G57)*O57/100)^2+(J57*(D57+G57)*0.05464)^2),0))</f>
        <v>542</v>
      </c>
      <c r="U57" s="32"/>
    </row>
    <row r="58" customFormat="false" ht="15" hidden="false" customHeight="false" outlineLevel="0" collapsed="false">
      <c r="A58" s="32" t="s">
        <v>249</v>
      </c>
      <c r="B58" s="32" t="s">
        <v>254</v>
      </c>
      <c r="C58" s="32" t="s">
        <v>191</v>
      </c>
      <c r="D58" s="66" t="n">
        <v>1989</v>
      </c>
      <c r="E58" s="66" t="n">
        <v>2169</v>
      </c>
      <c r="F58" s="77" t="n">
        <f aca="false">IF(E58="","",D58-E58)</f>
        <v>-180</v>
      </c>
      <c r="G58" s="66" t="n">
        <v>3626</v>
      </c>
      <c r="H58" s="66" t="n">
        <v>3459</v>
      </c>
      <c r="I58" s="77" t="n">
        <f aca="false">IF(H58="","",G58-H58)</f>
        <v>167</v>
      </c>
      <c r="J58" s="47" t="n">
        <f aca="false">IF(OR(D58="",D58+G58=0),"",D58/(D58+G58))</f>
        <v>0.354229741763135</v>
      </c>
      <c r="K58" s="47" t="n">
        <f aca="false">IF(E58="","",E58/(E58+H58))</f>
        <v>0.385394456289979</v>
      </c>
      <c r="L58" s="78" t="n">
        <f aca="false">IF(OR(K58="",J58=""),"",(J58-K58)*100)</f>
        <v>-3.11647145268442</v>
      </c>
      <c r="M58" s="36" t="n">
        <v>1.52774813447451</v>
      </c>
      <c r="N58" s="36" t="n">
        <v>1.22110921059482</v>
      </c>
      <c r="O58" s="36" t="n">
        <f aca="false">SQRT(M58^2+N58^2)</f>
        <v>1.9557919282454</v>
      </c>
      <c r="P58" s="47" t="n">
        <f aca="false">IF(J58="","",MAX(0,J58-1.96*O58/100))</f>
        <v>0.315896219969525</v>
      </c>
      <c r="Q58" s="47" t="n">
        <f aca="false">IF(J58="","",MIN(1,J58+1.96*O58/100))</f>
        <v>0.392563263556744</v>
      </c>
      <c r="R58" s="32" t="str">
        <f aca="false">IF(L58="","",IF(ABS(L58)&lt;=O58,"Yes","No"))</f>
        <v>No</v>
      </c>
      <c r="S58" s="32" t="str">
        <f aca="false">IF(L58="","",IF(ABS(L58)&lt;=1.96*O58,"Yes","No"))</f>
        <v>Yes</v>
      </c>
      <c r="T58" s="66" t="n">
        <f aca="false">IF(D58="","",ROUND(SQRT(((D58+G58)*O58/100)^2+(J58*(D58+G58)*0.05464)^2),0))</f>
        <v>155</v>
      </c>
      <c r="U58" s="32"/>
    </row>
    <row r="59" customFormat="false" ht="15" hidden="false" customHeight="false" outlineLevel="0" collapsed="false">
      <c r="A59" s="32" t="s">
        <v>249</v>
      </c>
      <c r="B59" s="32" t="s">
        <v>255</v>
      </c>
      <c r="C59" s="32" t="s">
        <v>191</v>
      </c>
      <c r="D59" s="66" t="n">
        <v>43</v>
      </c>
      <c r="E59" s="66" t="n">
        <v>40</v>
      </c>
      <c r="F59" s="77" t="n">
        <f aca="false">IF(E59="","",D59-E59)</f>
        <v>3</v>
      </c>
      <c r="G59" s="66" t="n">
        <v>78</v>
      </c>
      <c r="H59" s="66" t="n">
        <v>83</v>
      </c>
      <c r="I59" s="77" t="n">
        <f aca="false">IF(H59="","",G59-H59)</f>
        <v>-5</v>
      </c>
      <c r="J59" s="47" t="n">
        <f aca="false">IF(OR(D59="",D59+G59=0),"",D59/(D59+G59))</f>
        <v>0.355371900826446</v>
      </c>
      <c r="K59" s="47" t="n">
        <f aca="false">IF(E59="","",E59/(E59+H59))</f>
        <v>0.32520325203252</v>
      </c>
      <c r="L59" s="78" t="n">
        <f aca="false">IF(OR(K59="",J59=""),"",(J59-K59)*100)</f>
        <v>3.01686487939259</v>
      </c>
      <c r="M59" s="36" t="n">
        <v>2.97095236107082</v>
      </c>
      <c r="N59" s="36" t="n">
        <v>1.22110921059482</v>
      </c>
      <c r="O59" s="36" t="n">
        <f aca="false">SQRT(M59^2+N59^2)</f>
        <v>3.21211233239932</v>
      </c>
      <c r="P59" s="47" t="n">
        <f aca="false">IF(J59="","",MAX(0,J59-1.96*O59/100))</f>
        <v>0.29241449911142</v>
      </c>
      <c r="Q59" s="47" t="n">
        <f aca="false">IF(J59="","",MIN(1,J59+1.96*O59/100))</f>
        <v>0.418329302541473</v>
      </c>
      <c r="R59" s="32" t="str">
        <f aca="false">IF(L59="","",IF(ABS(L59)&lt;=O59,"Yes","No"))</f>
        <v>Yes</v>
      </c>
      <c r="S59" s="32" t="str">
        <f aca="false">IF(L59="","",IF(ABS(L59)&lt;=1.96*O59,"Yes","No"))</f>
        <v>Yes</v>
      </c>
      <c r="T59" s="66" t="n">
        <f aca="false">IF(D59="","",ROUND(SQRT(((D59+G59)*O59/100)^2+(J59*(D59+G59)*0.07859)^2),0))</f>
        <v>5</v>
      </c>
      <c r="U59" s="32"/>
    </row>
    <row r="60" customFormat="false" ht="15" hidden="false" customHeight="false" outlineLevel="0" collapsed="false">
      <c r="A60" s="32" t="s">
        <v>249</v>
      </c>
      <c r="B60" s="32" t="s">
        <v>256</v>
      </c>
      <c r="C60" s="32" t="s">
        <v>191</v>
      </c>
      <c r="D60" s="66" t="n">
        <v>1380</v>
      </c>
      <c r="E60" s="66" t="n">
        <v>1484</v>
      </c>
      <c r="F60" s="77" t="n">
        <f aca="false">IF(E60="","",D60-E60)</f>
        <v>-104</v>
      </c>
      <c r="G60" s="66" t="n">
        <v>1989</v>
      </c>
      <c r="H60" s="66" t="n">
        <v>1959</v>
      </c>
      <c r="I60" s="77" t="n">
        <f aca="false">IF(H60="","",G60-H60)</f>
        <v>30</v>
      </c>
      <c r="J60" s="47" t="n">
        <f aca="false">IF(OR(D60="",D60+G60=0),"",D60/(D60+G60))</f>
        <v>0.409617097061443</v>
      </c>
      <c r="K60" s="47" t="n">
        <f aca="false">IF(E60="","",E60/(E60+H60))</f>
        <v>0.431019459773453</v>
      </c>
      <c r="L60" s="78" t="n">
        <f aca="false">IF(OR(K60="",J60=""),"",(J60-K60)*100)</f>
        <v>-2.14023627120108</v>
      </c>
      <c r="M60" s="36" t="n">
        <v>2.18929868476011</v>
      </c>
      <c r="N60" s="36" t="n">
        <v>1.22110921059482</v>
      </c>
      <c r="O60" s="36" t="n">
        <f aca="false">SQRT(M60^2+N60^2)</f>
        <v>2.50681799006068</v>
      </c>
      <c r="P60" s="47" t="n">
        <f aca="false">IF(J60="","",MAX(0,J60-1.96*O60/100))</f>
        <v>0.360483464456253</v>
      </c>
      <c r="Q60" s="47" t="n">
        <f aca="false">IF(J60="","",MIN(1,J60+1.96*O60/100))</f>
        <v>0.458750729666632</v>
      </c>
      <c r="R60" s="32" t="str">
        <f aca="false">IF(L60="","",IF(ABS(L60)&lt;=O60,"Yes","No"))</f>
        <v>Yes</v>
      </c>
      <c r="S60" s="32" t="str">
        <f aca="false">IF(L60="","",IF(ABS(L60)&lt;=1.96*O60,"Yes","No"))</f>
        <v>Yes</v>
      </c>
      <c r="T60" s="66" t="n">
        <f aca="false">IF(D60="","",ROUND(SQRT(((D60+G60)*O60/100)^2+(J60*(D60+G60)*0.06092)^2),0))</f>
        <v>119</v>
      </c>
      <c r="U60" s="32"/>
    </row>
    <row r="61" customFormat="false" ht="15" hidden="false" customHeight="false" outlineLevel="0" collapsed="false">
      <c r="A61" s="32" t="s">
        <v>249</v>
      </c>
      <c r="B61" s="32" t="s">
        <v>257</v>
      </c>
      <c r="C61" s="32" t="s">
        <v>191</v>
      </c>
      <c r="D61" s="66" t="n">
        <v>181</v>
      </c>
      <c r="E61" s="66" t="n">
        <v>217</v>
      </c>
      <c r="F61" s="77" t="n">
        <f aca="false">IF(E61="","",D61-E61)</f>
        <v>-36</v>
      </c>
      <c r="G61" s="66" t="n">
        <v>330</v>
      </c>
      <c r="H61" s="66" t="n">
        <v>309</v>
      </c>
      <c r="I61" s="77" t="n">
        <f aca="false">IF(H61="","",G61-H61)</f>
        <v>21</v>
      </c>
      <c r="J61" s="47" t="n">
        <f aca="false">IF(OR(D61="",D61+G61=0),"",D61/(D61+G61))</f>
        <v>0.354207436399217</v>
      </c>
      <c r="K61" s="47" t="n">
        <f aca="false">IF(E61="","",E61/(E61+H61))</f>
        <v>0.41254752851711</v>
      </c>
      <c r="L61" s="78" t="n">
        <f aca="false">IF(OR(K61="",J61=""),"",(J61-K61)*100)</f>
        <v>-5.8340092117893</v>
      </c>
      <c r="M61" s="36" t="n">
        <v>2.97095236107082</v>
      </c>
      <c r="N61" s="36" t="n">
        <v>1.22110921059482</v>
      </c>
      <c r="O61" s="36" t="n">
        <f aca="false">SQRT(M61^2+N61^2)</f>
        <v>3.21211233239932</v>
      </c>
      <c r="P61" s="47" t="n">
        <f aca="false">IF(J61="","",MAX(0,J61-1.96*O61/100))</f>
        <v>0.291250034684191</v>
      </c>
      <c r="Q61" s="47" t="n">
        <f aca="false">IF(J61="","",MIN(1,J61+1.96*O61/100))</f>
        <v>0.417164838114244</v>
      </c>
      <c r="R61" s="32" t="str">
        <f aca="false">IF(L61="","",IF(ABS(L61)&lt;=O61,"Yes","No"))</f>
        <v>No</v>
      </c>
      <c r="S61" s="32" t="str">
        <f aca="false">IF(L61="","",IF(ABS(L61)&lt;=1.96*O61,"Yes","No"))</f>
        <v>Yes</v>
      </c>
      <c r="T61" s="66" t="n">
        <f aca="false">IF(D61="","",ROUND(SQRT(((D61+G61)*O61/100)^2+(J61*(D61+G61)*0.07859)^2),0))</f>
        <v>22</v>
      </c>
      <c r="U61" s="32"/>
    </row>
    <row r="62" customFormat="false" ht="15" hidden="false" customHeight="false" outlineLevel="0" collapsed="false">
      <c r="A62" s="32" t="s">
        <v>249</v>
      </c>
      <c r="B62" s="32" t="s">
        <v>258</v>
      </c>
      <c r="C62" s="32" t="s">
        <v>191</v>
      </c>
      <c r="D62" s="66" t="n">
        <v>7403</v>
      </c>
      <c r="E62" s="66" t="n">
        <v>7604</v>
      </c>
      <c r="F62" s="77" t="n">
        <f aca="false">IF(E62="","",D62-E62)</f>
        <v>-201</v>
      </c>
      <c r="G62" s="66" t="n">
        <v>3128</v>
      </c>
      <c r="H62" s="66" t="n">
        <v>3303</v>
      </c>
      <c r="I62" s="77" t="n">
        <f aca="false">IF(H62="","",G62-H62)</f>
        <v>-175</v>
      </c>
      <c r="J62" s="47" t="n">
        <f aca="false">IF(OR(D62="",D62+G62=0),"",D62/(D62+G62))</f>
        <v>0.702972177381065</v>
      </c>
      <c r="K62" s="47" t="n">
        <f aca="false">IF(E62="","",E62/(E62+H62))</f>
        <v>0.697166957000092</v>
      </c>
      <c r="L62" s="78" t="n">
        <f aca="false">IF(OR(K62="",J62=""),"",(J62-K62)*100)</f>
        <v>0.580522038097375</v>
      </c>
      <c r="M62" s="36" t="n">
        <v>1.52774813447451</v>
      </c>
      <c r="N62" s="36" t="n">
        <v>1.22110921059482</v>
      </c>
      <c r="O62" s="36" t="n">
        <f aca="false">SQRT(M62^2+N62^2)</f>
        <v>1.9557919282454</v>
      </c>
      <c r="P62" s="47" t="n">
        <f aca="false">IF(J62="","",MAX(0,J62-1.96*O62/100))</f>
        <v>0.664638655587456</v>
      </c>
      <c r="Q62" s="47" t="n">
        <f aca="false">IF(J62="","",MIN(1,J62+1.96*O62/100))</f>
        <v>0.741305699174675</v>
      </c>
      <c r="R62" s="32" t="str">
        <f aca="false">IF(L62="","",IF(ABS(L62)&lt;=O62,"Yes","No"))</f>
        <v>Yes</v>
      </c>
      <c r="S62" s="32" t="str">
        <f aca="false">IF(L62="","",IF(ABS(L62)&lt;=1.96*O62,"Yes","No"))</f>
        <v>Yes</v>
      </c>
      <c r="T62" s="66" t="n">
        <f aca="false">IF(D62="","",ROUND(SQRT(((D62+G62)*O62/100)^2+(J62*(D62+G62)*0.05464)^2),0))</f>
        <v>454</v>
      </c>
      <c r="U62" s="32"/>
    </row>
    <row r="63" customFormat="false" ht="15" hidden="false" customHeight="false" outlineLevel="0" collapsed="false">
      <c r="A63" s="32" t="s">
        <v>249</v>
      </c>
      <c r="B63" s="32" t="s">
        <v>259</v>
      </c>
      <c r="C63" s="32" t="s">
        <v>191</v>
      </c>
      <c r="D63" s="66" t="n">
        <v>5217</v>
      </c>
      <c r="E63" s="66" t="n">
        <v>5358</v>
      </c>
      <c r="F63" s="77" t="n">
        <f aca="false">IF(E63="","",D63-E63)</f>
        <v>-141</v>
      </c>
      <c r="G63" s="66" t="n">
        <v>5062</v>
      </c>
      <c r="H63" s="66" t="n">
        <v>5027</v>
      </c>
      <c r="I63" s="77" t="n">
        <f aca="false">IF(H63="","",G63-H63)</f>
        <v>35</v>
      </c>
      <c r="J63" s="47" t="n">
        <f aca="false">IF(OR(D63="",D63+G63=0),"",D63/(D63+G63))</f>
        <v>0.507539643934235</v>
      </c>
      <c r="K63" s="47" t="n">
        <f aca="false">IF(E63="","",E63/(E63+H63))</f>
        <v>0.515936446798267</v>
      </c>
      <c r="L63" s="78" t="n">
        <f aca="false">IF(OR(K63="",J63=""),"",(J63-K63)*100)</f>
        <v>-0.839680286403188</v>
      </c>
      <c r="M63" s="36" t="n">
        <v>1.52774813447451</v>
      </c>
      <c r="N63" s="36" t="n">
        <v>1.22110921059482</v>
      </c>
      <c r="O63" s="36" t="n">
        <f aca="false">SQRT(M63^2+N63^2)</f>
        <v>1.9557919282454</v>
      </c>
      <c r="P63" s="47" t="n">
        <f aca="false">IF(J63="","",MAX(0,J63-1.96*O63/100))</f>
        <v>0.469206122140625</v>
      </c>
      <c r="Q63" s="47" t="n">
        <f aca="false">IF(J63="","",MIN(1,J63+1.96*O63/100))</f>
        <v>0.545873165727845</v>
      </c>
      <c r="R63" s="32" t="str">
        <f aca="false">IF(L63="","",IF(ABS(L63)&lt;=O63,"Yes","No"))</f>
        <v>Yes</v>
      </c>
      <c r="S63" s="32" t="str">
        <f aca="false">IF(L63="","",IF(ABS(L63)&lt;=1.96*O63,"Yes","No"))</f>
        <v>Yes</v>
      </c>
      <c r="T63" s="66" t="n">
        <f aca="false">IF(D63="","",ROUND(SQRT(((D63+G63)*O63/100)^2+(J63*(D63+G63)*0.05464)^2),0))</f>
        <v>349</v>
      </c>
      <c r="U63" s="32"/>
    </row>
    <row r="64" customFormat="false" ht="15" hidden="false" customHeight="false" outlineLevel="0" collapsed="false">
      <c r="A64" s="32" t="s">
        <v>249</v>
      </c>
      <c r="B64" s="32" t="s">
        <v>260</v>
      </c>
      <c r="C64" s="32" t="s">
        <v>191</v>
      </c>
      <c r="D64" s="66" t="n">
        <v>733</v>
      </c>
      <c r="E64" s="66" t="n">
        <v>714</v>
      </c>
      <c r="F64" s="77" t="n">
        <f aca="false">IF(E64="","",D64-E64)</f>
        <v>19</v>
      </c>
      <c r="G64" s="66" t="n">
        <v>532</v>
      </c>
      <c r="H64" s="66" t="n">
        <v>484</v>
      </c>
      <c r="I64" s="77" t="n">
        <f aca="false">IF(H64="","",G64-H64)</f>
        <v>48</v>
      </c>
      <c r="J64" s="47" t="n">
        <f aca="false">IF(OR(D64="",D64+G64=0),"",D64/(D64+G64))</f>
        <v>0.579446640316206</v>
      </c>
      <c r="K64" s="47" t="n">
        <f aca="false">IF(E64="","",E64/(E64+H64))</f>
        <v>0.595993322203673</v>
      </c>
      <c r="L64" s="78" t="n">
        <f aca="false">IF(OR(K64="",J64=""),"",(J64-K64)*100)</f>
        <v>-1.65466818874672</v>
      </c>
      <c r="M64" s="36" t="n">
        <v>2.97095236107082</v>
      </c>
      <c r="N64" s="36" t="n">
        <v>1.22110921059482</v>
      </c>
      <c r="O64" s="36" t="n">
        <f aca="false">SQRT(M64^2+N64^2)</f>
        <v>3.21211233239932</v>
      </c>
      <c r="P64" s="47" t="n">
        <f aca="false">IF(J64="","",MAX(0,J64-1.96*O64/100))</f>
        <v>0.516489238601179</v>
      </c>
      <c r="Q64" s="47" t="n">
        <f aca="false">IF(J64="","",MIN(1,J64+1.96*O64/100))</f>
        <v>0.642404042031232</v>
      </c>
      <c r="R64" s="32" t="str">
        <f aca="false">IF(L64="","",IF(ABS(L64)&lt;=O64,"Yes","No"))</f>
        <v>Yes</v>
      </c>
      <c r="S64" s="32" t="str">
        <f aca="false">IF(L64="","",IF(ABS(L64)&lt;=1.96*O64,"Yes","No"))</f>
        <v>Yes</v>
      </c>
      <c r="T64" s="66" t="n">
        <f aca="false">IF(D64="","",ROUND(SQRT(((D64+G64)*O64/100)^2+(J64*(D64+G64)*0.07859)^2),0))</f>
        <v>70</v>
      </c>
      <c r="U64" s="32"/>
    </row>
    <row r="65" customFormat="false" ht="15" hidden="false" customHeight="false" outlineLevel="0" collapsed="false">
      <c r="A65" s="32" t="s">
        <v>249</v>
      </c>
      <c r="B65" s="32" t="s">
        <v>261</v>
      </c>
      <c r="C65" s="32" t="s">
        <v>191</v>
      </c>
      <c r="D65" s="66" t="n">
        <v>104</v>
      </c>
      <c r="E65" s="66" t="n">
        <v>109</v>
      </c>
      <c r="F65" s="77" t="n">
        <f aca="false">IF(E65="","",D65-E65)</f>
        <v>-5</v>
      </c>
      <c r="G65" s="66" t="n">
        <v>101</v>
      </c>
      <c r="H65" s="66" t="n">
        <v>97</v>
      </c>
      <c r="I65" s="77" t="n">
        <f aca="false">IF(H65="","",G65-H65)</f>
        <v>4</v>
      </c>
      <c r="J65" s="47" t="n">
        <f aca="false">IF(OR(D65="",D65+G65=0),"",D65/(D65+G65))</f>
        <v>0.507317073170732</v>
      </c>
      <c r="K65" s="47" t="n">
        <f aca="false">IF(E65="","",E65/(E65+H65))</f>
        <v>0.529126213592233</v>
      </c>
      <c r="L65" s="78" t="n">
        <f aca="false">IF(OR(K65="",J65=""),"",(J65-K65)*100)</f>
        <v>-2.18091404215013</v>
      </c>
      <c r="M65" s="36" t="n">
        <v>2.97095236107082</v>
      </c>
      <c r="N65" s="36" t="n">
        <v>1.22110921059482</v>
      </c>
      <c r="O65" s="36" t="n">
        <f aca="false">SQRT(M65^2+N65^2)</f>
        <v>3.21211233239932</v>
      </c>
      <c r="P65" s="47" t="n">
        <f aca="false">IF(J65="","",MAX(0,J65-1.96*O65/100))</f>
        <v>0.444359671455705</v>
      </c>
      <c r="Q65" s="47" t="n">
        <f aca="false">IF(J65="","",MIN(1,J65+1.96*O65/100))</f>
        <v>0.570274474885758</v>
      </c>
      <c r="R65" s="32" t="str">
        <f aca="false">IF(L65="","",IF(ABS(L65)&lt;=O65,"Yes","No"))</f>
        <v>Yes</v>
      </c>
      <c r="S65" s="32" t="str">
        <f aca="false">IF(L65="","",IF(ABS(L65)&lt;=1.96*O65,"Yes","No"))</f>
        <v>Yes</v>
      </c>
      <c r="T65" s="66" t="n">
        <f aca="false">IF(D65="","",ROUND(SQRT(((D65+G65)*O65/100)^2+(J65*(D65+G65)*0.07859)^2),0))</f>
        <v>10</v>
      </c>
      <c r="U65" s="32"/>
    </row>
    <row r="66" customFormat="false" ht="15" hidden="false" customHeight="false" outlineLevel="0" collapsed="false">
      <c r="A66" s="32" t="s">
        <v>249</v>
      </c>
      <c r="B66" s="32" t="s">
        <v>228</v>
      </c>
      <c r="C66" s="32" t="s">
        <v>191</v>
      </c>
      <c r="D66" s="66" t="n">
        <v>4094</v>
      </c>
      <c r="E66" s="66" t="n">
        <v>4341</v>
      </c>
      <c r="F66" s="77" t="n">
        <f aca="false">IF(E66="","",D66-E66)</f>
        <v>-247</v>
      </c>
      <c r="G66" s="66" t="n">
        <v>3855</v>
      </c>
      <c r="H66" s="66" t="n">
        <v>3620</v>
      </c>
      <c r="I66" s="77" t="n">
        <f aca="false">IF(H66="","",G66-H66)</f>
        <v>235</v>
      </c>
      <c r="J66" s="47" t="n">
        <f aca="false">IF(OR(D66="",D66+G66=0),"",D66/(D66+G66))</f>
        <v>0.515033337526733</v>
      </c>
      <c r="K66" s="47" t="n">
        <f aca="false">IF(E66="","",E66/(E66+H66))</f>
        <v>0.545283255872378</v>
      </c>
      <c r="L66" s="78" t="n">
        <f aca="false">IF(OR(K66="",J66=""),"",(J66-K66)*100)</f>
        <v>-3.02499183456448</v>
      </c>
      <c r="M66" s="36" t="n">
        <v>1.52774813447451</v>
      </c>
      <c r="N66" s="36" t="n">
        <v>1.22110921059482</v>
      </c>
      <c r="O66" s="36" t="n">
        <f aca="false">SQRT(M66^2+N66^2)</f>
        <v>1.9557919282454</v>
      </c>
      <c r="P66" s="47" t="n">
        <f aca="false">IF(J66="","",MAX(0,J66-1.96*O66/100))</f>
        <v>0.476699815733123</v>
      </c>
      <c r="Q66" s="47" t="n">
        <f aca="false">IF(J66="","",MIN(1,J66+1.96*O66/100))</f>
        <v>0.553366859320343</v>
      </c>
      <c r="R66" s="32" t="str">
        <f aca="false">IF(L66="","",IF(ABS(L66)&lt;=O66,"Yes","No"))</f>
        <v>No</v>
      </c>
      <c r="S66" s="32" t="str">
        <f aca="false">IF(L66="","",IF(ABS(L66)&lt;=1.96*O66,"Yes","No"))</f>
        <v>Yes</v>
      </c>
      <c r="T66" s="66" t="n">
        <f aca="false">IF(D66="","",ROUND(SQRT(((D66+G66)*O66/100)^2+(J66*(D66+G66)*0.05464)^2),0))</f>
        <v>272</v>
      </c>
      <c r="U66" s="32"/>
    </row>
    <row r="67" customFormat="false" ht="15" hidden="false" customHeight="false" outlineLevel="0" collapsed="false">
      <c r="A67" s="32" t="s">
        <v>249</v>
      </c>
      <c r="B67" s="32" t="s">
        <v>262</v>
      </c>
      <c r="C67" s="32" t="s">
        <v>191</v>
      </c>
      <c r="D67" s="66" t="n">
        <v>1704</v>
      </c>
      <c r="E67" s="66" t="n">
        <v>1726</v>
      </c>
      <c r="F67" s="77" t="n">
        <f aca="false">IF(E67="","",D67-E67)</f>
        <v>-22</v>
      </c>
      <c r="G67" s="66" t="n">
        <v>1655</v>
      </c>
      <c r="H67" s="66" t="n">
        <v>1685</v>
      </c>
      <c r="I67" s="77" t="n">
        <f aca="false">IF(H67="","",G67-H67)</f>
        <v>-30</v>
      </c>
      <c r="J67" s="47" t="n">
        <f aca="false">IF(OR(D67="",D67+G67=0),"",D67/(D67+G67))</f>
        <v>0.507293837451623</v>
      </c>
      <c r="K67" s="47" t="n">
        <f aca="false">IF(E67="","",E67/(E67+H67))</f>
        <v>0.506009967751393</v>
      </c>
      <c r="L67" s="78" t="n">
        <f aca="false">IF(OR(K67="",J67=""),"",(J67-K67)*100)</f>
        <v>0.128386970022998</v>
      </c>
      <c r="M67" s="36" t="n">
        <v>2.18929868476011</v>
      </c>
      <c r="N67" s="36" t="n">
        <v>1.22110921059482</v>
      </c>
      <c r="O67" s="36" t="n">
        <f aca="false">SQRT(M67^2+N67^2)</f>
        <v>2.50681799006068</v>
      </c>
      <c r="P67" s="47" t="n">
        <f aca="false">IF(J67="","",MAX(0,J67-1.96*O67/100))</f>
        <v>0.458160204846433</v>
      </c>
      <c r="Q67" s="47" t="n">
        <f aca="false">IF(J67="","",MIN(1,J67+1.96*O67/100))</f>
        <v>0.556427470056812</v>
      </c>
      <c r="R67" s="32" t="str">
        <f aca="false">IF(L67="","",IF(ABS(L67)&lt;=O67,"Yes","No"))</f>
        <v>Yes</v>
      </c>
      <c r="S67" s="32" t="str">
        <f aca="false">IF(L67="","",IF(ABS(L67)&lt;=1.96*O67,"Yes","No"))</f>
        <v>Yes</v>
      </c>
      <c r="T67" s="66" t="n">
        <f aca="false">IF(D67="","",ROUND(SQRT(((D67+G67)*O67/100)^2+(J67*(D67+G67)*0.06092)^2),0))</f>
        <v>134</v>
      </c>
      <c r="U67" s="32"/>
    </row>
    <row r="68" customFormat="false" ht="15" hidden="false" customHeight="false" outlineLevel="0" collapsed="false">
      <c r="A68" s="32" t="s">
        <v>249</v>
      </c>
      <c r="B68" s="32" t="s">
        <v>263</v>
      </c>
      <c r="C68" s="32" t="s">
        <v>191</v>
      </c>
      <c r="D68" s="66" t="n">
        <v>2203</v>
      </c>
      <c r="E68" s="66" t="n">
        <v>2244</v>
      </c>
      <c r="F68" s="77" t="n">
        <f aca="false">IF(E68="","",D68-E68)</f>
        <v>-41</v>
      </c>
      <c r="G68" s="66" t="n">
        <v>4446</v>
      </c>
      <c r="H68" s="66" t="n">
        <v>4439</v>
      </c>
      <c r="I68" s="77" t="n">
        <f aca="false">IF(H68="","",G68-H68)</f>
        <v>7</v>
      </c>
      <c r="J68" s="47" t="n">
        <f aca="false">IF(OR(D68="",D68+G68=0),"",D68/(D68+G68))</f>
        <v>0.331328019251015</v>
      </c>
      <c r="K68" s="47" t="n">
        <f aca="false">IF(E68="","",E68/(E68+H68))</f>
        <v>0.335777345503516</v>
      </c>
      <c r="L68" s="78" t="n">
        <f aca="false">IF(OR(K68="",J68=""),"",(J68-K68)*100)</f>
        <v>-0.444932625250122</v>
      </c>
      <c r="M68" s="36" t="n">
        <v>1.52774813447451</v>
      </c>
      <c r="N68" s="36" t="n">
        <v>1.22110921059482</v>
      </c>
      <c r="O68" s="36" t="n">
        <f aca="false">SQRT(M68^2+N68^2)</f>
        <v>1.9557919282454</v>
      </c>
      <c r="P68" s="47" t="n">
        <f aca="false">IF(J68="","",MAX(0,J68-1.96*O68/100))</f>
        <v>0.292994497457405</v>
      </c>
      <c r="Q68" s="47" t="n">
        <f aca="false">IF(J68="","",MIN(1,J68+1.96*O68/100))</f>
        <v>0.369661541044625</v>
      </c>
      <c r="R68" s="32" t="str">
        <f aca="false">IF(L68="","",IF(ABS(L68)&lt;=O68,"Yes","No"))</f>
        <v>Yes</v>
      </c>
      <c r="S68" s="32" t="str">
        <f aca="false">IF(L68="","",IF(ABS(L68)&lt;=1.96*O68,"Yes","No"))</f>
        <v>Yes</v>
      </c>
      <c r="T68" s="66" t="n">
        <f aca="false">IF(D68="","",ROUND(SQRT(((D68+G68)*O68/100)^2+(J68*(D68+G68)*0.05464)^2),0))</f>
        <v>177</v>
      </c>
      <c r="U68" s="32"/>
    </row>
    <row r="69" customFormat="false" ht="15" hidden="false" customHeight="false" outlineLevel="0" collapsed="false">
      <c r="A69" s="32" t="s">
        <v>249</v>
      </c>
      <c r="B69" s="32" t="s">
        <v>264</v>
      </c>
      <c r="C69" s="32" t="s">
        <v>191</v>
      </c>
      <c r="D69" s="66" t="n">
        <v>619</v>
      </c>
      <c r="E69" s="66" t="n">
        <v>625</v>
      </c>
      <c r="F69" s="77" t="n">
        <f aca="false">IF(E69="","",D69-E69)</f>
        <v>-6</v>
      </c>
      <c r="G69" s="66" t="n">
        <v>1172</v>
      </c>
      <c r="H69" s="66" t="n">
        <v>1214</v>
      </c>
      <c r="I69" s="77" t="n">
        <f aca="false">IF(H69="","",G69-H69)</f>
        <v>-42</v>
      </c>
      <c r="J69" s="47" t="n">
        <f aca="false">IF(OR(D69="",D69+G69=0),"",D69/(D69+G69))</f>
        <v>0.345616973757677</v>
      </c>
      <c r="K69" s="47" t="n">
        <f aca="false">IF(E69="","",E69/(E69+H69))</f>
        <v>0.339858618814573</v>
      </c>
      <c r="L69" s="78" t="n">
        <f aca="false">IF(OR(K69="",J69=""),"",(J69-K69)*100)</f>
        <v>0.575835494310412</v>
      </c>
      <c r="M69" s="36" t="n">
        <v>2.18929868476011</v>
      </c>
      <c r="N69" s="36" t="n">
        <v>1.22110921059482</v>
      </c>
      <c r="O69" s="36" t="n">
        <f aca="false">SQRT(M69^2+N69^2)</f>
        <v>2.50681799006068</v>
      </c>
      <c r="P69" s="47" t="n">
        <f aca="false">IF(J69="","",MAX(0,J69-1.96*O69/100))</f>
        <v>0.296483341152488</v>
      </c>
      <c r="Q69" s="47" t="n">
        <f aca="false">IF(J69="","",MIN(1,J69+1.96*O69/100))</f>
        <v>0.394750606362867</v>
      </c>
      <c r="R69" s="32" t="str">
        <f aca="false">IF(L69="","",IF(ABS(L69)&lt;=O69,"Yes","No"))</f>
        <v>Yes</v>
      </c>
      <c r="S69" s="32" t="str">
        <f aca="false">IF(L69="","",IF(ABS(L69)&lt;=1.96*O69,"Yes","No"))</f>
        <v>Yes</v>
      </c>
      <c r="T69" s="66" t="n">
        <f aca="false">IF(D69="","",ROUND(SQRT(((D69+G69)*O69/100)^2+(J69*(D69+G69)*0.06092)^2),0))</f>
        <v>59</v>
      </c>
      <c r="U69" s="32"/>
    </row>
    <row r="70" customFormat="false" ht="15" hidden="false" customHeight="false" outlineLevel="0" collapsed="false">
      <c r="A70" s="32" t="s">
        <v>249</v>
      </c>
      <c r="B70" s="32" t="s">
        <v>265</v>
      </c>
      <c r="C70" s="32" t="s">
        <v>191</v>
      </c>
      <c r="D70" s="66" t="n">
        <v>1892</v>
      </c>
      <c r="E70" s="66" t="n">
        <v>2047</v>
      </c>
      <c r="F70" s="77" t="n">
        <f aca="false">IF(E70="","",D70-E70)</f>
        <v>-155</v>
      </c>
      <c r="G70" s="66" t="n">
        <v>2663</v>
      </c>
      <c r="H70" s="66" t="n">
        <v>2499</v>
      </c>
      <c r="I70" s="77" t="n">
        <f aca="false">IF(H70="","",G70-H70)</f>
        <v>164</v>
      </c>
      <c r="J70" s="47" t="n">
        <f aca="false">IF(OR(D70="",D70+G70=0),"",D70/(D70+G70))</f>
        <v>0.415367727771679</v>
      </c>
      <c r="K70" s="47" t="n">
        <f aca="false">IF(E70="","",E70/(E70+H70))</f>
        <v>0.450285965684118</v>
      </c>
      <c r="L70" s="78" t="n">
        <f aca="false">IF(OR(K70="",J70=""),"",(J70-K70)*100)</f>
        <v>-3.49182379124384</v>
      </c>
      <c r="M70" s="36" t="n">
        <v>1.52774813447451</v>
      </c>
      <c r="N70" s="36" t="n">
        <v>1.22110921059482</v>
      </c>
      <c r="O70" s="36" t="n">
        <f aca="false">SQRT(M70^2+N70^2)</f>
        <v>1.9557919282454</v>
      </c>
      <c r="P70" s="47" t="n">
        <f aca="false">IF(J70="","",MAX(0,J70-1.96*O70/100))</f>
        <v>0.37703420597807</v>
      </c>
      <c r="Q70" s="47" t="n">
        <f aca="false">IF(J70="","",MIN(1,J70+1.96*O70/100))</f>
        <v>0.453701249565289</v>
      </c>
      <c r="R70" s="32" t="str">
        <f aca="false">IF(L70="","",IF(ABS(L70)&lt;=O70,"Yes","No"))</f>
        <v>No</v>
      </c>
      <c r="S70" s="32" t="str">
        <f aca="false">IF(L70="","",IF(ABS(L70)&lt;=1.96*O70,"Yes","No"))</f>
        <v>Yes</v>
      </c>
      <c r="T70" s="66" t="n">
        <f aca="false">IF(D70="","",ROUND(SQRT(((D70+G70)*O70/100)^2+(J70*(D70+G70)*0.05464)^2),0))</f>
        <v>136</v>
      </c>
      <c r="U70" s="32"/>
    </row>
    <row r="71" customFormat="false" ht="15" hidden="false" customHeight="false" outlineLevel="0" collapsed="false">
      <c r="A71" s="32" t="s">
        <v>249</v>
      </c>
      <c r="B71" s="32" t="s">
        <v>266</v>
      </c>
      <c r="C71" s="32" t="s">
        <v>191</v>
      </c>
      <c r="D71" s="66" t="n">
        <v>3337</v>
      </c>
      <c r="E71" s="66" t="n">
        <v>3457</v>
      </c>
      <c r="F71" s="77" t="n">
        <f aca="false">IF(E71="","",D71-E71)</f>
        <v>-120</v>
      </c>
      <c r="G71" s="66" t="n">
        <v>3886</v>
      </c>
      <c r="H71" s="66" t="n">
        <v>3805</v>
      </c>
      <c r="I71" s="77" t="n">
        <f aca="false">IF(H71="","",G71-H71)</f>
        <v>81</v>
      </c>
      <c r="J71" s="47" t="n">
        <f aca="false">IF(OR(D71="",D71+G71=0),"",D71/(D71+G71))</f>
        <v>0.461996400387651</v>
      </c>
      <c r="K71" s="47" t="n">
        <f aca="false">IF(E71="","",E71/(E71+H71))</f>
        <v>0.476039658496282</v>
      </c>
      <c r="L71" s="78" t="n">
        <f aca="false">IF(OR(K71="",J71=""),"",(J71-K71)*100)</f>
        <v>-1.40432581086314</v>
      </c>
      <c r="M71" s="36" t="n">
        <v>1.52774813447451</v>
      </c>
      <c r="N71" s="36" t="n">
        <v>1.22110921059482</v>
      </c>
      <c r="O71" s="36" t="n">
        <f aca="false">SQRT(M71^2+N71^2)</f>
        <v>1.9557919282454</v>
      </c>
      <c r="P71" s="47" t="n">
        <f aca="false">IF(J71="","",MAX(0,J71-1.96*O71/100))</f>
        <v>0.423662878594041</v>
      </c>
      <c r="Q71" s="47" t="n">
        <f aca="false">IF(J71="","",MIN(1,J71+1.96*O71/100))</f>
        <v>0.50032992218126</v>
      </c>
      <c r="R71" s="32" t="str">
        <f aca="false">IF(L71="","",IF(ABS(L71)&lt;=O71,"Yes","No"))</f>
        <v>Yes</v>
      </c>
      <c r="S71" s="32" t="str">
        <f aca="false">IF(L71="","",IF(ABS(L71)&lt;=1.96*O71,"Yes","No"))</f>
        <v>Yes</v>
      </c>
      <c r="T71" s="66" t="n">
        <f aca="false">IF(D71="","",ROUND(SQRT(((D71+G71)*O71/100)^2+(J71*(D71+G71)*0.05464)^2),0))</f>
        <v>231</v>
      </c>
      <c r="U71" s="32"/>
    </row>
    <row r="72" customFormat="false" ht="15" hidden="false" customHeight="false" outlineLevel="0" collapsed="false">
      <c r="A72" s="32" t="s">
        <v>249</v>
      </c>
      <c r="B72" s="32" t="s">
        <v>267</v>
      </c>
      <c r="C72" s="32" t="s">
        <v>191</v>
      </c>
      <c r="D72" s="66" t="n">
        <v>1926</v>
      </c>
      <c r="E72" s="66" t="n">
        <v>2006</v>
      </c>
      <c r="F72" s="77" t="n">
        <f aca="false">IF(E72="","",D72-E72)</f>
        <v>-80</v>
      </c>
      <c r="G72" s="66" t="n">
        <v>4021</v>
      </c>
      <c r="H72" s="66" t="n">
        <v>4057</v>
      </c>
      <c r="I72" s="77" t="n">
        <f aca="false">IF(H72="","",G72-H72)</f>
        <v>-36</v>
      </c>
      <c r="J72" s="47" t="n">
        <f aca="false">IF(OR(D72="",D72+G72=0),"",D72/(D72+G72))</f>
        <v>0.323860770136203</v>
      </c>
      <c r="K72" s="47" t="n">
        <f aca="false">IF(E72="","",E72/(E72+H72))</f>
        <v>0.330859310572324</v>
      </c>
      <c r="L72" s="78" t="n">
        <f aca="false">IF(OR(K72="",J72=""),"",(J72-K72)*100)</f>
        <v>-0.69985404361208</v>
      </c>
      <c r="M72" s="36" t="n">
        <v>1.52774813447451</v>
      </c>
      <c r="N72" s="36" t="n">
        <v>1.22110921059482</v>
      </c>
      <c r="O72" s="36" t="n">
        <f aca="false">SQRT(M72^2+N72^2)</f>
        <v>1.9557919282454</v>
      </c>
      <c r="P72" s="47" t="n">
        <f aca="false">IF(J72="","",MAX(0,J72-1.96*O72/100))</f>
        <v>0.285527248342593</v>
      </c>
      <c r="Q72" s="47" t="n">
        <f aca="false">IF(J72="","",MIN(1,J72+1.96*O72/100))</f>
        <v>0.362194291929813</v>
      </c>
      <c r="R72" s="32" t="str">
        <f aca="false">IF(L72="","",IF(ABS(L72)&lt;=O72,"Yes","No"))</f>
        <v>Yes</v>
      </c>
      <c r="S72" s="32" t="str">
        <f aca="false">IF(L72="","",IF(ABS(L72)&lt;=1.96*O72,"Yes","No"))</f>
        <v>Yes</v>
      </c>
      <c r="T72" s="66" t="n">
        <f aca="false">IF(D72="","",ROUND(SQRT(((D72+G72)*O72/100)^2+(J72*(D72+G72)*0.05464)^2),0))</f>
        <v>157</v>
      </c>
      <c r="U72" s="32"/>
    </row>
    <row r="73" customFormat="false" ht="15" hidden="false" customHeight="false" outlineLevel="0" collapsed="false">
      <c r="A73" s="32" t="s">
        <v>249</v>
      </c>
      <c r="B73" s="32" t="s">
        <v>268</v>
      </c>
      <c r="C73" s="32" t="s">
        <v>191</v>
      </c>
      <c r="D73" s="66" t="n">
        <v>1504</v>
      </c>
      <c r="E73" s="66" t="n">
        <v>1596</v>
      </c>
      <c r="F73" s="77" t="n">
        <f aca="false">IF(E73="","",D73-E73)</f>
        <v>-92</v>
      </c>
      <c r="G73" s="66" t="n">
        <v>1663</v>
      </c>
      <c r="H73" s="66" t="n">
        <v>1664</v>
      </c>
      <c r="I73" s="77" t="n">
        <f aca="false">IF(H73="","",G73-H73)</f>
        <v>-1</v>
      </c>
      <c r="J73" s="47" t="n">
        <f aca="false">IF(OR(D73="",D73+G73=0),"",D73/(D73+G73))</f>
        <v>0.47489737922324</v>
      </c>
      <c r="K73" s="47" t="n">
        <f aca="false">IF(E73="","",E73/(E73+H73))</f>
        <v>0.489570552147239</v>
      </c>
      <c r="L73" s="78" t="n">
        <f aca="false">IF(OR(K73="",J73=""),"",(J73-K73)*100)</f>
        <v>-1.46731729239996</v>
      </c>
      <c r="M73" s="36" t="n">
        <v>2.18929868476011</v>
      </c>
      <c r="N73" s="36" t="n">
        <v>1.22110921059482</v>
      </c>
      <c r="O73" s="36" t="n">
        <f aca="false">SQRT(M73^2+N73^2)</f>
        <v>2.50681799006068</v>
      </c>
      <c r="P73" s="47" t="n">
        <f aca="false">IF(J73="","",MAX(0,J73-1.96*O73/100))</f>
        <v>0.42576374661805</v>
      </c>
      <c r="Q73" s="47" t="n">
        <f aca="false">IF(J73="","",MIN(1,J73+1.96*O73/100))</f>
        <v>0.524031011828429</v>
      </c>
      <c r="R73" s="32" t="str">
        <f aca="false">IF(L73="","",IF(ABS(L73)&lt;=O73,"Yes","No"))</f>
        <v>Yes</v>
      </c>
      <c r="S73" s="32" t="str">
        <f aca="false">IF(L73="","",IF(ABS(L73)&lt;=1.96*O73,"Yes","No"))</f>
        <v>Yes</v>
      </c>
      <c r="T73" s="66" t="n">
        <f aca="false">IF(D73="","",ROUND(SQRT(((D73+G73)*O73/100)^2+(J73*(D73+G73)*0.06092)^2),0))</f>
        <v>121</v>
      </c>
      <c r="U73" s="32"/>
    </row>
    <row r="74" customFormat="false" ht="15" hidden="false" customHeight="false" outlineLevel="0" collapsed="false">
      <c r="A74" s="32" t="s">
        <v>249</v>
      </c>
      <c r="B74" s="32" t="s">
        <v>269</v>
      </c>
      <c r="C74" s="32" t="s">
        <v>191</v>
      </c>
      <c r="D74" s="66" t="n">
        <v>832</v>
      </c>
      <c r="E74" s="66" t="n">
        <v>847</v>
      </c>
      <c r="F74" s="77" t="n">
        <f aca="false">IF(E74="","",D74-E74)</f>
        <v>-15</v>
      </c>
      <c r="G74" s="66" t="n">
        <v>943</v>
      </c>
      <c r="H74" s="66" t="n">
        <v>889</v>
      </c>
      <c r="I74" s="77" t="n">
        <f aca="false">IF(H74="","",G74-H74)</f>
        <v>54</v>
      </c>
      <c r="J74" s="47" t="n">
        <f aca="false">IF(OR(D74="",D74+G74=0),"",D74/(D74+G74))</f>
        <v>0.468732394366197</v>
      </c>
      <c r="K74" s="47" t="n">
        <f aca="false">IF(E74="","",E74/(E74+H74))</f>
        <v>0.487903225806452</v>
      </c>
      <c r="L74" s="78" t="n">
        <f aca="false">IF(OR(K74="",J74=""),"",(J74-K74)*100)</f>
        <v>-1.91708314402544</v>
      </c>
      <c r="M74" s="36" t="n">
        <v>2.18929868476011</v>
      </c>
      <c r="N74" s="36" t="n">
        <v>1.22110921059482</v>
      </c>
      <c r="O74" s="36" t="n">
        <f aca="false">SQRT(M74^2+N74^2)</f>
        <v>2.50681799006068</v>
      </c>
      <c r="P74" s="47" t="n">
        <f aca="false">IF(J74="","",MAX(0,J74-1.96*O74/100))</f>
        <v>0.419598761761008</v>
      </c>
      <c r="Q74" s="47" t="n">
        <f aca="false">IF(J74="","",MIN(1,J74+1.96*O74/100))</f>
        <v>0.517866026971386</v>
      </c>
      <c r="R74" s="32" t="str">
        <f aca="false">IF(L74="","",IF(ABS(L74)&lt;=O74,"Yes","No"))</f>
        <v>Yes</v>
      </c>
      <c r="S74" s="32" t="str">
        <f aca="false">IF(L74="","",IF(ABS(L74)&lt;=1.96*O74,"Yes","No"))</f>
        <v>Yes</v>
      </c>
      <c r="T74" s="66" t="n">
        <f aca="false">IF(D74="","",ROUND(SQRT(((D74+G74)*O74/100)^2+(J74*(D74+G74)*0.06092)^2),0))</f>
        <v>67</v>
      </c>
      <c r="U74" s="32"/>
    </row>
    <row r="75" customFormat="false" ht="15" hidden="false" customHeight="false" outlineLevel="0" collapsed="false">
      <c r="A75" s="32" t="s">
        <v>249</v>
      </c>
      <c r="B75" s="32" t="s">
        <v>270</v>
      </c>
      <c r="C75" s="32" t="s">
        <v>191</v>
      </c>
      <c r="D75" s="66" t="n">
        <v>2647</v>
      </c>
      <c r="E75" s="66" t="n">
        <v>2573</v>
      </c>
      <c r="F75" s="77" t="n">
        <f aca="false">IF(E75="","",D75-E75)</f>
        <v>74</v>
      </c>
      <c r="G75" s="66" t="n">
        <v>3057</v>
      </c>
      <c r="H75" s="66" t="n">
        <v>3023</v>
      </c>
      <c r="I75" s="77" t="n">
        <f aca="false">IF(H75="","",G75-H75)</f>
        <v>34</v>
      </c>
      <c r="J75" s="47" t="n">
        <f aca="false">IF(OR(D75="",D75+G75=0),"",D75/(D75+G75))</f>
        <v>0.4640603085554</v>
      </c>
      <c r="K75" s="47" t="n">
        <f aca="false">IF(E75="","",E75/(E75+H75))</f>
        <v>0.459792709077913</v>
      </c>
      <c r="L75" s="78" t="n">
        <f aca="false">IF(OR(K75="",J75=""),"",(J75-K75)*100)</f>
        <v>0.426759947748689</v>
      </c>
      <c r="M75" s="36" t="n">
        <v>1.52774813447451</v>
      </c>
      <c r="N75" s="36" t="n">
        <v>1.22110921059482</v>
      </c>
      <c r="O75" s="36" t="n">
        <f aca="false">SQRT(M75^2+N75^2)</f>
        <v>1.9557919282454</v>
      </c>
      <c r="P75" s="47" t="n">
        <f aca="false">IF(J75="","",MAX(0,J75-1.96*O75/100))</f>
        <v>0.42572678676179</v>
      </c>
      <c r="Q75" s="47" t="n">
        <f aca="false">IF(J75="","",MIN(1,J75+1.96*O75/100))</f>
        <v>0.50239383034901</v>
      </c>
      <c r="R75" s="32" t="str">
        <f aca="false">IF(L75="","",IF(ABS(L75)&lt;=O75,"Yes","No"))</f>
        <v>Yes</v>
      </c>
      <c r="S75" s="32" t="str">
        <f aca="false">IF(L75="","",IF(ABS(L75)&lt;=1.96*O75,"Yes","No"))</f>
        <v>Yes</v>
      </c>
      <c r="T75" s="66" t="n">
        <f aca="false">IF(D75="","",ROUND(SQRT(((D75+G75)*O75/100)^2+(J75*(D75+G75)*0.05464)^2),0))</f>
        <v>183</v>
      </c>
      <c r="U75" s="32"/>
    </row>
    <row r="76" customFormat="false" ht="15" hidden="false" customHeight="false" outlineLevel="0" collapsed="false">
      <c r="A76" s="32" t="s">
        <v>249</v>
      </c>
      <c r="B76" s="32" t="s">
        <v>271</v>
      </c>
      <c r="C76" s="32" t="s">
        <v>191</v>
      </c>
      <c r="D76" s="66" t="n">
        <v>6946</v>
      </c>
      <c r="E76" s="66" t="n">
        <v>6974</v>
      </c>
      <c r="F76" s="77" t="n">
        <f aca="false">IF(E76="","",D76-E76)</f>
        <v>-28</v>
      </c>
      <c r="G76" s="66" t="n">
        <v>6848</v>
      </c>
      <c r="H76" s="66" t="n">
        <v>6736</v>
      </c>
      <c r="I76" s="77" t="n">
        <f aca="false">IF(H76="","",G76-H76)</f>
        <v>112</v>
      </c>
      <c r="J76" s="47" t="n">
        <f aca="false">IF(OR(D76="",D76+G76=0),"",D76/(D76+G76))</f>
        <v>0.503552269102508</v>
      </c>
      <c r="K76" s="47" t="n">
        <f aca="false">IF(E76="","",E76/(E76+H76))</f>
        <v>0.508679795769511</v>
      </c>
      <c r="L76" s="78" t="n">
        <f aca="false">IF(OR(K76="",J76=""),"",(J76-K76)*100)</f>
        <v>-0.512752666700289</v>
      </c>
      <c r="M76" s="36" t="n">
        <v>1.52774813447451</v>
      </c>
      <c r="N76" s="36" t="n">
        <v>1.22110921059482</v>
      </c>
      <c r="O76" s="36" t="n">
        <f aca="false">SQRT(M76^2+N76^2)</f>
        <v>1.9557919282454</v>
      </c>
      <c r="P76" s="47" t="n">
        <f aca="false">IF(J76="","",MAX(0,J76-1.96*O76/100))</f>
        <v>0.465218747308899</v>
      </c>
      <c r="Q76" s="47" t="n">
        <f aca="false">IF(J76="","",MIN(1,J76+1.96*O76/100))</f>
        <v>0.541885790896118</v>
      </c>
      <c r="R76" s="32" t="str">
        <f aca="false">IF(L76="","",IF(ABS(L76)&lt;=O76,"Yes","No"))</f>
        <v>Yes</v>
      </c>
      <c r="S76" s="32" t="str">
        <f aca="false">IF(L76="","",IF(ABS(L76)&lt;=1.96*O76,"Yes","No"))</f>
        <v>Yes</v>
      </c>
      <c r="T76" s="66" t="n">
        <f aca="false">IF(D76="","",ROUND(SQRT(((D76+G76)*O76/100)^2+(J76*(D76+G76)*0.05464)^2),0))</f>
        <v>466</v>
      </c>
      <c r="U76" s="32"/>
    </row>
    <row r="77" customFormat="false" ht="15" hidden="false" customHeight="false" outlineLevel="0" collapsed="false">
      <c r="A77" s="32" t="s">
        <v>249</v>
      </c>
      <c r="B77" s="32" t="s">
        <v>272</v>
      </c>
      <c r="C77" s="32" t="s">
        <v>191</v>
      </c>
      <c r="D77" s="66" t="n">
        <v>689</v>
      </c>
      <c r="E77" s="66" t="n">
        <v>703</v>
      </c>
      <c r="F77" s="77" t="n">
        <f aca="false">IF(E77="","",D77-E77)</f>
        <v>-14</v>
      </c>
      <c r="G77" s="66" t="n">
        <v>1156</v>
      </c>
      <c r="H77" s="66" t="n">
        <v>1180</v>
      </c>
      <c r="I77" s="77" t="n">
        <f aca="false">IF(H77="","",G77-H77)</f>
        <v>-24</v>
      </c>
      <c r="J77" s="47" t="n">
        <f aca="false">IF(OR(D77="",D77+G77=0),"",D77/(D77+G77))</f>
        <v>0.373441734417344</v>
      </c>
      <c r="K77" s="47" t="n">
        <f aca="false">IF(E77="","",E77/(E77+H77))</f>
        <v>0.373340414232608</v>
      </c>
      <c r="L77" s="78" t="n">
        <f aca="false">IF(OR(K77="",J77=""),"",(J77-K77)*100)</f>
        <v>0.0101320184736631</v>
      </c>
      <c r="M77" s="36" t="n">
        <v>2.18929868476011</v>
      </c>
      <c r="N77" s="36" t="n">
        <v>1.22110921059482</v>
      </c>
      <c r="O77" s="36" t="n">
        <f aca="false">SQRT(M77^2+N77^2)</f>
        <v>2.50681799006068</v>
      </c>
      <c r="P77" s="47" t="n">
        <f aca="false">IF(J77="","",MAX(0,J77-1.96*O77/100))</f>
        <v>0.324308101812155</v>
      </c>
      <c r="Q77" s="47" t="n">
        <f aca="false">IF(J77="","",MIN(1,J77+1.96*O77/100))</f>
        <v>0.422575367022533</v>
      </c>
      <c r="R77" s="32" t="str">
        <f aca="false">IF(L77="","",IF(ABS(L77)&lt;=O77,"Yes","No"))</f>
        <v>Yes</v>
      </c>
      <c r="S77" s="32" t="str">
        <f aca="false">IF(L77="","",IF(ABS(L77)&lt;=1.96*O77,"Yes","No"))</f>
        <v>Yes</v>
      </c>
      <c r="T77" s="66" t="n">
        <f aca="false">IF(D77="","",ROUND(SQRT(((D77+G77)*O77/100)^2+(J77*(D77+G77)*0.06092)^2),0))</f>
        <v>62</v>
      </c>
      <c r="U77" s="32"/>
    </row>
    <row r="78" customFormat="false" ht="15" hidden="false" customHeight="false" outlineLevel="0" collapsed="false">
      <c r="A78" s="32" t="s">
        <v>249</v>
      </c>
      <c r="B78" s="32" t="s">
        <v>273</v>
      </c>
      <c r="C78" s="32" t="s">
        <v>191</v>
      </c>
      <c r="D78" s="66" t="n">
        <v>1327</v>
      </c>
      <c r="E78" s="66" t="n">
        <v>1361</v>
      </c>
      <c r="F78" s="77" t="n">
        <f aca="false">IF(E78="","",D78-E78)</f>
        <v>-34</v>
      </c>
      <c r="G78" s="66" t="n">
        <v>2623</v>
      </c>
      <c r="H78" s="66" t="n">
        <v>2561</v>
      </c>
      <c r="I78" s="77" t="n">
        <f aca="false">IF(H78="","",G78-H78)</f>
        <v>62</v>
      </c>
      <c r="J78" s="47" t="n">
        <f aca="false">IF(OR(D78="",D78+G78=0),"",D78/(D78+G78))</f>
        <v>0.335949367088608</v>
      </c>
      <c r="K78" s="47" t="n">
        <f aca="false">IF(E78="","",E78/(E78+H78))</f>
        <v>0.347016828148904</v>
      </c>
      <c r="L78" s="78" t="n">
        <f aca="false">IF(OR(K78="",J78=""),"",(J78-K78)*100)</f>
        <v>-1.1067461060296</v>
      </c>
      <c r="M78" s="36" t="n">
        <v>1.52774813447451</v>
      </c>
      <c r="N78" s="36" t="n">
        <v>1.22110921059482</v>
      </c>
      <c r="O78" s="36" t="n">
        <f aca="false">SQRT(M78^2+N78^2)</f>
        <v>1.9557919282454</v>
      </c>
      <c r="P78" s="47" t="n">
        <f aca="false">IF(J78="","",MAX(0,J78-1.96*O78/100))</f>
        <v>0.297615845294998</v>
      </c>
      <c r="Q78" s="47" t="n">
        <f aca="false">IF(J78="","",MIN(1,J78+1.96*O78/100))</f>
        <v>0.374282888882217</v>
      </c>
      <c r="R78" s="32" t="str">
        <f aca="false">IF(L78="","",IF(ABS(L78)&lt;=O78,"Yes","No"))</f>
        <v>Yes</v>
      </c>
      <c r="S78" s="32" t="str">
        <f aca="false">IF(L78="","",IF(ABS(L78)&lt;=1.96*O78,"Yes","No"))</f>
        <v>Yes</v>
      </c>
      <c r="T78" s="66" t="n">
        <f aca="false">IF(D78="","",ROUND(SQRT(((D78+G78)*O78/100)^2+(J78*(D78+G78)*0.05464)^2),0))</f>
        <v>106</v>
      </c>
      <c r="U78" s="32"/>
    </row>
    <row r="79" customFormat="false" ht="15" hidden="false" customHeight="false" outlineLevel="0" collapsed="false">
      <c r="A79" s="32" t="s">
        <v>249</v>
      </c>
      <c r="B79" s="32" t="s">
        <v>274</v>
      </c>
      <c r="C79" s="32" t="s">
        <v>191</v>
      </c>
      <c r="D79" s="66" t="n">
        <v>81</v>
      </c>
      <c r="E79" s="66" t="n">
        <v>92</v>
      </c>
      <c r="F79" s="77" t="n">
        <f aca="false">IF(E79="","",D79-E79)</f>
        <v>-11</v>
      </c>
      <c r="G79" s="66" t="n">
        <v>168</v>
      </c>
      <c r="H79" s="66" t="n">
        <v>167</v>
      </c>
      <c r="I79" s="77" t="n">
        <f aca="false">IF(H79="","",G79-H79)</f>
        <v>1</v>
      </c>
      <c r="J79" s="47" t="n">
        <f aca="false">IF(OR(D79="",D79+G79=0),"",D79/(D79+G79))</f>
        <v>0.325301204819277</v>
      </c>
      <c r="K79" s="47" t="n">
        <f aca="false">IF(E79="","",E79/(E79+H79))</f>
        <v>0.355212355212355</v>
      </c>
      <c r="L79" s="78" t="n">
        <f aca="false">IF(OR(K79="",J79=""),"",(J79-K79)*100)</f>
        <v>-2.99111503930781</v>
      </c>
      <c r="M79" s="36" t="n">
        <v>2.97095236107082</v>
      </c>
      <c r="N79" s="36" t="n">
        <v>1.22110921059482</v>
      </c>
      <c r="O79" s="36" t="n">
        <f aca="false">SQRT(M79^2+N79^2)</f>
        <v>3.21211233239932</v>
      </c>
      <c r="P79" s="47" t="n">
        <f aca="false">IF(J79="","",MAX(0,J79-1.96*O79/100))</f>
        <v>0.26234380310425</v>
      </c>
      <c r="Q79" s="47" t="n">
        <f aca="false">IF(J79="","",MIN(1,J79+1.96*O79/100))</f>
        <v>0.388258606534304</v>
      </c>
      <c r="R79" s="32" t="str">
        <f aca="false">IF(L79="","",IF(ABS(L79)&lt;=O79,"Yes","No"))</f>
        <v>Yes</v>
      </c>
      <c r="S79" s="32" t="str">
        <f aca="false">IF(L79="","",IF(ABS(L79)&lt;=1.96*O79,"Yes","No"))</f>
        <v>Yes</v>
      </c>
      <c r="T79" s="66" t="n">
        <f aca="false">IF(D79="","",ROUND(SQRT(((D79+G79)*O79/100)^2+(J79*(D79+G79)*0.07859)^2),0))</f>
        <v>10</v>
      </c>
      <c r="U79" s="32"/>
    </row>
    <row r="80" customFormat="false" ht="15" hidden="false" customHeight="false" outlineLevel="0" collapsed="false">
      <c r="A80" s="32" t="s">
        <v>249</v>
      </c>
      <c r="B80" s="32" t="s">
        <v>275</v>
      </c>
      <c r="C80" s="32" t="s">
        <v>191</v>
      </c>
      <c r="D80" s="66" t="n">
        <v>331</v>
      </c>
      <c r="E80" s="66" t="n">
        <v>335</v>
      </c>
      <c r="F80" s="77" t="n">
        <f aca="false">IF(E80="","",D80-E80)</f>
        <v>-4</v>
      </c>
      <c r="G80" s="66" t="n">
        <v>601</v>
      </c>
      <c r="H80" s="66" t="n">
        <v>581</v>
      </c>
      <c r="I80" s="77" t="n">
        <f aca="false">IF(H80="","",G80-H80)</f>
        <v>20</v>
      </c>
      <c r="J80" s="47" t="n">
        <f aca="false">IF(OR(D80="",D80+G80=0),"",D80/(D80+G80))</f>
        <v>0.355150214592275</v>
      </c>
      <c r="K80" s="47" t="n">
        <f aca="false">IF(E80="","",E80/(E80+H80))</f>
        <v>0.365720524017467</v>
      </c>
      <c r="L80" s="78" t="n">
        <f aca="false">IF(OR(K80="",J80=""),"",(J80-K80)*100)</f>
        <v>-1.05703094251925</v>
      </c>
      <c r="M80" s="36" t="n">
        <v>2.97095236107082</v>
      </c>
      <c r="N80" s="36" t="n">
        <v>1.22110921059482</v>
      </c>
      <c r="O80" s="36" t="n">
        <f aca="false">SQRT(M80^2+N80^2)</f>
        <v>3.21211233239932</v>
      </c>
      <c r="P80" s="47" t="n">
        <f aca="false">IF(J80="","",MAX(0,J80-1.96*O80/100))</f>
        <v>0.292192812877248</v>
      </c>
      <c r="Q80" s="47" t="n">
        <f aca="false">IF(J80="","",MIN(1,J80+1.96*O80/100))</f>
        <v>0.418107616307301</v>
      </c>
      <c r="R80" s="32" t="str">
        <f aca="false">IF(L80="","",IF(ABS(L80)&lt;=O80,"Yes","No"))</f>
        <v>Yes</v>
      </c>
      <c r="S80" s="32" t="str">
        <f aca="false">IF(L80="","",IF(ABS(L80)&lt;=1.96*O80,"Yes","No"))</f>
        <v>Yes</v>
      </c>
      <c r="T80" s="66" t="n">
        <f aca="false">IF(D80="","",ROUND(SQRT(((D80+G80)*O80/100)^2+(J80*(D80+G80)*0.07859)^2),0))</f>
        <v>40</v>
      </c>
      <c r="U80" s="32"/>
    </row>
    <row r="81" customFormat="false" ht="15" hidden="false" customHeight="false" outlineLevel="0" collapsed="false">
      <c r="A81" s="32" t="s">
        <v>249</v>
      </c>
      <c r="B81" s="32" t="s">
        <v>276</v>
      </c>
      <c r="C81" s="32" t="s">
        <v>191</v>
      </c>
      <c r="D81" s="66" t="n">
        <v>209</v>
      </c>
      <c r="E81" s="66" t="n">
        <v>210</v>
      </c>
      <c r="F81" s="77" t="n">
        <f aca="false">IF(E81="","",D81-E81)</f>
        <v>-1</v>
      </c>
      <c r="G81" s="66" t="n">
        <v>305</v>
      </c>
      <c r="H81" s="66" t="n">
        <v>309</v>
      </c>
      <c r="I81" s="77" t="n">
        <f aca="false">IF(H81="","",G81-H81)</f>
        <v>-4</v>
      </c>
      <c r="J81" s="47" t="n">
        <f aca="false">IF(OR(D81="",D81+G81=0),"",D81/(D81+G81))</f>
        <v>0.406614785992218</v>
      </c>
      <c r="K81" s="47" t="n">
        <f aca="false">IF(E81="","",E81/(E81+H81))</f>
        <v>0.404624277456647</v>
      </c>
      <c r="L81" s="78" t="n">
        <f aca="false">IF(OR(K81="",J81=""),"",(J81-K81)*100)</f>
        <v>0.199050853557048</v>
      </c>
      <c r="M81" s="36" t="n">
        <v>2.97095236107082</v>
      </c>
      <c r="N81" s="36" t="n">
        <v>1.22110921059482</v>
      </c>
      <c r="O81" s="36" t="n">
        <f aca="false">SQRT(M81^2+N81^2)</f>
        <v>3.21211233239932</v>
      </c>
      <c r="P81" s="47" t="n">
        <f aca="false">IF(J81="","",MAX(0,J81-1.96*O81/100))</f>
        <v>0.343657384277191</v>
      </c>
      <c r="Q81" s="47" t="n">
        <f aca="false">IF(J81="","",MIN(1,J81+1.96*O81/100))</f>
        <v>0.469572187707245</v>
      </c>
      <c r="R81" s="32" t="str">
        <f aca="false">IF(L81="","",IF(ABS(L81)&lt;=O81,"Yes","No"))</f>
        <v>Yes</v>
      </c>
      <c r="S81" s="32" t="str">
        <f aca="false">IF(L81="","",IF(ABS(L81)&lt;=1.96*O81,"Yes","No"))</f>
        <v>Yes</v>
      </c>
      <c r="T81" s="66" t="n">
        <f aca="false">IF(D81="","",ROUND(SQRT(((D81+G81)*O81/100)^2+(J81*(D81+G81)*0.07859)^2),0))</f>
        <v>23</v>
      </c>
      <c r="U81" s="32"/>
    </row>
    <row r="82" customFormat="false" ht="15" hidden="false" customHeight="false" outlineLevel="0" collapsed="false">
      <c r="A82" s="32" t="s">
        <v>249</v>
      </c>
      <c r="B82" s="32" t="s">
        <v>277</v>
      </c>
      <c r="C82" s="32" t="s">
        <v>191</v>
      </c>
      <c r="D82" s="66" t="n">
        <v>317</v>
      </c>
      <c r="E82" s="66" t="n">
        <v>331</v>
      </c>
      <c r="F82" s="77" t="n">
        <f aca="false">IF(E82="","",D82-E82)</f>
        <v>-14</v>
      </c>
      <c r="G82" s="66" t="n">
        <v>455</v>
      </c>
      <c r="H82" s="66" t="n">
        <v>458</v>
      </c>
      <c r="I82" s="77" t="n">
        <f aca="false">IF(H82="","",G82-H82)</f>
        <v>-3</v>
      </c>
      <c r="J82" s="47" t="n">
        <f aca="false">IF(OR(D82="",D82+G82=0),"",D82/(D82+G82))</f>
        <v>0.410621761658031</v>
      </c>
      <c r="K82" s="47" t="n">
        <f aca="false">IF(E82="","",E82/(E82+H82))</f>
        <v>0.419518377693283</v>
      </c>
      <c r="L82" s="78" t="n">
        <f aca="false">IF(OR(K82="",J82=""),"",(J82-K82)*100)</f>
        <v>-0.889661603525155</v>
      </c>
      <c r="M82" s="36" t="n">
        <v>2.97095236107082</v>
      </c>
      <c r="N82" s="36" t="n">
        <v>1.22110921059482</v>
      </c>
      <c r="O82" s="36" t="n">
        <f aca="false">SQRT(M82^2+N82^2)</f>
        <v>3.21211233239932</v>
      </c>
      <c r="P82" s="47" t="n">
        <f aca="false">IF(J82="","",MAX(0,J82-1.96*O82/100))</f>
        <v>0.347664359943004</v>
      </c>
      <c r="Q82" s="47" t="n">
        <f aca="false">IF(J82="","",MIN(1,J82+1.96*O82/100))</f>
        <v>0.473579163373058</v>
      </c>
      <c r="R82" s="32" t="str">
        <f aca="false">IF(L82="","",IF(ABS(L82)&lt;=O82,"Yes","No"))</f>
        <v>Yes</v>
      </c>
      <c r="S82" s="32" t="str">
        <f aca="false">IF(L82="","",IF(ABS(L82)&lt;=1.96*O82,"Yes","No"))</f>
        <v>Yes</v>
      </c>
      <c r="T82" s="66" t="n">
        <f aca="false">IF(D82="","",ROUND(SQRT(((D82+G82)*O82/100)^2+(J82*(D82+G82)*0.07859)^2),0))</f>
        <v>35</v>
      </c>
      <c r="U82" s="32"/>
    </row>
    <row r="83" customFormat="false" ht="15" hidden="false" customHeight="false" outlineLevel="0" collapsed="false">
      <c r="A83" s="32" t="s">
        <v>249</v>
      </c>
      <c r="B83" s="32" t="s">
        <v>278</v>
      </c>
      <c r="C83" s="32" t="s">
        <v>191</v>
      </c>
      <c r="D83" s="66" t="n">
        <v>1200</v>
      </c>
      <c r="E83" s="66" t="n">
        <v>1242</v>
      </c>
      <c r="F83" s="77" t="n">
        <f aca="false">IF(E83="","",D83-E83)</f>
        <v>-42</v>
      </c>
      <c r="G83" s="66" t="n">
        <v>2658</v>
      </c>
      <c r="H83" s="66" t="n">
        <v>2716</v>
      </c>
      <c r="I83" s="77" t="n">
        <f aca="false">IF(H83="","",G83-H83)</f>
        <v>-58</v>
      </c>
      <c r="J83" s="47" t="n">
        <f aca="false">IF(OR(D83="",D83+G83=0),"",D83/(D83+G83))</f>
        <v>0.31104199066874</v>
      </c>
      <c r="K83" s="47" t="n">
        <f aca="false">IF(E83="","",E83/(E83+H83))</f>
        <v>0.313794845881759</v>
      </c>
      <c r="L83" s="78" t="n">
        <f aca="false">IF(OR(K83="",J83=""),"",(J83-K83)*100)</f>
        <v>-0.275285521301821</v>
      </c>
      <c r="M83" s="36" t="n">
        <v>1.52774813447451</v>
      </c>
      <c r="N83" s="36" t="n">
        <v>1.22110921059482</v>
      </c>
      <c r="O83" s="36" t="n">
        <f aca="false">SQRT(M83^2+N83^2)</f>
        <v>1.9557919282454</v>
      </c>
      <c r="P83" s="47" t="n">
        <f aca="false">IF(J83="","",MAX(0,J83-1.96*O83/100))</f>
        <v>0.27270846887513</v>
      </c>
      <c r="Q83" s="47" t="n">
        <f aca="false">IF(J83="","",MIN(1,J83+1.96*O83/100))</f>
        <v>0.34937551246235</v>
      </c>
      <c r="R83" s="32" t="str">
        <f aca="false">IF(L83="","",IF(ABS(L83)&lt;=O83,"Yes","No"))</f>
        <v>Yes</v>
      </c>
      <c r="S83" s="32" t="str">
        <f aca="false">IF(L83="","",IF(ABS(L83)&lt;=1.96*O83,"Yes","No"))</f>
        <v>Yes</v>
      </c>
      <c r="T83" s="66" t="n">
        <f aca="false">IF(D83="","",ROUND(SQRT(((D83+G83)*O83/100)^2+(J83*(D83+G83)*0.05464)^2),0))</f>
        <v>100</v>
      </c>
      <c r="U83" s="32"/>
    </row>
    <row r="84" customFormat="false" ht="15" hidden="false" customHeight="false" outlineLevel="0" collapsed="false">
      <c r="A84" s="32" t="s">
        <v>249</v>
      </c>
      <c r="B84" s="32" t="s">
        <v>279</v>
      </c>
      <c r="C84" s="32" t="s">
        <v>191</v>
      </c>
      <c r="D84" s="66" t="n">
        <v>1883</v>
      </c>
      <c r="E84" s="66" t="n">
        <v>1964</v>
      </c>
      <c r="F84" s="77" t="n">
        <f aca="false">IF(E84="","",D84-E84)</f>
        <v>-81</v>
      </c>
      <c r="G84" s="66" t="n">
        <v>2186</v>
      </c>
      <c r="H84" s="66" t="n">
        <v>2147</v>
      </c>
      <c r="I84" s="77" t="n">
        <f aca="false">IF(H84="","",G84-H84)</f>
        <v>39</v>
      </c>
      <c r="J84" s="47" t="n">
        <f aca="false">IF(OR(D84="",D84+G84=0),"",D84/(D84+G84))</f>
        <v>0.462767264684198</v>
      </c>
      <c r="K84" s="47" t="n">
        <f aca="false">IF(E84="","",E84/(E84+H84))</f>
        <v>0.477742641693019</v>
      </c>
      <c r="L84" s="78" t="n">
        <f aca="false">IF(OR(K84="",J84=""),"",(J84-K84)*100)</f>
        <v>-1.49753770088211</v>
      </c>
      <c r="M84" s="36" t="n">
        <v>1.52774813447451</v>
      </c>
      <c r="N84" s="36" t="n">
        <v>1.22110921059482</v>
      </c>
      <c r="O84" s="36" t="n">
        <f aca="false">SQRT(M84^2+N84^2)</f>
        <v>1.9557919282454</v>
      </c>
      <c r="P84" s="47" t="n">
        <f aca="false">IF(J84="","",MAX(0,J84-1.96*O84/100))</f>
        <v>0.424433742890588</v>
      </c>
      <c r="Q84" s="47" t="n">
        <f aca="false">IF(J84="","",MIN(1,J84+1.96*O84/100))</f>
        <v>0.501100786477807</v>
      </c>
      <c r="R84" s="32" t="str">
        <f aca="false">IF(L84="","",IF(ABS(L84)&lt;=O84,"Yes","No"))</f>
        <v>Yes</v>
      </c>
      <c r="S84" s="32" t="str">
        <f aca="false">IF(L84="","",IF(ABS(L84)&lt;=1.96*O84,"Yes","No"))</f>
        <v>Yes</v>
      </c>
      <c r="T84" s="66" t="n">
        <f aca="false">IF(D84="","",ROUND(SQRT(((D84+G84)*O84/100)^2+(J84*(D84+G84)*0.05464)^2),0))</f>
        <v>130</v>
      </c>
      <c r="U84" s="32"/>
    </row>
    <row r="85" customFormat="false" ht="15" hidden="false" customHeight="false" outlineLevel="0" collapsed="false">
      <c r="A85" s="32" t="s">
        <v>249</v>
      </c>
      <c r="B85" s="32" t="s">
        <v>280</v>
      </c>
      <c r="C85" s="32" t="s">
        <v>191</v>
      </c>
      <c r="D85" s="66" t="n">
        <v>425</v>
      </c>
      <c r="E85" s="66" t="n">
        <v>416</v>
      </c>
      <c r="F85" s="77" t="n">
        <f aca="false">IF(E85="","",D85-E85)</f>
        <v>9</v>
      </c>
      <c r="G85" s="66" t="n">
        <v>636</v>
      </c>
      <c r="H85" s="66" t="n">
        <v>658</v>
      </c>
      <c r="I85" s="77" t="n">
        <f aca="false">IF(H85="","",G85-H85)</f>
        <v>-22</v>
      </c>
      <c r="J85" s="47" t="n">
        <f aca="false">IF(OR(D85="",D85+G85=0),"",D85/(D85+G85))</f>
        <v>0.400565504241282</v>
      </c>
      <c r="K85" s="47" t="n">
        <f aca="false">IF(E85="","",E85/(E85+H85))</f>
        <v>0.387337057728119</v>
      </c>
      <c r="L85" s="78" t="n">
        <f aca="false">IF(OR(K85="",J85=""),"",(J85-K85)*100)</f>
        <v>1.32284465131626</v>
      </c>
      <c r="M85" s="36" t="n">
        <v>2.97095236107082</v>
      </c>
      <c r="N85" s="36" t="n">
        <v>1.22110921059482</v>
      </c>
      <c r="O85" s="36" t="n">
        <f aca="false">SQRT(M85^2+N85^2)</f>
        <v>3.21211233239932</v>
      </c>
      <c r="P85" s="47" t="n">
        <f aca="false">IF(J85="","",MAX(0,J85-1.96*O85/100))</f>
        <v>0.337608102526255</v>
      </c>
      <c r="Q85" s="47" t="n">
        <f aca="false">IF(J85="","",MIN(1,J85+1.96*O85/100))</f>
        <v>0.463522905956308</v>
      </c>
      <c r="R85" s="32" t="str">
        <f aca="false">IF(L85="","",IF(ABS(L85)&lt;=O85,"Yes","No"))</f>
        <v>Yes</v>
      </c>
      <c r="S85" s="32" t="str">
        <f aca="false">IF(L85="","",IF(ABS(L85)&lt;=1.96*O85,"Yes","No"))</f>
        <v>Yes</v>
      </c>
      <c r="T85" s="66" t="n">
        <f aca="false">IF(D85="","",ROUND(SQRT(((D85+G85)*O85/100)^2+(J85*(D85+G85)*0.07859)^2),0))</f>
        <v>48</v>
      </c>
      <c r="U85" s="32"/>
    </row>
    <row r="86" customFormat="false" ht="15" hidden="false" customHeight="false" outlineLevel="0" collapsed="false">
      <c r="A86" s="32" t="s">
        <v>249</v>
      </c>
      <c r="B86" s="32" t="s">
        <v>242</v>
      </c>
      <c r="C86" s="32" t="s">
        <v>191</v>
      </c>
      <c r="D86" s="66" t="n">
        <v>1037</v>
      </c>
      <c r="E86" s="66" t="n">
        <v>1041</v>
      </c>
      <c r="F86" s="77" t="n">
        <f aca="false">IF(E86="","",D86-E86)</f>
        <v>-4</v>
      </c>
      <c r="G86" s="66" t="n">
        <v>2039</v>
      </c>
      <c r="H86" s="66" t="n">
        <v>2088</v>
      </c>
      <c r="I86" s="77" t="n">
        <f aca="false">IF(H86="","",G86-H86)</f>
        <v>-49</v>
      </c>
      <c r="J86" s="47" t="n">
        <f aca="false">IF(OR(D86="",D86+G86=0),"",D86/(D86+G86))</f>
        <v>0.337126137841352</v>
      </c>
      <c r="K86" s="47" t="n">
        <f aca="false">IF(E86="","",E86/(E86+H86))</f>
        <v>0.332694151486098</v>
      </c>
      <c r="L86" s="78" t="n">
        <f aca="false">IF(OR(K86="",J86=""),"",(J86-K86)*100)</f>
        <v>0.44319863552546</v>
      </c>
      <c r="M86" s="36" t="n">
        <v>2.18929868476011</v>
      </c>
      <c r="N86" s="36" t="n">
        <v>1.22110921059482</v>
      </c>
      <c r="O86" s="36" t="n">
        <f aca="false">SQRT(M86^2+N86^2)</f>
        <v>2.50681799006068</v>
      </c>
      <c r="P86" s="47" t="n">
        <f aca="false">IF(J86="","",MAX(0,J86-1.96*O86/100))</f>
        <v>0.287992505236163</v>
      </c>
      <c r="Q86" s="47" t="n">
        <f aca="false">IF(J86="","",MIN(1,J86+1.96*O86/100))</f>
        <v>0.386259770446542</v>
      </c>
      <c r="R86" s="32" t="str">
        <f aca="false">IF(L86="","",IF(ABS(L86)&lt;=O86,"Yes","No"))</f>
        <v>Yes</v>
      </c>
      <c r="S86" s="32" t="str">
        <f aca="false">IF(L86="","",IF(ABS(L86)&lt;=1.96*O86,"Yes","No"))</f>
        <v>Yes</v>
      </c>
      <c r="T86" s="66" t="n">
        <f aca="false">IF(D86="","",ROUND(SQRT(((D86+G86)*O86/100)^2+(J86*(D86+G86)*0.06092)^2),0))</f>
        <v>100</v>
      </c>
      <c r="U86" s="32"/>
    </row>
    <row r="87" customFormat="false" ht="15" hidden="false" customHeight="false" outlineLevel="0" collapsed="false">
      <c r="A87" s="32" t="s">
        <v>249</v>
      </c>
      <c r="B87" s="32" t="s">
        <v>281</v>
      </c>
      <c r="C87" s="32" t="s">
        <v>191</v>
      </c>
      <c r="D87" s="66" t="n">
        <v>274</v>
      </c>
      <c r="E87" s="66" t="n">
        <v>281</v>
      </c>
      <c r="F87" s="77" t="n">
        <f aca="false">IF(E87="","",D87-E87)</f>
        <v>-7</v>
      </c>
      <c r="G87" s="66" t="n">
        <v>333</v>
      </c>
      <c r="H87" s="66" t="n">
        <v>310</v>
      </c>
      <c r="I87" s="77" t="n">
        <f aca="false">IF(H87="","",G87-H87)</f>
        <v>23</v>
      </c>
      <c r="J87" s="47" t="n">
        <f aca="false">IF(OR(D87="",D87+G87=0),"",D87/(D87+G87))</f>
        <v>0.451400329489292</v>
      </c>
      <c r="K87" s="47" t="n">
        <f aca="false">IF(E87="","",E87/(E87+H87))</f>
        <v>0.475465313028765</v>
      </c>
      <c r="L87" s="78" t="n">
        <f aca="false">IF(OR(K87="",J87=""),"",(J87-K87)*100)</f>
        <v>-2.40649835394732</v>
      </c>
      <c r="M87" s="36" t="n">
        <v>2.97095236107082</v>
      </c>
      <c r="N87" s="36" t="n">
        <v>1.22110921059482</v>
      </c>
      <c r="O87" s="36" t="n">
        <f aca="false">SQRT(M87^2+N87^2)</f>
        <v>3.21211233239932</v>
      </c>
      <c r="P87" s="47" t="n">
        <f aca="false">IF(J87="","",MAX(0,J87-1.96*O87/100))</f>
        <v>0.388442927774265</v>
      </c>
      <c r="Q87" s="47" t="n">
        <f aca="false">IF(J87="","",MIN(1,J87+1.96*O87/100))</f>
        <v>0.514357731204318</v>
      </c>
      <c r="R87" s="32" t="str">
        <f aca="false">IF(L87="","",IF(ABS(L87)&lt;=O87,"Yes","No"))</f>
        <v>Yes</v>
      </c>
      <c r="S87" s="32" t="str">
        <f aca="false">IF(L87="","",IF(ABS(L87)&lt;=1.96*O87,"Yes","No"))</f>
        <v>Yes</v>
      </c>
      <c r="T87" s="66" t="n">
        <f aca="false">IF(D87="","",ROUND(SQRT(((D87+G87)*O87/100)^2+(J87*(D87+G87)*0.07859)^2),0))</f>
        <v>29</v>
      </c>
      <c r="U87" s="32"/>
    </row>
    <row r="88" customFormat="false" ht="15" hidden="false" customHeight="false" outlineLevel="0" collapsed="false">
      <c r="A88" s="32" t="s">
        <v>249</v>
      </c>
      <c r="B88" s="32" t="s">
        <v>282</v>
      </c>
      <c r="C88" s="32" t="s">
        <v>191</v>
      </c>
      <c r="D88" s="66" t="n">
        <v>1753</v>
      </c>
      <c r="E88" s="66" t="n">
        <v>1847</v>
      </c>
      <c r="F88" s="77" t="n">
        <f aca="false">IF(E88="","",D88-E88)</f>
        <v>-94</v>
      </c>
      <c r="G88" s="66" t="n">
        <v>2436</v>
      </c>
      <c r="H88" s="66" t="n">
        <v>2401</v>
      </c>
      <c r="I88" s="77" t="n">
        <f aca="false">IF(H88="","",G88-H88)</f>
        <v>35</v>
      </c>
      <c r="J88" s="47" t="n">
        <f aca="false">IF(OR(D88="",D88+G88=0),"",D88/(D88+G88))</f>
        <v>0.41847696347577</v>
      </c>
      <c r="K88" s="47" t="n">
        <f aca="false">IF(E88="","",E88/(E88+H88))</f>
        <v>0.434792843691149</v>
      </c>
      <c r="L88" s="78" t="n">
        <f aca="false">IF(OR(K88="",J88=""),"",(J88-K88)*100)</f>
        <v>-1.63158802153789</v>
      </c>
      <c r="M88" s="36" t="n">
        <v>1.52774813447451</v>
      </c>
      <c r="N88" s="36" t="n">
        <v>1.22110921059482</v>
      </c>
      <c r="O88" s="36" t="n">
        <f aca="false">SQRT(M88^2+N88^2)</f>
        <v>1.9557919282454</v>
      </c>
      <c r="P88" s="47" t="n">
        <f aca="false">IF(J88="","",MAX(0,J88-1.96*O88/100))</f>
        <v>0.38014344168216</v>
      </c>
      <c r="Q88" s="47" t="n">
        <f aca="false">IF(J88="","",MIN(1,J88+1.96*O88/100))</f>
        <v>0.45681048526938</v>
      </c>
      <c r="R88" s="32" t="str">
        <f aca="false">IF(L88="","",IF(ABS(L88)&lt;=O88,"Yes","No"))</f>
        <v>Yes</v>
      </c>
      <c r="S88" s="32" t="str">
        <f aca="false">IF(L88="","",IF(ABS(L88)&lt;=1.96*O88,"Yes","No"))</f>
        <v>Yes</v>
      </c>
      <c r="T88" s="66" t="n">
        <f aca="false">IF(D88="","",ROUND(SQRT(((D88+G88)*O88/100)^2+(J88*(D88+G88)*0.05464)^2),0))</f>
        <v>126</v>
      </c>
      <c r="U88" s="32"/>
    </row>
    <row r="89" customFormat="false" ht="15" hidden="false" customHeight="false" outlineLevel="0" collapsed="false">
      <c r="A89" s="32" t="s">
        <v>249</v>
      </c>
      <c r="B89" s="32" t="s">
        <v>283</v>
      </c>
      <c r="C89" s="32" t="s">
        <v>191</v>
      </c>
      <c r="D89" s="66" t="n">
        <v>1828</v>
      </c>
      <c r="E89" s="66" t="n">
        <v>1897</v>
      </c>
      <c r="F89" s="77" t="n">
        <f aca="false">IF(E89="","",D89-E89)</f>
        <v>-69</v>
      </c>
      <c r="G89" s="66" t="n">
        <v>1578</v>
      </c>
      <c r="H89" s="66" t="n">
        <v>1538</v>
      </c>
      <c r="I89" s="77" t="n">
        <f aca="false">IF(H89="","",G89-H89)</f>
        <v>40</v>
      </c>
      <c r="J89" s="47" t="n">
        <f aca="false">IF(OR(D89="",D89+G89=0),"",D89/(D89+G89))</f>
        <v>0.536699941280094</v>
      </c>
      <c r="K89" s="47" t="n">
        <f aca="false">IF(E89="","",E89/(E89+H89))</f>
        <v>0.552256186317322</v>
      </c>
      <c r="L89" s="78" t="n">
        <f aca="false">IF(OR(K89="",J89=""),"",(J89-K89)*100)</f>
        <v>-1.55562450372277</v>
      </c>
      <c r="M89" s="36" t="n">
        <v>2.18929868476011</v>
      </c>
      <c r="N89" s="36" t="n">
        <v>1.22110921059482</v>
      </c>
      <c r="O89" s="36" t="n">
        <f aca="false">SQRT(M89^2+N89^2)</f>
        <v>2.50681799006068</v>
      </c>
      <c r="P89" s="47" t="n">
        <f aca="false">IF(J89="","",MAX(0,J89-1.96*O89/100))</f>
        <v>0.487566308674905</v>
      </c>
      <c r="Q89" s="47" t="n">
        <f aca="false">IF(J89="","",MIN(1,J89+1.96*O89/100))</f>
        <v>0.585833573885283</v>
      </c>
      <c r="R89" s="32" t="str">
        <f aca="false">IF(L89="","",IF(ABS(L89)&lt;=O89,"Yes","No"))</f>
        <v>Yes</v>
      </c>
      <c r="S89" s="32" t="str">
        <f aca="false">IF(L89="","",IF(ABS(L89)&lt;=1.96*O89,"Yes","No"))</f>
        <v>Yes</v>
      </c>
      <c r="T89" s="66" t="n">
        <f aca="false">IF(D89="","",ROUND(SQRT(((D89+G89)*O89/100)^2+(J89*(D89+G89)*0.06092)^2),0))</f>
        <v>140</v>
      </c>
      <c r="U89" s="32"/>
    </row>
    <row r="90" customFormat="false" ht="15" hidden="false" customHeight="false" outlineLevel="0" collapsed="false">
      <c r="A90" s="32" t="s">
        <v>249</v>
      </c>
      <c r="B90" s="32" t="s">
        <v>284</v>
      </c>
      <c r="C90" s="32" t="s">
        <v>191</v>
      </c>
      <c r="D90" s="66" t="n">
        <v>626</v>
      </c>
      <c r="E90" s="66" t="n">
        <v>634</v>
      </c>
      <c r="F90" s="77" t="n">
        <f aca="false">IF(E90="","",D90-E90)</f>
        <v>-8</v>
      </c>
      <c r="G90" s="66" t="n">
        <v>900</v>
      </c>
      <c r="H90" s="66" t="n">
        <v>856</v>
      </c>
      <c r="I90" s="77" t="n">
        <f aca="false">IF(H90="","",G90-H90)</f>
        <v>44</v>
      </c>
      <c r="J90" s="47" t="n">
        <f aca="false">IF(OR(D90="",D90+G90=0),"",D90/(D90+G90))</f>
        <v>0.410222804718218</v>
      </c>
      <c r="K90" s="47" t="n">
        <f aca="false">IF(E90="","",E90/(E90+H90))</f>
        <v>0.425503355704698</v>
      </c>
      <c r="L90" s="78" t="n">
        <f aca="false">IF(OR(K90="",J90=""),"",(J90-K90)*100)</f>
        <v>-1.52805509864805</v>
      </c>
      <c r="M90" s="36" t="n">
        <v>2.97095236107082</v>
      </c>
      <c r="N90" s="36" t="n">
        <v>1.22110921059482</v>
      </c>
      <c r="O90" s="36" t="n">
        <f aca="false">SQRT(M90^2+N90^2)</f>
        <v>3.21211233239932</v>
      </c>
      <c r="P90" s="47" t="n">
        <f aca="false">IF(J90="","",MAX(0,J90-1.96*O90/100))</f>
        <v>0.347265403003191</v>
      </c>
      <c r="Q90" s="47" t="n">
        <f aca="false">IF(J90="","",MIN(1,J90+1.96*O90/100))</f>
        <v>0.473180206433244</v>
      </c>
      <c r="R90" s="32" t="str">
        <f aca="false">IF(L90="","",IF(ABS(L90)&lt;=O90,"Yes","No"))</f>
        <v>Yes</v>
      </c>
      <c r="S90" s="32" t="str">
        <f aca="false">IF(L90="","",IF(ABS(L90)&lt;=1.96*O90,"Yes","No"))</f>
        <v>Yes</v>
      </c>
      <c r="T90" s="66" t="n">
        <f aca="false">IF(D90="","",ROUND(SQRT(((D90+G90)*O90/100)^2+(J90*(D90+G90)*0.07859)^2),0))</f>
        <v>69</v>
      </c>
      <c r="U90" s="32"/>
    </row>
    <row r="92" customFormat="false" ht="15" hidden="false" customHeight="false" outlineLevel="0" collapsed="false">
      <c r="A92" s="20" t="s">
        <v>419</v>
      </c>
      <c r="B92" s="44"/>
      <c r="C92" s="44"/>
      <c r="D92" s="79" t="n">
        <f aca="false">SUMIF(E2:E90,"&lt;&gt;",D2:D90)</f>
        <v>196883</v>
      </c>
      <c r="E92" s="79" t="n">
        <f aca="false">SUM(E2:E90)</f>
        <v>199626</v>
      </c>
      <c r="F92" s="80" t="n">
        <f aca="false">D92-E92</f>
        <v>-2743</v>
      </c>
      <c r="G92" s="79" t="n">
        <f aca="false">SUMIF(H2:H90,"&lt;&gt;",G2:G90)</f>
        <v>204240</v>
      </c>
      <c r="H92" s="79" t="n">
        <f aca="false">SUM(H2:H90)</f>
        <v>203688</v>
      </c>
      <c r="I92" s="80" t="n">
        <f aca="false">G92-H92</f>
        <v>552</v>
      </c>
      <c r="J92" s="46" t="n">
        <f aca="false">D92/(D92+G92)</f>
        <v>0.490829496189448</v>
      </c>
      <c r="K92" s="46" t="n">
        <f aca="false">E92/(E92+H92)</f>
        <v>0.49496422142549</v>
      </c>
      <c r="L92" s="81" t="n">
        <f aca="false">(J92-K92)*100</f>
        <v>-0.413472523604169</v>
      </c>
      <c r="M92" s="45" t="n">
        <v>0</v>
      </c>
      <c r="N92" s="45" t="n">
        <v>1.22110921059482</v>
      </c>
      <c r="O92" s="45" t="n">
        <f aca="false">SQRT(M92^2+N92^2)</f>
        <v>1.22110921059482</v>
      </c>
      <c r="P92" s="46" t="n">
        <f aca="false">J92-1.96*O92/100</f>
        <v>0.46689575566179</v>
      </c>
      <c r="Q92" s="46" t="n">
        <f aca="false">J92+1.96*O92/100</f>
        <v>0.514763236717107</v>
      </c>
      <c r="R92" s="44" t="str">
        <f aca="false">IF(ABS(L92)&lt;=O92,"Yes","No")</f>
        <v>Yes</v>
      </c>
      <c r="S92" s="44" t="str">
        <f aca="false">IF(ABS(L92)&lt;=1.96*O92,"Yes","No")</f>
        <v>Yes</v>
      </c>
      <c r="T92" s="79" t="n">
        <f aca="false">ROUND(SQRT(((D92+G92)*O92/100)^2+(J92*(D92+G92)*0.04269)^2),0)</f>
        <v>9728</v>
      </c>
    </row>
    <row r="93" customFormat="false" ht="15" hidden="false" customHeight="false" outlineLevel="0" collapsed="false">
      <c r="A93" s="20" t="s">
        <v>420</v>
      </c>
      <c r="B93" s="44"/>
      <c r="C93" s="44"/>
      <c r="D93" s="79" t="n">
        <f aca="false">SUM(D2:D90)</f>
        <v>196883</v>
      </c>
      <c r="E93" s="79"/>
      <c r="F93" s="80"/>
      <c r="G93" s="79" t="n">
        <f aca="false">SUM(G2:G90)</f>
        <v>204240</v>
      </c>
      <c r="H93" s="79"/>
      <c r="I93" s="80"/>
      <c r="J93" s="46" t="n">
        <f aca="false">D93/(D93+G93)</f>
        <v>0.490829496189448</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73.6067415730337</v>
      </c>
    </row>
    <row r="96" customFormat="false" ht="15" hidden="false" customHeight="false" outlineLevel="0" collapsed="false">
      <c r="A96" s="2" t="s">
        <v>422</v>
      </c>
      <c r="F96" s="82" t="n">
        <f aca="false">(SUMIF(I2:I90,"&gt;0")-SUMIF(I2:I90,"&lt;0"))/COUNT(I2:I90)</f>
        <v>75.1011235955056</v>
      </c>
    </row>
    <row r="97" customFormat="false" ht="15" hidden="false" customHeight="false" outlineLevel="0" collapsed="false">
      <c r="A97" s="2" t="s">
        <v>423</v>
      </c>
      <c r="F97" s="83" t="n">
        <f aca="false">(SUMIF(L2:L90,"&gt;0")-SUMIF(L2:L90,"&lt;0"))/COUNT(L2:L90)</f>
        <v>1.50525524740911</v>
      </c>
    </row>
    <row r="98" customFormat="false" ht="15" hidden="false" customHeight="false" outlineLevel="0" collapsed="false">
      <c r="A98" s="5" t="s">
        <v>424</v>
      </c>
      <c r="F98" s="84" t="n">
        <f aca="false">SQRT(SUMSQ(L2:L90)/COUNT(L2:L90))</f>
        <v>1.97298151830599</v>
      </c>
    </row>
    <row r="99" customFormat="false" ht="15" hidden="false" customHeight="false" outlineLevel="0" collapsed="false">
      <c r="A99" s="5" t="s">
        <v>425</v>
      </c>
      <c r="F99" s="85" t="n">
        <f aca="false">L92</f>
        <v>-0.413472523604169</v>
      </c>
    </row>
    <row r="100" customFormat="false" ht="15" hidden="false" customHeight="false" outlineLevel="0" collapsed="false">
      <c r="A100" s="5" t="s">
        <v>426</v>
      </c>
      <c r="F100" s="84" t="n">
        <f aca="false">SQRT((SUMSQ(L2:L90)-2*L92*SUM(L2:L90)+COUNT(L2:L90)*L92^2)/COUNT(L2:L90))</f>
        <v>1.8789951657</v>
      </c>
    </row>
    <row r="101" customFormat="false" ht="15" hidden="false" customHeight="false" outlineLevel="0" collapsed="false">
      <c r="A101" s="2" t="s">
        <v>427</v>
      </c>
      <c r="F101" s="86" t="n">
        <f aca="false">D92/E92-1</f>
        <v>-0.0137406950998367</v>
      </c>
    </row>
    <row r="102" customFormat="false" ht="15" hidden="false" customHeight="false" outlineLevel="0" collapsed="false">
      <c r="A102" s="5" t="s">
        <v>428</v>
      </c>
      <c r="F102" s="87" t="n">
        <f aca="false">G92/H92-1</f>
        <v>0.00271002710027091</v>
      </c>
    </row>
    <row r="103" customFormat="false" ht="15" hidden="false" customHeight="false" outlineLevel="0" collapsed="false">
      <c r="A103" s="2" t="s">
        <v>429</v>
      </c>
      <c r="F103" s="86" t="n">
        <f aca="false">(D92+G92)/(E92+H92)-1</f>
        <v>-0.00543249180539229</v>
      </c>
    </row>
    <row r="104" customFormat="false" ht="15" hidden="false" customHeight="false" outlineLevel="0" collapsed="false">
      <c r="A104" s="2" t="s">
        <v>430</v>
      </c>
      <c r="F104" s="83" t="n">
        <f aca="false">AVERAGE(O2:O90)</f>
        <v>2.55881853405732</v>
      </c>
    </row>
    <row r="105" customFormat="false" ht="15" hidden="false" customHeight="false" outlineLevel="0" collapsed="false">
      <c r="A105" s="5" t="s">
        <v>431</v>
      </c>
      <c r="F105" s="88" t="n">
        <f aca="false">COUNTIF(R2:R90,"Yes")/(COUNTIF(R2:R90,"Yes")+COUNTIF(R2:R90,"No"))</f>
        <v>0.842696629213483</v>
      </c>
    </row>
    <row r="106" customFormat="false" ht="15" hidden="false" customHeight="false" outlineLevel="0" collapsed="false">
      <c r="A106" s="5" t="s">
        <v>432</v>
      </c>
      <c r="F106" s="88" t="n">
        <f aca="false">COUNTIF(S2:S90,"Yes")/(COUNTIF(S2:S90,"Yes")+COUNTIF(S2:S90,"No"))</f>
        <v>0.98876404494382</v>
      </c>
    </row>
    <row r="107" customFormat="false" ht="15" hidden="false" customHeight="false" outlineLevel="0" collapsed="false">
      <c r="A107" s="2" t="s">
        <v>433</v>
      </c>
      <c r="F107" s="89" t="n">
        <f aca="false">COUNTIFS(L2:L90,"&gt;=-3",L2:L90,"&lt;=3")/COUNT(L2:L90)</f>
        <v>0.865168539325843</v>
      </c>
    </row>
    <row r="108" customFormat="false" ht="15" hidden="false" customHeight="false" outlineLevel="0" collapsed="false">
      <c r="A108" s="2" t="s">
        <v>434</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-1084.46660914325</v>
      </c>
    </row>
    <row r="112" customFormat="false" ht="15" hidden="false" customHeight="false" outlineLevel="0" collapsed="false">
      <c r="A112" s="2" t="s">
        <v>438</v>
      </c>
      <c r="F112" s="91" t="n">
        <f aca="false">F92-((D92+G92)-(E92+H92))*K92</f>
        <v>-1658.53339085675</v>
      </c>
    </row>
    <row r="113" customFormat="false" ht="15" hidden="false" customHeight="false" outlineLevel="0" collapsed="false">
      <c r="A113" s="2" t="s">
        <v>439</v>
      </c>
      <c r="F113" s="91" t="n">
        <f aca="false">((D92+G92)-(E92+H92))*(1-K92)</f>
        <v>-1106.53339085675</v>
      </c>
    </row>
    <row r="114" customFormat="false" ht="15" hidden="false" customHeight="false" outlineLevel="0" collapsed="false">
      <c r="A114" s="2" t="s">
        <v>440</v>
      </c>
      <c r="F114" s="91" t="n">
        <f aca="false">I92-((D92+G92)-(E92+H92))*(1-K92)</f>
        <v>1658.53339085675</v>
      </c>
    </row>
    <row r="115" customFormat="false" ht="15" hidden="false" customHeight="false" outlineLevel="0" collapsed="false">
      <c r="A115" s="2" t="s">
        <v>441</v>
      </c>
      <c r="F115" s="86" t="n">
        <f aca="false">(F92-((D92+G92)-(E92+H92))*K92)/E92</f>
        <v>-0.00830820329444437</v>
      </c>
    </row>
    <row r="116" customFormat="false" ht="15" hidden="false" customHeight="false" outlineLevel="0" collapsed="false">
      <c r="A116" s="2" t="s">
        <v>442</v>
      </c>
      <c r="F116" s="86" t="n">
        <f aca="false">(I92-((D92+G92)-(E92+H92))*(1-K92))/H92</f>
        <v>0.00814251890566333</v>
      </c>
    </row>
    <row r="118" customFormat="false" ht="15" hidden="false" customHeight="false" outlineLevel="0" collapsed="false">
      <c r="U118" s="5" t="s">
        <v>166</v>
      </c>
    </row>
    <row r="119" customFormat="false" ht="28.35" hidden="false" customHeight="false" outlineLevel="0" collapsed="false">
      <c r="U119" s="76" t="s">
        <v>443</v>
      </c>
    </row>
    <row r="120" customFormat="false" ht="15" hidden="false" customHeight="false" outlineLevel="0" collapsed="false">
      <c r="U120" s="76" t="s">
        <v>444</v>
      </c>
    </row>
    <row r="121" customFormat="false" ht="55.2" hidden="false" customHeight="false" outlineLevel="0" collapsed="false">
      <c r="U121" s="76" t="s">
        <v>453</v>
      </c>
    </row>
    <row r="122" customFormat="false" ht="15" hidden="false" customHeight="false" outlineLevel="0" collapsed="false">
      <c r="U122" s="76" t="s">
        <v>446</v>
      </c>
    </row>
    <row r="123" customFormat="false" ht="41.75" hidden="false" customHeight="false" outlineLevel="0" collapsed="false">
      <c r="U123" s="76" t="s">
        <v>447</v>
      </c>
    </row>
    <row r="124" customFormat="false" ht="28.35" hidden="false" customHeight="false" outlineLevel="0" collapsed="false">
      <c r="U124" s="76" t="s">
        <v>448</v>
      </c>
    </row>
    <row r="125" customFormat="false" ht="28.35" hidden="false" customHeight="false" outlineLevel="0" collapsed="false">
      <c r="U125" s="76" t="s">
        <v>449</v>
      </c>
    </row>
    <row r="126" customFormat="false" ht="41.75" hidden="false" customHeight="false" outlineLevel="0" collapsed="false">
      <c r="U126" s="76" t="s">
        <v>450</v>
      </c>
    </row>
    <row r="127" customFormat="false" ht="15" hidden="false" customHeight="false" outlineLevel="0" collapsed="false">
      <c r="U127" s="76" t="s">
        <v>451</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455</v>
      </c>
      <c r="N1" s="8" t="s">
        <v>456</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128</v>
      </c>
      <c r="E2" s="66" t="n">
        <v>137</v>
      </c>
      <c r="F2" s="77" t="n">
        <f aca="false">IF(E2="","",D2-E2)</f>
        <v>-9</v>
      </c>
      <c r="G2" s="66" t="n">
        <v>217</v>
      </c>
      <c r="H2" s="66" t="n">
        <v>249</v>
      </c>
      <c r="I2" s="77" t="n">
        <f aca="false">IF(H2="","",G2-H2)</f>
        <v>-32</v>
      </c>
      <c r="J2" s="47" t="n">
        <f aca="false">IF(OR(D2="",D2+G2=0),"",D2/(D2+G2))</f>
        <v>0.371014492753623</v>
      </c>
      <c r="K2" s="47" t="n">
        <f aca="false">IF(E2="","",E2/(E2+H2))</f>
        <v>0.354922279792746</v>
      </c>
      <c r="L2" s="78" t="n">
        <f aca="false">IF(OR(K2="",J2=""),"",(J2-K2)*100)</f>
        <v>1.60922129608771</v>
      </c>
      <c r="M2" s="36" t="n">
        <v>2.87797162549907</v>
      </c>
      <c r="N2" s="36" t="n">
        <v>1.2490124826858</v>
      </c>
      <c r="O2" s="36" t="n">
        <f aca="false">SQRT(M2^2+N2^2)</f>
        <v>3.1373161872981</v>
      </c>
      <c r="P2" s="47" t="n">
        <f aca="false">IF(J2="","",MAX(0,J2-1.96*O2/100))</f>
        <v>0.30952309548258</v>
      </c>
      <c r="Q2" s="47" t="n">
        <f aca="false">IF(J2="","",MIN(1,J2+1.96*O2/100))</f>
        <v>0.432505890024666</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189</v>
      </c>
      <c r="B3" s="32" t="s">
        <v>195</v>
      </c>
      <c r="C3" s="32" t="s">
        <v>191</v>
      </c>
      <c r="D3" s="66" t="n">
        <v>80</v>
      </c>
      <c r="E3" s="66" t="n">
        <v>84</v>
      </c>
      <c r="F3" s="77" t="n">
        <f aca="false">IF(E3="","",D3-E3)</f>
        <v>-4</v>
      </c>
      <c r="G3" s="66" t="n">
        <v>198</v>
      </c>
      <c r="H3" s="66" t="n">
        <v>230</v>
      </c>
      <c r="I3" s="77" t="n">
        <f aca="false">IF(H3="","",G3-H3)</f>
        <v>-32</v>
      </c>
      <c r="J3" s="47" t="n">
        <f aca="false">IF(OR(D3="",D3+G3=0),"",D3/(D3+G3))</f>
        <v>0.287769784172662</v>
      </c>
      <c r="K3" s="47" t="n">
        <f aca="false">IF(E3="","",E3/(E3+H3))</f>
        <v>0.267515923566879</v>
      </c>
      <c r="L3" s="78" t="n">
        <f aca="false">IF(OR(K3="",J3=""),"",(J3-K3)*100)</f>
        <v>2.02538606057829</v>
      </c>
      <c r="M3" s="36" t="n">
        <v>2.87797162549907</v>
      </c>
      <c r="N3" s="36" t="n">
        <v>1.2490124826858</v>
      </c>
      <c r="O3" s="36" t="n">
        <f aca="false">SQRT(M3^2+N3^2)</f>
        <v>3.1373161872981</v>
      </c>
      <c r="P3" s="47" t="n">
        <f aca="false">IF(J3="","",MAX(0,J3-1.96*O3/100))</f>
        <v>0.226278386901619</v>
      </c>
      <c r="Q3" s="47" t="n">
        <f aca="false">IF(J3="","",MIN(1,J3+1.96*O3/100))</f>
        <v>0.349261181443705</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189</v>
      </c>
      <c r="B4" s="32" t="s">
        <v>196</v>
      </c>
      <c r="C4" s="32" t="s">
        <v>191</v>
      </c>
      <c r="D4" s="66" t="n">
        <v>89</v>
      </c>
      <c r="E4" s="66" t="n">
        <v>125</v>
      </c>
      <c r="F4" s="77" t="n">
        <f aca="false">IF(E4="","",D4-E4)</f>
        <v>-36</v>
      </c>
      <c r="G4" s="66" t="n">
        <v>199</v>
      </c>
      <c r="H4" s="66" t="n">
        <v>223</v>
      </c>
      <c r="I4" s="77" t="n">
        <f aca="false">IF(H4="","",G4-H4)</f>
        <v>-24</v>
      </c>
      <c r="J4" s="47" t="n">
        <f aca="false">IF(OR(D4="",D4+G4=0),"",D4/(D4+G4))</f>
        <v>0.309027777777778</v>
      </c>
      <c r="K4" s="47" t="n">
        <f aca="false">IF(E4="","",E4/(E4+H4))</f>
        <v>0.359195402298851</v>
      </c>
      <c r="L4" s="78" t="n">
        <f aca="false">IF(OR(K4="",J4=""),"",(J4-K4)*100)</f>
        <v>-5.01676245210728</v>
      </c>
      <c r="M4" s="36" t="n">
        <v>2.87797162549907</v>
      </c>
      <c r="N4" s="36" t="n">
        <v>1.2490124826858</v>
      </c>
      <c r="O4" s="36" t="n">
        <f aca="false">SQRT(M4^2+N4^2)</f>
        <v>3.1373161872981</v>
      </c>
      <c r="P4" s="47" t="n">
        <f aca="false">IF(J4="","",MAX(0,J4-1.96*O4/100))</f>
        <v>0.247536380506735</v>
      </c>
      <c r="Q4" s="47" t="n">
        <f aca="false">IF(J4="","",MIN(1,J4+1.96*O4/100))</f>
        <v>0.370519175048821</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189</v>
      </c>
      <c r="B5" s="32" t="s">
        <v>197</v>
      </c>
      <c r="C5" s="32" t="s">
        <v>191</v>
      </c>
      <c r="D5" s="66" t="n">
        <v>320</v>
      </c>
      <c r="E5" s="66" t="n">
        <v>372</v>
      </c>
      <c r="F5" s="77" t="n">
        <f aca="false">IF(E5="","",D5-E5)</f>
        <v>-52</v>
      </c>
      <c r="G5" s="66" t="n">
        <v>811</v>
      </c>
      <c r="H5" s="66" t="n">
        <v>925</v>
      </c>
      <c r="I5" s="77" t="n">
        <f aca="false">IF(H5="","",G5-H5)</f>
        <v>-114</v>
      </c>
      <c r="J5" s="47" t="n">
        <f aca="false">IF(OR(D5="",D5+G5=0),"",D5/(D5+G5))</f>
        <v>0.282935455349248</v>
      </c>
      <c r="K5" s="47" t="n">
        <f aca="false">IF(E5="","",E5/(E5+H5))</f>
        <v>0.286815728604472</v>
      </c>
      <c r="L5" s="78" t="n">
        <f aca="false">IF(OR(K5="",J5=""),"",(J5-K5)*100)</f>
        <v>-0.388027325522339</v>
      </c>
      <c r="M5" s="36" t="n">
        <v>1.81947821335184</v>
      </c>
      <c r="N5" s="36" t="n">
        <v>1.2490124826858</v>
      </c>
      <c r="O5" s="36" t="n">
        <f aca="false">SQRT(M5^2+N5^2)</f>
        <v>2.20692844260228</v>
      </c>
      <c r="P5" s="47" t="n">
        <f aca="false">IF(J5="","",MAX(0,J5-1.96*O5/100))</f>
        <v>0.239679657874244</v>
      </c>
      <c r="Q5" s="47" t="n">
        <f aca="false">IF(J5="","",MIN(1,J5+1.96*O5/100))</f>
        <v>0.326191252824253</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189</v>
      </c>
      <c r="B6" s="32" t="s">
        <v>199</v>
      </c>
      <c r="C6" s="32" t="s">
        <v>191</v>
      </c>
      <c r="D6" s="66" t="n">
        <v>32</v>
      </c>
      <c r="E6" s="66" t="n">
        <v>33</v>
      </c>
      <c r="F6" s="77" t="n">
        <f aca="false">IF(E6="","",D6-E6)</f>
        <v>-1</v>
      </c>
      <c r="G6" s="66" t="n">
        <v>44</v>
      </c>
      <c r="H6" s="66" t="n">
        <v>61</v>
      </c>
      <c r="I6" s="77" t="n">
        <f aca="false">IF(H6="","",G6-H6)</f>
        <v>-17</v>
      </c>
      <c r="J6" s="47" t="n">
        <f aca="false">IF(OR(D6="",D6+G6=0),"",D6/(D6+G6))</f>
        <v>0.421052631578947</v>
      </c>
      <c r="K6" s="47" t="n">
        <f aca="false">IF(E6="","",E6/(E6+H6))</f>
        <v>0.351063829787234</v>
      </c>
      <c r="L6" s="78" t="n">
        <f aca="false">IF(OR(K6="",J6=""),"",(J6-K6)*100)</f>
        <v>6.99888017917133</v>
      </c>
      <c r="M6" s="36" t="n">
        <v>2.87797162549907</v>
      </c>
      <c r="N6" s="36" t="n">
        <v>1.2490124826858</v>
      </c>
      <c r="O6" s="36" t="n">
        <f aca="false">SQRT(M6^2+N6^2)</f>
        <v>3.1373161872981</v>
      </c>
      <c r="P6" s="47" t="n">
        <f aca="false">IF(J6="","",MAX(0,J6-1.96*O6/100))</f>
        <v>0.359561234307905</v>
      </c>
      <c r="Q6" s="47" t="n">
        <f aca="false">IF(J6="","",MIN(1,J6+1.96*O6/100))</f>
        <v>0.48254402884999</v>
      </c>
      <c r="R6" s="32" t="str">
        <f aca="false">IF(L6="","",IF(ABS(L6)&lt;=O6,"Yes","No"))</f>
        <v>No</v>
      </c>
      <c r="S6" s="32" t="str">
        <f aca="false">IF(L6="","",IF(ABS(L6)&lt;=1.96*O6,"Yes","No"))</f>
        <v>No</v>
      </c>
      <c r="T6" s="66" t="n">
        <f aca="false">IF(D6="","",ROUND(SQRT(((D6+G6)*O6/100)^2+(J6*(D6+G6)*0.0534)^2),0))</f>
        <v>3</v>
      </c>
      <c r="U6" s="32"/>
    </row>
    <row r="7" customFormat="false" ht="15" hidden="false" customHeight="false" outlineLevel="0" collapsed="false">
      <c r="A7" s="32" t="s">
        <v>189</v>
      </c>
      <c r="B7" s="32" t="s">
        <v>200</v>
      </c>
      <c r="C7" s="32" t="s">
        <v>191</v>
      </c>
      <c r="D7" s="66" t="n">
        <v>491</v>
      </c>
      <c r="E7" s="66" t="n">
        <v>560</v>
      </c>
      <c r="F7" s="77" t="n">
        <f aca="false">IF(E7="","",D7-E7)</f>
        <v>-69</v>
      </c>
      <c r="G7" s="66" t="n">
        <v>1238</v>
      </c>
      <c r="H7" s="66" t="n">
        <v>1398</v>
      </c>
      <c r="I7" s="77" t="n">
        <f aca="false">IF(H7="","",G7-H7)</f>
        <v>-160</v>
      </c>
      <c r="J7" s="47" t="n">
        <f aca="false">IF(OR(D7="",D7+G7=0),"",D7/(D7+G7))</f>
        <v>0.283979178716021</v>
      </c>
      <c r="K7" s="47" t="n">
        <f aca="false">IF(E7="","",E7/(E7+H7))</f>
        <v>0.286006128702758</v>
      </c>
      <c r="L7" s="78" t="n">
        <f aca="false">IF(OR(K7="",J7=""),"",(J7-K7)*100)</f>
        <v>-0.202694998673714</v>
      </c>
      <c r="M7" s="36" t="n">
        <v>1.81947821335184</v>
      </c>
      <c r="N7" s="36" t="n">
        <v>1.2490124826858</v>
      </c>
      <c r="O7" s="36" t="n">
        <f aca="false">SQRT(M7^2+N7^2)</f>
        <v>2.20692844260228</v>
      </c>
      <c r="P7" s="47" t="n">
        <f aca="false">IF(J7="","",MAX(0,J7-1.96*O7/100))</f>
        <v>0.240723381241016</v>
      </c>
      <c r="Q7" s="47" t="n">
        <f aca="false">IF(J7="","",MIN(1,J7+1.96*O7/100))</f>
        <v>0.327234976191026</v>
      </c>
      <c r="R7" s="32" t="str">
        <f aca="false">IF(L7="","",IF(ABS(L7)&lt;=O7,"Yes","No"))</f>
        <v>Yes</v>
      </c>
      <c r="S7" s="32" t="str">
        <f aca="false">IF(L7="","",IF(ABS(L7)&lt;=1.96*O7,"Yes","No"))</f>
        <v>Yes</v>
      </c>
      <c r="T7" s="66" t="n">
        <f aca="false">IF(D7="","",ROUND(SQRT(((D7+G7)*O7/100)^2+(J7*(D7+G7)*0.03811)^2),0))</f>
        <v>42</v>
      </c>
      <c r="U7" s="32"/>
    </row>
    <row r="8" customFormat="false" ht="15" hidden="false" customHeight="false" outlineLevel="0" collapsed="false">
      <c r="A8" s="32" t="s">
        <v>189</v>
      </c>
      <c r="B8" s="32" t="s">
        <v>201</v>
      </c>
      <c r="C8" s="32" t="s">
        <v>191</v>
      </c>
      <c r="D8" s="66" t="n">
        <v>813</v>
      </c>
      <c r="E8" s="66" t="n">
        <v>979</v>
      </c>
      <c r="F8" s="77" t="n">
        <f aca="false">IF(E8="","",D8-E8)</f>
        <v>-166</v>
      </c>
      <c r="G8" s="66" t="n">
        <v>1038</v>
      </c>
      <c r="H8" s="66" t="n">
        <v>1157</v>
      </c>
      <c r="I8" s="77" t="n">
        <f aca="false">IF(H8="","",G8-H8)</f>
        <v>-119</v>
      </c>
      <c r="J8" s="47" t="n">
        <f aca="false">IF(OR(D8="",D8+G8=0),"",D8/(D8+G8))</f>
        <v>0.439222042139384</v>
      </c>
      <c r="K8" s="47" t="n">
        <f aca="false">IF(E8="","",E8/(E8+H8))</f>
        <v>0.458333333333333</v>
      </c>
      <c r="L8" s="78" t="n">
        <f aca="false">IF(OR(K8="",J8=""),"",(J8-K8)*100)</f>
        <v>-1.91112911939492</v>
      </c>
      <c r="M8" s="36" t="n">
        <v>1.81947821335184</v>
      </c>
      <c r="N8" s="36" t="n">
        <v>1.2490124826858</v>
      </c>
      <c r="O8" s="36" t="n">
        <f aca="false">SQRT(M8^2+N8^2)</f>
        <v>2.20692844260228</v>
      </c>
      <c r="P8" s="47" t="n">
        <f aca="false">IF(J8="","",MAX(0,J8-1.96*O8/100))</f>
        <v>0.395966244664379</v>
      </c>
      <c r="Q8" s="47" t="n">
        <f aca="false">IF(J8="","",MIN(1,J8+1.96*O8/100))</f>
        <v>0.482477839614389</v>
      </c>
      <c r="R8" s="32" t="str">
        <f aca="false">IF(L8="","",IF(ABS(L8)&lt;=O8,"Yes","No"))</f>
        <v>Yes</v>
      </c>
      <c r="S8" s="32" t="str">
        <f aca="false">IF(L8="","",IF(ABS(L8)&lt;=1.96*O8,"Yes","No"))</f>
        <v>Yes</v>
      </c>
      <c r="T8" s="66" t="n">
        <f aca="false">IF(D8="","",ROUND(SQRT(((D8+G8)*O8/100)^2+(J8*(D8+G8)*0.03811)^2),0))</f>
        <v>51</v>
      </c>
      <c r="U8" s="32"/>
    </row>
    <row r="9" customFormat="false" ht="15" hidden="false" customHeight="false" outlineLevel="0" collapsed="false">
      <c r="A9" s="32" t="s">
        <v>189</v>
      </c>
      <c r="B9" s="32" t="s">
        <v>202</v>
      </c>
      <c r="C9" s="32" t="s">
        <v>191</v>
      </c>
      <c r="D9" s="66" t="n">
        <v>259</v>
      </c>
      <c r="E9" s="66" t="n">
        <v>277</v>
      </c>
      <c r="F9" s="77" t="n">
        <f aca="false">IF(E9="","",D9-E9)</f>
        <v>-18</v>
      </c>
      <c r="G9" s="66" t="n">
        <v>550</v>
      </c>
      <c r="H9" s="66" t="n">
        <v>560</v>
      </c>
      <c r="I9" s="77" t="n">
        <f aca="false">IF(H9="","",G9-H9)</f>
        <v>-10</v>
      </c>
      <c r="J9" s="47" t="n">
        <f aca="false">IF(OR(D9="",D9+G9=0),"",D9/(D9+G9))</f>
        <v>0.320148331273177</v>
      </c>
      <c r="K9" s="47" t="n">
        <f aca="false">IF(E9="","",E9/(E9+H9))</f>
        <v>0.330943847072879</v>
      </c>
      <c r="L9" s="78" t="n">
        <f aca="false">IF(OR(K9="",J9=""),"",(J9-K9)*100)</f>
        <v>-1.07955157997026</v>
      </c>
      <c r="M9" s="36" t="n">
        <v>2.87797162549907</v>
      </c>
      <c r="N9" s="36" t="n">
        <v>1.2490124826858</v>
      </c>
      <c r="O9" s="36" t="n">
        <f aca="false">SQRT(M9^2+N9^2)</f>
        <v>3.1373161872981</v>
      </c>
      <c r="P9" s="47" t="n">
        <f aca="false">IF(J9="","",MAX(0,J9-1.96*O9/100))</f>
        <v>0.258656934002134</v>
      </c>
      <c r="Q9" s="47" t="n">
        <f aca="false">IF(J9="","",MIN(1,J9+1.96*O9/100))</f>
        <v>0.38163972854422</v>
      </c>
      <c r="R9" s="32" t="str">
        <f aca="false">IF(L9="","",IF(ABS(L9)&lt;=O9,"Yes","No"))</f>
        <v>Yes</v>
      </c>
      <c r="S9" s="32" t="str">
        <f aca="false">IF(L9="","",IF(ABS(L9)&lt;=1.96*O9,"Yes","No"))</f>
        <v>Yes</v>
      </c>
      <c r="T9" s="66" t="n">
        <f aca="false">IF(D9="","",ROUND(SQRT(((D9+G9)*O9/100)^2+(J9*(D9+G9)*0.0534)^2),0))</f>
        <v>29</v>
      </c>
      <c r="U9" s="32"/>
    </row>
    <row r="10" customFormat="false" ht="15" hidden="false" customHeight="false" outlineLevel="0" collapsed="false">
      <c r="A10" s="32" t="s">
        <v>189</v>
      </c>
      <c r="B10" s="32" t="s">
        <v>203</v>
      </c>
      <c r="C10" s="32" t="s">
        <v>191</v>
      </c>
      <c r="D10" s="66" t="n">
        <v>396</v>
      </c>
      <c r="E10" s="66" t="n">
        <v>420</v>
      </c>
      <c r="F10" s="77" t="n">
        <f aca="false">IF(E10="","",D10-E10)</f>
        <v>-24</v>
      </c>
      <c r="G10" s="66" t="n">
        <v>515</v>
      </c>
      <c r="H10" s="66" t="n">
        <v>580</v>
      </c>
      <c r="I10" s="77" t="n">
        <f aca="false">IF(H10="","",G10-H10)</f>
        <v>-65</v>
      </c>
      <c r="J10" s="47" t="n">
        <f aca="false">IF(OR(D10="",D10+G10=0),"",D10/(D10+G10))</f>
        <v>0.434687156970362</v>
      </c>
      <c r="K10" s="47" t="n">
        <f aca="false">IF(E10="","",E10/(E10+H10))</f>
        <v>0.42</v>
      </c>
      <c r="L10" s="78" t="n">
        <f aca="false">IF(OR(K10="",J10=""),"",(J10-K10)*100)</f>
        <v>1.46871569703623</v>
      </c>
      <c r="M10" s="36" t="n">
        <v>2.87797162549907</v>
      </c>
      <c r="N10" s="36" t="n">
        <v>1.2490124826858</v>
      </c>
      <c r="O10" s="36" t="n">
        <f aca="false">SQRT(M10^2+N10^2)</f>
        <v>3.1373161872981</v>
      </c>
      <c r="P10" s="47" t="n">
        <f aca="false">IF(J10="","",MAX(0,J10-1.96*O10/100))</f>
        <v>0.37319575969932</v>
      </c>
      <c r="Q10" s="47" t="n">
        <f aca="false">IF(J10="","",MIN(1,J10+1.96*O10/100))</f>
        <v>0.496178554241405</v>
      </c>
      <c r="R10" s="32" t="str">
        <f aca="false">IF(L10="","",IF(ABS(L10)&lt;=O10,"Yes","No"))</f>
        <v>Yes</v>
      </c>
      <c r="S10" s="32" t="str">
        <f aca="false">IF(L10="","",IF(ABS(L10)&lt;=1.96*O10,"Yes","No"))</f>
        <v>Yes</v>
      </c>
      <c r="T10" s="66" t="n">
        <f aca="false">IF(D10="","",ROUND(SQRT(((D10+G10)*O10/100)^2+(J10*(D10+G10)*0.0534)^2),0))</f>
        <v>36</v>
      </c>
      <c r="U10" s="32"/>
    </row>
    <row r="11" customFormat="false" ht="15" hidden="false" customHeight="false" outlineLevel="0" collapsed="false">
      <c r="A11" s="32" t="s">
        <v>189</v>
      </c>
      <c r="B11" s="32" t="s">
        <v>204</v>
      </c>
      <c r="C11" s="32" t="s">
        <v>191</v>
      </c>
      <c r="D11" s="66" t="n">
        <v>28</v>
      </c>
      <c r="E11" s="66" t="n">
        <v>36</v>
      </c>
      <c r="F11" s="77" t="n">
        <f aca="false">IF(E11="","",D11-E11)</f>
        <v>-8</v>
      </c>
      <c r="G11" s="66" t="n">
        <v>63</v>
      </c>
      <c r="H11" s="66" t="n">
        <v>79</v>
      </c>
      <c r="I11" s="77" t="n">
        <f aca="false">IF(H11="","",G11-H11)</f>
        <v>-16</v>
      </c>
      <c r="J11" s="47" t="n">
        <f aca="false">IF(OR(D11="",D11+G11=0),"",D11/(D11+G11))</f>
        <v>0.307692307692308</v>
      </c>
      <c r="K11" s="47" t="n">
        <f aca="false">IF(E11="","",E11/(E11+H11))</f>
        <v>0.31304347826087</v>
      </c>
      <c r="L11" s="78" t="n">
        <f aca="false">IF(OR(K11="",J11=""),"",(J11-K11)*100)</f>
        <v>-0.535117056856188</v>
      </c>
      <c r="M11" s="36" t="n">
        <v>2.87797162549907</v>
      </c>
      <c r="N11" s="36" t="n">
        <v>1.2490124826858</v>
      </c>
      <c r="O11" s="36" t="n">
        <f aca="false">SQRT(M11^2+N11^2)</f>
        <v>3.1373161872981</v>
      </c>
      <c r="P11" s="47" t="n">
        <f aca="false">IF(J11="","",MAX(0,J11-1.96*O11/100))</f>
        <v>0.246200910421265</v>
      </c>
      <c r="Q11" s="47" t="n">
        <f aca="false">IF(J11="","",MIN(1,J11+1.96*O11/100))</f>
        <v>0.36918370496335</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189</v>
      </c>
      <c r="B12" s="32" t="s">
        <v>205</v>
      </c>
      <c r="C12" s="32" t="s">
        <v>191</v>
      </c>
      <c r="D12" s="66" t="n">
        <v>40</v>
      </c>
      <c r="E12" s="66" t="n">
        <v>52</v>
      </c>
      <c r="F12" s="77" t="n">
        <f aca="false">IF(E12="","",D12-E12)</f>
        <v>-12</v>
      </c>
      <c r="G12" s="66" t="n">
        <v>159</v>
      </c>
      <c r="H12" s="66" t="n">
        <v>189</v>
      </c>
      <c r="I12" s="77" t="n">
        <f aca="false">IF(H12="","",G12-H12)</f>
        <v>-30</v>
      </c>
      <c r="J12" s="47" t="n">
        <f aca="false">IF(OR(D12="",D12+G12=0),"",D12/(D12+G12))</f>
        <v>0.201005025125628</v>
      </c>
      <c r="K12" s="47" t="n">
        <f aca="false">IF(E12="","",E12/(E12+H12))</f>
        <v>0.215767634854772</v>
      </c>
      <c r="L12" s="78" t="n">
        <f aca="false">IF(OR(K12="",J12=""),"",(J12-K12)*100)</f>
        <v>-1.47626097291436</v>
      </c>
      <c r="M12" s="36" t="n">
        <v>2.87797162549907</v>
      </c>
      <c r="N12" s="36" t="n">
        <v>1.2490124826858</v>
      </c>
      <c r="O12" s="36" t="n">
        <f aca="false">SQRT(M12^2+N12^2)</f>
        <v>3.1373161872981</v>
      </c>
      <c r="P12" s="47" t="n">
        <f aca="false">IF(J12="","",MAX(0,J12-1.96*O12/100))</f>
        <v>0.139513627854585</v>
      </c>
      <c r="Q12" s="47" t="n">
        <f aca="false">IF(J12="","",MIN(1,J12+1.96*O12/100))</f>
        <v>0.262496422396671</v>
      </c>
      <c r="R12" s="32" t="str">
        <f aca="false">IF(L12="","",IF(ABS(L12)&lt;=O12,"Yes","No"))</f>
        <v>Yes</v>
      </c>
      <c r="S12" s="32" t="str">
        <f aca="false">IF(L12="","",IF(ABS(L12)&lt;=1.96*O12,"Yes","No"))</f>
        <v>Yes</v>
      </c>
      <c r="T12" s="66" t="n">
        <f aca="false">IF(D12="","",ROUND(SQRT(((D12+G12)*O12/100)^2+(J12*(D12+G12)*0.0534)^2),0))</f>
        <v>7</v>
      </c>
      <c r="U12" s="32"/>
    </row>
    <row r="13" customFormat="false" ht="15" hidden="false" customHeight="false" outlineLevel="0" collapsed="false">
      <c r="A13" s="32" t="s">
        <v>189</v>
      </c>
      <c r="B13" s="32" t="s">
        <v>206</v>
      </c>
      <c r="C13" s="32" t="s">
        <v>191</v>
      </c>
      <c r="D13" s="66" t="n">
        <v>599</v>
      </c>
      <c r="E13" s="66" t="n">
        <v>719</v>
      </c>
      <c r="F13" s="77" t="n">
        <f aca="false">IF(E13="","",D13-E13)</f>
        <v>-120</v>
      </c>
      <c r="G13" s="66" t="n">
        <v>877</v>
      </c>
      <c r="H13" s="66" t="n">
        <v>948</v>
      </c>
      <c r="I13" s="77" t="n">
        <f aca="false">IF(H13="","",G13-H13)</f>
        <v>-71</v>
      </c>
      <c r="J13" s="47" t="n">
        <f aca="false">IF(OR(D13="",D13+G13=0),"",D13/(D13+G13))</f>
        <v>0.405826558265583</v>
      </c>
      <c r="K13" s="47" t="n">
        <f aca="false">IF(E13="","",E13/(E13+H13))</f>
        <v>0.43131373725255</v>
      </c>
      <c r="L13" s="78" t="n">
        <f aca="false">IF(OR(K13="",J13=""),"",(J13-K13)*100)</f>
        <v>-2.54871789869668</v>
      </c>
      <c r="M13" s="36" t="n">
        <v>1.81947821335184</v>
      </c>
      <c r="N13" s="36" t="n">
        <v>1.2490124826858</v>
      </c>
      <c r="O13" s="36" t="n">
        <f aca="false">SQRT(M13^2+N13^2)</f>
        <v>2.20692844260228</v>
      </c>
      <c r="P13" s="47" t="n">
        <f aca="false">IF(J13="","",MAX(0,J13-1.96*O13/100))</f>
        <v>0.362570760790578</v>
      </c>
      <c r="Q13" s="47" t="n">
        <f aca="false">IF(J13="","",MIN(1,J13+1.96*O13/100))</f>
        <v>0.449082355740587</v>
      </c>
      <c r="R13" s="32" t="str">
        <f aca="false">IF(L13="","",IF(ABS(L13)&lt;=O13,"Yes","No"))</f>
        <v>No</v>
      </c>
      <c r="S13" s="32" t="str">
        <f aca="false">IF(L13="","",IF(ABS(L13)&lt;=1.96*O13,"Yes","No"))</f>
        <v>Yes</v>
      </c>
      <c r="T13" s="66" t="n">
        <f aca="false">IF(D13="","",ROUND(SQRT(((D13+G13)*O13/100)^2+(J13*(D13+G13)*0.03811)^2),0))</f>
        <v>40</v>
      </c>
      <c r="U13" s="32"/>
    </row>
    <row r="14" customFormat="false" ht="15" hidden="false" customHeight="false" outlineLevel="0" collapsed="false">
      <c r="A14" s="32" t="s">
        <v>189</v>
      </c>
      <c r="B14" s="32" t="s">
        <v>207</v>
      </c>
      <c r="C14" s="32" t="s">
        <v>191</v>
      </c>
      <c r="D14" s="66" t="n">
        <v>365</v>
      </c>
      <c r="E14" s="66" t="n">
        <v>430</v>
      </c>
      <c r="F14" s="77" t="n">
        <f aca="false">IF(E14="","",D14-E14)</f>
        <v>-65</v>
      </c>
      <c r="G14" s="66" t="n">
        <v>791</v>
      </c>
      <c r="H14" s="66" t="n">
        <v>916</v>
      </c>
      <c r="I14" s="77" t="n">
        <f aca="false">IF(H14="","",G14-H14)</f>
        <v>-125</v>
      </c>
      <c r="J14" s="47" t="n">
        <f aca="false">IF(OR(D14="",D14+G14=0),"",D14/(D14+G14))</f>
        <v>0.315743944636678</v>
      </c>
      <c r="K14" s="47" t="n">
        <f aca="false">IF(E14="","",E14/(E14+H14))</f>
        <v>0.319465081723626</v>
      </c>
      <c r="L14" s="78" t="n">
        <f aca="false">IF(OR(K14="",J14=""),"",(J14-K14)*100)</f>
        <v>-0.372113708694732</v>
      </c>
      <c r="M14" s="36" t="n">
        <v>1.81947821335184</v>
      </c>
      <c r="N14" s="36" t="n">
        <v>1.2490124826858</v>
      </c>
      <c r="O14" s="36" t="n">
        <f aca="false">SQRT(M14^2+N14^2)</f>
        <v>2.20692844260228</v>
      </c>
      <c r="P14" s="47" t="n">
        <f aca="false">IF(J14="","",MAX(0,J14-1.96*O14/100))</f>
        <v>0.272488147161673</v>
      </c>
      <c r="Q14" s="47" t="n">
        <f aca="false">IF(J14="","",MIN(1,J14+1.96*O14/100))</f>
        <v>0.358999742111683</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189</v>
      </c>
      <c r="B15" s="32" t="s">
        <v>208</v>
      </c>
      <c r="C15" s="32" t="s">
        <v>191</v>
      </c>
      <c r="D15" s="66" t="n">
        <v>448</v>
      </c>
      <c r="E15" s="66" t="n">
        <v>546</v>
      </c>
      <c r="F15" s="77" t="n">
        <f aca="false">IF(E15="","",D15-E15)</f>
        <v>-98</v>
      </c>
      <c r="G15" s="66" t="n">
        <v>1111</v>
      </c>
      <c r="H15" s="66" t="n">
        <v>1227</v>
      </c>
      <c r="I15" s="77" t="n">
        <f aca="false">IF(H15="","",G15-H15)</f>
        <v>-116</v>
      </c>
      <c r="J15" s="47" t="n">
        <f aca="false">IF(OR(D15="",D15+G15=0),"",D15/(D15+G15))</f>
        <v>0.287363694676074</v>
      </c>
      <c r="K15" s="47" t="n">
        <f aca="false">IF(E15="","",E15/(E15+H15))</f>
        <v>0.307952622673435</v>
      </c>
      <c r="L15" s="78" t="n">
        <f aca="false">IF(OR(K15="",J15=""),"",(J15-K15)*100)</f>
        <v>-2.05889279973605</v>
      </c>
      <c r="M15" s="36" t="n">
        <v>1.81947821335184</v>
      </c>
      <c r="N15" s="36" t="n">
        <v>1.2490124826858</v>
      </c>
      <c r="O15" s="36" t="n">
        <f aca="false">SQRT(M15^2+N15^2)</f>
        <v>2.20692844260228</v>
      </c>
      <c r="P15" s="47" t="n">
        <f aca="false">IF(J15="","",MAX(0,J15-1.96*O15/100))</f>
        <v>0.24410789720107</v>
      </c>
      <c r="Q15" s="47" t="n">
        <f aca="false">IF(J15="","",MIN(1,J15+1.96*O15/100))</f>
        <v>0.330619492151079</v>
      </c>
      <c r="R15" s="32" t="str">
        <f aca="false">IF(L15="","",IF(ABS(L15)&lt;=O15,"Yes","No"))</f>
        <v>Yes</v>
      </c>
      <c r="S15" s="32" t="str">
        <f aca="false">IF(L15="","",IF(ABS(L15)&lt;=1.96*O15,"Yes","No"))</f>
        <v>Yes</v>
      </c>
      <c r="T15" s="66" t="n">
        <f aca="false">IF(D15="","",ROUND(SQRT(((D15+G15)*O15/100)^2+(J15*(D15+G15)*0.03811)^2),0))</f>
        <v>38</v>
      </c>
      <c r="U15" s="32"/>
    </row>
    <row r="16" customFormat="false" ht="15" hidden="false" customHeight="false" outlineLevel="0" collapsed="false">
      <c r="A16" s="32" t="s">
        <v>189</v>
      </c>
      <c r="B16" s="32" t="s">
        <v>209</v>
      </c>
      <c r="C16" s="32" t="s">
        <v>191</v>
      </c>
      <c r="D16" s="66" t="n">
        <v>415</v>
      </c>
      <c r="E16" s="66" t="n">
        <v>488</v>
      </c>
      <c r="F16" s="77" t="n">
        <f aca="false">IF(E16="","",D16-E16)</f>
        <v>-73</v>
      </c>
      <c r="G16" s="66" t="n">
        <v>608</v>
      </c>
      <c r="H16" s="66" t="n">
        <v>706</v>
      </c>
      <c r="I16" s="77" t="n">
        <f aca="false">IF(H16="","",G16-H16)</f>
        <v>-98</v>
      </c>
      <c r="J16" s="47" t="n">
        <f aca="false">IF(OR(D16="",D16+G16=0),"",D16/(D16+G16))</f>
        <v>0.405669599217986</v>
      </c>
      <c r="K16" s="47" t="n">
        <f aca="false">IF(E16="","",E16/(E16+H16))</f>
        <v>0.408710217755444</v>
      </c>
      <c r="L16" s="78" t="n">
        <f aca="false">IF(OR(K16="",J16=""),"",(J16-K16)*100)</f>
        <v>-0.304061853745757</v>
      </c>
      <c r="M16" s="36" t="n">
        <v>2.87797162549907</v>
      </c>
      <c r="N16" s="36" t="n">
        <v>1.2490124826858</v>
      </c>
      <c r="O16" s="36" t="n">
        <f aca="false">SQRT(M16^2+N16^2)</f>
        <v>3.1373161872981</v>
      </c>
      <c r="P16" s="47" t="n">
        <f aca="false">IF(J16="","",MAX(0,J16-1.96*O16/100))</f>
        <v>0.344178201946944</v>
      </c>
      <c r="Q16" s="47" t="n">
        <f aca="false">IF(J16="","",MIN(1,J16+1.96*O16/100))</f>
        <v>0.467160996489029</v>
      </c>
      <c r="R16" s="32" t="str">
        <f aca="false">IF(L16="","",IF(ABS(L16)&lt;=O16,"Yes","No"))</f>
        <v>Yes</v>
      </c>
      <c r="S16" s="32" t="str">
        <f aca="false">IF(L16="","",IF(ABS(L16)&lt;=1.96*O16,"Yes","No"))</f>
        <v>Yes</v>
      </c>
      <c r="T16" s="66" t="n">
        <f aca="false">IF(D16="","",ROUND(SQRT(((D16+G16)*O16/100)^2+(J16*(D16+G16)*0.0534)^2),0))</f>
        <v>39</v>
      </c>
      <c r="U16" s="32"/>
    </row>
    <row r="17" customFormat="false" ht="15" hidden="false" customHeight="false" outlineLevel="0" collapsed="false">
      <c r="A17" s="32" t="s">
        <v>189</v>
      </c>
      <c r="B17" s="32" t="s">
        <v>210</v>
      </c>
      <c r="C17" s="32" t="s">
        <v>191</v>
      </c>
      <c r="D17" s="66" t="n">
        <v>96</v>
      </c>
      <c r="E17" s="66" t="n">
        <v>96</v>
      </c>
      <c r="F17" s="77" t="n">
        <f aca="false">IF(E17="","",D17-E17)</f>
        <v>0</v>
      </c>
      <c r="G17" s="66" t="n">
        <v>396</v>
      </c>
      <c r="H17" s="66" t="n">
        <v>444</v>
      </c>
      <c r="I17" s="77" t="n">
        <f aca="false">IF(H17="","",G17-H17)</f>
        <v>-48</v>
      </c>
      <c r="J17" s="47" t="n">
        <f aca="false">IF(OR(D17="",D17+G17=0),"",D17/(D17+G17))</f>
        <v>0.195121951219512</v>
      </c>
      <c r="K17" s="47" t="n">
        <f aca="false">IF(E17="","",E17/(E17+H17))</f>
        <v>0.177777777777778</v>
      </c>
      <c r="L17" s="78" t="n">
        <f aca="false">IF(OR(K17="",J17=""),"",(J17-K17)*100)</f>
        <v>1.73441734417344</v>
      </c>
      <c r="M17" s="36" t="n">
        <v>2.87797162549907</v>
      </c>
      <c r="N17" s="36" t="n">
        <v>1.2490124826858</v>
      </c>
      <c r="O17" s="36" t="n">
        <f aca="false">SQRT(M17^2+N17^2)</f>
        <v>3.1373161872981</v>
      </c>
      <c r="P17" s="47" t="n">
        <f aca="false">IF(J17="","",MAX(0,J17-1.96*O17/100))</f>
        <v>0.133630553948469</v>
      </c>
      <c r="Q17" s="47" t="n">
        <f aca="false">IF(J17="","",MIN(1,J17+1.96*O17/100))</f>
        <v>0.256613348490555</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189</v>
      </c>
      <c r="B18" s="32" t="s">
        <v>211</v>
      </c>
      <c r="C18" s="32" t="s">
        <v>191</v>
      </c>
      <c r="D18" s="66" t="n">
        <v>638</v>
      </c>
      <c r="E18" s="66" t="n">
        <v>737</v>
      </c>
      <c r="F18" s="77" t="n">
        <f aca="false">IF(E18="","",D18-E18)</f>
        <v>-99</v>
      </c>
      <c r="G18" s="66" t="n">
        <v>1096</v>
      </c>
      <c r="H18" s="66" t="n">
        <v>1172</v>
      </c>
      <c r="I18" s="77" t="n">
        <f aca="false">IF(H18="","",G18-H18)</f>
        <v>-76</v>
      </c>
      <c r="J18" s="47" t="n">
        <f aca="false">IF(OR(D18="",D18+G18=0),"",D18/(D18+G18))</f>
        <v>0.367935409457901</v>
      </c>
      <c r="K18" s="47" t="n">
        <f aca="false">IF(E18="","",E18/(E18+H18))</f>
        <v>0.386066003143007</v>
      </c>
      <c r="L18" s="78" t="n">
        <f aca="false">IF(OR(K18="",J18=""),"",(J18-K18)*100)</f>
        <v>-1.8130593685106</v>
      </c>
      <c r="M18" s="36" t="n">
        <v>1.81947821335184</v>
      </c>
      <c r="N18" s="36" t="n">
        <v>1.2490124826858</v>
      </c>
      <c r="O18" s="36" t="n">
        <f aca="false">SQRT(M18^2+N18^2)</f>
        <v>2.20692844260228</v>
      </c>
      <c r="P18" s="47" t="n">
        <f aca="false">IF(J18="","",MAX(0,J18-1.96*O18/100))</f>
        <v>0.324679611982896</v>
      </c>
      <c r="Q18" s="47" t="n">
        <f aca="false">IF(J18="","",MIN(1,J18+1.96*O18/100))</f>
        <v>0.411191206932906</v>
      </c>
      <c r="R18" s="32" t="str">
        <f aca="false">IF(L18="","",IF(ABS(L18)&lt;=O18,"Yes","No"))</f>
        <v>Yes</v>
      </c>
      <c r="S18" s="32" t="str">
        <f aca="false">IF(L18="","",IF(ABS(L18)&lt;=1.96*O18,"Yes","No"))</f>
        <v>Yes</v>
      </c>
      <c r="T18" s="66" t="n">
        <f aca="false">IF(D18="","",ROUND(SQRT(((D18+G18)*O18/100)^2+(J18*(D18+G18)*0.03811)^2),0))</f>
        <v>45</v>
      </c>
      <c r="U18" s="32"/>
    </row>
    <row r="19" customFormat="false" ht="15" hidden="false" customHeight="false" outlineLevel="0" collapsed="false">
      <c r="A19" s="32" t="s">
        <v>189</v>
      </c>
      <c r="B19" s="32" t="s">
        <v>212</v>
      </c>
      <c r="C19" s="32" t="s">
        <v>191</v>
      </c>
      <c r="D19" s="66" t="n">
        <v>49</v>
      </c>
      <c r="E19" s="66" t="n">
        <v>51</v>
      </c>
      <c r="F19" s="77" t="n">
        <f aca="false">IF(E19="","",D19-E19)</f>
        <v>-2</v>
      </c>
      <c r="G19" s="66" t="n">
        <v>126</v>
      </c>
      <c r="H19" s="66" t="n">
        <v>136</v>
      </c>
      <c r="I19" s="77" t="n">
        <f aca="false">IF(H19="","",G19-H19)</f>
        <v>-10</v>
      </c>
      <c r="J19" s="47" t="n">
        <f aca="false">IF(OR(D19="",D19+G19=0),"",D19/(D19+G19))</f>
        <v>0.28</v>
      </c>
      <c r="K19" s="47" t="n">
        <f aca="false">IF(E19="","",E19/(E19+H19))</f>
        <v>0.272727272727273</v>
      </c>
      <c r="L19" s="78" t="n">
        <f aca="false">IF(OR(K19="",J19=""),"",(J19-K19)*100)</f>
        <v>0.727272727272732</v>
      </c>
      <c r="M19" s="36" t="n">
        <v>2.87797162549907</v>
      </c>
      <c r="N19" s="36" t="n">
        <v>1.2490124826858</v>
      </c>
      <c r="O19" s="36" t="n">
        <f aca="false">SQRT(M19^2+N19^2)</f>
        <v>3.1373161872981</v>
      </c>
      <c r="P19" s="47" t="n">
        <f aca="false">IF(J19="","",MAX(0,J19-1.96*O19/100))</f>
        <v>0.218508602728957</v>
      </c>
      <c r="Q19" s="47" t="n">
        <f aca="false">IF(J19="","",MIN(1,J19+1.96*O19/100))</f>
        <v>0.341491397271043</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189</v>
      </c>
      <c r="B20" s="32" t="s">
        <v>213</v>
      </c>
      <c r="C20" s="32" t="s">
        <v>191</v>
      </c>
      <c r="D20" s="66" t="n">
        <v>1384</v>
      </c>
      <c r="E20" s="66" t="n">
        <v>1574</v>
      </c>
      <c r="F20" s="77" t="n">
        <f aca="false">IF(E20="","",D20-E20)</f>
        <v>-190</v>
      </c>
      <c r="G20" s="66" t="n">
        <v>2260</v>
      </c>
      <c r="H20" s="66" t="n">
        <v>2750</v>
      </c>
      <c r="I20" s="77" t="n">
        <f aca="false">IF(H20="","",G20-H20)</f>
        <v>-490</v>
      </c>
      <c r="J20" s="47" t="n">
        <f aca="false">IF(OR(D20="",D20+G20=0),"",D20/(D20+G20))</f>
        <v>0.37980241492865</v>
      </c>
      <c r="K20" s="47" t="n">
        <f aca="false">IF(E20="","",E20/(E20+H20))</f>
        <v>0.364014801110083</v>
      </c>
      <c r="L20" s="78" t="n">
        <f aca="false">IF(OR(K20="",J20=""),"",(J20-K20)*100)</f>
        <v>1.57876138185666</v>
      </c>
      <c r="M20" s="36" t="n">
        <v>1.16279598640173</v>
      </c>
      <c r="N20" s="36" t="n">
        <v>1.2490124826858</v>
      </c>
      <c r="O20" s="36" t="n">
        <f aca="false">SQRT(M20^2+N20^2)</f>
        <v>1.70649544033874</v>
      </c>
      <c r="P20" s="47" t="n">
        <f aca="false">IF(J20="","",MAX(0,J20-1.96*O20/100))</f>
        <v>0.346355104298011</v>
      </c>
      <c r="Q20" s="47" t="n">
        <f aca="false">IF(J20="","",MIN(1,J20+1.96*O20/100))</f>
        <v>0.413249725559289</v>
      </c>
      <c r="R20" s="32" t="str">
        <f aca="false">IF(L20="","",IF(ABS(L20)&lt;=O20,"Yes","No"))</f>
        <v>Yes</v>
      </c>
      <c r="S20" s="32" t="str">
        <f aca="false">IF(L20="","",IF(ABS(L20)&lt;=1.96*O20,"Yes","No"))</f>
        <v>Yes</v>
      </c>
      <c r="T20" s="66" t="n">
        <f aca="false">IF(D20="","",ROUND(SQRT(((D20+G20)*O20/100)^2+(J20*(D20+G20)*0.02225)^2),0))</f>
        <v>69</v>
      </c>
      <c r="U20" s="32"/>
    </row>
    <row r="21" customFormat="false" ht="15" hidden="false" customHeight="false" outlineLevel="0" collapsed="false">
      <c r="A21" s="32" t="s">
        <v>189</v>
      </c>
      <c r="B21" s="32" t="s">
        <v>215</v>
      </c>
      <c r="C21" s="32" t="s">
        <v>191</v>
      </c>
      <c r="D21" s="66" t="n">
        <v>501</v>
      </c>
      <c r="E21" s="66" t="n">
        <v>557</v>
      </c>
      <c r="F21" s="77" t="n">
        <f aca="false">IF(E21="","",D21-E21)</f>
        <v>-56</v>
      </c>
      <c r="G21" s="66" t="n">
        <v>643</v>
      </c>
      <c r="H21" s="66" t="n">
        <v>678</v>
      </c>
      <c r="I21" s="77" t="n">
        <f aca="false">IF(H21="","",G21-H21)</f>
        <v>-35</v>
      </c>
      <c r="J21" s="47" t="n">
        <f aca="false">IF(OR(D21="",D21+G21=0),"",D21/(D21+G21))</f>
        <v>0.437937062937063</v>
      </c>
      <c r="K21" s="47" t="n">
        <f aca="false">IF(E21="","",E21/(E21+H21))</f>
        <v>0.451012145748988</v>
      </c>
      <c r="L21" s="78" t="n">
        <f aca="false">IF(OR(K21="",J21=""),"",(J21-K21)*100)</f>
        <v>-1.30750828119249</v>
      </c>
      <c r="M21" s="36" t="n">
        <v>1.81947821335184</v>
      </c>
      <c r="N21" s="36" t="n">
        <v>1.2490124826858</v>
      </c>
      <c r="O21" s="36" t="n">
        <f aca="false">SQRT(M21^2+N21^2)</f>
        <v>2.20692844260228</v>
      </c>
      <c r="P21" s="47" t="n">
        <f aca="false">IF(J21="","",MAX(0,J21-1.96*O21/100))</f>
        <v>0.394681265462058</v>
      </c>
      <c r="Q21" s="47" t="n">
        <f aca="false">IF(J21="","",MIN(1,J21+1.96*O21/100))</f>
        <v>0.481192860412068</v>
      </c>
      <c r="R21" s="32" t="str">
        <f aca="false">IF(L21="","",IF(ABS(L21)&lt;=O21,"Yes","No"))</f>
        <v>Yes</v>
      </c>
      <c r="S21" s="32" t="str">
        <f aca="false">IF(L21="","",IF(ABS(L21)&lt;=1.96*O21,"Yes","No"))</f>
        <v>Yes</v>
      </c>
      <c r="T21" s="66" t="n">
        <f aca="false">IF(D21="","",ROUND(SQRT(((D21+G21)*O21/100)^2+(J21*(D21+G21)*0.03811)^2),0))</f>
        <v>32</v>
      </c>
      <c r="U21" s="32"/>
    </row>
    <row r="22" customFormat="false" ht="15" hidden="false" customHeight="false" outlineLevel="0" collapsed="false">
      <c r="A22" s="32" t="s">
        <v>189</v>
      </c>
      <c r="B22" s="32" t="s">
        <v>216</v>
      </c>
      <c r="C22" s="32" t="s">
        <v>191</v>
      </c>
      <c r="D22" s="66" t="n">
        <v>551</v>
      </c>
      <c r="E22" s="66" t="n">
        <v>625</v>
      </c>
      <c r="F22" s="77" t="n">
        <f aca="false">IF(E22="","",D22-E22)</f>
        <v>-74</v>
      </c>
      <c r="G22" s="66" t="n">
        <v>1296</v>
      </c>
      <c r="H22" s="66" t="n">
        <v>1506</v>
      </c>
      <c r="I22" s="77" t="n">
        <f aca="false">IF(H22="","",G22-H22)</f>
        <v>-210</v>
      </c>
      <c r="J22" s="47" t="n">
        <f aca="false">IF(OR(D22="",D22+G22=0),"",D22/(D22+G22))</f>
        <v>0.298321602598809</v>
      </c>
      <c r="K22" s="47" t="n">
        <f aca="false">IF(E22="","",E22/(E22+H22))</f>
        <v>0.293289535429376</v>
      </c>
      <c r="L22" s="78" t="n">
        <f aca="false">IF(OR(K22="",J22=""),"",(J22-K22)*100)</f>
        <v>0.5032067169433</v>
      </c>
      <c r="M22" s="36" t="n">
        <v>1.81947821335184</v>
      </c>
      <c r="N22" s="36" t="n">
        <v>1.2490124826858</v>
      </c>
      <c r="O22" s="36" t="n">
        <f aca="false">SQRT(M22^2+N22^2)</f>
        <v>2.20692844260228</v>
      </c>
      <c r="P22" s="47" t="n">
        <f aca="false">IF(J22="","",MAX(0,J22-1.96*O22/100))</f>
        <v>0.255065805123804</v>
      </c>
      <c r="Q22" s="47" t="n">
        <f aca="false">IF(J22="","",MIN(1,J22+1.96*O22/100))</f>
        <v>0.341577400073814</v>
      </c>
      <c r="R22" s="32" t="str">
        <f aca="false">IF(L22="","",IF(ABS(L22)&lt;=O22,"Yes","No"))</f>
        <v>Yes</v>
      </c>
      <c r="S22" s="32" t="str">
        <f aca="false">IF(L22="","",IF(ABS(L22)&lt;=1.96*O22,"Yes","No"))</f>
        <v>Yes</v>
      </c>
      <c r="T22" s="66" t="n">
        <f aca="false">IF(D22="","",ROUND(SQRT(((D22+G22)*O22/100)^2+(J22*(D22+G22)*0.03811)^2),0))</f>
        <v>46</v>
      </c>
      <c r="U22" s="32"/>
    </row>
    <row r="23" customFormat="false" ht="15" hidden="false" customHeight="false" outlineLevel="0" collapsed="false">
      <c r="A23" s="32" t="s">
        <v>189</v>
      </c>
      <c r="B23" s="32" t="s">
        <v>217</v>
      </c>
      <c r="C23" s="32" t="s">
        <v>191</v>
      </c>
      <c r="D23" s="66" t="n">
        <v>244</v>
      </c>
      <c r="E23" s="66" t="n">
        <v>245</v>
      </c>
      <c r="F23" s="77" t="n">
        <f aca="false">IF(E23="","",D23-E23)</f>
        <v>-1</v>
      </c>
      <c r="G23" s="66" t="n">
        <v>606</v>
      </c>
      <c r="H23" s="66" t="n">
        <v>656</v>
      </c>
      <c r="I23" s="77" t="n">
        <f aca="false">IF(H23="","",G23-H23)</f>
        <v>-50</v>
      </c>
      <c r="J23" s="47" t="n">
        <f aca="false">IF(OR(D23="",D23+G23=0),"",D23/(D23+G23))</f>
        <v>0.287058823529412</v>
      </c>
      <c r="K23" s="47" t="n">
        <f aca="false">IF(E23="","",E23/(E23+H23))</f>
        <v>0.271920088790233</v>
      </c>
      <c r="L23" s="78" t="n">
        <f aca="false">IF(OR(K23="",J23=""),"",(J23-K23)*100)</f>
        <v>1.51387347391787</v>
      </c>
      <c r="M23" s="36" t="n">
        <v>2.87797162549907</v>
      </c>
      <c r="N23" s="36" t="n">
        <v>1.2490124826858</v>
      </c>
      <c r="O23" s="36" t="n">
        <f aca="false">SQRT(M23^2+N23^2)</f>
        <v>3.1373161872981</v>
      </c>
      <c r="P23" s="47" t="n">
        <f aca="false">IF(J23="","",MAX(0,J23-1.96*O23/100))</f>
        <v>0.225567426258369</v>
      </c>
      <c r="Q23" s="47" t="n">
        <f aca="false">IF(J23="","",MIN(1,J23+1.96*O23/100))</f>
        <v>0.348550220800455</v>
      </c>
      <c r="R23" s="32" t="str">
        <f aca="false">IF(L23="","",IF(ABS(L23)&lt;=O23,"Yes","No"))</f>
        <v>Yes</v>
      </c>
      <c r="S23" s="32" t="str">
        <f aca="false">IF(L23="","",IF(ABS(L23)&lt;=1.96*O23,"Yes","No"))</f>
        <v>Yes</v>
      </c>
      <c r="T23" s="66" t="n">
        <f aca="false">IF(D23="","",ROUND(SQRT(((D23+G23)*O23/100)^2+(J23*(D23+G23)*0.0534)^2),0))</f>
        <v>30</v>
      </c>
      <c r="U23" s="32"/>
    </row>
    <row r="24" customFormat="false" ht="15" hidden="false" customHeight="false" outlineLevel="0" collapsed="false">
      <c r="A24" s="32" t="s">
        <v>189</v>
      </c>
      <c r="B24" s="32" t="s">
        <v>218</v>
      </c>
      <c r="C24" s="32" t="s">
        <v>191</v>
      </c>
      <c r="D24" s="66" t="n">
        <v>39</v>
      </c>
      <c r="E24" s="66" t="n">
        <v>46</v>
      </c>
      <c r="F24" s="77" t="n">
        <f aca="false">IF(E24="","",D24-E24)</f>
        <v>-7</v>
      </c>
      <c r="G24" s="66" t="n">
        <v>53</v>
      </c>
      <c r="H24" s="66" t="n">
        <v>54</v>
      </c>
      <c r="I24" s="77" t="n">
        <f aca="false">IF(H24="","",G24-H24)</f>
        <v>-1</v>
      </c>
      <c r="J24" s="47" t="n">
        <f aca="false">IF(OR(D24="",D24+G24=0),"",D24/(D24+G24))</f>
        <v>0.423913043478261</v>
      </c>
      <c r="K24" s="47" t="n">
        <f aca="false">IF(E24="","",E24/(E24+H24))</f>
        <v>0.46</v>
      </c>
      <c r="L24" s="78" t="n">
        <f aca="false">IF(OR(K24="",J24=""),"",(J24-K24)*100)</f>
        <v>-3.60869565217392</v>
      </c>
      <c r="M24" s="36" t="n">
        <v>2.87797162549907</v>
      </c>
      <c r="N24" s="36" t="n">
        <v>1.2490124826858</v>
      </c>
      <c r="O24" s="36" t="n">
        <f aca="false">SQRT(M24^2+N24^2)</f>
        <v>3.1373161872981</v>
      </c>
      <c r="P24" s="47" t="n">
        <f aca="false">IF(J24="","",MAX(0,J24-1.96*O24/100))</f>
        <v>0.362421646207218</v>
      </c>
      <c r="Q24" s="47" t="n">
        <f aca="false">IF(J24="","",MIN(1,J24+1.96*O24/100))</f>
        <v>0.485404440749304</v>
      </c>
      <c r="R24" s="32" t="str">
        <f aca="false">IF(L24="","",IF(ABS(L24)&lt;=O24,"Yes","No"))</f>
        <v>No</v>
      </c>
      <c r="S24" s="32" t="str">
        <f aca="false">IF(L24="","",IF(ABS(L24)&lt;=1.96*O24,"Yes","No"))</f>
        <v>Yes</v>
      </c>
      <c r="T24" s="66" t="n">
        <f aca="false">IF(D24="","",ROUND(SQRT(((D24+G24)*O24/100)^2+(J24*(D24+G24)*0.0534)^2),0))</f>
        <v>4</v>
      </c>
      <c r="U24" s="32"/>
    </row>
    <row r="25" customFormat="false" ht="15" hidden="false" customHeight="false" outlineLevel="0" collapsed="false">
      <c r="A25" s="32" t="s">
        <v>219</v>
      </c>
      <c r="B25" s="32" t="s">
        <v>220</v>
      </c>
      <c r="C25" s="32" t="s">
        <v>191</v>
      </c>
      <c r="D25" s="66" t="n">
        <v>451</v>
      </c>
      <c r="E25" s="66" t="n">
        <v>494</v>
      </c>
      <c r="F25" s="77" t="n">
        <f aca="false">IF(E25="","",D25-E25)</f>
        <v>-43</v>
      </c>
      <c r="G25" s="66" t="n">
        <v>475</v>
      </c>
      <c r="H25" s="66" t="n">
        <v>519</v>
      </c>
      <c r="I25" s="77" t="n">
        <f aca="false">IF(H25="","",G25-H25)</f>
        <v>-44</v>
      </c>
      <c r="J25" s="47" t="n">
        <f aca="false">IF(OR(D25="",D25+G25=0),"",D25/(D25+G25))</f>
        <v>0.487041036717063</v>
      </c>
      <c r="K25" s="47" t="n">
        <f aca="false">IF(E25="","",E25/(E25+H25))</f>
        <v>0.487660414610069</v>
      </c>
      <c r="L25" s="78" t="n">
        <f aca="false">IF(OR(K25="",J25=""),"",(J25-K25)*100)</f>
        <v>-0.0619377893006479</v>
      </c>
      <c r="M25" s="36" t="n">
        <v>2.87797162549907</v>
      </c>
      <c r="N25" s="36" t="n">
        <v>1.2490124826858</v>
      </c>
      <c r="O25" s="36" t="n">
        <f aca="false">SQRT(M25^2+N25^2)</f>
        <v>3.1373161872981</v>
      </c>
      <c r="P25" s="47" t="n">
        <f aca="false">IF(J25="","",MAX(0,J25-1.96*O25/100))</f>
        <v>0.42554963944602</v>
      </c>
      <c r="Q25" s="47" t="n">
        <f aca="false">IF(J25="","",MIN(1,J25+1.96*O25/100))</f>
        <v>0.548532433988105</v>
      </c>
      <c r="R25" s="32" t="str">
        <f aca="false">IF(L25="","",IF(ABS(L25)&lt;=O25,"Yes","No"))</f>
        <v>Yes</v>
      </c>
      <c r="S25" s="32" t="str">
        <f aca="false">IF(L25="","",IF(ABS(L25)&lt;=1.96*O25,"Yes","No"))</f>
        <v>Yes</v>
      </c>
      <c r="T25" s="66" t="n">
        <f aca="false">IF(D25="","",ROUND(SQRT(((D25+G25)*O25/100)^2+(J25*(D25+G25)*0.0534)^2),0))</f>
        <v>38</v>
      </c>
      <c r="U25" s="32"/>
    </row>
    <row r="26" customFormat="false" ht="15" hidden="false" customHeight="false" outlineLevel="0" collapsed="false">
      <c r="A26" s="32" t="s">
        <v>219</v>
      </c>
      <c r="B26" s="32" t="s">
        <v>221</v>
      </c>
      <c r="C26" s="32" t="s">
        <v>191</v>
      </c>
      <c r="D26" s="66" t="n">
        <v>18782</v>
      </c>
      <c r="E26" s="66" t="n">
        <v>16965</v>
      </c>
      <c r="F26" s="77" t="n">
        <f aca="false">IF(E26="","",D26-E26)</f>
        <v>1817</v>
      </c>
      <c r="G26" s="66" t="n">
        <v>8021</v>
      </c>
      <c r="H26" s="66" t="n">
        <v>7936</v>
      </c>
      <c r="I26" s="77" t="n">
        <f aca="false">IF(H26="","",G26-H26)</f>
        <v>85</v>
      </c>
      <c r="J26" s="47" t="n">
        <f aca="false">IF(OR(D26="",D26+G26=0),"",D26/(D26+G26))</f>
        <v>0.700742454202888</v>
      </c>
      <c r="K26" s="47" t="n">
        <f aca="false">IF(E26="","",E26/(E26+H26))</f>
        <v>0.681297939841773</v>
      </c>
      <c r="L26" s="78" t="n">
        <f aca="false">IF(OR(K26="",J26=""),"",(J26-K26)*100)</f>
        <v>1.94445143611143</v>
      </c>
      <c r="M26" s="36" t="n">
        <v>1.16279598640173</v>
      </c>
      <c r="N26" s="36" t="n">
        <v>1.2490124826858</v>
      </c>
      <c r="O26" s="36" t="n">
        <f aca="false">SQRT(M26^2+N26^2)</f>
        <v>1.70649544033874</v>
      </c>
      <c r="P26" s="47" t="n">
        <f aca="false">IF(J26="","",MAX(0,J26-1.96*O26/100))</f>
        <v>0.667295143572248</v>
      </c>
      <c r="Q26" s="47" t="n">
        <f aca="false">IF(J26="","",MIN(1,J26+1.96*O26/100))</f>
        <v>0.734189764833527</v>
      </c>
      <c r="R26" s="32" t="str">
        <f aca="false">IF(L26="","",IF(ABS(L26)&lt;=O26,"Yes","No"))</f>
        <v>No</v>
      </c>
      <c r="S26" s="32" t="str">
        <f aca="false">IF(L26="","",IF(ABS(L26)&lt;=1.96*O26,"Yes","No"))</f>
        <v>Yes</v>
      </c>
      <c r="T26" s="66" t="n">
        <f aca="false">IF(D26="","",ROUND(SQRT(((D26+G26)*O26/100)^2+(J26*(D26+G26)*0.02225)^2),0))</f>
        <v>620</v>
      </c>
      <c r="U26" s="32"/>
    </row>
    <row r="27" customFormat="false" ht="15" hidden="false" customHeight="false" outlineLevel="0" collapsed="false">
      <c r="A27" s="32" t="s">
        <v>219</v>
      </c>
      <c r="B27" s="32" t="s">
        <v>222</v>
      </c>
      <c r="C27" s="32" t="s">
        <v>191</v>
      </c>
      <c r="D27" s="66" t="n">
        <v>4869</v>
      </c>
      <c r="E27" s="66" t="n">
        <v>5186</v>
      </c>
      <c r="F27" s="77" t="n">
        <f aca="false">IF(E27="","",D27-E27)</f>
        <v>-317</v>
      </c>
      <c r="G27" s="66" t="n">
        <v>2645</v>
      </c>
      <c r="H27" s="66" t="n">
        <v>2705</v>
      </c>
      <c r="I27" s="77" t="n">
        <f aca="false">IF(H27="","",G27-H27)</f>
        <v>-60</v>
      </c>
      <c r="J27" s="47" t="n">
        <f aca="false">IF(OR(D27="",D27+G27=0),"",D27/(D27+G27))</f>
        <v>0.647990417886612</v>
      </c>
      <c r="K27" s="47" t="n">
        <f aca="false">IF(E27="","",E27/(E27+H27))</f>
        <v>0.657204410087441</v>
      </c>
      <c r="L27" s="78" t="n">
        <f aca="false">IF(OR(K27="",J27=""),"",(J27-K27)*100)</f>
        <v>-0.921399220082964</v>
      </c>
      <c r="M27" s="36" t="n">
        <v>1.16279598640173</v>
      </c>
      <c r="N27" s="36" t="n">
        <v>1.2490124826858</v>
      </c>
      <c r="O27" s="36" t="n">
        <f aca="false">SQRT(M27^2+N27^2)</f>
        <v>1.70649544033874</v>
      </c>
      <c r="P27" s="47" t="n">
        <f aca="false">IF(J27="","",MAX(0,J27-1.96*O27/100))</f>
        <v>0.614543107255972</v>
      </c>
      <c r="Q27" s="47" t="n">
        <f aca="false">IF(J27="","",MIN(1,J27+1.96*O27/100))</f>
        <v>0.681437728517251</v>
      </c>
      <c r="R27" s="32" t="str">
        <f aca="false">IF(L27="","",IF(ABS(L27)&lt;=O27,"Yes","No"))</f>
        <v>Yes</v>
      </c>
      <c r="S27" s="32" t="str">
        <f aca="false">IF(L27="","",IF(ABS(L27)&lt;=1.96*O27,"Yes","No"))</f>
        <v>Yes</v>
      </c>
      <c r="T27" s="66" t="n">
        <f aca="false">IF(D27="","",ROUND(SQRT(((D27+G27)*O27/100)^2+(J27*(D27+G27)*0.02225)^2),0))</f>
        <v>168</v>
      </c>
      <c r="U27" s="32"/>
    </row>
    <row r="28" customFormat="false" ht="15" hidden="false" customHeight="false" outlineLevel="0" collapsed="false">
      <c r="A28" s="32" t="s">
        <v>219</v>
      </c>
      <c r="B28" s="32" t="s">
        <v>223</v>
      </c>
      <c r="C28" s="32" t="s">
        <v>191</v>
      </c>
      <c r="D28" s="66" t="n">
        <v>1094</v>
      </c>
      <c r="E28" s="66" t="n">
        <v>1135</v>
      </c>
      <c r="F28" s="77" t="n">
        <f aca="false">IF(E28="","",D28-E28)</f>
        <v>-41</v>
      </c>
      <c r="G28" s="66" t="n">
        <v>949</v>
      </c>
      <c r="H28" s="66" t="n">
        <v>975</v>
      </c>
      <c r="I28" s="77" t="n">
        <f aca="false">IF(H28="","",G28-H28)</f>
        <v>-26</v>
      </c>
      <c r="J28" s="47" t="n">
        <f aca="false">IF(OR(D28="",D28+G28=0),"",D28/(D28+G28))</f>
        <v>0.535487028879099</v>
      </c>
      <c r="K28" s="47" t="n">
        <f aca="false">IF(E28="","",E28/(E28+H28))</f>
        <v>0.537914691943128</v>
      </c>
      <c r="L28" s="78" t="n">
        <f aca="false">IF(OR(K28="",J28=""),"",(J28-K28)*100)</f>
        <v>-0.242766306402853</v>
      </c>
      <c r="M28" s="36" t="n">
        <v>1.81947821335184</v>
      </c>
      <c r="N28" s="36" t="n">
        <v>1.2490124826858</v>
      </c>
      <c r="O28" s="36" t="n">
        <f aca="false">SQRT(M28^2+N28^2)</f>
        <v>2.20692844260228</v>
      </c>
      <c r="P28" s="47" t="n">
        <f aca="false">IF(J28="","",MAX(0,J28-1.96*O28/100))</f>
        <v>0.492231231404095</v>
      </c>
      <c r="Q28" s="47" t="n">
        <f aca="false">IF(J28="","",MIN(1,J28+1.96*O28/100))</f>
        <v>0.578742826354104</v>
      </c>
      <c r="R28" s="32" t="str">
        <f aca="false">IF(L28="","",IF(ABS(L28)&lt;=O28,"Yes","No"))</f>
        <v>Yes</v>
      </c>
      <c r="S28" s="32" t="str">
        <f aca="false">IF(L28="","",IF(ABS(L28)&lt;=1.96*O28,"Yes","No"))</f>
        <v>Yes</v>
      </c>
      <c r="T28" s="66" t="n">
        <f aca="false">IF(D28="","",ROUND(SQRT(((D28+G28)*O28/100)^2+(J28*(D28+G28)*0.03811)^2),0))</f>
        <v>61</v>
      </c>
      <c r="U28" s="32"/>
    </row>
    <row r="29" customFormat="false" ht="15" hidden="false" customHeight="false" outlineLevel="0" collapsed="false">
      <c r="A29" s="32" t="s">
        <v>219</v>
      </c>
      <c r="B29" s="32" t="s">
        <v>224</v>
      </c>
      <c r="C29" s="32" t="s">
        <v>191</v>
      </c>
      <c r="D29" s="66" t="n">
        <v>526</v>
      </c>
      <c r="E29" s="66" t="n">
        <v>621</v>
      </c>
      <c r="F29" s="77" t="n">
        <f aca="false">IF(E29="","",D29-E29)</f>
        <v>-95</v>
      </c>
      <c r="G29" s="66" t="n">
        <v>561</v>
      </c>
      <c r="H29" s="66" t="n">
        <v>598</v>
      </c>
      <c r="I29" s="77" t="n">
        <f aca="false">IF(H29="","",G29-H29)</f>
        <v>-37</v>
      </c>
      <c r="J29" s="47" t="n">
        <f aca="false">IF(OR(D29="",D29+G29=0),"",D29/(D29+G29))</f>
        <v>0.483900643974241</v>
      </c>
      <c r="K29" s="47" t="n">
        <f aca="false">IF(E29="","",E29/(E29+H29))</f>
        <v>0.509433962264151</v>
      </c>
      <c r="L29" s="78" t="n">
        <f aca="false">IF(OR(K29="",J29=""),"",(J29-K29)*100)</f>
        <v>-2.55333182899099</v>
      </c>
      <c r="M29" s="36" t="n">
        <v>2.87797162549907</v>
      </c>
      <c r="N29" s="36" t="n">
        <v>1.2490124826858</v>
      </c>
      <c r="O29" s="36" t="n">
        <f aca="false">SQRT(M29^2+N29^2)</f>
        <v>3.1373161872981</v>
      </c>
      <c r="P29" s="47" t="n">
        <f aca="false">IF(J29="","",MAX(0,J29-1.96*O29/100))</f>
        <v>0.422409246703198</v>
      </c>
      <c r="Q29" s="47" t="n">
        <f aca="false">IF(J29="","",MIN(1,J29+1.96*O29/100))</f>
        <v>0.545392041245284</v>
      </c>
      <c r="R29" s="32" t="str">
        <f aca="false">IF(L29="","",IF(ABS(L29)&lt;=O29,"Yes","No"))</f>
        <v>Yes</v>
      </c>
      <c r="S29" s="32" t="str">
        <f aca="false">IF(L29="","",IF(ABS(L29)&lt;=1.96*O29,"Yes","No"))</f>
        <v>Yes</v>
      </c>
      <c r="T29" s="66" t="n">
        <f aca="false">IF(D29="","",ROUND(SQRT(((D29+G29)*O29/100)^2+(J29*(D29+G29)*0.0534)^2),0))</f>
        <v>44</v>
      </c>
      <c r="U29" s="32"/>
    </row>
    <row r="30" customFormat="false" ht="15" hidden="false" customHeight="false" outlineLevel="0" collapsed="false">
      <c r="A30" s="32" t="s">
        <v>219</v>
      </c>
      <c r="B30" s="32" t="s">
        <v>225</v>
      </c>
      <c r="C30" s="32" t="s">
        <v>191</v>
      </c>
      <c r="D30" s="66" t="n">
        <v>671</v>
      </c>
      <c r="E30" s="66" t="n">
        <v>691</v>
      </c>
      <c r="F30" s="77" t="n">
        <f aca="false">IF(E30="","",D30-E30)</f>
        <v>-20</v>
      </c>
      <c r="G30" s="66" t="n">
        <v>587</v>
      </c>
      <c r="H30" s="66" t="n">
        <v>606</v>
      </c>
      <c r="I30" s="77" t="n">
        <f aca="false">IF(H30="","",G30-H30)</f>
        <v>-19</v>
      </c>
      <c r="J30" s="47" t="n">
        <f aca="false">IF(OR(D30="",D30+G30=0),"",D30/(D30+G30))</f>
        <v>0.533386327503975</v>
      </c>
      <c r="K30" s="47" t="n">
        <f aca="false">IF(E30="","",E30/(E30+H30))</f>
        <v>0.532767925983038</v>
      </c>
      <c r="L30" s="78" t="n">
        <f aca="false">IF(OR(K30="",J30=""),"",(J30-K30)*100)</f>
        <v>0.0618401520936729</v>
      </c>
      <c r="M30" s="36" t="n">
        <v>1.81947821335184</v>
      </c>
      <c r="N30" s="36" t="n">
        <v>1.2490124826858</v>
      </c>
      <c r="O30" s="36" t="n">
        <f aca="false">SQRT(M30^2+N30^2)</f>
        <v>2.20692844260228</v>
      </c>
      <c r="P30" s="47" t="n">
        <f aca="false">IF(J30="","",MAX(0,J30-1.96*O30/100))</f>
        <v>0.49013053002897</v>
      </c>
      <c r="Q30" s="47" t="n">
        <f aca="false">IF(J30="","",MIN(1,J30+1.96*O30/100))</f>
        <v>0.576642124978979</v>
      </c>
      <c r="R30" s="32" t="str">
        <f aca="false">IF(L30="","",IF(ABS(L30)&lt;=O30,"Yes","No"))</f>
        <v>Yes</v>
      </c>
      <c r="S30" s="32" t="str">
        <f aca="false">IF(L30="","",IF(ABS(L30)&lt;=1.96*O30,"Yes","No"))</f>
        <v>Yes</v>
      </c>
      <c r="T30" s="66" t="n">
        <f aca="false">IF(D30="","",ROUND(SQRT(((D30+G30)*O30/100)^2+(J30*(D30+G30)*0.03811)^2),0))</f>
        <v>38</v>
      </c>
      <c r="U30" s="32"/>
    </row>
    <row r="31" customFormat="false" ht="15" hidden="false" customHeight="false" outlineLevel="0" collapsed="false">
      <c r="A31" s="32" t="s">
        <v>219</v>
      </c>
      <c r="B31" s="32" t="s">
        <v>226</v>
      </c>
      <c r="C31" s="32" t="s">
        <v>191</v>
      </c>
      <c r="D31" s="66" t="n">
        <v>2515</v>
      </c>
      <c r="E31" s="66" t="n">
        <v>2834</v>
      </c>
      <c r="F31" s="77" t="n">
        <f aca="false">IF(E31="","",D31-E31)</f>
        <v>-319</v>
      </c>
      <c r="G31" s="66" t="n">
        <v>2198</v>
      </c>
      <c r="H31" s="66" t="n">
        <v>2250</v>
      </c>
      <c r="I31" s="77" t="n">
        <f aca="false">IF(H31="","",G31-H31)</f>
        <v>-52</v>
      </c>
      <c r="J31" s="47" t="n">
        <f aca="false">IF(OR(D31="",D31+G31=0),"",D31/(D31+G31))</f>
        <v>0.533630384044133</v>
      </c>
      <c r="K31" s="47" t="n">
        <f aca="false">IF(E31="","",E31/(E31+H31))</f>
        <v>0.557435090479937</v>
      </c>
      <c r="L31" s="78" t="n">
        <f aca="false">IF(OR(K31="",J31=""),"",(J31-K31)*100)</f>
        <v>-2.38047064358039</v>
      </c>
      <c r="M31" s="36" t="n">
        <v>1.16279598640173</v>
      </c>
      <c r="N31" s="36" t="n">
        <v>1.2490124826858</v>
      </c>
      <c r="O31" s="36" t="n">
        <f aca="false">SQRT(M31^2+N31^2)</f>
        <v>1.70649544033874</v>
      </c>
      <c r="P31" s="47" t="n">
        <f aca="false">IF(J31="","",MAX(0,J31-1.96*O31/100))</f>
        <v>0.500183073413494</v>
      </c>
      <c r="Q31" s="47" t="n">
        <f aca="false">IF(J31="","",MIN(1,J31+1.96*O31/100))</f>
        <v>0.567077694674773</v>
      </c>
      <c r="R31" s="32" t="str">
        <f aca="false">IF(L31="","",IF(ABS(L31)&lt;=O31,"Yes","No"))</f>
        <v>No</v>
      </c>
      <c r="S31" s="32" t="str">
        <f aca="false">IF(L31="","",IF(ABS(L31)&lt;=1.96*O31,"Yes","No"))</f>
        <v>Yes</v>
      </c>
      <c r="T31" s="66" t="n">
        <f aca="false">IF(D31="","",ROUND(SQRT(((D31+G31)*O31/100)^2+(J31*(D31+G31)*0.02225)^2),0))</f>
        <v>98</v>
      </c>
      <c r="U31" s="32"/>
    </row>
    <row r="32" customFormat="false" ht="15" hidden="false" customHeight="false" outlineLevel="0" collapsed="false">
      <c r="A32" s="32" t="s">
        <v>219</v>
      </c>
      <c r="B32" s="32" t="s">
        <v>227</v>
      </c>
      <c r="C32" s="32" t="s">
        <v>191</v>
      </c>
      <c r="D32" s="66" t="n">
        <v>1105</v>
      </c>
      <c r="E32" s="66" t="n">
        <v>1070</v>
      </c>
      <c r="F32" s="77" t="n">
        <f aca="false">IF(E32="","",D32-E32)</f>
        <v>35</v>
      </c>
      <c r="G32" s="66" t="n">
        <v>510</v>
      </c>
      <c r="H32" s="66" t="n">
        <v>479</v>
      </c>
      <c r="I32" s="77" t="n">
        <f aca="false">IF(H32="","",G32-H32)</f>
        <v>31</v>
      </c>
      <c r="J32" s="47" t="n">
        <f aca="false">IF(OR(D32="",D32+G32=0),"",D32/(D32+G32))</f>
        <v>0.68421052631579</v>
      </c>
      <c r="K32" s="47" t="n">
        <f aca="false">IF(E32="","",E32/(E32+H32))</f>
        <v>0.690768237572628</v>
      </c>
      <c r="L32" s="78" t="n">
        <f aca="false">IF(OR(K32="",J32=""),"",(J32-K32)*100)</f>
        <v>-0.655771125683802</v>
      </c>
      <c r="M32" s="36" t="n">
        <v>1.81947821335184</v>
      </c>
      <c r="N32" s="36" t="n">
        <v>1.2490124826858</v>
      </c>
      <c r="O32" s="36" t="n">
        <f aca="false">SQRT(M32^2+N32^2)</f>
        <v>2.20692844260228</v>
      </c>
      <c r="P32" s="47" t="n">
        <f aca="false">IF(J32="","",MAX(0,J32-1.96*O32/100))</f>
        <v>0.640954728840785</v>
      </c>
      <c r="Q32" s="47" t="n">
        <f aca="false">IF(J32="","",MIN(1,J32+1.96*O32/100))</f>
        <v>0.727466323790794</v>
      </c>
      <c r="R32" s="32" t="str">
        <f aca="false">IF(L32="","",IF(ABS(L32)&lt;=O32,"Yes","No"))</f>
        <v>Yes</v>
      </c>
      <c r="S32" s="32" t="str">
        <f aca="false">IF(L32="","",IF(ABS(L32)&lt;=1.96*O32,"Yes","No"))</f>
        <v>Yes</v>
      </c>
      <c r="T32" s="66" t="n">
        <f aca="false">IF(D32="","",ROUND(SQRT(((D32+G32)*O32/100)^2+(J32*(D32+G32)*0.03811)^2),0))</f>
        <v>55</v>
      </c>
      <c r="U32" s="32"/>
    </row>
    <row r="33" customFormat="false" ht="15" hidden="false" customHeight="false" outlineLevel="0" collapsed="false">
      <c r="A33" s="32" t="s">
        <v>219</v>
      </c>
      <c r="B33" s="32" t="s">
        <v>228</v>
      </c>
      <c r="C33" s="32" t="s">
        <v>191</v>
      </c>
      <c r="D33" s="66" t="n">
        <v>275</v>
      </c>
      <c r="E33" s="66" t="n">
        <v>262</v>
      </c>
      <c r="F33" s="77" t="n">
        <f aca="false">IF(E33="","",D33-E33)</f>
        <v>13</v>
      </c>
      <c r="G33" s="66" t="n">
        <v>214</v>
      </c>
      <c r="H33" s="66" t="n">
        <v>205</v>
      </c>
      <c r="I33" s="77" t="n">
        <f aca="false">IF(H33="","",G33-H33)</f>
        <v>9</v>
      </c>
      <c r="J33" s="47" t="n">
        <f aca="false">IF(OR(D33="",D33+G33=0),"",D33/(D33+G33))</f>
        <v>0.562372188139059</v>
      </c>
      <c r="K33" s="47" t="n">
        <f aca="false">IF(E33="","",E33/(E33+H33))</f>
        <v>0.561027837259101</v>
      </c>
      <c r="L33" s="78" t="n">
        <f aca="false">IF(OR(K33="",J33=""),"",(J33-K33)*100)</f>
        <v>0.134435087995866</v>
      </c>
      <c r="M33" s="36" t="n">
        <v>2.87797162549907</v>
      </c>
      <c r="N33" s="36" t="n">
        <v>1.2490124826858</v>
      </c>
      <c r="O33" s="36" t="n">
        <f aca="false">SQRT(M33^2+N33^2)</f>
        <v>3.1373161872981</v>
      </c>
      <c r="P33" s="47" t="n">
        <f aca="false">IF(J33="","",MAX(0,J33-1.96*O33/100))</f>
        <v>0.500880790868017</v>
      </c>
      <c r="Q33" s="47" t="n">
        <f aca="false">IF(J33="","",MIN(1,J33+1.96*O33/100))</f>
        <v>0.623863585410102</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219</v>
      </c>
      <c r="B34" s="32" t="s">
        <v>229</v>
      </c>
      <c r="C34" s="32" t="s">
        <v>191</v>
      </c>
      <c r="D34" s="66" t="n">
        <v>479</v>
      </c>
      <c r="E34" s="66" t="n">
        <v>532</v>
      </c>
      <c r="F34" s="77" t="n">
        <f aca="false">IF(E34="","",D34-E34)</f>
        <v>-53</v>
      </c>
      <c r="G34" s="66" t="n">
        <v>994</v>
      </c>
      <c r="H34" s="66" t="n">
        <v>1068</v>
      </c>
      <c r="I34" s="77" t="n">
        <f aca="false">IF(H34="","",G34-H34)</f>
        <v>-74</v>
      </c>
      <c r="J34" s="47" t="n">
        <f aca="false">IF(OR(D34="",D34+G34=0),"",D34/(D34+G34))</f>
        <v>0.325186693822132</v>
      </c>
      <c r="K34" s="47" t="n">
        <f aca="false">IF(E34="","",E34/(E34+H34))</f>
        <v>0.3325</v>
      </c>
      <c r="L34" s="78" t="n">
        <f aca="false">IF(OR(K34="",J34=""),"",(J34-K34)*100)</f>
        <v>-0.73133061778683</v>
      </c>
      <c r="M34" s="36" t="n">
        <v>1.81947821335184</v>
      </c>
      <c r="N34" s="36" t="n">
        <v>1.2490124826858</v>
      </c>
      <c r="O34" s="36" t="n">
        <f aca="false">SQRT(M34^2+N34^2)</f>
        <v>2.20692844260228</v>
      </c>
      <c r="P34" s="47" t="n">
        <f aca="false">IF(J34="","",MAX(0,J34-1.96*O34/100))</f>
        <v>0.281930896347127</v>
      </c>
      <c r="Q34" s="47" t="n">
        <f aca="false">IF(J34="","",MIN(1,J34+1.96*O34/100))</f>
        <v>0.368442491297136</v>
      </c>
      <c r="R34" s="32" t="str">
        <f aca="false">IF(L34="","",IF(ABS(L34)&lt;=O34,"Yes","No"))</f>
        <v>Yes</v>
      </c>
      <c r="S34" s="32" t="str">
        <f aca="false">IF(L34="","",IF(ABS(L34)&lt;=1.96*O34,"Yes","No"))</f>
        <v>Yes</v>
      </c>
      <c r="T34" s="66" t="n">
        <f aca="false">IF(D34="","",ROUND(SQRT(((D34+G34)*O34/100)^2+(J34*(D34+G34)*0.03811)^2),0))</f>
        <v>37</v>
      </c>
      <c r="U34" s="32"/>
    </row>
    <row r="35" customFormat="false" ht="15" hidden="false" customHeight="false" outlineLevel="0" collapsed="false">
      <c r="A35" s="32" t="s">
        <v>219</v>
      </c>
      <c r="B35" s="32" t="s">
        <v>230</v>
      </c>
      <c r="C35" s="32" t="s">
        <v>191</v>
      </c>
      <c r="D35" s="66" t="n">
        <v>7576</v>
      </c>
      <c r="E35" s="66" t="n">
        <v>8358</v>
      </c>
      <c r="F35" s="77" t="n">
        <f aca="false">IF(E35="","",D35-E35)</f>
        <v>-782</v>
      </c>
      <c r="G35" s="66" t="n">
        <v>7486</v>
      </c>
      <c r="H35" s="66" t="n">
        <v>7595</v>
      </c>
      <c r="I35" s="77" t="n">
        <f aca="false">IF(H35="","",G35-H35)</f>
        <v>-109</v>
      </c>
      <c r="J35" s="47" t="n">
        <f aca="false">IF(OR(D35="",D35+G35=0),"",D35/(D35+G35))</f>
        <v>0.502987651042358</v>
      </c>
      <c r="K35" s="47" t="n">
        <f aca="false">IF(E35="","",E35/(E35+H35))</f>
        <v>0.523913997367266</v>
      </c>
      <c r="L35" s="78" t="n">
        <f aca="false">IF(OR(K35="",J35=""),"",(J35-K35)*100)</f>
        <v>-2.09263463249081</v>
      </c>
      <c r="M35" s="36" t="n">
        <v>1.16279598640173</v>
      </c>
      <c r="N35" s="36" t="n">
        <v>1.2490124826858</v>
      </c>
      <c r="O35" s="36" t="n">
        <f aca="false">SQRT(M35^2+N35^2)</f>
        <v>1.70649544033874</v>
      </c>
      <c r="P35" s="47" t="n">
        <f aca="false">IF(J35="","",MAX(0,J35-1.96*O35/100))</f>
        <v>0.469540340411719</v>
      </c>
      <c r="Q35" s="47" t="n">
        <f aca="false">IF(J35="","",MIN(1,J35+1.96*O35/100))</f>
        <v>0.536434961672998</v>
      </c>
      <c r="R35" s="32" t="str">
        <f aca="false">IF(L35="","",IF(ABS(L35)&lt;=O35,"Yes","No"))</f>
        <v>No</v>
      </c>
      <c r="S35" s="32" t="str">
        <f aca="false">IF(L35="","",IF(ABS(L35)&lt;=1.96*O35,"Yes","No"))</f>
        <v>Yes</v>
      </c>
      <c r="T35" s="66" t="n">
        <f aca="false">IF(D35="","",ROUND(SQRT(((D35+G35)*O35/100)^2+(J35*(D35+G35)*0.02225)^2),0))</f>
        <v>307</v>
      </c>
      <c r="U35" s="32"/>
    </row>
    <row r="36" customFormat="false" ht="15" hidden="false" customHeight="false" outlineLevel="0" collapsed="false">
      <c r="A36" s="32" t="s">
        <v>219</v>
      </c>
      <c r="B36" s="32" t="s">
        <v>231</v>
      </c>
      <c r="C36" s="32" t="s">
        <v>191</v>
      </c>
      <c r="D36" s="66" t="n">
        <v>745</v>
      </c>
      <c r="E36" s="66" t="n">
        <v>850</v>
      </c>
      <c r="F36" s="77" t="n">
        <f aca="false">IF(E36="","",D36-E36)</f>
        <v>-105</v>
      </c>
      <c r="G36" s="66" t="n">
        <v>1267</v>
      </c>
      <c r="H36" s="66" t="n">
        <v>1311</v>
      </c>
      <c r="I36" s="77" t="n">
        <f aca="false">IF(H36="","",G36-H36)</f>
        <v>-44</v>
      </c>
      <c r="J36" s="47" t="n">
        <f aca="false">IF(OR(D36="",D36+G36=0),"",D36/(D36+G36))</f>
        <v>0.370278330019881</v>
      </c>
      <c r="K36" s="47" t="n">
        <f aca="false">IF(E36="","",E36/(E36+H36))</f>
        <v>0.39333641832485</v>
      </c>
      <c r="L36" s="78" t="n">
        <f aca="false">IF(OR(K36="",J36=""),"",(J36-K36)*100)</f>
        <v>-2.30580883049689</v>
      </c>
      <c r="M36" s="36" t="n">
        <v>1.81947821335184</v>
      </c>
      <c r="N36" s="36" t="n">
        <v>1.2490124826858</v>
      </c>
      <c r="O36" s="36" t="n">
        <f aca="false">SQRT(M36^2+N36^2)</f>
        <v>2.20692844260228</v>
      </c>
      <c r="P36" s="47" t="n">
        <f aca="false">IF(J36="","",MAX(0,J36-1.96*O36/100))</f>
        <v>0.327022532544876</v>
      </c>
      <c r="Q36" s="47" t="n">
        <f aca="false">IF(J36="","",MIN(1,J36+1.96*O36/100))</f>
        <v>0.413534127494886</v>
      </c>
      <c r="R36" s="32" t="str">
        <f aca="false">IF(L36="","",IF(ABS(L36)&lt;=O36,"Yes","No"))</f>
        <v>No</v>
      </c>
      <c r="S36" s="32" t="str">
        <f aca="false">IF(L36="","",IF(ABS(L36)&lt;=1.96*O36,"Yes","No"))</f>
        <v>Yes</v>
      </c>
      <c r="T36" s="66" t="n">
        <f aca="false">IF(D36="","",ROUND(SQRT(((D36+G36)*O36/100)^2+(J36*(D36+G36)*0.03811)^2),0))</f>
        <v>53</v>
      </c>
      <c r="U36" s="32"/>
    </row>
    <row r="37" customFormat="false" ht="15" hidden="false" customHeight="false" outlineLevel="0" collapsed="false">
      <c r="A37" s="32" t="s">
        <v>219</v>
      </c>
      <c r="B37" s="32" t="s">
        <v>232</v>
      </c>
      <c r="C37" s="32" t="s">
        <v>191</v>
      </c>
      <c r="D37" s="66" t="n">
        <v>423</v>
      </c>
      <c r="E37" s="66" t="n">
        <v>457</v>
      </c>
      <c r="F37" s="77" t="n">
        <f aca="false">IF(E37="","",D37-E37)</f>
        <v>-34</v>
      </c>
      <c r="G37" s="66" t="n">
        <v>755</v>
      </c>
      <c r="H37" s="66" t="n">
        <v>760</v>
      </c>
      <c r="I37" s="77" t="n">
        <f aca="false">IF(H37="","",G37-H37)</f>
        <v>-5</v>
      </c>
      <c r="J37" s="47" t="n">
        <f aca="false">IF(OR(D37="",D37+G37=0),"",D37/(D37+G37))</f>
        <v>0.359083191850594</v>
      </c>
      <c r="K37" s="47" t="n">
        <f aca="false">IF(E37="","",E37/(E37+H37))</f>
        <v>0.375513557929334</v>
      </c>
      <c r="L37" s="78" t="n">
        <f aca="false">IF(OR(K37="",J37=""),"",(J37-K37)*100)</f>
        <v>-1.64303660787402</v>
      </c>
      <c r="M37" s="36" t="n">
        <v>1.81947821335184</v>
      </c>
      <c r="N37" s="36" t="n">
        <v>1.2490124826858</v>
      </c>
      <c r="O37" s="36" t="n">
        <f aca="false">SQRT(M37^2+N37^2)</f>
        <v>2.20692844260228</v>
      </c>
      <c r="P37" s="47" t="n">
        <f aca="false">IF(J37="","",MAX(0,J37-1.96*O37/100))</f>
        <v>0.31582739437559</v>
      </c>
      <c r="Q37" s="47" t="n">
        <f aca="false">IF(J37="","",MIN(1,J37+1.96*O37/100))</f>
        <v>0.402338989325599</v>
      </c>
      <c r="R37" s="32" t="str">
        <f aca="false">IF(L37="","",IF(ABS(L37)&lt;=O37,"Yes","No"))</f>
        <v>Yes</v>
      </c>
      <c r="S37" s="32" t="str">
        <f aca="false">IF(L37="","",IF(ABS(L37)&lt;=1.96*O37,"Yes","No"))</f>
        <v>Yes</v>
      </c>
      <c r="T37" s="66" t="n">
        <f aca="false">IF(D37="","",ROUND(SQRT(((D37+G37)*O37/100)^2+(J37*(D37+G37)*0.03811)^2),0))</f>
        <v>31</v>
      </c>
      <c r="U37" s="32"/>
    </row>
    <row r="38" customFormat="false" ht="15" hidden="false" customHeight="false" outlineLevel="0" collapsed="false">
      <c r="A38" s="32" t="s">
        <v>219</v>
      </c>
      <c r="B38" s="32" t="s">
        <v>233</v>
      </c>
      <c r="C38" s="32" t="s">
        <v>191</v>
      </c>
      <c r="D38" s="66" t="n">
        <v>656</v>
      </c>
      <c r="E38" s="66" t="n">
        <v>719</v>
      </c>
      <c r="F38" s="77" t="n">
        <f aca="false">IF(E38="","",D38-E38)</f>
        <v>-63</v>
      </c>
      <c r="G38" s="66" t="n">
        <v>1336</v>
      </c>
      <c r="H38" s="66" t="n">
        <v>1434</v>
      </c>
      <c r="I38" s="77" t="n">
        <f aca="false">IF(H38="","",G38-H38)</f>
        <v>-98</v>
      </c>
      <c r="J38" s="47" t="n">
        <f aca="false">IF(OR(D38="",D38+G38=0),"",D38/(D38+G38))</f>
        <v>0.329317269076305</v>
      </c>
      <c r="K38" s="47" t="n">
        <f aca="false">IF(E38="","",E38/(E38+H38))</f>
        <v>0.333952624245239</v>
      </c>
      <c r="L38" s="78" t="n">
        <f aca="false">IF(OR(K38="",J38=""),"",(J38-K38)*100)</f>
        <v>-0.463535516893399</v>
      </c>
      <c r="M38" s="36" t="n">
        <v>1.81947821335184</v>
      </c>
      <c r="N38" s="36" t="n">
        <v>1.2490124826858</v>
      </c>
      <c r="O38" s="36" t="n">
        <f aca="false">SQRT(M38^2+N38^2)</f>
        <v>2.20692844260228</v>
      </c>
      <c r="P38" s="47" t="n">
        <f aca="false">IF(J38="","",MAX(0,J38-1.96*O38/100))</f>
        <v>0.2860614716013</v>
      </c>
      <c r="Q38" s="47" t="n">
        <f aca="false">IF(J38="","",MIN(1,J38+1.96*O38/100))</f>
        <v>0.37257306655131</v>
      </c>
      <c r="R38" s="32" t="str">
        <f aca="false">IF(L38="","",IF(ABS(L38)&lt;=O38,"Yes","No"))</f>
        <v>Yes</v>
      </c>
      <c r="S38" s="32" t="str">
        <f aca="false">IF(L38="","",IF(ABS(L38)&lt;=1.96*O38,"Yes","No"))</f>
        <v>Yes</v>
      </c>
      <c r="T38" s="66" t="n">
        <f aca="false">IF(D38="","",ROUND(SQRT(((D38+G38)*O38/100)^2+(J38*(D38+G38)*0.03811)^2),0))</f>
        <v>51</v>
      </c>
      <c r="U38" s="32"/>
    </row>
    <row r="39" customFormat="false" ht="15" hidden="false" customHeight="false" outlineLevel="0" collapsed="false">
      <c r="A39" s="32" t="s">
        <v>219</v>
      </c>
      <c r="B39" s="32" t="s">
        <v>234</v>
      </c>
      <c r="C39" s="32" t="s">
        <v>191</v>
      </c>
      <c r="D39" s="66" t="n">
        <v>718</v>
      </c>
      <c r="E39" s="66" t="n">
        <v>788</v>
      </c>
      <c r="F39" s="77" t="n">
        <f aca="false">IF(E39="","",D39-E39)</f>
        <v>-70</v>
      </c>
      <c r="G39" s="66" t="n">
        <v>627</v>
      </c>
      <c r="H39" s="66" t="n">
        <v>628</v>
      </c>
      <c r="I39" s="77" t="n">
        <f aca="false">IF(H39="","",G39-H39)</f>
        <v>-1</v>
      </c>
      <c r="J39" s="47" t="n">
        <f aca="false">IF(OR(D39="",D39+G39=0),"",D39/(D39+G39))</f>
        <v>0.533828996282528</v>
      </c>
      <c r="K39" s="47" t="n">
        <f aca="false">IF(E39="","",E39/(E39+H39))</f>
        <v>0.556497175141243</v>
      </c>
      <c r="L39" s="78" t="n">
        <f aca="false">IF(OR(K39="",J39=""),"",(J39-K39)*100)</f>
        <v>-2.26681788587151</v>
      </c>
      <c r="M39" s="36" t="n">
        <v>1.81947821335184</v>
      </c>
      <c r="N39" s="36" t="n">
        <v>1.2490124826858</v>
      </c>
      <c r="O39" s="36" t="n">
        <f aca="false">SQRT(M39^2+N39^2)</f>
        <v>2.20692844260228</v>
      </c>
      <c r="P39" s="47" t="n">
        <f aca="false">IF(J39="","",MAX(0,J39-1.96*O39/100))</f>
        <v>0.490573198807523</v>
      </c>
      <c r="Q39" s="47" t="n">
        <f aca="false">IF(J39="","",MIN(1,J39+1.96*O39/100))</f>
        <v>0.577084793757533</v>
      </c>
      <c r="R39" s="32" t="str">
        <f aca="false">IF(L39="","",IF(ABS(L39)&lt;=O39,"Yes","No"))</f>
        <v>No</v>
      </c>
      <c r="S39" s="32" t="str">
        <f aca="false">IF(L39="","",IF(ABS(L39)&lt;=1.96*O39,"Yes","No"))</f>
        <v>Yes</v>
      </c>
      <c r="T39" s="66" t="n">
        <f aca="false">IF(D39="","",ROUND(SQRT(((D39+G39)*O39/100)^2+(J39*(D39+G39)*0.03811)^2),0))</f>
        <v>40</v>
      </c>
      <c r="U39" s="32"/>
    </row>
    <row r="40" customFormat="false" ht="15" hidden="false" customHeight="false" outlineLevel="0" collapsed="false">
      <c r="A40" s="32" t="s">
        <v>219</v>
      </c>
      <c r="B40" s="32" t="s">
        <v>235</v>
      </c>
      <c r="C40" s="32" t="s">
        <v>191</v>
      </c>
      <c r="D40" s="66" t="n">
        <v>2900</v>
      </c>
      <c r="E40" s="66" t="n">
        <v>3255</v>
      </c>
      <c r="F40" s="77" t="n">
        <f aca="false">IF(E40="","",D40-E40)</f>
        <v>-355</v>
      </c>
      <c r="G40" s="66" t="n">
        <v>4118</v>
      </c>
      <c r="H40" s="66" t="n">
        <v>4462</v>
      </c>
      <c r="I40" s="77" t="n">
        <f aca="false">IF(H40="","",G40-H40)</f>
        <v>-344</v>
      </c>
      <c r="J40" s="47" t="n">
        <f aca="false">IF(OR(D40="",D40+G40=0),"",D40/(D40+G40))</f>
        <v>0.413223140495868</v>
      </c>
      <c r="K40" s="47" t="n">
        <f aca="false">IF(E40="","",E40/(E40+H40))</f>
        <v>0.421796034728521</v>
      </c>
      <c r="L40" s="78" t="n">
        <f aca="false">IF(OR(K40="",J40=""),"",(J40-K40)*100)</f>
        <v>-0.857289423265367</v>
      </c>
      <c r="M40" s="36" t="n">
        <v>1.16279598640173</v>
      </c>
      <c r="N40" s="36" t="n">
        <v>1.2490124826858</v>
      </c>
      <c r="O40" s="36" t="n">
        <f aca="false">SQRT(M40^2+N40^2)</f>
        <v>1.70649544033874</v>
      </c>
      <c r="P40" s="47" t="n">
        <f aca="false">IF(J40="","",MAX(0,J40-1.96*O40/100))</f>
        <v>0.379775829865229</v>
      </c>
      <c r="Q40" s="47" t="n">
        <f aca="false">IF(J40="","",MIN(1,J40+1.96*O40/100))</f>
        <v>0.446670451126507</v>
      </c>
      <c r="R40" s="32" t="str">
        <f aca="false">IF(L40="","",IF(ABS(L40)&lt;=O40,"Yes","No"))</f>
        <v>Yes</v>
      </c>
      <c r="S40" s="32" t="str">
        <f aca="false">IF(L40="","",IF(ABS(L40)&lt;=1.96*O40,"Yes","No"))</f>
        <v>Yes</v>
      </c>
      <c r="T40" s="66" t="n">
        <f aca="false">IF(D40="","",ROUND(SQRT(((D40+G40)*O40/100)^2+(J40*(D40+G40)*0.02225)^2),0))</f>
        <v>136</v>
      </c>
      <c r="U40" s="32"/>
    </row>
    <row r="41" customFormat="false" ht="15" hidden="false" customHeight="false" outlineLevel="0" collapsed="false">
      <c r="A41" s="32" t="s">
        <v>219</v>
      </c>
      <c r="B41" s="32" t="s">
        <v>236</v>
      </c>
      <c r="C41" s="32" t="s">
        <v>191</v>
      </c>
      <c r="D41" s="66" t="n">
        <v>3031</v>
      </c>
      <c r="E41" s="66" t="n">
        <v>3239</v>
      </c>
      <c r="F41" s="77" t="n">
        <f aca="false">IF(E41="","",D41-E41)</f>
        <v>-208</v>
      </c>
      <c r="G41" s="66" t="n">
        <v>2992</v>
      </c>
      <c r="H41" s="66" t="n">
        <v>3129</v>
      </c>
      <c r="I41" s="77" t="n">
        <f aca="false">IF(H41="","",G41-H41)</f>
        <v>-137</v>
      </c>
      <c r="J41" s="47" t="n">
        <f aca="false">IF(OR(D41="",D41+G41=0),"",D41/(D41+G41))</f>
        <v>0.503237589241242</v>
      </c>
      <c r="K41" s="47" t="n">
        <f aca="false">IF(E41="","",E41/(E41+H41))</f>
        <v>0.508636934673367</v>
      </c>
      <c r="L41" s="78" t="n">
        <f aca="false">IF(OR(K41="",J41=""),"",(J41-K41)*100)</f>
        <v>-0.539934543212484</v>
      </c>
      <c r="M41" s="36" t="n">
        <v>1.16279598640173</v>
      </c>
      <c r="N41" s="36" t="n">
        <v>1.2490124826858</v>
      </c>
      <c r="O41" s="36" t="n">
        <f aca="false">SQRT(M41^2+N41^2)</f>
        <v>1.70649544033874</v>
      </c>
      <c r="P41" s="47" t="n">
        <f aca="false">IF(J41="","",MAX(0,J41-1.96*O41/100))</f>
        <v>0.469790278610603</v>
      </c>
      <c r="Q41" s="47" t="n">
        <f aca="false">IF(J41="","",MIN(1,J41+1.96*O41/100))</f>
        <v>0.536684899871881</v>
      </c>
      <c r="R41" s="32" t="str">
        <f aca="false">IF(L41="","",IF(ABS(L41)&lt;=O41,"Yes","No"))</f>
        <v>Yes</v>
      </c>
      <c r="S41" s="32" t="str">
        <f aca="false">IF(L41="","",IF(ABS(L41)&lt;=1.96*O41,"Yes","No"))</f>
        <v>Yes</v>
      </c>
      <c r="T41" s="66" t="n">
        <f aca="false">IF(D41="","",ROUND(SQRT(((D41+G41)*O41/100)^2+(J41*(D41+G41)*0.02225)^2),0))</f>
        <v>123</v>
      </c>
      <c r="U41" s="32"/>
    </row>
    <row r="42" customFormat="false" ht="15" hidden="false" customHeight="false" outlineLevel="0" collapsed="false">
      <c r="A42" s="32" t="s">
        <v>219</v>
      </c>
      <c r="B42" s="32" t="s">
        <v>237</v>
      </c>
      <c r="C42" s="32" t="s">
        <v>191</v>
      </c>
      <c r="D42" s="66" t="n">
        <v>556</v>
      </c>
      <c r="E42" s="66" t="n">
        <v>611</v>
      </c>
      <c r="F42" s="77" t="n">
        <f aca="false">IF(E42="","",D42-E42)</f>
        <v>-55</v>
      </c>
      <c r="G42" s="66" t="n">
        <v>757</v>
      </c>
      <c r="H42" s="66" t="n">
        <v>740</v>
      </c>
      <c r="I42" s="77" t="n">
        <f aca="false">IF(H42="","",G42-H42)</f>
        <v>17</v>
      </c>
      <c r="J42" s="47" t="n">
        <f aca="false">IF(OR(D42="",D42+G42=0),"",D42/(D42+G42))</f>
        <v>0.423457730388423</v>
      </c>
      <c r="K42" s="47" t="n">
        <f aca="false">IF(E42="","",E42/(E42+H42))</f>
        <v>0.452257586972613</v>
      </c>
      <c r="L42" s="78" t="n">
        <f aca="false">IF(OR(K42="",J42=""),"",(J42-K42)*100)</f>
        <v>-2.87998565841894</v>
      </c>
      <c r="M42" s="36" t="n">
        <v>1.81947821335184</v>
      </c>
      <c r="N42" s="36" t="n">
        <v>1.2490124826858</v>
      </c>
      <c r="O42" s="36" t="n">
        <f aca="false">SQRT(M42^2+N42^2)</f>
        <v>2.20692844260228</v>
      </c>
      <c r="P42" s="47" t="n">
        <f aca="false">IF(J42="","",MAX(0,J42-1.96*O42/100))</f>
        <v>0.380201932913419</v>
      </c>
      <c r="Q42" s="47" t="n">
        <f aca="false">IF(J42="","",MIN(1,J42+1.96*O42/100))</f>
        <v>0.466713527863428</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219</v>
      </c>
      <c r="B43" s="32" t="s">
        <v>238</v>
      </c>
      <c r="C43" s="32" t="s">
        <v>191</v>
      </c>
      <c r="D43" s="66" t="n">
        <v>5151</v>
      </c>
      <c r="E43" s="66" t="n">
        <v>5699</v>
      </c>
      <c r="F43" s="77" t="n">
        <f aca="false">IF(E43="","",D43-E43)</f>
        <v>-548</v>
      </c>
      <c r="G43" s="66" t="n">
        <v>4508</v>
      </c>
      <c r="H43" s="66" t="n">
        <v>4420</v>
      </c>
      <c r="I43" s="77" t="n">
        <f aca="false">IF(H43="","",G43-H43)</f>
        <v>88</v>
      </c>
      <c r="J43" s="47" t="n">
        <f aca="false">IF(OR(D43="",D43+G43=0),"",D43/(D43+G43))</f>
        <v>0.533285019153121</v>
      </c>
      <c r="K43" s="47" t="n">
        <f aca="false">IF(E43="","",E43/(E43+H43))</f>
        <v>0.563197944460915</v>
      </c>
      <c r="L43" s="78" t="n">
        <f aca="false">IF(OR(K43="",J43=""),"",(J43-K43)*100)</f>
        <v>-2.99129253077937</v>
      </c>
      <c r="M43" s="36" t="n">
        <v>1.16279598640173</v>
      </c>
      <c r="N43" s="36" t="n">
        <v>1.2490124826858</v>
      </c>
      <c r="O43" s="36" t="n">
        <f aca="false">SQRT(M43^2+N43^2)</f>
        <v>1.70649544033874</v>
      </c>
      <c r="P43" s="47" t="n">
        <f aca="false">IF(J43="","",MAX(0,J43-1.96*O43/100))</f>
        <v>0.499837708522482</v>
      </c>
      <c r="Q43" s="47" t="n">
        <f aca="false">IF(J43="","",MIN(1,J43+1.96*O43/100))</f>
        <v>0.566732329783761</v>
      </c>
      <c r="R43" s="32" t="str">
        <f aca="false">IF(L43="","",IF(ABS(L43)&lt;=O43,"Yes","No"))</f>
        <v>No</v>
      </c>
      <c r="S43" s="32" t="str">
        <f aca="false">IF(L43="","",IF(ABS(L43)&lt;=1.96*O43,"Yes","No"))</f>
        <v>Yes</v>
      </c>
      <c r="T43" s="66" t="n">
        <f aca="false">IF(D43="","",ROUND(SQRT(((D43+G43)*O43/100)^2+(J43*(D43+G43)*0.02225)^2),0))</f>
        <v>201</v>
      </c>
      <c r="U43" s="32"/>
    </row>
    <row r="44" customFormat="false" ht="15" hidden="false" customHeight="false" outlineLevel="0" collapsed="false">
      <c r="A44" s="32" t="s">
        <v>219</v>
      </c>
      <c r="B44" s="32" t="s">
        <v>239</v>
      </c>
      <c r="C44" s="32" t="s">
        <v>191</v>
      </c>
      <c r="D44" s="66" t="n">
        <v>5692</v>
      </c>
      <c r="E44" s="66" t="n">
        <v>6009</v>
      </c>
      <c r="F44" s="77" t="n">
        <f aca="false">IF(E44="","",D44-E44)</f>
        <v>-317</v>
      </c>
      <c r="G44" s="66" t="n">
        <v>5109</v>
      </c>
      <c r="H44" s="66" t="n">
        <v>5257</v>
      </c>
      <c r="I44" s="77" t="n">
        <f aca="false">IF(H44="","",G44-H44)</f>
        <v>-148</v>
      </c>
      <c r="J44" s="47" t="n">
        <f aca="false">IF(OR(D44="",D44+G44=0),"",D44/(D44+G44))</f>
        <v>0.52698824182946</v>
      </c>
      <c r="K44" s="47" t="n">
        <f aca="false">IF(E44="","",E44/(E44+H44))</f>
        <v>0.533374755902716</v>
      </c>
      <c r="L44" s="78" t="n">
        <f aca="false">IF(OR(K44="",J44=""),"",(J44-K44)*100)</f>
        <v>-0.638651407325586</v>
      </c>
      <c r="M44" s="36" t="n">
        <v>1.16279598640173</v>
      </c>
      <c r="N44" s="36" t="n">
        <v>1.2490124826858</v>
      </c>
      <c r="O44" s="36" t="n">
        <f aca="false">SQRT(M44^2+N44^2)</f>
        <v>1.70649544033874</v>
      </c>
      <c r="P44" s="47" t="n">
        <f aca="false">IF(J44="","",MAX(0,J44-1.96*O44/100))</f>
        <v>0.493540931198821</v>
      </c>
      <c r="Q44" s="47" t="n">
        <f aca="false">IF(J44="","",MIN(1,J44+1.96*O44/100))</f>
        <v>0.5604355524601</v>
      </c>
      <c r="R44" s="32" t="str">
        <f aca="false">IF(L44="","",IF(ABS(L44)&lt;=O44,"Yes","No"))</f>
        <v>Yes</v>
      </c>
      <c r="S44" s="32" t="str">
        <f aca="false">IF(L44="","",IF(ABS(L44)&lt;=1.96*O44,"Yes","No"))</f>
        <v>Yes</v>
      </c>
      <c r="T44" s="66" t="n">
        <f aca="false">IF(D44="","",ROUND(SQRT(((D44+G44)*O44/100)^2+(J44*(D44+G44)*0.02225)^2),0))</f>
        <v>224</v>
      </c>
      <c r="U44" s="32"/>
    </row>
    <row r="45" customFormat="false" ht="15" hidden="false" customHeight="false" outlineLevel="0" collapsed="false">
      <c r="A45" s="32" t="s">
        <v>219</v>
      </c>
      <c r="B45" s="32" t="s">
        <v>240</v>
      </c>
      <c r="C45" s="32" t="s">
        <v>191</v>
      </c>
      <c r="D45" s="66" t="n">
        <v>1783</v>
      </c>
      <c r="E45" s="66" t="n">
        <v>2032</v>
      </c>
      <c r="F45" s="77" t="n">
        <f aca="false">IF(E45="","",D45-E45)</f>
        <v>-249</v>
      </c>
      <c r="G45" s="66" t="n">
        <v>2353</v>
      </c>
      <c r="H45" s="66" t="n">
        <v>2450</v>
      </c>
      <c r="I45" s="77" t="n">
        <f aca="false">IF(H45="","",G45-H45)</f>
        <v>-97</v>
      </c>
      <c r="J45" s="47" t="n">
        <f aca="false">IF(OR(D45="",D45+G45=0),"",D45/(D45+G45))</f>
        <v>0.431092843326886</v>
      </c>
      <c r="K45" s="47" t="n">
        <f aca="false">IF(E45="","",E45/(E45+H45))</f>
        <v>0.453369031682285</v>
      </c>
      <c r="L45" s="78" t="n">
        <f aca="false">IF(OR(K45="",J45=""),"",(J45-K45)*100)</f>
        <v>-2.22761883553989</v>
      </c>
      <c r="M45" s="36" t="n">
        <v>1.16279598640173</v>
      </c>
      <c r="N45" s="36" t="n">
        <v>1.2490124826858</v>
      </c>
      <c r="O45" s="36" t="n">
        <f aca="false">SQRT(M45^2+N45^2)</f>
        <v>1.70649544033874</v>
      </c>
      <c r="P45" s="47" t="n">
        <f aca="false">IF(J45="","",MAX(0,J45-1.96*O45/100))</f>
        <v>0.397645532696247</v>
      </c>
      <c r="Q45" s="47" t="n">
        <f aca="false">IF(J45="","",MIN(1,J45+1.96*O45/100))</f>
        <v>0.464540153957525</v>
      </c>
      <c r="R45" s="32" t="str">
        <f aca="false">IF(L45="","",IF(ABS(L45)&lt;=O45,"Yes","No"))</f>
        <v>No</v>
      </c>
      <c r="S45" s="32" t="str">
        <f aca="false">IF(L45="","",IF(ABS(L45)&lt;=1.96*O45,"Yes","No"))</f>
        <v>Yes</v>
      </c>
      <c r="T45" s="66" t="n">
        <f aca="false">IF(D45="","",ROUND(SQRT(((D45+G45)*O45/100)^2+(J45*(D45+G45)*0.02225)^2),0))</f>
        <v>81</v>
      </c>
      <c r="U45" s="32"/>
    </row>
    <row r="46" customFormat="false" ht="15" hidden="false" customHeight="false" outlineLevel="0" collapsed="false">
      <c r="A46" s="32" t="s">
        <v>219</v>
      </c>
      <c r="B46" s="32" t="s">
        <v>241</v>
      </c>
      <c r="C46" s="32" t="s">
        <v>191</v>
      </c>
      <c r="D46" s="66" t="n">
        <v>3896</v>
      </c>
      <c r="E46" s="66" t="n">
        <v>4406</v>
      </c>
      <c r="F46" s="77" t="n">
        <f aca="false">IF(E46="","",D46-E46)</f>
        <v>-510</v>
      </c>
      <c r="G46" s="66" t="n">
        <v>4193</v>
      </c>
      <c r="H46" s="66" t="n">
        <v>4369</v>
      </c>
      <c r="I46" s="77" t="n">
        <f aca="false">IF(H46="","",G46-H46)</f>
        <v>-176</v>
      </c>
      <c r="J46" s="47" t="n">
        <f aca="false">IF(OR(D46="",D46+G46=0),"",D46/(D46+G46))</f>
        <v>0.481641735690444</v>
      </c>
      <c r="K46" s="47" t="n">
        <f aca="false">IF(E46="","",E46/(E46+H46))</f>
        <v>0.502108262108262</v>
      </c>
      <c r="L46" s="78" t="n">
        <f aca="false">IF(OR(K46="",J46=""),"",(J46-K46)*100)</f>
        <v>-2.04665264178183</v>
      </c>
      <c r="M46" s="36" t="n">
        <v>1.16279598640173</v>
      </c>
      <c r="N46" s="36" t="n">
        <v>1.2490124826858</v>
      </c>
      <c r="O46" s="36" t="n">
        <f aca="false">SQRT(M46^2+N46^2)</f>
        <v>1.70649544033874</v>
      </c>
      <c r="P46" s="47" t="n">
        <f aca="false">IF(J46="","",MAX(0,J46-1.96*O46/100))</f>
        <v>0.448194425059805</v>
      </c>
      <c r="Q46" s="47" t="n">
        <f aca="false">IF(J46="","",MIN(1,J46+1.96*O46/100))</f>
        <v>0.515089046321083</v>
      </c>
      <c r="R46" s="32" t="str">
        <f aca="false">IF(L46="","",IF(ABS(L46)&lt;=O46,"Yes","No"))</f>
        <v>No</v>
      </c>
      <c r="S46" s="32" t="str">
        <f aca="false">IF(L46="","",IF(ABS(L46)&lt;=1.96*O46,"Yes","No"))</f>
        <v>Yes</v>
      </c>
      <c r="T46" s="66" t="n">
        <f aca="false">IF(D46="","",ROUND(SQRT(((D46+G46)*O46/100)^2+(J46*(D46+G46)*0.02225)^2),0))</f>
        <v>163</v>
      </c>
      <c r="U46" s="32"/>
    </row>
    <row r="47" customFormat="false" ht="15" hidden="false" customHeight="false" outlineLevel="0" collapsed="false">
      <c r="A47" s="32" t="s">
        <v>219</v>
      </c>
      <c r="B47" s="32" t="s">
        <v>242</v>
      </c>
      <c r="C47" s="32" t="s">
        <v>191</v>
      </c>
      <c r="D47" s="66" t="n">
        <v>880</v>
      </c>
      <c r="E47" s="66" t="n">
        <v>1054</v>
      </c>
      <c r="F47" s="77" t="n">
        <f aca="false">IF(E47="","",D47-E47)</f>
        <v>-174</v>
      </c>
      <c r="G47" s="66" t="n">
        <v>1773</v>
      </c>
      <c r="H47" s="66" t="n">
        <v>1952</v>
      </c>
      <c r="I47" s="77" t="n">
        <f aca="false">IF(H47="","",G47-H47)</f>
        <v>-179</v>
      </c>
      <c r="J47" s="47" t="n">
        <f aca="false">IF(OR(D47="",D47+G47=0),"",D47/(D47+G47))</f>
        <v>0.331699962306822</v>
      </c>
      <c r="K47" s="47" t="n">
        <f aca="false">IF(E47="","",E47/(E47+H47))</f>
        <v>0.350632069194943</v>
      </c>
      <c r="L47" s="78" t="n">
        <f aca="false">IF(OR(K47="",J47=""),"",(J47-K47)*100)</f>
        <v>-1.8932106888121</v>
      </c>
      <c r="M47" s="36" t="n">
        <v>1.16279598640173</v>
      </c>
      <c r="N47" s="36" t="n">
        <v>1.2490124826858</v>
      </c>
      <c r="O47" s="36" t="n">
        <f aca="false">SQRT(M47^2+N47^2)</f>
        <v>1.70649544033874</v>
      </c>
      <c r="P47" s="47" t="n">
        <f aca="false">IF(J47="","",MAX(0,J47-1.96*O47/100))</f>
        <v>0.298252651676183</v>
      </c>
      <c r="Q47" s="47" t="n">
        <f aca="false">IF(J47="","",MIN(1,J47+1.96*O47/100))</f>
        <v>0.365147272937462</v>
      </c>
      <c r="R47" s="32" t="str">
        <f aca="false">IF(L47="","",IF(ABS(L47)&lt;=O47,"Yes","No"))</f>
        <v>No</v>
      </c>
      <c r="S47" s="32" t="str">
        <f aca="false">IF(L47="","",IF(ABS(L47)&lt;=1.96*O47,"Yes","No"))</f>
        <v>Yes</v>
      </c>
      <c r="T47" s="66" t="n">
        <f aca="false">IF(D47="","",ROUND(SQRT(((D47+G47)*O47/100)^2+(J47*(D47+G47)*0.02225)^2),0))</f>
        <v>49</v>
      </c>
      <c r="U47" s="32"/>
    </row>
    <row r="48" customFormat="false" ht="15" hidden="false" customHeight="false" outlineLevel="0" collapsed="false">
      <c r="A48" s="32" t="s">
        <v>219</v>
      </c>
      <c r="B48" s="32" t="s">
        <v>243</v>
      </c>
      <c r="C48" s="32" t="s">
        <v>191</v>
      </c>
      <c r="D48" s="66" t="n">
        <v>869</v>
      </c>
      <c r="E48" s="66" t="n">
        <v>981</v>
      </c>
      <c r="F48" s="77" t="n">
        <f aca="false">IF(E48="","",D48-E48)</f>
        <v>-112</v>
      </c>
      <c r="G48" s="66" t="n">
        <v>1660</v>
      </c>
      <c r="H48" s="66" t="n">
        <v>1711</v>
      </c>
      <c r="I48" s="77" t="n">
        <f aca="false">IF(H48="","",G48-H48)</f>
        <v>-51</v>
      </c>
      <c r="J48" s="47" t="n">
        <f aca="false">IF(OR(D48="",D48+G48=0),"",D48/(D48+G48))</f>
        <v>0.343614076710162</v>
      </c>
      <c r="K48" s="47" t="n">
        <f aca="false">IF(E48="","",E48/(E48+H48))</f>
        <v>0.364413075780089</v>
      </c>
      <c r="L48" s="78" t="n">
        <f aca="false">IF(OR(K48="",J48=""),"",(J48-K48)*100)</f>
        <v>-2.0798999069927</v>
      </c>
      <c r="M48" s="36" t="n">
        <v>1.81947821335184</v>
      </c>
      <c r="N48" s="36" t="n">
        <v>1.2490124826858</v>
      </c>
      <c r="O48" s="36" t="n">
        <f aca="false">SQRT(M48^2+N48^2)</f>
        <v>2.20692844260228</v>
      </c>
      <c r="P48" s="47" t="n">
        <f aca="false">IF(J48="","",MAX(0,J48-1.96*O48/100))</f>
        <v>0.300358279235157</v>
      </c>
      <c r="Q48" s="47" t="n">
        <f aca="false">IF(J48="","",MIN(1,J48+1.96*O48/100))</f>
        <v>0.386869874185167</v>
      </c>
      <c r="R48" s="32" t="str">
        <f aca="false">IF(L48="","",IF(ABS(L48)&lt;=O48,"Yes","No"))</f>
        <v>Yes</v>
      </c>
      <c r="S48" s="32" t="str">
        <f aca="false">IF(L48="","",IF(ABS(L48)&lt;=1.96*O48,"Yes","No"))</f>
        <v>Yes</v>
      </c>
      <c r="T48" s="66" t="n">
        <f aca="false">IF(D48="","",ROUND(SQRT(((D48+G48)*O48/100)^2+(J48*(D48+G48)*0.03811)^2),0))</f>
        <v>65</v>
      </c>
      <c r="U48" s="32"/>
    </row>
    <row r="49" customFormat="false" ht="15" hidden="false" customHeight="false" outlineLevel="0" collapsed="false">
      <c r="A49" s="32" t="s">
        <v>219</v>
      </c>
      <c r="B49" s="32" t="s">
        <v>244</v>
      </c>
      <c r="C49" s="32" t="s">
        <v>191</v>
      </c>
      <c r="D49" s="66" t="n">
        <v>5282</v>
      </c>
      <c r="E49" s="66" t="n">
        <v>5508</v>
      </c>
      <c r="F49" s="77" t="n">
        <f aca="false">IF(E49="","",D49-E49)</f>
        <v>-226</v>
      </c>
      <c r="G49" s="66" t="n">
        <v>4578</v>
      </c>
      <c r="H49" s="66" t="n">
        <v>4784</v>
      </c>
      <c r="I49" s="77" t="n">
        <f aca="false">IF(H49="","",G49-H49)</f>
        <v>-206</v>
      </c>
      <c r="J49" s="47" t="n">
        <f aca="false">IF(OR(D49="",D49+G49=0),"",D49/(D49+G49))</f>
        <v>0.535699797160243</v>
      </c>
      <c r="K49" s="47" t="n">
        <f aca="false">IF(E49="","",E49/(E49+H49))</f>
        <v>0.535172949863972</v>
      </c>
      <c r="L49" s="78" t="n">
        <f aca="false">IF(OR(K49="",J49=""),"",(J49-K49)*100)</f>
        <v>0.0526847296271393</v>
      </c>
      <c r="M49" s="36" t="n">
        <v>1.16279598640173</v>
      </c>
      <c r="N49" s="36" t="n">
        <v>1.2490124826858</v>
      </c>
      <c r="O49" s="36" t="n">
        <f aca="false">SQRT(M49^2+N49^2)</f>
        <v>1.70649544033874</v>
      </c>
      <c r="P49" s="47" t="n">
        <f aca="false">IF(J49="","",MAX(0,J49-1.96*O49/100))</f>
        <v>0.502252486529604</v>
      </c>
      <c r="Q49" s="47" t="n">
        <f aca="false">IF(J49="","",MIN(1,J49+1.96*O49/100))</f>
        <v>0.569147107790883</v>
      </c>
      <c r="R49" s="32" t="str">
        <f aca="false">IF(L49="","",IF(ABS(L49)&lt;=O49,"Yes","No"))</f>
        <v>Yes</v>
      </c>
      <c r="S49" s="32" t="str">
        <f aca="false">IF(L49="","",IF(ABS(L49)&lt;=1.96*O49,"Yes","No"))</f>
        <v>Yes</v>
      </c>
      <c r="T49" s="66" t="n">
        <f aca="false">IF(D49="","",ROUND(SQRT(((D49+G49)*O49/100)^2+(J49*(D49+G49)*0.02225)^2),0))</f>
        <v>205</v>
      </c>
      <c r="U49" s="32"/>
    </row>
    <row r="50" customFormat="false" ht="15" hidden="false" customHeight="false" outlineLevel="0" collapsed="false">
      <c r="A50" s="32" t="s">
        <v>245</v>
      </c>
      <c r="B50" s="32" t="s">
        <v>246</v>
      </c>
      <c r="C50" s="32" t="s">
        <v>191</v>
      </c>
      <c r="D50" s="66" t="n">
        <v>349</v>
      </c>
      <c r="E50" s="66" t="n">
        <v>361</v>
      </c>
      <c r="F50" s="77" t="n">
        <f aca="false">IF(E50="","",D50-E50)</f>
        <v>-12</v>
      </c>
      <c r="G50" s="66" t="n">
        <v>699</v>
      </c>
      <c r="H50" s="66" t="n">
        <v>824</v>
      </c>
      <c r="I50" s="77" t="n">
        <f aca="false">IF(H50="","",G50-H50)</f>
        <v>-125</v>
      </c>
      <c r="J50" s="47" t="n">
        <f aca="false">IF(OR(D50="",D50+G50=0),"",D50/(D50+G50))</f>
        <v>0.333015267175573</v>
      </c>
      <c r="K50" s="47" t="n">
        <f aca="false">IF(E50="","",E50/(E50+H50))</f>
        <v>0.30464135021097</v>
      </c>
      <c r="L50" s="78" t="n">
        <f aca="false">IF(OR(K50="",J50=""),"",(J50-K50)*100)</f>
        <v>2.83739169646021</v>
      </c>
      <c r="M50" s="36" t="n">
        <v>2.87797162549907</v>
      </c>
      <c r="N50" s="36" t="n">
        <v>1.2490124826858</v>
      </c>
      <c r="O50" s="36" t="n">
        <f aca="false">SQRT(M50^2+N50^2)</f>
        <v>3.1373161872981</v>
      </c>
      <c r="P50" s="47" t="n">
        <f aca="false">IF(J50="","",MAX(0,J50-1.96*O50/100))</f>
        <v>0.27152386990453</v>
      </c>
      <c r="Q50" s="47" t="n">
        <f aca="false">IF(J50="","",MIN(1,J50+1.96*O50/100))</f>
        <v>0.394506664446615</v>
      </c>
      <c r="R50" s="32" t="str">
        <f aca="false">IF(L50="","",IF(ABS(L50)&lt;=O50,"Yes","No"))</f>
        <v>Yes</v>
      </c>
      <c r="S50" s="32" t="str">
        <f aca="false">IF(L50="","",IF(ABS(L50)&lt;=1.96*O50,"Yes","No"))</f>
        <v>Yes</v>
      </c>
      <c r="T50" s="66" t="n">
        <f aca="false">IF(D50="","",ROUND(SQRT(((D50+G50)*O50/100)^2+(J50*(D50+G50)*0.0534)^2),0))</f>
        <v>38</v>
      </c>
      <c r="U50" s="32"/>
    </row>
    <row r="51" customFormat="false" ht="15" hidden="false" customHeight="false" outlineLevel="0" collapsed="false">
      <c r="A51" s="32" t="s">
        <v>245</v>
      </c>
      <c r="B51" s="32" t="s">
        <v>247</v>
      </c>
      <c r="C51" s="32" t="s">
        <v>191</v>
      </c>
      <c r="D51" s="66" t="n">
        <v>1047</v>
      </c>
      <c r="E51" s="66" t="n">
        <v>1021</v>
      </c>
      <c r="F51" s="77" t="n">
        <f aca="false">IF(E51="","",D51-E51)</f>
        <v>26</v>
      </c>
      <c r="G51" s="66" t="n">
        <v>1741</v>
      </c>
      <c r="H51" s="66" t="n">
        <v>1984</v>
      </c>
      <c r="I51" s="77" t="n">
        <f aca="false">IF(H51="","",G51-H51)</f>
        <v>-243</v>
      </c>
      <c r="J51" s="47" t="n">
        <f aca="false">IF(OR(D51="",D51+G51=0),"",D51/(D51+G51))</f>
        <v>0.375538020086083</v>
      </c>
      <c r="K51" s="47" t="n">
        <f aca="false">IF(E51="","",E51/(E51+H51))</f>
        <v>0.339767054908486</v>
      </c>
      <c r="L51" s="78" t="n">
        <f aca="false">IF(OR(K51="",J51=""),"",(J51-K51)*100)</f>
        <v>3.57709651775974</v>
      </c>
      <c r="M51" s="36" t="n">
        <v>1.16279598640173</v>
      </c>
      <c r="N51" s="36" t="n">
        <v>1.2490124826858</v>
      </c>
      <c r="O51" s="36" t="n">
        <f aca="false">SQRT(M51^2+N51^2)</f>
        <v>1.70649544033874</v>
      </c>
      <c r="P51" s="47" t="n">
        <f aca="false">IF(J51="","",MAX(0,J51-1.96*O51/100))</f>
        <v>0.342090709455444</v>
      </c>
      <c r="Q51" s="47" t="n">
        <f aca="false">IF(J51="","",MIN(1,J51+1.96*O51/100))</f>
        <v>0.408985330716723</v>
      </c>
      <c r="R51" s="32" t="str">
        <f aca="false">IF(L51="","",IF(ABS(L51)&lt;=O51,"Yes","No"))</f>
        <v>No</v>
      </c>
      <c r="S51" s="32" t="str">
        <f aca="false">IF(L51="","",IF(ABS(L51)&lt;=1.96*O51,"Yes","No"))</f>
        <v>No</v>
      </c>
      <c r="T51" s="66" t="n">
        <f aca="false">IF(D51="","",ROUND(SQRT(((D51+G51)*O51/100)^2+(J51*(D51+G51)*0.02225)^2),0))</f>
        <v>53</v>
      </c>
      <c r="U51" s="32"/>
    </row>
    <row r="52" customFormat="false" ht="15" hidden="false" customHeight="false" outlineLevel="0" collapsed="false">
      <c r="A52" s="32" t="s">
        <v>245</v>
      </c>
      <c r="B52" s="32" t="s">
        <v>248</v>
      </c>
      <c r="C52" s="32" t="s">
        <v>191</v>
      </c>
      <c r="D52" s="66" t="n">
        <v>339</v>
      </c>
      <c r="E52" s="66" t="n">
        <v>380</v>
      </c>
      <c r="F52" s="77" t="n">
        <f aca="false">IF(E52="","",D52-E52)</f>
        <v>-41</v>
      </c>
      <c r="G52" s="66" t="n">
        <v>525</v>
      </c>
      <c r="H52" s="66" t="n">
        <v>732</v>
      </c>
      <c r="I52" s="77" t="n">
        <f aca="false">IF(H52="","",G52-H52)</f>
        <v>-207</v>
      </c>
      <c r="J52" s="47" t="n">
        <f aca="false">IF(OR(D52="",D52+G52=0),"",D52/(D52+G52))</f>
        <v>0.392361111111111</v>
      </c>
      <c r="K52" s="47" t="n">
        <f aca="false">IF(E52="","",E52/(E52+H52))</f>
        <v>0.341726618705036</v>
      </c>
      <c r="L52" s="78" t="n">
        <f aca="false">IF(OR(K52="",J52=""),"",(J52-K52)*100)</f>
        <v>5.06344924060752</v>
      </c>
      <c r="M52" s="36" t="n">
        <v>2.87797162549907</v>
      </c>
      <c r="N52" s="36" t="n">
        <v>1.2490124826858</v>
      </c>
      <c r="O52" s="36" t="n">
        <f aca="false">SQRT(M52^2+N52^2)</f>
        <v>3.1373161872981</v>
      </c>
      <c r="P52" s="47" t="n">
        <f aca="false">IF(J52="","",MAX(0,J52-1.96*O52/100))</f>
        <v>0.330869713840068</v>
      </c>
      <c r="Q52" s="47" t="n">
        <f aca="false">IF(J52="","",MIN(1,J52+1.96*O52/100))</f>
        <v>0.453852508382154</v>
      </c>
      <c r="R52" s="32" t="str">
        <f aca="false">IF(L52="","",IF(ABS(L52)&lt;=O52,"Yes","No"))</f>
        <v>No</v>
      </c>
      <c r="S52" s="32" t="str">
        <f aca="false">IF(L52="","",IF(ABS(L52)&lt;=1.96*O52,"Yes","No"))</f>
        <v>Yes</v>
      </c>
      <c r="T52" s="66" t="n">
        <f aca="false">IF(D52="","",ROUND(SQRT(((D52+G52)*O52/100)^2+(J52*(D52+G52)*0.0534)^2),0))</f>
        <v>33</v>
      </c>
      <c r="U52" s="32"/>
    </row>
    <row r="53" customFormat="false" ht="15" hidden="false" customHeight="false" outlineLevel="0" collapsed="false">
      <c r="A53" s="32" t="s">
        <v>249</v>
      </c>
      <c r="B53" s="32" t="s">
        <v>250</v>
      </c>
      <c r="C53" s="32" t="s">
        <v>191</v>
      </c>
      <c r="D53" s="66" t="n">
        <v>1015</v>
      </c>
      <c r="E53" s="66" t="n">
        <v>1174</v>
      </c>
      <c r="F53" s="77" t="n">
        <f aca="false">IF(E53="","",D53-E53)</f>
        <v>-159</v>
      </c>
      <c r="G53" s="66" t="n">
        <v>1332</v>
      </c>
      <c r="H53" s="66" t="n">
        <v>1426</v>
      </c>
      <c r="I53" s="77" t="n">
        <f aca="false">IF(H53="","",G53-H53)</f>
        <v>-94</v>
      </c>
      <c r="J53" s="47" t="n">
        <f aca="false">IF(OR(D53="",D53+G53=0),"",D53/(D53+G53))</f>
        <v>0.432466979122284</v>
      </c>
      <c r="K53" s="47" t="n">
        <f aca="false">IF(E53="","",E53/(E53+H53))</f>
        <v>0.451538461538462</v>
      </c>
      <c r="L53" s="78" t="n">
        <f aca="false">IF(OR(K53="",J53=""),"",(J53-K53)*100)</f>
        <v>-1.90714824161778</v>
      </c>
      <c r="M53" s="36" t="n">
        <v>1.81947821335184</v>
      </c>
      <c r="N53" s="36" t="n">
        <v>1.2490124826858</v>
      </c>
      <c r="O53" s="36" t="n">
        <f aca="false">SQRT(M53^2+N53^2)</f>
        <v>2.20692844260228</v>
      </c>
      <c r="P53" s="47" t="n">
        <f aca="false">IF(J53="","",MAX(0,J53-1.96*O53/100))</f>
        <v>0.389211181647279</v>
      </c>
      <c r="Q53" s="47" t="n">
        <f aca="false">IF(J53="","",MIN(1,J53+1.96*O53/100))</f>
        <v>0.475722776597289</v>
      </c>
      <c r="R53" s="32" t="str">
        <f aca="false">IF(L53="","",IF(ABS(L53)&lt;=O53,"Yes","No"))</f>
        <v>Yes</v>
      </c>
      <c r="S53" s="32" t="str">
        <f aca="false">IF(L53="","",IF(ABS(L53)&lt;=1.96*O53,"Yes","No"))</f>
        <v>Yes</v>
      </c>
      <c r="T53" s="66" t="n">
        <f aca="false">IF(D53="","",ROUND(SQRT(((D53+G53)*O53/100)^2+(J53*(D53+G53)*0.03811)^2),0))</f>
        <v>65</v>
      </c>
      <c r="U53" s="32"/>
    </row>
    <row r="54" customFormat="false" ht="15" hidden="false" customHeight="false" outlineLevel="0" collapsed="false">
      <c r="A54" s="32" t="s">
        <v>249</v>
      </c>
      <c r="B54" s="32" t="s">
        <v>251</v>
      </c>
      <c r="C54" s="32" t="s">
        <v>191</v>
      </c>
      <c r="D54" s="66" t="n">
        <v>671</v>
      </c>
      <c r="E54" s="66" t="n">
        <v>729</v>
      </c>
      <c r="F54" s="77" t="n">
        <f aca="false">IF(E54="","",D54-E54)</f>
        <v>-58</v>
      </c>
      <c r="G54" s="66" t="n">
        <v>903</v>
      </c>
      <c r="H54" s="66" t="n">
        <v>928</v>
      </c>
      <c r="I54" s="77" t="n">
        <f aca="false">IF(H54="","",G54-H54)</f>
        <v>-25</v>
      </c>
      <c r="J54" s="47" t="n">
        <f aca="false">IF(OR(D54="",D54+G54=0),"",D54/(D54+G54))</f>
        <v>0.426302414231258</v>
      </c>
      <c r="K54" s="47" t="n">
        <f aca="false">IF(E54="","",E54/(E54+H54))</f>
        <v>0.43995171997586</v>
      </c>
      <c r="L54" s="78" t="n">
        <f aca="false">IF(OR(K54="",J54=""),"",(J54-K54)*100)</f>
        <v>-1.3649305744602</v>
      </c>
      <c r="M54" s="36" t="n">
        <v>1.81947821335184</v>
      </c>
      <c r="N54" s="36" t="n">
        <v>1.2490124826858</v>
      </c>
      <c r="O54" s="36" t="n">
        <f aca="false">SQRT(M54^2+N54^2)</f>
        <v>2.20692844260228</v>
      </c>
      <c r="P54" s="47" t="n">
        <f aca="false">IF(J54="","",MAX(0,J54-1.96*O54/100))</f>
        <v>0.383046616756253</v>
      </c>
      <c r="Q54" s="47" t="n">
        <f aca="false">IF(J54="","",MIN(1,J54+1.96*O54/100))</f>
        <v>0.469558211706263</v>
      </c>
      <c r="R54" s="32" t="str">
        <f aca="false">IF(L54="","",IF(ABS(L54)&lt;=O54,"Yes","No"))</f>
        <v>Yes</v>
      </c>
      <c r="S54" s="32" t="str">
        <f aca="false">IF(L54="","",IF(ABS(L54)&lt;=1.96*O54,"Yes","No"))</f>
        <v>Yes</v>
      </c>
      <c r="T54" s="66" t="n">
        <f aca="false">IF(D54="","",ROUND(SQRT(((D54+G54)*O54/100)^2+(J54*(D54+G54)*0.03811)^2),0))</f>
        <v>43</v>
      </c>
      <c r="U54" s="32"/>
    </row>
    <row r="55" customFormat="false" ht="15" hidden="false" customHeight="false" outlineLevel="0" collapsed="false">
      <c r="A55" s="32" t="s">
        <v>249</v>
      </c>
      <c r="B55" s="32" t="s">
        <v>252</v>
      </c>
      <c r="C55" s="32" t="s">
        <v>191</v>
      </c>
      <c r="D55" s="66" t="n">
        <v>406</v>
      </c>
      <c r="E55" s="66" t="n">
        <v>441</v>
      </c>
      <c r="F55" s="77" t="n">
        <f aca="false">IF(E55="","",D55-E55)</f>
        <v>-35</v>
      </c>
      <c r="G55" s="66" t="n">
        <v>468</v>
      </c>
      <c r="H55" s="66" t="n">
        <v>513</v>
      </c>
      <c r="I55" s="77" t="n">
        <f aca="false">IF(H55="","",G55-H55)</f>
        <v>-45</v>
      </c>
      <c r="J55" s="47" t="n">
        <f aca="false">IF(OR(D55="",D55+G55=0),"",D55/(D55+G55))</f>
        <v>0.464530892448513</v>
      </c>
      <c r="K55" s="47" t="n">
        <f aca="false">IF(E55="","",E55/(E55+H55))</f>
        <v>0.462264150943396</v>
      </c>
      <c r="L55" s="78" t="n">
        <f aca="false">IF(OR(K55="",J55=""),"",(J55-K55)*100)</f>
        <v>0.226674150511635</v>
      </c>
      <c r="M55" s="36" t="n">
        <v>2.87797162549907</v>
      </c>
      <c r="N55" s="36" t="n">
        <v>1.2490124826858</v>
      </c>
      <c r="O55" s="36" t="n">
        <f aca="false">SQRT(M55^2+N55^2)</f>
        <v>3.1373161872981</v>
      </c>
      <c r="P55" s="47" t="n">
        <f aca="false">IF(J55="","",MAX(0,J55-1.96*O55/100))</f>
        <v>0.40303949517747</v>
      </c>
      <c r="Q55" s="47" t="n">
        <f aca="false">IF(J55="","",MIN(1,J55+1.96*O55/100))</f>
        <v>0.526022289719555</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249</v>
      </c>
      <c r="B56" s="32" t="s">
        <v>222</v>
      </c>
      <c r="C56" s="32" t="s">
        <v>191</v>
      </c>
      <c r="D56" s="66" t="n">
        <v>12087</v>
      </c>
      <c r="E56" s="66" t="n">
        <v>12402</v>
      </c>
      <c r="F56" s="77" t="n">
        <f aca="false">IF(E56="","",D56-E56)</f>
        <v>-315</v>
      </c>
      <c r="G56" s="66" t="n">
        <v>5581</v>
      </c>
      <c r="H56" s="66" t="n">
        <v>5692</v>
      </c>
      <c r="I56" s="77" t="n">
        <f aca="false">IF(H56="","",G56-H56)</f>
        <v>-111</v>
      </c>
      <c r="J56" s="47" t="n">
        <f aca="false">IF(OR(D56="",D56+G56=0),"",D56/(D56+G56))</f>
        <v>0.684118179760018</v>
      </c>
      <c r="K56" s="47" t="n">
        <f aca="false">IF(E56="","",E56/(E56+H56))</f>
        <v>0.685420581408202</v>
      </c>
      <c r="L56" s="78" t="n">
        <f aca="false">IF(OR(K56="",J56=""),"",(J56-K56)*100)</f>
        <v>-0.130240164818352</v>
      </c>
      <c r="M56" s="36" t="n">
        <v>1.16279598640173</v>
      </c>
      <c r="N56" s="36" t="n">
        <v>1.2490124826858</v>
      </c>
      <c r="O56" s="36" t="n">
        <f aca="false">SQRT(M56^2+N56^2)</f>
        <v>1.70649544033874</v>
      </c>
      <c r="P56" s="47" t="n">
        <f aca="false">IF(J56="","",MAX(0,J56-1.96*O56/100))</f>
        <v>0.650670869129379</v>
      </c>
      <c r="Q56" s="47" t="n">
        <f aca="false">IF(J56="","",MIN(1,J56+1.96*O56/100))</f>
        <v>0.717565490390657</v>
      </c>
      <c r="R56" s="32" t="str">
        <f aca="false">IF(L56="","",IF(ABS(L56)&lt;=O56,"Yes","No"))</f>
        <v>Yes</v>
      </c>
      <c r="S56" s="32" t="str">
        <f aca="false">IF(L56="","",IF(ABS(L56)&lt;=1.96*O56,"Yes","No"))</f>
        <v>Yes</v>
      </c>
      <c r="T56" s="66" t="n">
        <f aca="false">IF(D56="","",ROUND(SQRT(((D56+G56)*O56/100)^2+(J56*(D56+G56)*0.02225)^2),0))</f>
        <v>404</v>
      </c>
      <c r="U56" s="32"/>
    </row>
    <row r="57" customFormat="false" ht="15" hidden="false" customHeight="false" outlineLevel="0" collapsed="false">
      <c r="A57" s="32" t="s">
        <v>249</v>
      </c>
      <c r="B57" s="32" t="s">
        <v>253</v>
      </c>
      <c r="C57" s="32" t="s">
        <v>191</v>
      </c>
      <c r="D57" s="66" t="n">
        <v>5938</v>
      </c>
      <c r="E57" s="66" t="n">
        <v>6681</v>
      </c>
      <c r="F57" s="77" t="n">
        <f aca="false">IF(E57="","",D57-E57)</f>
        <v>-743</v>
      </c>
      <c r="G57" s="66" t="n">
        <v>5263</v>
      </c>
      <c r="H57" s="66" t="n">
        <v>5562</v>
      </c>
      <c r="I57" s="77" t="n">
        <f aca="false">IF(H57="","",G57-H57)</f>
        <v>-299</v>
      </c>
      <c r="J57" s="47" t="n">
        <f aca="false">IF(OR(D57="",D57+G57=0),"",D57/(D57+G57))</f>
        <v>0.530131238282296</v>
      </c>
      <c r="K57" s="47" t="n">
        <f aca="false">IF(E57="","",E57/(E57+H57))</f>
        <v>0.545699583435433</v>
      </c>
      <c r="L57" s="78" t="n">
        <f aca="false">IF(OR(K57="",J57=""),"",(J57-K57)*100)</f>
        <v>-1.55683451531362</v>
      </c>
      <c r="M57" s="36" t="n">
        <v>1.16279598640173</v>
      </c>
      <c r="N57" s="36" t="n">
        <v>1.2490124826858</v>
      </c>
      <c r="O57" s="36" t="n">
        <f aca="false">SQRT(M57^2+N57^2)</f>
        <v>1.70649544033874</v>
      </c>
      <c r="P57" s="47" t="n">
        <f aca="false">IF(J57="","",MAX(0,J57-1.96*O57/100))</f>
        <v>0.496683927651657</v>
      </c>
      <c r="Q57" s="47" t="n">
        <f aca="false">IF(J57="","",MIN(1,J57+1.96*O57/100))</f>
        <v>0.563578548912936</v>
      </c>
      <c r="R57" s="32" t="str">
        <f aca="false">IF(L57="","",IF(ABS(L57)&lt;=O57,"Yes","No"))</f>
        <v>Yes</v>
      </c>
      <c r="S57" s="32" t="str">
        <f aca="false">IF(L57="","",IF(ABS(L57)&lt;=1.96*O57,"Yes","No"))</f>
        <v>Yes</v>
      </c>
      <c r="T57" s="66" t="n">
        <f aca="false">IF(D57="","",ROUND(SQRT(((D57+G57)*O57/100)^2+(J57*(D57+G57)*0.02225)^2),0))</f>
        <v>232</v>
      </c>
      <c r="U57" s="32"/>
    </row>
    <row r="58" customFormat="false" ht="15" hidden="false" customHeight="false" outlineLevel="0" collapsed="false">
      <c r="A58" s="32" t="s">
        <v>249</v>
      </c>
      <c r="B58" s="32" t="s">
        <v>254</v>
      </c>
      <c r="C58" s="32" t="s">
        <v>191</v>
      </c>
      <c r="D58" s="66" t="n">
        <v>1452</v>
      </c>
      <c r="E58" s="66" t="n">
        <v>1737</v>
      </c>
      <c r="F58" s="77" t="n">
        <f aca="false">IF(E58="","",D58-E58)</f>
        <v>-285</v>
      </c>
      <c r="G58" s="66" t="n">
        <v>2390</v>
      </c>
      <c r="H58" s="66" t="n">
        <v>2662</v>
      </c>
      <c r="I58" s="77" t="n">
        <f aca="false">IF(H58="","",G58-H58)</f>
        <v>-272</v>
      </c>
      <c r="J58" s="47" t="n">
        <f aca="false">IF(OR(D58="",D58+G58=0),"",D58/(D58+G58))</f>
        <v>0.377928162415409</v>
      </c>
      <c r="K58" s="47" t="n">
        <f aca="false">IF(E58="","",E58/(E58+H58))</f>
        <v>0.394862468742896</v>
      </c>
      <c r="L58" s="78" t="n">
        <f aca="false">IF(OR(K58="",J58=""),"",(J58-K58)*100)</f>
        <v>-1.69343063274874</v>
      </c>
      <c r="M58" s="36" t="n">
        <v>1.16279598640173</v>
      </c>
      <c r="N58" s="36" t="n">
        <v>1.2490124826858</v>
      </c>
      <c r="O58" s="36" t="n">
        <f aca="false">SQRT(M58^2+N58^2)</f>
        <v>1.70649544033874</v>
      </c>
      <c r="P58" s="47" t="n">
        <f aca="false">IF(J58="","",MAX(0,J58-1.96*O58/100))</f>
        <v>0.344480851784769</v>
      </c>
      <c r="Q58" s="47" t="n">
        <f aca="false">IF(J58="","",MIN(1,J58+1.96*O58/100))</f>
        <v>0.411375473046048</v>
      </c>
      <c r="R58" s="32" t="str">
        <f aca="false">IF(L58="","",IF(ABS(L58)&lt;=O58,"Yes","No"))</f>
        <v>Yes</v>
      </c>
      <c r="S58" s="32" t="str">
        <f aca="false">IF(L58="","",IF(ABS(L58)&lt;=1.96*O58,"Yes","No"))</f>
        <v>Yes</v>
      </c>
      <c r="T58" s="66" t="n">
        <f aca="false">IF(D58="","",ROUND(SQRT(((D58+G58)*O58/100)^2+(J58*(D58+G58)*0.02225)^2),0))</f>
        <v>73</v>
      </c>
      <c r="U58" s="32"/>
    </row>
    <row r="59" customFormat="false" ht="15" hidden="false" customHeight="false" outlineLevel="0" collapsed="false">
      <c r="A59" s="32" t="s">
        <v>249</v>
      </c>
      <c r="B59" s="32" t="s">
        <v>255</v>
      </c>
      <c r="C59" s="32" t="s">
        <v>191</v>
      </c>
      <c r="D59" s="66" t="n">
        <v>25</v>
      </c>
      <c r="E59" s="66" t="n">
        <v>31</v>
      </c>
      <c r="F59" s="77" t="n">
        <f aca="false">IF(E59="","",D59-E59)</f>
        <v>-6</v>
      </c>
      <c r="G59" s="66" t="n">
        <v>43</v>
      </c>
      <c r="H59" s="66" t="n">
        <v>55</v>
      </c>
      <c r="I59" s="77" t="n">
        <f aca="false">IF(H59="","",G59-H59)</f>
        <v>-12</v>
      </c>
      <c r="J59" s="47" t="n">
        <f aca="false">IF(OR(D59="",D59+G59=0),"",D59/(D59+G59))</f>
        <v>0.367647058823529</v>
      </c>
      <c r="K59" s="47" t="n">
        <f aca="false">IF(E59="","",E59/(E59+H59))</f>
        <v>0.36046511627907</v>
      </c>
      <c r="L59" s="78" t="n">
        <f aca="false">IF(OR(K59="",J59=""),"",(J59-K59)*100)</f>
        <v>0.71819425444597</v>
      </c>
      <c r="M59" s="36" t="n">
        <v>2.87797162549907</v>
      </c>
      <c r="N59" s="36" t="n">
        <v>1.2490124826858</v>
      </c>
      <c r="O59" s="36" t="n">
        <f aca="false">SQRT(M59^2+N59^2)</f>
        <v>3.1373161872981</v>
      </c>
      <c r="P59" s="47" t="n">
        <f aca="false">IF(J59="","",MAX(0,J59-1.96*O59/100))</f>
        <v>0.306155661552487</v>
      </c>
      <c r="Q59" s="47" t="n">
        <f aca="false">IF(J59="","",MIN(1,J59+1.96*O59/100))</f>
        <v>0.429138456094572</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249</v>
      </c>
      <c r="B60" s="32" t="s">
        <v>256</v>
      </c>
      <c r="C60" s="32" t="s">
        <v>191</v>
      </c>
      <c r="D60" s="66" t="n">
        <v>947</v>
      </c>
      <c r="E60" s="66" t="n">
        <v>1109</v>
      </c>
      <c r="F60" s="77" t="n">
        <f aca="false">IF(E60="","",D60-E60)</f>
        <v>-162</v>
      </c>
      <c r="G60" s="66" t="n">
        <v>1316</v>
      </c>
      <c r="H60" s="66" t="n">
        <v>1408</v>
      </c>
      <c r="I60" s="77" t="n">
        <f aca="false">IF(H60="","",G60-H60)</f>
        <v>-92</v>
      </c>
      <c r="J60" s="47" t="n">
        <f aca="false">IF(OR(D60="",D60+G60=0),"",D60/(D60+G60))</f>
        <v>0.418471056120194</v>
      </c>
      <c r="K60" s="47" t="n">
        <f aca="false">IF(E60="","",E60/(E60+H60))</f>
        <v>0.440603893524037</v>
      </c>
      <c r="L60" s="78" t="n">
        <f aca="false">IF(OR(K60="",J60=""),"",(J60-K60)*100)</f>
        <v>-2.21328374038421</v>
      </c>
      <c r="M60" s="36" t="n">
        <v>1.81947821335184</v>
      </c>
      <c r="N60" s="36" t="n">
        <v>1.2490124826858</v>
      </c>
      <c r="O60" s="36" t="n">
        <f aca="false">SQRT(M60^2+N60^2)</f>
        <v>2.20692844260228</v>
      </c>
      <c r="P60" s="47" t="n">
        <f aca="false">IF(J60="","",MAX(0,J60-1.96*O60/100))</f>
        <v>0.37521525864519</v>
      </c>
      <c r="Q60" s="47" t="n">
        <f aca="false">IF(J60="","",MIN(1,J60+1.96*O60/100))</f>
        <v>0.461726853595199</v>
      </c>
      <c r="R60" s="32" t="str">
        <f aca="false">IF(L60="","",IF(ABS(L60)&lt;=O60,"Yes","No"))</f>
        <v>No</v>
      </c>
      <c r="S60" s="32" t="str">
        <f aca="false">IF(L60="","",IF(ABS(L60)&lt;=1.96*O60,"Yes","No"))</f>
        <v>Yes</v>
      </c>
      <c r="T60" s="66" t="n">
        <f aca="false">IF(D60="","",ROUND(SQRT(((D60+G60)*O60/100)^2+(J60*(D60+G60)*0.03811)^2),0))</f>
        <v>62</v>
      </c>
      <c r="U60" s="32"/>
    </row>
    <row r="61" customFormat="false" ht="15" hidden="false" customHeight="false" outlineLevel="0" collapsed="false">
      <c r="A61" s="32" t="s">
        <v>249</v>
      </c>
      <c r="B61" s="32" t="s">
        <v>257</v>
      </c>
      <c r="C61" s="32" t="s">
        <v>191</v>
      </c>
      <c r="D61" s="66" t="n">
        <v>127</v>
      </c>
      <c r="E61" s="66" t="n">
        <v>137</v>
      </c>
      <c r="F61" s="77" t="n">
        <f aca="false">IF(E61="","",D61-E61)</f>
        <v>-10</v>
      </c>
      <c r="G61" s="66" t="n">
        <v>221</v>
      </c>
      <c r="H61" s="66" t="n">
        <v>214</v>
      </c>
      <c r="I61" s="77" t="n">
        <f aca="false">IF(H61="","",G61-H61)</f>
        <v>7</v>
      </c>
      <c r="J61" s="47" t="n">
        <f aca="false">IF(OR(D61="",D61+G61=0),"",D61/(D61+G61))</f>
        <v>0.364942528735632</v>
      </c>
      <c r="K61" s="47" t="n">
        <f aca="false">IF(E61="","",E61/(E61+H61))</f>
        <v>0.39031339031339</v>
      </c>
      <c r="L61" s="78" t="n">
        <f aca="false">IF(OR(K61="",J61=""),"",(J61-K61)*100)</f>
        <v>-2.53708615777581</v>
      </c>
      <c r="M61" s="36" t="n">
        <v>2.87797162549907</v>
      </c>
      <c r="N61" s="36" t="n">
        <v>1.2490124826858</v>
      </c>
      <c r="O61" s="36" t="n">
        <f aca="false">SQRT(M61^2+N61^2)</f>
        <v>3.1373161872981</v>
      </c>
      <c r="P61" s="47" t="n">
        <f aca="false">IF(J61="","",MAX(0,J61-1.96*O61/100))</f>
        <v>0.303451131464589</v>
      </c>
      <c r="Q61" s="47" t="n">
        <f aca="false">IF(J61="","",MIN(1,J61+1.96*O61/100))</f>
        <v>0.426433926006675</v>
      </c>
      <c r="R61" s="32" t="str">
        <f aca="false">IF(L61="","",IF(ABS(L61)&lt;=O61,"Yes","No"))</f>
        <v>Yes</v>
      </c>
      <c r="S61" s="32" t="str">
        <f aca="false">IF(L61="","",IF(ABS(L61)&lt;=1.96*O61,"Yes","No"))</f>
        <v>Yes</v>
      </c>
      <c r="T61" s="66" t="n">
        <f aca="false">IF(D61="","",ROUND(SQRT(((D61+G61)*O61/100)^2+(J61*(D61+G61)*0.0534)^2),0))</f>
        <v>13</v>
      </c>
      <c r="U61" s="32"/>
    </row>
    <row r="62" customFormat="false" ht="15" hidden="false" customHeight="false" outlineLevel="0" collapsed="false">
      <c r="A62" s="32" t="s">
        <v>249</v>
      </c>
      <c r="B62" s="32" t="s">
        <v>258</v>
      </c>
      <c r="C62" s="32" t="s">
        <v>191</v>
      </c>
      <c r="D62" s="66" t="n">
        <v>4970</v>
      </c>
      <c r="E62" s="66" t="n">
        <v>5210</v>
      </c>
      <c r="F62" s="77" t="n">
        <f aca="false">IF(E62="","",D62-E62)</f>
        <v>-240</v>
      </c>
      <c r="G62" s="66" t="n">
        <v>1980</v>
      </c>
      <c r="H62" s="66" t="n">
        <v>1883</v>
      </c>
      <c r="I62" s="77" t="n">
        <f aca="false">IF(H62="","",G62-H62)</f>
        <v>97</v>
      </c>
      <c r="J62" s="47" t="n">
        <f aca="false">IF(OR(D62="",D62+G62=0),"",D62/(D62+G62))</f>
        <v>0.715107913669065</v>
      </c>
      <c r="K62" s="47" t="n">
        <f aca="false">IF(E62="","",E62/(E62+H62))</f>
        <v>0.734526998449175</v>
      </c>
      <c r="L62" s="78" t="n">
        <f aca="false">IF(OR(K62="",J62=""),"",(J62-K62)*100)</f>
        <v>-1.94190847801105</v>
      </c>
      <c r="M62" s="36" t="n">
        <v>1.16279598640173</v>
      </c>
      <c r="N62" s="36" t="n">
        <v>1.2490124826858</v>
      </c>
      <c r="O62" s="36" t="n">
        <f aca="false">SQRT(M62^2+N62^2)</f>
        <v>1.70649544033874</v>
      </c>
      <c r="P62" s="47" t="n">
        <f aca="false">IF(J62="","",MAX(0,J62-1.96*O62/100))</f>
        <v>0.681660603038426</v>
      </c>
      <c r="Q62" s="47" t="n">
        <f aca="false">IF(J62="","",MIN(1,J62+1.96*O62/100))</f>
        <v>0.748555224299704</v>
      </c>
      <c r="R62" s="32" t="str">
        <f aca="false">IF(L62="","",IF(ABS(L62)&lt;=O62,"Yes","No"))</f>
        <v>No</v>
      </c>
      <c r="S62" s="32" t="str">
        <f aca="false">IF(L62="","",IF(ABS(L62)&lt;=1.96*O62,"Yes","No"))</f>
        <v>Yes</v>
      </c>
      <c r="T62" s="66" t="n">
        <f aca="false">IF(D62="","",ROUND(SQRT(((D62+G62)*O62/100)^2+(J62*(D62+G62)*0.02225)^2),0))</f>
        <v>162</v>
      </c>
      <c r="U62" s="32"/>
    </row>
    <row r="63" customFormat="false" ht="15" hidden="false" customHeight="false" outlineLevel="0" collapsed="false">
      <c r="A63" s="32" t="s">
        <v>249</v>
      </c>
      <c r="B63" s="32" t="s">
        <v>259</v>
      </c>
      <c r="C63" s="32" t="s">
        <v>191</v>
      </c>
      <c r="D63" s="66" t="n">
        <v>3839</v>
      </c>
      <c r="E63" s="66" t="n">
        <v>4158</v>
      </c>
      <c r="F63" s="77" t="n">
        <f aca="false">IF(E63="","",D63-E63)</f>
        <v>-319</v>
      </c>
      <c r="G63" s="66" t="n">
        <v>3416</v>
      </c>
      <c r="H63" s="66" t="n">
        <v>3782</v>
      </c>
      <c r="I63" s="77" t="n">
        <f aca="false">IF(H63="","",G63-H63)</f>
        <v>-366</v>
      </c>
      <c r="J63" s="47" t="n">
        <f aca="false">IF(OR(D63="",D63+G63=0),"",D63/(D63+G63))</f>
        <v>0.529152308752585</v>
      </c>
      <c r="K63" s="47" t="n">
        <f aca="false">IF(E63="","",E63/(E63+H63))</f>
        <v>0.52367758186398</v>
      </c>
      <c r="L63" s="78" t="n">
        <f aca="false">IF(OR(K63="",J63=""),"",(J63-K63)*100)</f>
        <v>0.547472688860462</v>
      </c>
      <c r="M63" s="36" t="n">
        <v>1.16279598640173</v>
      </c>
      <c r="N63" s="36" t="n">
        <v>1.2490124826858</v>
      </c>
      <c r="O63" s="36" t="n">
        <f aca="false">SQRT(M63^2+N63^2)</f>
        <v>1.70649544033874</v>
      </c>
      <c r="P63" s="47" t="n">
        <f aca="false">IF(J63="","",MAX(0,J63-1.96*O63/100))</f>
        <v>0.495704998121945</v>
      </c>
      <c r="Q63" s="47" t="n">
        <f aca="false">IF(J63="","",MIN(1,J63+1.96*O63/100))</f>
        <v>0.562599619383224</v>
      </c>
      <c r="R63" s="32" t="str">
        <f aca="false">IF(L63="","",IF(ABS(L63)&lt;=O63,"Yes","No"))</f>
        <v>Yes</v>
      </c>
      <c r="S63" s="32" t="str">
        <f aca="false">IF(L63="","",IF(ABS(L63)&lt;=1.96*O63,"Yes","No"))</f>
        <v>Yes</v>
      </c>
      <c r="T63" s="66" t="n">
        <f aca="false">IF(D63="","",ROUND(SQRT(((D63+G63)*O63/100)^2+(J63*(D63+G63)*0.02225)^2),0))</f>
        <v>150</v>
      </c>
      <c r="U63" s="32"/>
    </row>
    <row r="64" customFormat="false" ht="15" hidden="false" customHeight="false" outlineLevel="0" collapsed="false">
      <c r="A64" s="32" t="s">
        <v>249</v>
      </c>
      <c r="B64" s="32" t="s">
        <v>260</v>
      </c>
      <c r="C64" s="32" t="s">
        <v>191</v>
      </c>
      <c r="D64" s="66" t="n">
        <v>535</v>
      </c>
      <c r="E64" s="66" t="n">
        <v>480</v>
      </c>
      <c r="F64" s="77" t="n">
        <f aca="false">IF(E64="","",D64-E64)</f>
        <v>55</v>
      </c>
      <c r="G64" s="66" t="n">
        <v>296</v>
      </c>
      <c r="H64" s="66" t="n">
        <v>330</v>
      </c>
      <c r="I64" s="77" t="n">
        <f aca="false">IF(H64="","",G64-H64)</f>
        <v>-34</v>
      </c>
      <c r="J64" s="47" t="n">
        <f aca="false">IF(OR(D64="",D64+G64=0),"",D64/(D64+G64))</f>
        <v>0.643802647412756</v>
      </c>
      <c r="K64" s="47" t="n">
        <f aca="false">IF(E64="","",E64/(E64+H64))</f>
        <v>0.592592592592593</v>
      </c>
      <c r="L64" s="78" t="n">
        <f aca="false">IF(OR(K64="",J64=""),"",(J64-K64)*100)</f>
        <v>5.12100548201632</v>
      </c>
      <c r="M64" s="36" t="n">
        <v>2.87797162549907</v>
      </c>
      <c r="N64" s="36" t="n">
        <v>1.2490124826858</v>
      </c>
      <c r="O64" s="36" t="n">
        <f aca="false">SQRT(M64^2+N64^2)</f>
        <v>3.1373161872981</v>
      </c>
      <c r="P64" s="47" t="n">
        <f aca="false">IF(J64="","",MAX(0,J64-1.96*O64/100))</f>
        <v>0.582311250141713</v>
      </c>
      <c r="Q64" s="47" t="n">
        <f aca="false">IF(J64="","",MIN(1,J64+1.96*O64/100))</f>
        <v>0.705294044683798</v>
      </c>
      <c r="R64" s="32" t="str">
        <f aca="false">IF(L64="","",IF(ABS(L64)&lt;=O64,"Yes","No"))</f>
        <v>No</v>
      </c>
      <c r="S64" s="32" t="str">
        <f aca="false">IF(L64="","",IF(ABS(L64)&lt;=1.96*O64,"Yes","No"))</f>
        <v>Yes</v>
      </c>
      <c r="T64" s="66" t="n">
        <f aca="false">IF(D64="","",ROUND(SQRT(((D64+G64)*O64/100)^2+(J64*(D64+G64)*0.0534)^2),0))</f>
        <v>39</v>
      </c>
      <c r="U64" s="32"/>
    </row>
    <row r="65" customFormat="false" ht="15" hidden="false" customHeight="false" outlineLevel="0" collapsed="false">
      <c r="A65" s="32" t="s">
        <v>249</v>
      </c>
      <c r="B65" s="32" t="s">
        <v>261</v>
      </c>
      <c r="C65" s="32" t="s">
        <v>191</v>
      </c>
      <c r="D65" s="66" t="n">
        <v>70</v>
      </c>
      <c r="E65" s="66" t="n">
        <v>72</v>
      </c>
      <c r="F65" s="77" t="n">
        <f aca="false">IF(E65="","",D65-E65)</f>
        <v>-2</v>
      </c>
      <c r="G65" s="66" t="n">
        <v>58</v>
      </c>
      <c r="H65" s="66" t="n">
        <v>69</v>
      </c>
      <c r="I65" s="77" t="n">
        <f aca="false">IF(H65="","",G65-H65)</f>
        <v>-11</v>
      </c>
      <c r="J65" s="47" t="n">
        <f aca="false">IF(OR(D65="",D65+G65=0),"",D65/(D65+G65))</f>
        <v>0.546875</v>
      </c>
      <c r="K65" s="47" t="n">
        <f aca="false">IF(E65="","",E65/(E65+H65))</f>
        <v>0.51063829787234</v>
      </c>
      <c r="L65" s="78" t="n">
        <f aca="false">IF(OR(K65="",J65=""),"",(J65-K65)*100)</f>
        <v>3.62367021276596</v>
      </c>
      <c r="M65" s="36" t="n">
        <v>2.87797162549907</v>
      </c>
      <c r="N65" s="36" t="n">
        <v>1.2490124826858</v>
      </c>
      <c r="O65" s="36" t="n">
        <f aca="false">SQRT(M65^2+N65^2)</f>
        <v>3.1373161872981</v>
      </c>
      <c r="P65" s="47" t="n">
        <f aca="false">IF(J65="","",MAX(0,J65-1.96*O65/100))</f>
        <v>0.485383602728957</v>
      </c>
      <c r="Q65" s="47" t="n">
        <f aca="false">IF(J65="","",MIN(1,J65+1.96*O65/100))</f>
        <v>0.608366397271043</v>
      </c>
      <c r="R65" s="32" t="str">
        <f aca="false">IF(L65="","",IF(ABS(L65)&lt;=O65,"Yes","No"))</f>
        <v>No</v>
      </c>
      <c r="S65" s="32" t="str">
        <f aca="false">IF(L65="","",IF(ABS(L65)&lt;=1.96*O65,"Yes","No"))</f>
        <v>Yes</v>
      </c>
      <c r="T65" s="66" t="n">
        <f aca="false">IF(D65="","",ROUND(SQRT(((D65+G65)*O65/100)^2+(J65*(D65+G65)*0.0534)^2),0))</f>
        <v>5</v>
      </c>
      <c r="U65" s="32"/>
    </row>
    <row r="66" customFormat="false" ht="15" hidden="false" customHeight="false" outlineLevel="0" collapsed="false">
      <c r="A66" s="32" t="s">
        <v>249</v>
      </c>
      <c r="B66" s="32" t="s">
        <v>228</v>
      </c>
      <c r="C66" s="32" t="s">
        <v>191</v>
      </c>
      <c r="D66" s="66" t="n">
        <v>3201</v>
      </c>
      <c r="E66" s="66" t="n">
        <v>3570</v>
      </c>
      <c r="F66" s="77" t="n">
        <f aca="false">IF(E66="","",D66-E66)</f>
        <v>-369</v>
      </c>
      <c r="G66" s="66" t="n">
        <v>2803</v>
      </c>
      <c r="H66" s="66" t="n">
        <v>2883</v>
      </c>
      <c r="I66" s="77" t="n">
        <f aca="false">IF(H66="","",G66-H66)</f>
        <v>-80</v>
      </c>
      <c r="J66" s="47" t="n">
        <f aca="false">IF(OR(D66="",D66+G66=0),"",D66/(D66+G66))</f>
        <v>0.533144570286476</v>
      </c>
      <c r="K66" s="47" t="n">
        <f aca="false">IF(E66="","",E66/(E66+H66))</f>
        <v>0.553231055323106</v>
      </c>
      <c r="L66" s="78" t="n">
        <f aca="false">IF(OR(K66="",J66=""),"",(J66-K66)*100)</f>
        <v>-2.00864850366299</v>
      </c>
      <c r="M66" s="36" t="n">
        <v>1.16279598640173</v>
      </c>
      <c r="N66" s="36" t="n">
        <v>1.2490124826858</v>
      </c>
      <c r="O66" s="36" t="n">
        <f aca="false">SQRT(M66^2+N66^2)</f>
        <v>1.70649544033874</v>
      </c>
      <c r="P66" s="47" t="n">
        <f aca="false">IF(J66="","",MAX(0,J66-1.96*O66/100))</f>
        <v>0.499697259655836</v>
      </c>
      <c r="Q66" s="47" t="n">
        <f aca="false">IF(J66="","",MIN(1,J66+1.96*O66/100))</f>
        <v>0.566591880917115</v>
      </c>
      <c r="R66" s="32" t="str">
        <f aca="false">IF(L66="","",IF(ABS(L66)&lt;=O66,"Yes","No"))</f>
        <v>No</v>
      </c>
      <c r="S66" s="32" t="str">
        <f aca="false">IF(L66="","",IF(ABS(L66)&lt;=1.96*O66,"Yes","No"))</f>
        <v>Yes</v>
      </c>
      <c r="T66" s="66" t="n">
        <f aca="false">IF(D66="","",ROUND(SQRT(((D66+G66)*O66/100)^2+(J66*(D66+G66)*0.02225)^2),0))</f>
        <v>125</v>
      </c>
      <c r="U66" s="32"/>
    </row>
    <row r="67" customFormat="false" ht="15" hidden="false" customHeight="false" outlineLevel="0" collapsed="false">
      <c r="A67" s="32" t="s">
        <v>249</v>
      </c>
      <c r="B67" s="32" t="s">
        <v>262</v>
      </c>
      <c r="C67" s="32" t="s">
        <v>191</v>
      </c>
      <c r="D67" s="66" t="n">
        <v>1275</v>
      </c>
      <c r="E67" s="66" t="n">
        <v>1372</v>
      </c>
      <c r="F67" s="77" t="n">
        <f aca="false">IF(E67="","",D67-E67)</f>
        <v>-97</v>
      </c>
      <c r="G67" s="66" t="n">
        <v>1148</v>
      </c>
      <c r="H67" s="66" t="n">
        <v>1201</v>
      </c>
      <c r="I67" s="77" t="n">
        <f aca="false">IF(H67="","",G67-H67)</f>
        <v>-53</v>
      </c>
      <c r="J67" s="47" t="n">
        <f aca="false">IF(OR(D67="",D67+G67=0),"",D67/(D67+G67))</f>
        <v>0.526207181180355</v>
      </c>
      <c r="K67" s="47" t="n">
        <f aca="false">IF(E67="","",E67/(E67+H67))</f>
        <v>0.53322969296541</v>
      </c>
      <c r="L67" s="78" t="n">
        <f aca="false">IF(OR(K67="",J67=""),"",(J67-K67)*100)</f>
        <v>-0.702251178505509</v>
      </c>
      <c r="M67" s="36" t="n">
        <v>1.81947821335184</v>
      </c>
      <c r="N67" s="36" t="n">
        <v>1.2490124826858</v>
      </c>
      <c r="O67" s="36" t="n">
        <f aca="false">SQRT(M67^2+N67^2)</f>
        <v>2.20692844260228</v>
      </c>
      <c r="P67" s="47" t="n">
        <f aca="false">IF(J67="","",MAX(0,J67-1.96*O67/100))</f>
        <v>0.48295138370535</v>
      </c>
      <c r="Q67" s="47" t="n">
        <f aca="false">IF(J67="","",MIN(1,J67+1.96*O67/100))</f>
        <v>0.56946297865536</v>
      </c>
      <c r="R67" s="32" t="str">
        <f aca="false">IF(L67="","",IF(ABS(L67)&lt;=O67,"Yes","No"))</f>
        <v>Yes</v>
      </c>
      <c r="S67" s="32" t="str">
        <f aca="false">IF(L67="","",IF(ABS(L67)&lt;=1.96*O67,"Yes","No"))</f>
        <v>Yes</v>
      </c>
      <c r="T67" s="66" t="n">
        <f aca="false">IF(D67="","",ROUND(SQRT(((D67+G67)*O67/100)^2+(J67*(D67+G67)*0.03811)^2),0))</f>
        <v>72</v>
      </c>
      <c r="U67" s="32"/>
    </row>
    <row r="68" customFormat="false" ht="15" hidden="false" customHeight="false" outlineLevel="0" collapsed="false">
      <c r="A68" s="32" t="s">
        <v>249</v>
      </c>
      <c r="B68" s="32" t="s">
        <v>263</v>
      </c>
      <c r="C68" s="32" t="s">
        <v>191</v>
      </c>
      <c r="D68" s="66" t="n">
        <v>1582</v>
      </c>
      <c r="E68" s="66" t="n">
        <v>1803</v>
      </c>
      <c r="F68" s="77" t="n">
        <f aca="false">IF(E68="","",D68-E68)</f>
        <v>-221</v>
      </c>
      <c r="G68" s="66" t="n">
        <v>3007</v>
      </c>
      <c r="H68" s="66" t="n">
        <v>3303</v>
      </c>
      <c r="I68" s="77" t="n">
        <f aca="false">IF(H68="","",G68-H68)</f>
        <v>-296</v>
      </c>
      <c r="J68" s="47" t="n">
        <f aca="false">IF(OR(D68="",D68+G68=0),"",D68/(D68+G68))</f>
        <v>0.344737415558945</v>
      </c>
      <c r="K68" s="47" t="n">
        <f aca="false">IF(E68="","",E68/(E68+H68))</f>
        <v>0.353113983548766</v>
      </c>
      <c r="L68" s="78" t="n">
        <f aca="false">IF(OR(K68="",J68=""),"",(J68-K68)*100)</f>
        <v>-0.837656798982084</v>
      </c>
      <c r="M68" s="36" t="n">
        <v>1.16279598640173</v>
      </c>
      <c r="N68" s="36" t="n">
        <v>1.2490124826858</v>
      </c>
      <c r="O68" s="36" t="n">
        <f aca="false">SQRT(M68^2+N68^2)</f>
        <v>1.70649544033874</v>
      </c>
      <c r="P68" s="47" t="n">
        <f aca="false">IF(J68="","",MAX(0,J68-1.96*O68/100))</f>
        <v>0.311290104928306</v>
      </c>
      <c r="Q68" s="47" t="n">
        <f aca="false">IF(J68="","",MIN(1,J68+1.96*O68/100))</f>
        <v>0.378184726189585</v>
      </c>
      <c r="R68" s="32" t="str">
        <f aca="false">IF(L68="","",IF(ABS(L68)&lt;=O68,"Yes","No"))</f>
        <v>Yes</v>
      </c>
      <c r="S68" s="32" t="str">
        <f aca="false">IF(L68="","",IF(ABS(L68)&lt;=1.96*O68,"Yes","No"))</f>
        <v>Yes</v>
      </c>
      <c r="T68" s="66" t="n">
        <f aca="false">IF(D68="","",ROUND(SQRT(((D68+G68)*O68/100)^2+(J68*(D68+G68)*0.02225)^2),0))</f>
        <v>86</v>
      </c>
      <c r="U68" s="32"/>
    </row>
    <row r="69" customFormat="false" ht="15" hidden="false" customHeight="false" outlineLevel="0" collapsed="false">
      <c r="A69" s="32" t="s">
        <v>249</v>
      </c>
      <c r="B69" s="32" t="s">
        <v>264</v>
      </c>
      <c r="C69" s="32" t="s">
        <v>191</v>
      </c>
      <c r="D69" s="66" t="n">
        <v>441</v>
      </c>
      <c r="E69" s="66" t="n">
        <v>511</v>
      </c>
      <c r="F69" s="77" t="n">
        <f aca="false">IF(E69="","",D69-E69)</f>
        <v>-70</v>
      </c>
      <c r="G69" s="66" t="n">
        <v>769</v>
      </c>
      <c r="H69" s="66" t="n">
        <v>889</v>
      </c>
      <c r="I69" s="77" t="n">
        <f aca="false">IF(H69="","",G69-H69)</f>
        <v>-120</v>
      </c>
      <c r="J69" s="47" t="n">
        <f aca="false">IF(OR(D69="",D69+G69=0),"",D69/(D69+G69))</f>
        <v>0.364462809917355</v>
      </c>
      <c r="K69" s="47" t="n">
        <f aca="false">IF(E69="","",E69/(E69+H69))</f>
        <v>0.365</v>
      </c>
      <c r="L69" s="78" t="n">
        <f aca="false">IF(OR(K69="",J69=""),"",(J69-K69)*100)</f>
        <v>-0.0537190082644634</v>
      </c>
      <c r="M69" s="36" t="n">
        <v>1.81947821335184</v>
      </c>
      <c r="N69" s="36" t="n">
        <v>1.2490124826858</v>
      </c>
      <c r="O69" s="36" t="n">
        <f aca="false">SQRT(M69^2+N69^2)</f>
        <v>2.20692844260228</v>
      </c>
      <c r="P69" s="47" t="n">
        <f aca="false">IF(J69="","",MAX(0,J69-1.96*O69/100))</f>
        <v>0.321207012442351</v>
      </c>
      <c r="Q69" s="47" t="n">
        <f aca="false">IF(J69="","",MIN(1,J69+1.96*O69/100))</f>
        <v>0.40771860739236</v>
      </c>
      <c r="R69" s="32" t="str">
        <f aca="false">IF(L69="","",IF(ABS(L69)&lt;=O69,"Yes","No"))</f>
        <v>Yes</v>
      </c>
      <c r="S69" s="32" t="str">
        <f aca="false">IF(L69="","",IF(ABS(L69)&lt;=1.96*O69,"Yes","No"))</f>
        <v>Yes</v>
      </c>
      <c r="T69" s="66" t="n">
        <f aca="false">IF(D69="","",ROUND(SQRT(((D69+G69)*O69/100)^2+(J69*(D69+G69)*0.03811)^2),0))</f>
        <v>32</v>
      </c>
      <c r="U69" s="32"/>
    </row>
    <row r="70" customFormat="false" ht="15" hidden="false" customHeight="false" outlineLevel="0" collapsed="false">
      <c r="A70" s="32" t="s">
        <v>249</v>
      </c>
      <c r="B70" s="32" t="s">
        <v>265</v>
      </c>
      <c r="C70" s="32" t="s">
        <v>191</v>
      </c>
      <c r="D70" s="66" t="n">
        <v>1443</v>
      </c>
      <c r="E70" s="66" t="n">
        <v>1632</v>
      </c>
      <c r="F70" s="77" t="n">
        <f aca="false">IF(E70="","",D70-E70)</f>
        <v>-189</v>
      </c>
      <c r="G70" s="66" t="n">
        <v>1903</v>
      </c>
      <c r="H70" s="66" t="n">
        <v>2067</v>
      </c>
      <c r="I70" s="77" t="n">
        <f aca="false">IF(H70="","",G70-H70)</f>
        <v>-164</v>
      </c>
      <c r="J70" s="47" t="n">
        <f aca="false">IF(OR(D70="",D70+G70=0),"",D70/(D70+G70))</f>
        <v>0.431261207411835</v>
      </c>
      <c r="K70" s="47" t="n">
        <f aca="false">IF(E70="","",E70/(E70+H70))</f>
        <v>0.441200324412003</v>
      </c>
      <c r="L70" s="78" t="n">
        <f aca="false">IF(OR(K70="",J70=""),"",(J70-K70)*100)</f>
        <v>-0.99391170001682</v>
      </c>
      <c r="M70" s="36" t="n">
        <v>1.16279598640173</v>
      </c>
      <c r="N70" s="36" t="n">
        <v>1.2490124826858</v>
      </c>
      <c r="O70" s="36" t="n">
        <f aca="false">SQRT(M70^2+N70^2)</f>
        <v>1.70649544033874</v>
      </c>
      <c r="P70" s="47" t="n">
        <f aca="false">IF(J70="","",MAX(0,J70-1.96*O70/100))</f>
        <v>0.397813896781196</v>
      </c>
      <c r="Q70" s="47" t="n">
        <f aca="false">IF(J70="","",MIN(1,J70+1.96*O70/100))</f>
        <v>0.464708518042474</v>
      </c>
      <c r="R70" s="32" t="str">
        <f aca="false">IF(L70="","",IF(ABS(L70)&lt;=O70,"Yes","No"))</f>
        <v>Yes</v>
      </c>
      <c r="S70" s="32" t="str">
        <f aca="false">IF(L70="","",IF(ABS(L70)&lt;=1.96*O70,"Yes","No"))</f>
        <v>Yes</v>
      </c>
      <c r="T70" s="66" t="n">
        <f aca="false">IF(D70="","",ROUND(SQRT(((D70+G70)*O70/100)^2+(J70*(D70+G70)*0.02225)^2),0))</f>
        <v>66</v>
      </c>
      <c r="U70" s="32"/>
    </row>
    <row r="71" customFormat="false" ht="15" hidden="false" customHeight="false" outlineLevel="0" collapsed="false">
      <c r="A71" s="32" t="s">
        <v>249</v>
      </c>
      <c r="B71" s="32" t="s">
        <v>266</v>
      </c>
      <c r="C71" s="32" t="s">
        <v>191</v>
      </c>
      <c r="D71" s="66" t="n">
        <v>2609</v>
      </c>
      <c r="E71" s="66" t="n">
        <v>2919</v>
      </c>
      <c r="F71" s="77" t="n">
        <f aca="false">IF(E71="","",D71-E71)</f>
        <v>-310</v>
      </c>
      <c r="G71" s="66" t="n">
        <v>2845</v>
      </c>
      <c r="H71" s="66" t="n">
        <v>3008</v>
      </c>
      <c r="I71" s="77" t="n">
        <f aca="false">IF(H71="","",G71-H71)</f>
        <v>-163</v>
      </c>
      <c r="J71" s="47" t="n">
        <f aca="false">IF(OR(D71="",D71+G71=0),"",D71/(D71+G71))</f>
        <v>0.478364503116978</v>
      </c>
      <c r="K71" s="47" t="n">
        <f aca="false">IF(E71="","",E71/(E71+H71))</f>
        <v>0.492491985827569</v>
      </c>
      <c r="L71" s="78" t="n">
        <f aca="false">IF(OR(K71="",J71=""),"",(J71-K71)*100)</f>
        <v>-1.41274827105904</v>
      </c>
      <c r="M71" s="36" t="n">
        <v>1.16279598640173</v>
      </c>
      <c r="N71" s="36" t="n">
        <v>1.2490124826858</v>
      </c>
      <c r="O71" s="36" t="n">
        <f aca="false">SQRT(M71^2+N71^2)</f>
        <v>1.70649544033874</v>
      </c>
      <c r="P71" s="47" t="n">
        <f aca="false">IF(J71="","",MAX(0,J71-1.96*O71/100))</f>
        <v>0.444917192486339</v>
      </c>
      <c r="Q71" s="47" t="n">
        <f aca="false">IF(J71="","",MIN(1,J71+1.96*O71/100))</f>
        <v>0.511811813747618</v>
      </c>
      <c r="R71" s="32" t="str">
        <f aca="false">IF(L71="","",IF(ABS(L71)&lt;=O71,"Yes","No"))</f>
        <v>Yes</v>
      </c>
      <c r="S71" s="32" t="str">
        <f aca="false">IF(L71="","",IF(ABS(L71)&lt;=1.96*O71,"Yes","No"))</f>
        <v>Yes</v>
      </c>
      <c r="T71" s="66" t="n">
        <f aca="false">IF(D71="","",ROUND(SQRT(((D71+G71)*O71/100)^2+(J71*(D71+G71)*0.02225)^2),0))</f>
        <v>110</v>
      </c>
      <c r="U71" s="32"/>
    </row>
    <row r="72" customFormat="false" ht="15" hidden="false" customHeight="false" outlineLevel="0" collapsed="false">
      <c r="A72" s="32" t="s">
        <v>249</v>
      </c>
      <c r="B72" s="32" t="s">
        <v>267</v>
      </c>
      <c r="C72" s="32" t="s">
        <v>191</v>
      </c>
      <c r="D72" s="66" t="n">
        <v>1465</v>
      </c>
      <c r="E72" s="66" t="n">
        <v>1661</v>
      </c>
      <c r="F72" s="77" t="n">
        <f aca="false">IF(E72="","",D72-E72)</f>
        <v>-196</v>
      </c>
      <c r="G72" s="66" t="n">
        <v>2809</v>
      </c>
      <c r="H72" s="66" t="n">
        <v>3091</v>
      </c>
      <c r="I72" s="77" t="n">
        <f aca="false">IF(H72="","",G72-H72)</f>
        <v>-282</v>
      </c>
      <c r="J72" s="47" t="n">
        <f aca="false">IF(OR(D72="",D72+G72=0),"",D72/(D72+G72))</f>
        <v>0.342770238652316</v>
      </c>
      <c r="K72" s="47" t="n">
        <f aca="false">IF(E72="","",E72/(E72+H72))</f>
        <v>0.349537037037037</v>
      </c>
      <c r="L72" s="78" t="n">
        <f aca="false">IF(OR(K72="",J72=""),"",(J72-K72)*100)</f>
        <v>-0.676679838472072</v>
      </c>
      <c r="M72" s="36" t="n">
        <v>1.16279598640173</v>
      </c>
      <c r="N72" s="36" t="n">
        <v>1.2490124826858</v>
      </c>
      <c r="O72" s="36" t="n">
        <f aca="false">SQRT(M72^2+N72^2)</f>
        <v>1.70649544033874</v>
      </c>
      <c r="P72" s="47" t="n">
        <f aca="false">IF(J72="","",MAX(0,J72-1.96*O72/100))</f>
        <v>0.309322928021677</v>
      </c>
      <c r="Q72" s="47" t="n">
        <f aca="false">IF(J72="","",MIN(1,J72+1.96*O72/100))</f>
        <v>0.376217549282956</v>
      </c>
      <c r="R72" s="32" t="str">
        <f aca="false">IF(L72="","",IF(ABS(L72)&lt;=O72,"Yes","No"))</f>
        <v>Yes</v>
      </c>
      <c r="S72" s="32" t="str">
        <f aca="false">IF(L72="","",IF(ABS(L72)&lt;=1.96*O72,"Yes","No"))</f>
        <v>Yes</v>
      </c>
      <c r="T72" s="66" t="n">
        <f aca="false">IF(D72="","",ROUND(SQRT(((D72+G72)*O72/100)^2+(J72*(D72+G72)*0.02225)^2),0))</f>
        <v>80</v>
      </c>
      <c r="U72" s="32"/>
    </row>
    <row r="73" customFormat="false" ht="15" hidden="false" customHeight="false" outlineLevel="0" collapsed="false">
      <c r="A73" s="32" t="s">
        <v>249</v>
      </c>
      <c r="B73" s="32" t="s">
        <v>268</v>
      </c>
      <c r="C73" s="32" t="s">
        <v>191</v>
      </c>
      <c r="D73" s="66" t="n">
        <v>1090</v>
      </c>
      <c r="E73" s="66" t="n">
        <v>1272</v>
      </c>
      <c r="F73" s="77" t="n">
        <f aca="false">IF(E73="","",D73-E73)</f>
        <v>-182</v>
      </c>
      <c r="G73" s="66" t="n">
        <v>1136</v>
      </c>
      <c r="H73" s="66" t="n">
        <v>1188</v>
      </c>
      <c r="I73" s="77" t="n">
        <f aca="false">IF(H73="","",G73-H73)</f>
        <v>-52</v>
      </c>
      <c r="J73" s="47" t="n">
        <f aca="false">IF(OR(D73="",D73+G73=0),"",D73/(D73+G73))</f>
        <v>0.489667565139263</v>
      </c>
      <c r="K73" s="47" t="n">
        <f aca="false">IF(E73="","",E73/(E73+H73))</f>
        <v>0.517073170731707</v>
      </c>
      <c r="L73" s="78" t="n">
        <f aca="false">IF(OR(K73="",J73=""),"",(J73-K73)*100)</f>
        <v>-2.74056055924441</v>
      </c>
      <c r="M73" s="36" t="n">
        <v>1.81947821335184</v>
      </c>
      <c r="N73" s="36" t="n">
        <v>1.2490124826858</v>
      </c>
      <c r="O73" s="36" t="n">
        <f aca="false">SQRT(M73^2+N73^2)</f>
        <v>2.20692844260228</v>
      </c>
      <c r="P73" s="47" t="n">
        <f aca="false">IF(J73="","",MAX(0,J73-1.96*O73/100))</f>
        <v>0.446411767664259</v>
      </c>
      <c r="Q73" s="47" t="n">
        <f aca="false">IF(J73="","",MIN(1,J73+1.96*O73/100))</f>
        <v>0.532923362614268</v>
      </c>
      <c r="R73" s="32" t="str">
        <f aca="false">IF(L73="","",IF(ABS(L73)&lt;=O73,"Yes","No"))</f>
        <v>No</v>
      </c>
      <c r="S73" s="32" t="str">
        <f aca="false">IF(L73="","",IF(ABS(L73)&lt;=1.96*O73,"Yes","No"))</f>
        <v>Yes</v>
      </c>
      <c r="T73" s="66" t="n">
        <f aca="false">IF(D73="","",ROUND(SQRT(((D73+G73)*O73/100)^2+(J73*(D73+G73)*0.03811)^2),0))</f>
        <v>64</v>
      </c>
      <c r="U73" s="32"/>
    </row>
    <row r="74" customFormat="false" ht="15" hidden="false" customHeight="false" outlineLevel="0" collapsed="false">
      <c r="A74" s="32" t="s">
        <v>249</v>
      </c>
      <c r="B74" s="32" t="s">
        <v>269</v>
      </c>
      <c r="C74" s="32" t="s">
        <v>191</v>
      </c>
      <c r="D74" s="66" t="n">
        <v>562</v>
      </c>
      <c r="E74" s="66" t="n">
        <v>644</v>
      </c>
      <c r="F74" s="77" t="n">
        <f aca="false">IF(E74="","",D74-E74)</f>
        <v>-82</v>
      </c>
      <c r="G74" s="66" t="n">
        <v>615</v>
      </c>
      <c r="H74" s="66" t="n">
        <v>634</v>
      </c>
      <c r="I74" s="77" t="n">
        <f aca="false">IF(H74="","",G74-H74)</f>
        <v>-19</v>
      </c>
      <c r="J74" s="47" t="n">
        <f aca="false">IF(OR(D74="",D74+G74=0),"",D74/(D74+G74))</f>
        <v>0.477485131690739</v>
      </c>
      <c r="K74" s="47" t="n">
        <f aca="false">IF(E74="","",E74/(E74+H74))</f>
        <v>0.503912363067293</v>
      </c>
      <c r="L74" s="78" t="n">
        <f aca="false">IF(OR(K74="",J74=""),"",(J74-K74)*100)</f>
        <v>-2.64272313765535</v>
      </c>
      <c r="M74" s="36" t="n">
        <v>1.81947821335184</v>
      </c>
      <c r="N74" s="36" t="n">
        <v>1.2490124826858</v>
      </c>
      <c r="O74" s="36" t="n">
        <f aca="false">SQRT(M74^2+N74^2)</f>
        <v>2.20692844260228</v>
      </c>
      <c r="P74" s="47" t="n">
        <f aca="false">IF(J74="","",MAX(0,J74-1.96*O74/100))</f>
        <v>0.434229334215734</v>
      </c>
      <c r="Q74" s="47" t="n">
        <f aca="false">IF(J74="","",MIN(1,J74+1.96*O74/100))</f>
        <v>0.520740929165744</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249</v>
      </c>
      <c r="B75" s="32" t="s">
        <v>270</v>
      </c>
      <c r="C75" s="32" t="s">
        <v>191</v>
      </c>
      <c r="D75" s="66" t="n">
        <v>1711</v>
      </c>
      <c r="E75" s="66" t="n">
        <v>1957</v>
      </c>
      <c r="F75" s="77" t="n">
        <f aca="false">IF(E75="","",D75-E75)</f>
        <v>-246</v>
      </c>
      <c r="G75" s="66" t="n">
        <v>1918</v>
      </c>
      <c r="H75" s="66" t="n">
        <v>1970</v>
      </c>
      <c r="I75" s="77" t="n">
        <f aca="false">IF(H75="","",G75-H75)</f>
        <v>-52</v>
      </c>
      <c r="J75" s="47" t="n">
        <f aca="false">IF(OR(D75="",D75+G75=0),"",D75/(D75+G75))</f>
        <v>0.471479746486635</v>
      </c>
      <c r="K75" s="47" t="n">
        <f aca="false">IF(E75="","",E75/(E75+H75))</f>
        <v>0.49834479246244</v>
      </c>
      <c r="L75" s="78" t="n">
        <f aca="false">IF(OR(K75="",J75=""),"",(J75-K75)*100)</f>
        <v>-2.68650459758041</v>
      </c>
      <c r="M75" s="36" t="n">
        <v>1.16279598640173</v>
      </c>
      <c r="N75" s="36" t="n">
        <v>1.2490124826858</v>
      </c>
      <c r="O75" s="36" t="n">
        <f aca="false">SQRT(M75^2+N75^2)</f>
        <v>1.70649544033874</v>
      </c>
      <c r="P75" s="47" t="n">
        <f aca="false">IF(J75="","",MAX(0,J75-1.96*O75/100))</f>
        <v>0.438032435855996</v>
      </c>
      <c r="Q75" s="47" t="n">
        <f aca="false">IF(J75="","",MIN(1,J75+1.96*O75/100))</f>
        <v>0.504927057117275</v>
      </c>
      <c r="R75" s="32" t="str">
        <f aca="false">IF(L75="","",IF(ABS(L75)&lt;=O75,"Yes","No"))</f>
        <v>No</v>
      </c>
      <c r="S75" s="32" t="str">
        <f aca="false">IF(L75="","",IF(ABS(L75)&lt;=1.96*O75,"Yes","No"))</f>
        <v>Yes</v>
      </c>
      <c r="T75" s="66" t="n">
        <f aca="false">IF(D75="","",ROUND(SQRT(((D75+G75)*O75/100)^2+(J75*(D75+G75)*0.02225)^2),0))</f>
        <v>73</v>
      </c>
      <c r="U75" s="32"/>
    </row>
    <row r="76" customFormat="false" ht="15" hidden="false" customHeight="false" outlineLevel="0" collapsed="false">
      <c r="A76" s="32" t="s">
        <v>249</v>
      </c>
      <c r="B76" s="32" t="s">
        <v>271</v>
      </c>
      <c r="C76" s="32" t="s">
        <v>191</v>
      </c>
      <c r="D76" s="66" t="n">
        <v>5059</v>
      </c>
      <c r="E76" s="66" t="n">
        <v>5403</v>
      </c>
      <c r="F76" s="77" t="n">
        <f aca="false">IF(E76="","",D76-E76)</f>
        <v>-344</v>
      </c>
      <c r="G76" s="66" t="n">
        <v>4618</v>
      </c>
      <c r="H76" s="66" t="n">
        <v>4910</v>
      </c>
      <c r="I76" s="77" t="n">
        <f aca="false">IF(H76="","",G76-H76)</f>
        <v>-292</v>
      </c>
      <c r="J76" s="47" t="n">
        <f aca="false">IF(OR(D76="",D76+G76=0),"",D76/(D76+G76))</f>
        <v>0.522785987392787</v>
      </c>
      <c r="K76" s="47" t="n">
        <f aca="false">IF(E76="","",E76/(E76+H76))</f>
        <v>0.523901871424416</v>
      </c>
      <c r="L76" s="78" t="n">
        <f aca="false">IF(OR(K76="",J76=""),"",(J76-K76)*100)</f>
        <v>-0.111588403162877</v>
      </c>
      <c r="M76" s="36" t="n">
        <v>1.16279598640173</v>
      </c>
      <c r="N76" s="36" t="n">
        <v>1.2490124826858</v>
      </c>
      <c r="O76" s="36" t="n">
        <f aca="false">SQRT(M76^2+N76^2)</f>
        <v>1.70649544033874</v>
      </c>
      <c r="P76" s="47" t="n">
        <f aca="false">IF(J76="","",MAX(0,J76-1.96*O76/100))</f>
        <v>0.489338676762148</v>
      </c>
      <c r="Q76" s="47" t="n">
        <f aca="false">IF(J76="","",MIN(1,J76+1.96*O76/100))</f>
        <v>0.556233298023426</v>
      </c>
      <c r="R76" s="32" t="str">
        <f aca="false">IF(L76="","",IF(ABS(L76)&lt;=O76,"Yes","No"))</f>
        <v>Yes</v>
      </c>
      <c r="S76" s="32" t="str">
        <f aca="false">IF(L76="","",IF(ABS(L76)&lt;=1.96*O76,"Yes","No"))</f>
        <v>Yes</v>
      </c>
      <c r="T76" s="66" t="n">
        <f aca="false">IF(D76="","",ROUND(SQRT(((D76+G76)*O76/100)^2+(J76*(D76+G76)*0.02225)^2),0))</f>
        <v>200</v>
      </c>
      <c r="U76" s="32"/>
    </row>
    <row r="77" customFormat="false" ht="15" hidden="false" customHeight="false" outlineLevel="0" collapsed="false">
      <c r="A77" s="32" t="s">
        <v>249</v>
      </c>
      <c r="B77" s="32" t="s">
        <v>272</v>
      </c>
      <c r="C77" s="32" t="s">
        <v>191</v>
      </c>
      <c r="D77" s="66" t="n">
        <v>481</v>
      </c>
      <c r="E77" s="66" t="n">
        <v>511</v>
      </c>
      <c r="F77" s="77" t="n">
        <f aca="false">IF(E77="","",D77-E77)</f>
        <v>-30</v>
      </c>
      <c r="G77" s="66" t="n">
        <v>724</v>
      </c>
      <c r="H77" s="66" t="n">
        <v>778</v>
      </c>
      <c r="I77" s="77" t="n">
        <f aca="false">IF(H77="","",G77-H77)</f>
        <v>-54</v>
      </c>
      <c r="J77" s="47" t="n">
        <f aca="false">IF(OR(D77="",D77+G77=0),"",D77/(D77+G77))</f>
        <v>0.399170124481328</v>
      </c>
      <c r="K77" s="47" t="n">
        <f aca="false">IF(E77="","",E77/(E77+H77))</f>
        <v>0.396431342125679</v>
      </c>
      <c r="L77" s="78" t="n">
        <f aca="false">IF(OR(K77="",J77=""),"",(J77-K77)*100)</f>
        <v>0.273878235564901</v>
      </c>
      <c r="M77" s="36" t="n">
        <v>1.81947821335184</v>
      </c>
      <c r="N77" s="36" t="n">
        <v>1.2490124826858</v>
      </c>
      <c r="O77" s="36" t="n">
        <f aca="false">SQRT(M77^2+N77^2)</f>
        <v>2.20692844260228</v>
      </c>
      <c r="P77" s="47" t="n">
        <f aca="false">IF(J77="","",MAX(0,J77-1.96*O77/100))</f>
        <v>0.355914327006323</v>
      </c>
      <c r="Q77" s="47" t="n">
        <f aca="false">IF(J77="","",MIN(1,J77+1.96*O77/100))</f>
        <v>0.442425921956333</v>
      </c>
      <c r="R77" s="32" t="str">
        <f aca="false">IF(L77="","",IF(ABS(L77)&lt;=O77,"Yes","No"))</f>
        <v>Yes</v>
      </c>
      <c r="S77" s="32" t="str">
        <f aca="false">IF(L77="","",IF(ABS(L77)&lt;=1.96*O77,"Yes","No"))</f>
        <v>Yes</v>
      </c>
      <c r="T77" s="66" t="n">
        <f aca="false">IF(D77="","",ROUND(SQRT(((D77+G77)*O77/100)^2+(J77*(D77+G77)*0.03811)^2),0))</f>
        <v>32</v>
      </c>
      <c r="U77" s="32"/>
    </row>
    <row r="78" customFormat="false" ht="15" hidden="false" customHeight="false" outlineLevel="0" collapsed="false">
      <c r="A78" s="32" t="s">
        <v>249</v>
      </c>
      <c r="B78" s="32" t="s">
        <v>273</v>
      </c>
      <c r="C78" s="32" t="s">
        <v>191</v>
      </c>
      <c r="D78" s="66" t="n">
        <v>1012</v>
      </c>
      <c r="E78" s="66" t="n">
        <v>1076</v>
      </c>
      <c r="F78" s="77" t="n">
        <f aca="false">IF(E78="","",D78-E78)</f>
        <v>-64</v>
      </c>
      <c r="G78" s="66" t="n">
        <v>1738</v>
      </c>
      <c r="H78" s="66" t="n">
        <v>1998</v>
      </c>
      <c r="I78" s="77" t="n">
        <f aca="false">IF(H78="","",G78-H78)</f>
        <v>-260</v>
      </c>
      <c r="J78" s="47" t="n">
        <f aca="false">IF(OR(D78="",D78+G78=0),"",D78/(D78+G78))</f>
        <v>0.368</v>
      </c>
      <c r="K78" s="47" t="n">
        <f aca="false">IF(E78="","",E78/(E78+H78))</f>
        <v>0.350032530904359</v>
      </c>
      <c r="L78" s="78" t="n">
        <f aca="false">IF(OR(K78="",J78=""),"",(J78-K78)*100)</f>
        <v>1.79674690956408</v>
      </c>
      <c r="M78" s="36" t="n">
        <v>1.16279598640173</v>
      </c>
      <c r="N78" s="36" t="n">
        <v>1.2490124826858</v>
      </c>
      <c r="O78" s="36" t="n">
        <f aca="false">SQRT(M78^2+N78^2)</f>
        <v>1.70649544033874</v>
      </c>
      <c r="P78" s="47" t="n">
        <f aca="false">IF(J78="","",MAX(0,J78-1.96*O78/100))</f>
        <v>0.334552689369361</v>
      </c>
      <c r="Q78" s="47" t="n">
        <f aca="false">IF(J78="","",MIN(1,J78+1.96*O78/100))</f>
        <v>0.401447310630639</v>
      </c>
      <c r="R78" s="32" t="str">
        <f aca="false">IF(L78="","",IF(ABS(L78)&lt;=O78,"Yes","No"))</f>
        <v>No</v>
      </c>
      <c r="S78" s="32" t="str">
        <f aca="false">IF(L78="","",IF(ABS(L78)&lt;=1.96*O78,"Yes","No"))</f>
        <v>Yes</v>
      </c>
      <c r="T78" s="66" t="n">
        <f aca="false">IF(D78="","",ROUND(SQRT(((D78+G78)*O78/100)^2+(J78*(D78+G78)*0.02225)^2),0))</f>
        <v>52</v>
      </c>
      <c r="U78" s="32"/>
    </row>
    <row r="79" customFormat="false" ht="15" hidden="false" customHeight="false" outlineLevel="0" collapsed="false">
      <c r="A79" s="32" t="s">
        <v>249</v>
      </c>
      <c r="B79" s="32" t="s">
        <v>274</v>
      </c>
      <c r="C79" s="32" t="s">
        <v>191</v>
      </c>
      <c r="D79" s="66" t="n">
        <v>60</v>
      </c>
      <c r="E79" s="66" t="n">
        <v>65</v>
      </c>
      <c r="F79" s="77" t="n">
        <f aca="false">IF(E79="","",D79-E79)</f>
        <v>-5</v>
      </c>
      <c r="G79" s="66" t="n">
        <v>118</v>
      </c>
      <c r="H79" s="66" t="n">
        <v>129</v>
      </c>
      <c r="I79" s="77" t="n">
        <f aca="false">IF(H79="","",G79-H79)</f>
        <v>-11</v>
      </c>
      <c r="J79" s="47" t="n">
        <f aca="false">IF(OR(D79="",D79+G79=0),"",D79/(D79+G79))</f>
        <v>0.337078651685393</v>
      </c>
      <c r="K79" s="47" t="n">
        <f aca="false">IF(E79="","",E79/(E79+H79))</f>
        <v>0.335051546391753</v>
      </c>
      <c r="L79" s="78" t="n">
        <f aca="false">IF(OR(K79="",J79=""),"",(J79-K79)*100)</f>
        <v>0.20271052936407</v>
      </c>
      <c r="M79" s="36" t="n">
        <v>2.87797162549907</v>
      </c>
      <c r="N79" s="36" t="n">
        <v>1.2490124826858</v>
      </c>
      <c r="O79" s="36" t="n">
        <f aca="false">SQRT(M79^2+N79^2)</f>
        <v>3.1373161872981</v>
      </c>
      <c r="P79" s="47" t="n">
        <f aca="false">IF(J79="","",MAX(0,J79-1.96*O79/100))</f>
        <v>0.275587254414351</v>
      </c>
      <c r="Q79" s="47" t="n">
        <f aca="false">IF(J79="","",MIN(1,J79+1.96*O79/100))</f>
        <v>0.398570048956436</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249</v>
      </c>
      <c r="B80" s="32" t="s">
        <v>275</v>
      </c>
      <c r="C80" s="32" t="s">
        <v>191</v>
      </c>
      <c r="D80" s="66" t="n">
        <v>253</v>
      </c>
      <c r="E80" s="66" t="n">
        <v>258</v>
      </c>
      <c r="F80" s="77" t="n">
        <f aca="false">IF(E80="","",D80-E80)</f>
        <v>-5</v>
      </c>
      <c r="G80" s="66" t="n">
        <v>402</v>
      </c>
      <c r="H80" s="66" t="n">
        <v>418</v>
      </c>
      <c r="I80" s="77" t="n">
        <f aca="false">IF(H80="","",G80-H80)</f>
        <v>-16</v>
      </c>
      <c r="J80" s="47" t="n">
        <f aca="false">IF(OR(D80="",D80+G80=0),"",D80/(D80+G80))</f>
        <v>0.386259541984733</v>
      </c>
      <c r="K80" s="47" t="n">
        <f aca="false">IF(E80="","",E80/(E80+H80))</f>
        <v>0.381656804733728</v>
      </c>
      <c r="L80" s="78" t="n">
        <f aca="false">IF(OR(K80="",J80=""),"",(J80-K80)*100)</f>
        <v>0.460273725100502</v>
      </c>
      <c r="M80" s="36" t="n">
        <v>2.87797162549907</v>
      </c>
      <c r="N80" s="36" t="n">
        <v>1.2490124826858</v>
      </c>
      <c r="O80" s="36" t="n">
        <f aca="false">SQRT(M80^2+N80^2)</f>
        <v>3.1373161872981</v>
      </c>
      <c r="P80" s="47" t="n">
        <f aca="false">IF(J80="","",MAX(0,J80-1.96*O80/100))</f>
        <v>0.32476814471369</v>
      </c>
      <c r="Q80" s="47" t="n">
        <f aca="false">IF(J80="","",MIN(1,J80+1.96*O80/100))</f>
        <v>0.447750939255776</v>
      </c>
      <c r="R80" s="32" t="str">
        <f aca="false">IF(L80="","",IF(ABS(L80)&lt;=O80,"Yes","No"))</f>
        <v>Yes</v>
      </c>
      <c r="S80" s="32" t="str">
        <f aca="false">IF(L80="","",IF(ABS(L80)&lt;=1.96*O80,"Yes","No"))</f>
        <v>Yes</v>
      </c>
      <c r="T80" s="66" t="n">
        <f aca="false">IF(D80="","",ROUND(SQRT(((D80+G80)*O80/100)^2+(J80*(D80+G80)*0.0534)^2),0))</f>
        <v>25</v>
      </c>
      <c r="U80" s="32"/>
    </row>
    <row r="81" customFormat="false" ht="15" hidden="false" customHeight="false" outlineLevel="0" collapsed="false">
      <c r="A81" s="32" t="s">
        <v>249</v>
      </c>
      <c r="B81" s="32" t="s">
        <v>276</v>
      </c>
      <c r="C81" s="32" t="s">
        <v>191</v>
      </c>
      <c r="D81" s="66" t="n">
        <v>141</v>
      </c>
      <c r="E81" s="66" t="n">
        <v>160</v>
      </c>
      <c r="F81" s="77" t="n">
        <f aca="false">IF(E81="","",D81-E81)</f>
        <v>-19</v>
      </c>
      <c r="G81" s="66" t="n">
        <v>193</v>
      </c>
      <c r="H81" s="66" t="n">
        <v>227</v>
      </c>
      <c r="I81" s="77" t="n">
        <f aca="false">IF(H81="","",G81-H81)</f>
        <v>-34</v>
      </c>
      <c r="J81" s="47" t="n">
        <f aca="false">IF(OR(D81="",D81+G81=0),"",D81/(D81+G81))</f>
        <v>0.422155688622755</v>
      </c>
      <c r="K81" s="47" t="n">
        <f aca="false">IF(E81="","",E81/(E81+H81))</f>
        <v>0.41343669250646</v>
      </c>
      <c r="L81" s="78" t="n">
        <f aca="false">IF(OR(K81="",J81=""),"",(J81-K81)*100)</f>
        <v>0.871899611629456</v>
      </c>
      <c r="M81" s="36" t="n">
        <v>2.87797162549907</v>
      </c>
      <c r="N81" s="36" t="n">
        <v>1.2490124826858</v>
      </c>
      <c r="O81" s="36" t="n">
        <f aca="false">SQRT(M81^2+N81^2)</f>
        <v>3.1373161872981</v>
      </c>
      <c r="P81" s="47" t="n">
        <f aca="false">IF(J81="","",MAX(0,J81-1.96*O81/100))</f>
        <v>0.360664291351712</v>
      </c>
      <c r="Q81" s="47" t="n">
        <f aca="false">IF(J81="","",MIN(1,J81+1.96*O81/100))</f>
        <v>0.483647085893797</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249</v>
      </c>
      <c r="B82" s="32" t="s">
        <v>277</v>
      </c>
      <c r="C82" s="32" t="s">
        <v>191</v>
      </c>
      <c r="D82" s="66" t="n">
        <v>223</v>
      </c>
      <c r="E82" s="66" t="n">
        <v>243</v>
      </c>
      <c r="F82" s="77" t="n">
        <f aca="false">IF(E82="","",D82-E82)</f>
        <v>-20</v>
      </c>
      <c r="G82" s="66" t="n">
        <v>300</v>
      </c>
      <c r="H82" s="66" t="n">
        <v>318</v>
      </c>
      <c r="I82" s="77" t="n">
        <f aca="false">IF(H82="","",G82-H82)</f>
        <v>-18</v>
      </c>
      <c r="J82" s="47" t="n">
        <f aca="false">IF(OR(D82="",D82+G82=0),"",D82/(D82+G82))</f>
        <v>0.426386233269598</v>
      </c>
      <c r="K82" s="47" t="n">
        <f aca="false">IF(E82="","",E82/(E82+H82))</f>
        <v>0.433155080213904</v>
      </c>
      <c r="L82" s="78" t="n">
        <f aca="false">IF(OR(K82="",J82=""),"",(J82-K82)*100)</f>
        <v>-0.67688469443053</v>
      </c>
      <c r="M82" s="36" t="n">
        <v>2.87797162549907</v>
      </c>
      <c r="N82" s="36" t="n">
        <v>1.2490124826858</v>
      </c>
      <c r="O82" s="36" t="n">
        <f aca="false">SQRT(M82^2+N82^2)</f>
        <v>3.1373161872981</v>
      </c>
      <c r="P82" s="47" t="n">
        <f aca="false">IF(J82="","",MAX(0,J82-1.96*O82/100))</f>
        <v>0.364894835998556</v>
      </c>
      <c r="Q82" s="47" t="n">
        <f aca="false">IF(J82="","",MIN(1,J82+1.96*O82/100))</f>
        <v>0.487877630540641</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249</v>
      </c>
      <c r="B83" s="32" t="s">
        <v>278</v>
      </c>
      <c r="C83" s="32" t="s">
        <v>191</v>
      </c>
      <c r="D83" s="66" t="n">
        <v>946</v>
      </c>
      <c r="E83" s="66" t="n">
        <v>1030</v>
      </c>
      <c r="F83" s="77" t="n">
        <f aca="false">IF(E83="","",D83-E83)</f>
        <v>-84</v>
      </c>
      <c r="G83" s="66" t="n">
        <v>1901</v>
      </c>
      <c r="H83" s="66" t="n">
        <v>2095</v>
      </c>
      <c r="I83" s="77" t="n">
        <f aca="false">IF(H83="","",G83-H83)</f>
        <v>-194</v>
      </c>
      <c r="J83" s="47" t="n">
        <f aca="false">IF(OR(D83="",D83+G83=0),"",D83/(D83+G83))</f>
        <v>0.332279592553565</v>
      </c>
      <c r="K83" s="47" t="n">
        <f aca="false">IF(E83="","",E83/(E83+H83))</f>
        <v>0.3296</v>
      </c>
      <c r="L83" s="78" t="n">
        <f aca="false">IF(OR(K83="",J83=""),"",(J83-K83)*100)</f>
        <v>0.267959255356515</v>
      </c>
      <c r="M83" s="36" t="n">
        <v>1.16279598640173</v>
      </c>
      <c r="N83" s="36" t="n">
        <v>1.2490124826858</v>
      </c>
      <c r="O83" s="36" t="n">
        <f aca="false">SQRT(M83^2+N83^2)</f>
        <v>1.70649544033874</v>
      </c>
      <c r="P83" s="47" t="n">
        <f aca="false">IF(J83="","",MAX(0,J83-1.96*O83/100))</f>
        <v>0.298832281922926</v>
      </c>
      <c r="Q83" s="47" t="n">
        <f aca="false">IF(J83="","",MIN(1,J83+1.96*O83/100))</f>
        <v>0.365726903184204</v>
      </c>
      <c r="R83" s="32" t="str">
        <f aca="false">IF(L83="","",IF(ABS(L83)&lt;=O83,"Yes","No"))</f>
        <v>Yes</v>
      </c>
      <c r="S83" s="32" t="str">
        <f aca="false">IF(L83="","",IF(ABS(L83)&lt;=1.96*O83,"Yes","No"))</f>
        <v>Yes</v>
      </c>
      <c r="T83" s="66" t="n">
        <f aca="false">IF(D83="","",ROUND(SQRT(((D83+G83)*O83/100)^2+(J83*(D83+G83)*0.02225)^2),0))</f>
        <v>53</v>
      </c>
      <c r="U83" s="32"/>
    </row>
    <row r="84" customFormat="false" ht="15" hidden="false" customHeight="false" outlineLevel="0" collapsed="false">
      <c r="A84" s="32" t="s">
        <v>249</v>
      </c>
      <c r="B84" s="32" t="s">
        <v>279</v>
      </c>
      <c r="C84" s="32" t="s">
        <v>191</v>
      </c>
      <c r="D84" s="66" t="n">
        <v>1331</v>
      </c>
      <c r="E84" s="66" t="n">
        <v>1575</v>
      </c>
      <c r="F84" s="77" t="n">
        <f aca="false">IF(E84="","",D84-E84)</f>
        <v>-244</v>
      </c>
      <c r="G84" s="66" t="n">
        <v>1456</v>
      </c>
      <c r="H84" s="66" t="n">
        <v>1588</v>
      </c>
      <c r="I84" s="77" t="n">
        <f aca="false">IF(H84="","",G84-H84)</f>
        <v>-132</v>
      </c>
      <c r="J84" s="47" t="n">
        <f aca="false">IF(OR(D84="",D84+G84=0),"",D84/(D84+G84))</f>
        <v>0.477574452816649</v>
      </c>
      <c r="K84" s="47" t="n">
        <f aca="false">IF(E84="","",E84/(E84+H84))</f>
        <v>0.497944988934556</v>
      </c>
      <c r="L84" s="78" t="n">
        <f aca="false">IF(OR(K84="",J84=""),"",(J84-K84)*100)</f>
        <v>-2.03705361179071</v>
      </c>
      <c r="M84" s="36" t="n">
        <v>1.16279598640173</v>
      </c>
      <c r="N84" s="36" t="n">
        <v>1.2490124826858</v>
      </c>
      <c r="O84" s="36" t="n">
        <f aca="false">SQRT(M84^2+N84^2)</f>
        <v>1.70649544033874</v>
      </c>
      <c r="P84" s="47" t="n">
        <f aca="false">IF(J84="","",MAX(0,J84-1.96*O84/100))</f>
        <v>0.444127142186009</v>
      </c>
      <c r="Q84" s="47" t="n">
        <f aca="false">IF(J84="","",MIN(1,J84+1.96*O84/100))</f>
        <v>0.511021763447288</v>
      </c>
      <c r="R84" s="32" t="str">
        <f aca="false">IF(L84="","",IF(ABS(L84)&lt;=O84,"Yes","No"))</f>
        <v>No</v>
      </c>
      <c r="S84" s="32" t="str">
        <f aca="false">IF(L84="","",IF(ABS(L84)&lt;=1.96*O84,"Yes","No"))</f>
        <v>Yes</v>
      </c>
      <c r="T84" s="66" t="n">
        <f aca="false">IF(D84="","",ROUND(SQRT(((D84+G84)*O84/100)^2+(J84*(D84+G84)*0.02225)^2),0))</f>
        <v>56</v>
      </c>
      <c r="U84" s="32"/>
    </row>
    <row r="85" customFormat="false" ht="15" hidden="false" customHeight="false" outlineLevel="0" collapsed="false">
      <c r="A85" s="32" t="s">
        <v>249</v>
      </c>
      <c r="B85" s="32" t="s">
        <v>280</v>
      </c>
      <c r="C85" s="32" t="s">
        <v>191</v>
      </c>
      <c r="D85" s="66" t="n">
        <v>266</v>
      </c>
      <c r="E85" s="66" t="n">
        <v>305</v>
      </c>
      <c r="F85" s="77" t="n">
        <f aca="false">IF(E85="","",D85-E85)</f>
        <v>-39</v>
      </c>
      <c r="G85" s="66" t="n">
        <v>400</v>
      </c>
      <c r="H85" s="66" t="n">
        <v>419</v>
      </c>
      <c r="I85" s="77" t="n">
        <f aca="false">IF(H85="","",G85-H85)</f>
        <v>-19</v>
      </c>
      <c r="J85" s="47" t="n">
        <f aca="false">IF(OR(D85="",D85+G85=0),"",D85/(D85+G85))</f>
        <v>0.399399399399399</v>
      </c>
      <c r="K85" s="47" t="n">
        <f aca="false">IF(E85="","",E85/(E85+H85))</f>
        <v>0.421270718232044</v>
      </c>
      <c r="L85" s="78" t="n">
        <f aca="false">IF(OR(K85="",J85=""),"",(J85-K85)*100)</f>
        <v>-2.18713188326448</v>
      </c>
      <c r="M85" s="36" t="n">
        <v>2.87797162549907</v>
      </c>
      <c r="N85" s="36" t="n">
        <v>1.2490124826858</v>
      </c>
      <c r="O85" s="36" t="n">
        <f aca="false">SQRT(M85^2+N85^2)</f>
        <v>3.1373161872981</v>
      </c>
      <c r="P85" s="47" t="n">
        <f aca="false">IF(J85="","",MAX(0,J85-1.96*O85/100))</f>
        <v>0.337908002128357</v>
      </c>
      <c r="Q85" s="47" t="n">
        <f aca="false">IF(J85="","",MIN(1,J85+1.96*O85/100))</f>
        <v>0.460890796670442</v>
      </c>
      <c r="R85" s="32" t="str">
        <f aca="false">IF(L85="","",IF(ABS(L85)&lt;=O85,"Yes","No"))</f>
        <v>Yes</v>
      </c>
      <c r="S85" s="32" t="str">
        <f aca="false">IF(L85="","",IF(ABS(L85)&lt;=1.96*O85,"Yes","No"))</f>
        <v>Yes</v>
      </c>
      <c r="T85" s="66" t="n">
        <f aca="false">IF(D85="","",ROUND(SQRT(((D85+G85)*O85/100)^2+(J85*(D85+G85)*0.0534)^2),0))</f>
        <v>25</v>
      </c>
      <c r="U85" s="32"/>
    </row>
    <row r="86" customFormat="false" ht="15" hidden="false" customHeight="false" outlineLevel="0" collapsed="false">
      <c r="A86" s="32" t="s">
        <v>249</v>
      </c>
      <c r="B86" s="32" t="s">
        <v>242</v>
      </c>
      <c r="C86" s="32" t="s">
        <v>191</v>
      </c>
      <c r="D86" s="66" t="n">
        <v>743</v>
      </c>
      <c r="E86" s="66" t="n">
        <v>840</v>
      </c>
      <c r="F86" s="77" t="n">
        <f aca="false">IF(E86="","",D86-E86)</f>
        <v>-97</v>
      </c>
      <c r="G86" s="66" t="n">
        <v>1296</v>
      </c>
      <c r="H86" s="66" t="n">
        <v>1533</v>
      </c>
      <c r="I86" s="77" t="n">
        <f aca="false">IF(H86="","",G86-H86)</f>
        <v>-237</v>
      </c>
      <c r="J86" s="47" t="n">
        <f aca="false">IF(OR(D86="",D86+G86=0),"",D86/(D86+G86))</f>
        <v>0.364394310936734</v>
      </c>
      <c r="K86" s="47" t="n">
        <f aca="false">IF(E86="","",E86/(E86+H86))</f>
        <v>0.353982300884956</v>
      </c>
      <c r="L86" s="78" t="n">
        <f aca="false">IF(OR(K86="",J86=""),"",(J86-K86)*100)</f>
        <v>1.04120100517779</v>
      </c>
      <c r="M86" s="36" t="n">
        <v>1.81947821335184</v>
      </c>
      <c r="N86" s="36" t="n">
        <v>1.2490124826858</v>
      </c>
      <c r="O86" s="36" t="n">
        <f aca="false">SQRT(M86^2+N86^2)</f>
        <v>2.20692844260228</v>
      </c>
      <c r="P86" s="47" t="n">
        <f aca="false">IF(J86="","",MAX(0,J86-1.96*O86/100))</f>
        <v>0.321138513461729</v>
      </c>
      <c r="Q86" s="47" t="n">
        <f aca="false">IF(J86="","",MIN(1,J86+1.96*O86/100))</f>
        <v>0.407650108411738</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249</v>
      </c>
      <c r="B87" s="32" t="s">
        <v>281</v>
      </c>
      <c r="C87" s="32" t="s">
        <v>191</v>
      </c>
      <c r="D87" s="66" t="n">
        <v>174</v>
      </c>
      <c r="E87" s="66" t="n">
        <v>199</v>
      </c>
      <c r="F87" s="77" t="n">
        <f aca="false">IF(E87="","",D87-E87)</f>
        <v>-25</v>
      </c>
      <c r="G87" s="66" t="n">
        <v>194</v>
      </c>
      <c r="H87" s="66" t="n">
        <v>215</v>
      </c>
      <c r="I87" s="77" t="n">
        <f aca="false">IF(H87="","",G87-H87)</f>
        <v>-21</v>
      </c>
      <c r="J87" s="47" t="n">
        <f aca="false">IF(OR(D87="",D87+G87=0),"",D87/(D87+G87))</f>
        <v>0.472826086956522</v>
      </c>
      <c r="K87" s="47" t="n">
        <f aca="false">IF(E87="","",E87/(E87+H87))</f>
        <v>0.480676328502416</v>
      </c>
      <c r="L87" s="78" t="n">
        <f aca="false">IF(OR(K87="",J87=""),"",(J87-K87)*100)</f>
        <v>-0.785024154589376</v>
      </c>
      <c r="M87" s="36" t="n">
        <v>2.87797162549907</v>
      </c>
      <c r="N87" s="36" t="n">
        <v>1.2490124826858</v>
      </c>
      <c r="O87" s="36" t="n">
        <f aca="false">SQRT(M87^2+N87^2)</f>
        <v>3.1373161872981</v>
      </c>
      <c r="P87" s="47" t="n">
        <f aca="false">IF(J87="","",MAX(0,J87-1.96*O87/100))</f>
        <v>0.411334689685479</v>
      </c>
      <c r="Q87" s="47" t="n">
        <f aca="false">IF(J87="","",MIN(1,J87+1.96*O87/100))</f>
        <v>0.534317484227564</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249</v>
      </c>
      <c r="B88" s="32" t="s">
        <v>282</v>
      </c>
      <c r="C88" s="32" t="s">
        <v>191</v>
      </c>
      <c r="D88" s="66" t="n">
        <v>1328</v>
      </c>
      <c r="E88" s="66" t="n">
        <v>1456</v>
      </c>
      <c r="F88" s="77" t="n">
        <f aca="false">IF(E88="","",D88-E88)</f>
        <v>-128</v>
      </c>
      <c r="G88" s="66" t="n">
        <v>1723</v>
      </c>
      <c r="H88" s="66" t="n">
        <v>1860</v>
      </c>
      <c r="I88" s="77" t="n">
        <f aca="false">IF(H88="","",G88-H88)</f>
        <v>-137</v>
      </c>
      <c r="J88" s="47" t="n">
        <f aca="false">IF(OR(D88="",D88+G88=0),"",D88/(D88+G88))</f>
        <v>0.435267125532612</v>
      </c>
      <c r="K88" s="47" t="n">
        <f aca="false">IF(E88="","",E88/(E88+H88))</f>
        <v>0.439083232810615</v>
      </c>
      <c r="L88" s="78" t="n">
        <f aca="false">IF(OR(K88="",J88=""),"",(J88-K88)*100)</f>
        <v>-0.381610727800291</v>
      </c>
      <c r="M88" s="36" t="n">
        <v>1.16279598640173</v>
      </c>
      <c r="N88" s="36" t="n">
        <v>1.2490124826858</v>
      </c>
      <c r="O88" s="36" t="n">
        <f aca="false">SQRT(M88^2+N88^2)</f>
        <v>1.70649544033874</v>
      </c>
      <c r="P88" s="47" t="n">
        <f aca="false">IF(J88="","",MAX(0,J88-1.96*O88/100))</f>
        <v>0.401819814901973</v>
      </c>
      <c r="Q88" s="47" t="n">
        <f aca="false">IF(J88="","",MIN(1,J88+1.96*O88/100))</f>
        <v>0.468714436163252</v>
      </c>
      <c r="R88" s="32" t="str">
        <f aca="false">IF(L88="","",IF(ABS(L88)&lt;=O88,"Yes","No"))</f>
        <v>Yes</v>
      </c>
      <c r="S88" s="32" t="str">
        <f aca="false">IF(L88="","",IF(ABS(L88)&lt;=1.96*O88,"Yes","No"))</f>
        <v>Yes</v>
      </c>
      <c r="T88" s="66" t="n">
        <f aca="false">IF(D88="","",ROUND(SQRT(((D88+G88)*O88/100)^2+(J88*(D88+G88)*0.02225)^2),0))</f>
        <v>60</v>
      </c>
      <c r="U88" s="32"/>
    </row>
    <row r="89" customFormat="false" ht="15" hidden="false" customHeight="false" outlineLevel="0" collapsed="false">
      <c r="A89" s="32" t="s">
        <v>249</v>
      </c>
      <c r="B89" s="32" t="s">
        <v>283</v>
      </c>
      <c r="C89" s="32" t="s">
        <v>191</v>
      </c>
      <c r="D89" s="66" t="n">
        <v>1198</v>
      </c>
      <c r="E89" s="66" t="n">
        <v>1340</v>
      </c>
      <c r="F89" s="77" t="n">
        <f aca="false">IF(E89="","",D89-E89)</f>
        <v>-142</v>
      </c>
      <c r="G89" s="66" t="n">
        <v>930</v>
      </c>
      <c r="H89" s="66" t="n">
        <v>953</v>
      </c>
      <c r="I89" s="77" t="n">
        <f aca="false">IF(H89="","",G89-H89)</f>
        <v>-23</v>
      </c>
      <c r="J89" s="47" t="n">
        <f aca="false">IF(OR(D89="",D89+G89=0),"",D89/(D89+G89))</f>
        <v>0.56296992481203</v>
      </c>
      <c r="K89" s="47" t="n">
        <f aca="false">IF(E89="","",E89/(E89+H89))</f>
        <v>0.584387265590929</v>
      </c>
      <c r="L89" s="78" t="n">
        <f aca="false">IF(OR(K89="",J89=""),"",(J89-K89)*100)</f>
        <v>-2.14173407788988</v>
      </c>
      <c r="M89" s="36" t="n">
        <v>1.81947821335184</v>
      </c>
      <c r="N89" s="36" t="n">
        <v>1.2490124826858</v>
      </c>
      <c r="O89" s="36" t="n">
        <f aca="false">SQRT(M89^2+N89^2)</f>
        <v>2.20692844260228</v>
      </c>
      <c r="P89" s="47" t="n">
        <f aca="false">IF(J89="","",MAX(0,J89-1.96*O89/100))</f>
        <v>0.519714127337025</v>
      </c>
      <c r="Q89" s="47" t="n">
        <f aca="false">IF(J89="","",MIN(1,J89+1.96*O89/100))</f>
        <v>0.606225722287035</v>
      </c>
      <c r="R89" s="32" t="str">
        <f aca="false">IF(L89="","",IF(ABS(L89)&lt;=O89,"Yes","No"))</f>
        <v>Yes</v>
      </c>
      <c r="S89" s="32" t="str">
        <f aca="false">IF(L89="","",IF(ABS(L89)&lt;=1.96*O89,"Yes","No"))</f>
        <v>Yes</v>
      </c>
      <c r="T89" s="66" t="n">
        <f aca="false">IF(D89="","",ROUND(SQRT(((D89+G89)*O89/100)^2+(J89*(D89+G89)*0.03811)^2),0))</f>
        <v>65</v>
      </c>
      <c r="U89" s="32"/>
    </row>
    <row r="90" customFormat="false" ht="15" hidden="false" customHeight="false" outlineLevel="0" collapsed="false">
      <c r="A90" s="32" t="s">
        <v>249</v>
      </c>
      <c r="B90" s="32" t="s">
        <v>284</v>
      </c>
      <c r="C90" s="32" t="s">
        <v>191</v>
      </c>
      <c r="D90" s="66" t="n">
        <v>399</v>
      </c>
      <c r="E90" s="66" t="n">
        <v>494</v>
      </c>
      <c r="F90" s="77" t="n">
        <f aca="false">IF(E90="","",D90-E90)</f>
        <v>-95</v>
      </c>
      <c r="G90" s="66" t="n">
        <v>568</v>
      </c>
      <c r="H90" s="66" t="n">
        <v>601</v>
      </c>
      <c r="I90" s="77" t="n">
        <f aca="false">IF(H90="","",G90-H90)</f>
        <v>-33</v>
      </c>
      <c r="J90" s="47" t="n">
        <f aca="false">IF(OR(D90="",D90+G90=0),"",D90/(D90+G90))</f>
        <v>0.412616339193382</v>
      </c>
      <c r="K90" s="47" t="n">
        <f aca="false">IF(E90="","",E90/(E90+H90))</f>
        <v>0.451141552511416</v>
      </c>
      <c r="L90" s="78" t="n">
        <f aca="false">IF(OR(K90="",J90=""),"",(J90-K90)*100)</f>
        <v>-3.85252133180339</v>
      </c>
      <c r="M90" s="36" t="n">
        <v>2.87797162549907</v>
      </c>
      <c r="N90" s="36" t="n">
        <v>1.2490124826858</v>
      </c>
      <c r="O90" s="36" t="n">
        <f aca="false">SQRT(M90^2+N90^2)</f>
        <v>3.1373161872981</v>
      </c>
      <c r="P90" s="47" t="n">
        <f aca="false">IF(J90="","",MAX(0,J90-1.96*O90/100))</f>
        <v>0.351124941922339</v>
      </c>
      <c r="Q90" s="47" t="n">
        <f aca="false">IF(J90="","",MIN(1,J90+1.96*O90/100))</f>
        <v>0.474107736464424</v>
      </c>
      <c r="R90" s="32" t="str">
        <f aca="false">IF(L90="","",IF(ABS(L90)&lt;=O90,"Yes","No"))</f>
        <v>No</v>
      </c>
      <c r="S90" s="32" t="str">
        <f aca="false">IF(L90="","",IF(ABS(L90)&lt;=1.96*O90,"Yes","No"))</f>
        <v>Yes</v>
      </c>
      <c r="T90" s="66" t="n">
        <f aca="false">IF(D90="","",ROUND(SQRT(((D90+G90)*O90/100)^2+(J90*(D90+G90)*0.0534)^2),0))</f>
        <v>37</v>
      </c>
      <c r="U90" s="32"/>
    </row>
    <row r="92" customFormat="false" ht="15" hidden="false" customHeight="false" outlineLevel="0" collapsed="false">
      <c r="A92" s="20" t="s">
        <v>419</v>
      </c>
      <c r="B92" s="44"/>
      <c r="C92" s="44"/>
      <c r="D92" s="79" t="n">
        <f aca="false">SUMIF(E2:E90,"&lt;&gt;",D2:D90)</f>
        <v>141740</v>
      </c>
      <c r="E92" s="79" t="n">
        <f aca="false">SUM(E2:E90)</f>
        <v>151364</v>
      </c>
      <c r="F92" s="80" t="n">
        <f aca="false">D92-E92</f>
        <v>-9624</v>
      </c>
      <c r="G92" s="79" t="n">
        <f aca="false">SUMIF(H2:H90,"&lt;&gt;",G2:G90)</f>
        <v>137307</v>
      </c>
      <c r="H92" s="79" t="n">
        <f aca="false">SUM(H2:H90)</f>
        <v>145527</v>
      </c>
      <c r="I92" s="80" t="n">
        <f aca="false">G92-H92</f>
        <v>-8220</v>
      </c>
      <c r="J92" s="46" t="n">
        <f aca="false">D92/(D92+G92)</f>
        <v>0.507943106358427</v>
      </c>
      <c r="K92" s="46" t="n">
        <f aca="false">E92/(E92+H92)</f>
        <v>0.509830207045683</v>
      </c>
      <c r="L92" s="81" t="n">
        <f aca="false">(J92-K92)*100</f>
        <v>-0.188710068725628</v>
      </c>
      <c r="M92" s="45" t="n">
        <v>0</v>
      </c>
      <c r="N92" s="45" t="n">
        <v>1.2490124826858</v>
      </c>
      <c r="O92" s="45" t="n">
        <f aca="false">SQRT(M92^2+N92^2)</f>
        <v>1.2490124826858</v>
      </c>
      <c r="P92" s="46" t="n">
        <f aca="false">J92-1.96*O92/100</f>
        <v>0.483462461697785</v>
      </c>
      <c r="Q92" s="46" t="n">
        <f aca="false">J92+1.96*O92/100</f>
        <v>0.532423751019069</v>
      </c>
      <c r="R92" s="44" t="str">
        <f aca="false">IF(ABS(L92)&lt;=O92,"Yes","No")</f>
        <v>Yes</v>
      </c>
      <c r="S92" s="44" t="str">
        <f aca="false">IF(ABS(L92)&lt;=1.96*O92,"Yes","No")</f>
        <v>Yes</v>
      </c>
      <c r="T92" s="79" t="n">
        <f aca="false">ROUND(SQRT(((D92+G92)*O92/100)^2+(J92*(D92+G92)*0.00561)^2),0)</f>
        <v>3575</v>
      </c>
    </row>
    <row r="93" customFormat="false" ht="15" hidden="false" customHeight="false" outlineLevel="0" collapsed="false">
      <c r="A93" s="20" t="s">
        <v>420</v>
      </c>
      <c r="B93" s="44"/>
      <c r="C93" s="44"/>
      <c r="D93" s="79" t="n">
        <f aca="false">SUM(D2:D90)</f>
        <v>141740</v>
      </c>
      <c r="E93" s="79"/>
      <c r="F93" s="80"/>
      <c r="G93" s="79" t="n">
        <f aca="false">SUM(G2:G90)</f>
        <v>137307</v>
      </c>
      <c r="H93" s="79"/>
      <c r="I93" s="80"/>
      <c r="J93" s="46" t="n">
        <f aca="false">D93/(D93+G93)</f>
        <v>0.507943106358427</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151.865168539326</v>
      </c>
    </row>
    <row r="96" customFormat="false" ht="15" hidden="false" customHeight="false" outlineLevel="0" collapsed="false">
      <c r="A96" s="2" t="s">
        <v>422</v>
      </c>
      <c r="F96" s="82" t="n">
        <f aca="false">(SUMIF(I2:I90,"&gt;0")-SUMIF(I2:I90,"&lt;0"))/COUNT(I2:I90)</f>
        <v>99.8651685393258</v>
      </c>
    </row>
    <row r="97" customFormat="false" ht="15" hidden="false" customHeight="false" outlineLevel="0" collapsed="false">
      <c r="A97" s="2" t="s">
        <v>423</v>
      </c>
      <c r="F97" s="83" t="n">
        <f aca="false">(SUMIF(L2:L90,"&gt;0")-SUMIF(L2:L90,"&lt;0"))/COUNT(L2:L90)</f>
        <v>1.5994669043947</v>
      </c>
    </row>
    <row r="98" customFormat="false" ht="15" hidden="false" customHeight="false" outlineLevel="0" collapsed="false">
      <c r="A98" s="5" t="s">
        <v>424</v>
      </c>
      <c r="F98" s="84" t="n">
        <f aca="false">SQRT(SUMSQ(L2:L90)/COUNT(L2:L90))</f>
        <v>2.05941736199659</v>
      </c>
    </row>
    <row r="99" customFormat="false" ht="15" hidden="false" customHeight="false" outlineLevel="0" collapsed="false">
      <c r="A99" s="5" t="s">
        <v>425</v>
      </c>
      <c r="F99" s="85" t="n">
        <f aca="false">L92</f>
        <v>-0.188710068725628</v>
      </c>
    </row>
    <row r="100" customFormat="false" ht="15" hidden="false" customHeight="false" outlineLevel="0" collapsed="false">
      <c r="A100" s="5" t="s">
        <v>426</v>
      </c>
      <c r="F100" s="84" t="n">
        <f aca="false">SQRT((SUMSQ(L2:L90)-2*L92*SUM(L2:L90)+COUNT(L2:L90)*L92^2)/COUNT(L2:L90))</f>
        <v>2.01782499800858</v>
      </c>
    </row>
    <row r="101" customFormat="false" ht="15" hidden="false" customHeight="false" outlineLevel="0" collapsed="false">
      <c r="A101" s="2" t="s">
        <v>427</v>
      </c>
      <c r="F101" s="86" t="n">
        <f aca="false">D92/E92-1</f>
        <v>-0.0635818292328427</v>
      </c>
    </row>
    <row r="102" customFormat="false" ht="15" hidden="false" customHeight="false" outlineLevel="0" collapsed="false">
      <c r="A102" s="5" t="s">
        <v>428</v>
      </c>
      <c r="F102" s="87" t="n">
        <f aca="false">G92/H92-1</f>
        <v>-0.0564843637263188</v>
      </c>
    </row>
    <row r="103" customFormat="false" ht="15" hidden="false" customHeight="false" outlineLevel="0" collapsed="false">
      <c r="A103" s="2" t="s">
        <v>429</v>
      </c>
      <c r="F103" s="86" t="n">
        <f aca="false">(D92+G92)/(E92+H92)-1</f>
        <v>-0.0601028660350095</v>
      </c>
    </row>
    <row r="104" customFormat="false" ht="15" hidden="false" customHeight="false" outlineLevel="0" collapsed="false">
      <c r="A104" s="2" t="s">
        <v>430</v>
      </c>
      <c r="F104" s="83" t="n">
        <f aca="false">AVERAGE(O2:O90)</f>
        <v>2.35185700746709</v>
      </c>
    </row>
    <row r="105" customFormat="false" ht="15" hidden="false" customHeight="false" outlineLevel="0" collapsed="false">
      <c r="A105" s="5" t="s">
        <v>431</v>
      </c>
      <c r="F105" s="88" t="n">
        <f aca="false">COUNTIF(R2:R90,"Yes")/(COUNTIF(R2:R90,"Yes")+COUNTIF(R2:R90,"No"))</f>
        <v>0.696629213483146</v>
      </c>
    </row>
    <row r="106" customFormat="false" ht="15" hidden="false" customHeight="false" outlineLevel="0" collapsed="false">
      <c r="A106" s="5" t="s">
        <v>432</v>
      </c>
      <c r="F106" s="88" t="n">
        <f aca="false">COUNTIF(S2:S90,"Yes")/(COUNTIF(S2:S90,"Yes")+COUNTIF(S2:S90,"No"))</f>
        <v>0.97752808988764</v>
      </c>
    </row>
    <row r="107" customFormat="false" ht="15" hidden="false" customHeight="false" outlineLevel="0" collapsed="false">
      <c r="A107" s="2" t="s">
        <v>433</v>
      </c>
      <c r="F107" s="89" t="n">
        <f aca="false">COUNTIFS(L2:L90,"&gt;=-3",L2:L90,"&lt;=3")/COUNT(L2:L90)</f>
        <v>0.910112359550562</v>
      </c>
    </row>
    <row r="108" customFormat="false" ht="15" hidden="false" customHeight="false" outlineLevel="0" collapsed="false">
      <c r="A108" s="2" t="s">
        <v>457</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-9097.41021452317</v>
      </c>
    </row>
    <row r="112" customFormat="false" ht="15" hidden="false" customHeight="false" outlineLevel="0" collapsed="false">
      <c r="A112" s="2" t="s">
        <v>438</v>
      </c>
      <c r="F112" s="91" t="n">
        <f aca="false">F92-((D92+G92)-(E92+H92))*K92</f>
        <v>-526.589785476826</v>
      </c>
    </row>
    <row r="113" customFormat="false" ht="15" hidden="false" customHeight="false" outlineLevel="0" collapsed="false">
      <c r="A113" s="2" t="s">
        <v>439</v>
      </c>
      <c r="F113" s="91" t="n">
        <f aca="false">((D92+G92)-(E92+H92))*(1-K92)</f>
        <v>-8746.58978547683</v>
      </c>
    </row>
    <row r="114" customFormat="false" ht="15" hidden="false" customHeight="false" outlineLevel="0" collapsed="false">
      <c r="A114" s="2" t="s">
        <v>440</v>
      </c>
      <c r="F114" s="91" t="n">
        <f aca="false">I92-((D92+G92)-(E92+H92))*(1-K92)</f>
        <v>526.589785476826</v>
      </c>
    </row>
    <row r="115" customFormat="false" ht="15" hidden="false" customHeight="false" outlineLevel="0" collapsed="false">
      <c r="A115" s="2" t="s">
        <v>441</v>
      </c>
      <c r="F115" s="86" t="n">
        <f aca="false">(F92-((D92+G92)-(E92+H92))*K92)/E92</f>
        <v>-0.00347896319783321</v>
      </c>
    </row>
    <row r="116" customFormat="false" ht="15" hidden="false" customHeight="false" outlineLevel="0" collapsed="false">
      <c r="A116" s="2" t="s">
        <v>442</v>
      </c>
      <c r="F116" s="86" t="n">
        <f aca="false">(I92-((D92+G92)-(E92+H92))*(1-K92))/H92</f>
        <v>0.00361850230869066</v>
      </c>
    </row>
    <row r="118" customFormat="false" ht="15" hidden="false" customHeight="false" outlineLevel="0" collapsed="false">
      <c r="U118" s="5" t="s">
        <v>166</v>
      </c>
    </row>
    <row r="119" customFormat="false" ht="28.35" hidden="false" customHeight="false" outlineLevel="0" collapsed="false">
      <c r="U119" s="76" t="s">
        <v>458</v>
      </c>
    </row>
    <row r="120" customFormat="false" ht="15" hidden="false" customHeight="false" outlineLevel="0" collapsed="false">
      <c r="U120" s="76" t="s">
        <v>444</v>
      </c>
    </row>
    <row r="121" customFormat="false" ht="28.35" hidden="false" customHeight="false" outlineLevel="0" collapsed="false">
      <c r="U121" s="76" t="s">
        <v>445</v>
      </c>
    </row>
    <row r="122" customFormat="false" ht="15" hidden="false" customHeight="false" outlineLevel="0" collapsed="false">
      <c r="U122" s="76" t="s">
        <v>459</v>
      </c>
    </row>
    <row r="123" customFormat="false" ht="41.75" hidden="false" customHeight="false" outlineLevel="0" collapsed="false">
      <c r="U123" s="76" t="s">
        <v>460</v>
      </c>
    </row>
    <row r="124" customFormat="false" ht="28.35" hidden="false" customHeight="false" outlineLevel="0" collapsed="false">
      <c r="U124" s="76" t="s">
        <v>461</v>
      </c>
    </row>
    <row r="125" customFormat="false" ht="28.35" hidden="false" customHeight="false" outlineLevel="0" collapsed="false">
      <c r="U125" s="76" t="s">
        <v>449</v>
      </c>
    </row>
    <row r="126" customFormat="false" ht="41.75" hidden="false" customHeight="false" outlineLevel="0" collapsed="false">
      <c r="U126" s="76" t="s">
        <v>462</v>
      </c>
    </row>
    <row r="127" customFormat="false" ht="15" hidden="false" customHeight="false" outlineLevel="0" collapsed="false">
      <c r="U127" s="76" t="s">
        <v>463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455</v>
      </c>
      <c r="N1" s="8" t="s">
        <v>456</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129</v>
      </c>
      <c r="E2" s="66" t="n">
        <v>137</v>
      </c>
      <c r="F2" s="77" t="n">
        <f aca="false">IF(E2="","",D2-E2)</f>
        <v>-8</v>
      </c>
      <c r="G2" s="66" t="n">
        <v>216</v>
      </c>
      <c r="H2" s="66" t="n">
        <v>249</v>
      </c>
      <c r="I2" s="77" t="n">
        <f aca="false">IF(H2="","",G2-H2)</f>
        <v>-33</v>
      </c>
      <c r="J2" s="47" t="n">
        <f aca="false">IF(OR(D2="",D2+G2=0),"",D2/(D2+G2))</f>
        <v>0.373913043478261</v>
      </c>
      <c r="K2" s="47" t="n">
        <f aca="false">IF(E2="","",E2/(E2+H2))</f>
        <v>0.354922279792746</v>
      </c>
      <c r="L2" s="78" t="n">
        <f aca="false">IF(OR(K2="",J2=""),"",(J2-K2)*100)</f>
        <v>1.89907636855148</v>
      </c>
      <c r="M2" s="36" t="n">
        <v>2.87405876590783</v>
      </c>
      <c r="N2" s="36" t="n">
        <v>1.2491777271704</v>
      </c>
      <c r="O2" s="36" t="n">
        <f aca="false">SQRT(M2^2+N2^2)</f>
        <v>3.13379303463874</v>
      </c>
      <c r="P2" s="47" t="n">
        <f aca="false">IF(J2="","",MAX(0,J2-1.96*O2/100))</f>
        <v>0.312490699999342</v>
      </c>
      <c r="Q2" s="47" t="n">
        <f aca="false">IF(J2="","",MIN(1,J2+1.96*O2/100))</f>
        <v>0.43533538695718</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189</v>
      </c>
      <c r="B3" s="32" t="s">
        <v>195</v>
      </c>
      <c r="C3" s="32" t="s">
        <v>191</v>
      </c>
      <c r="D3" s="66" t="n">
        <v>81</v>
      </c>
      <c r="E3" s="66" t="n">
        <v>84</v>
      </c>
      <c r="F3" s="77" t="n">
        <f aca="false">IF(E3="","",D3-E3)</f>
        <v>-3</v>
      </c>
      <c r="G3" s="66" t="n">
        <v>197</v>
      </c>
      <c r="H3" s="66" t="n">
        <v>230</v>
      </c>
      <c r="I3" s="77" t="n">
        <f aca="false">IF(H3="","",G3-H3)</f>
        <v>-33</v>
      </c>
      <c r="J3" s="47" t="n">
        <f aca="false">IF(OR(D3="",D3+G3=0),"",D3/(D3+G3))</f>
        <v>0.29136690647482</v>
      </c>
      <c r="K3" s="47" t="n">
        <f aca="false">IF(E3="","",E3/(E3+H3))</f>
        <v>0.267515923566879</v>
      </c>
      <c r="L3" s="78" t="n">
        <f aca="false">IF(OR(K3="",J3=""),"",(J3-K3)*100)</f>
        <v>2.38509829079412</v>
      </c>
      <c r="M3" s="36" t="n">
        <v>2.87405876590783</v>
      </c>
      <c r="N3" s="36" t="n">
        <v>1.2491777271704</v>
      </c>
      <c r="O3" s="36" t="n">
        <f aca="false">SQRT(M3^2+N3^2)</f>
        <v>3.13379303463874</v>
      </c>
      <c r="P3" s="47" t="n">
        <f aca="false">IF(J3="","",MAX(0,J3-1.96*O3/100))</f>
        <v>0.229944562995901</v>
      </c>
      <c r="Q3" s="47" t="n">
        <f aca="false">IF(J3="","",MIN(1,J3+1.96*O3/100))</f>
        <v>0.352789249953739</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189</v>
      </c>
      <c r="B4" s="32" t="s">
        <v>196</v>
      </c>
      <c r="C4" s="32" t="s">
        <v>191</v>
      </c>
      <c r="D4" s="66" t="n">
        <v>90</v>
      </c>
      <c r="E4" s="66" t="n">
        <v>125</v>
      </c>
      <c r="F4" s="77" t="n">
        <f aca="false">IF(E4="","",D4-E4)</f>
        <v>-35</v>
      </c>
      <c r="G4" s="66" t="n">
        <v>198</v>
      </c>
      <c r="H4" s="66" t="n">
        <v>223</v>
      </c>
      <c r="I4" s="77" t="n">
        <f aca="false">IF(H4="","",G4-H4)</f>
        <v>-25</v>
      </c>
      <c r="J4" s="47" t="n">
        <f aca="false">IF(OR(D4="",D4+G4=0),"",D4/(D4+G4))</f>
        <v>0.3125</v>
      </c>
      <c r="K4" s="47" t="n">
        <f aca="false">IF(E4="","",E4/(E4+H4))</f>
        <v>0.359195402298851</v>
      </c>
      <c r="L4" s="78" t="n">
        <f aca="false">IF(OR(K4="",J4=""),"",(J4-K4)*100)</f>
        <v>-4.66954022988506</v>
      </c>
      <c r="M4" s="36" t="n">
        <v>2.87405876590783</v>
      </c>
      <c r="N4" s="36" t="n">
        <v>1.2491777271704</v>
      </c>
      <c r="O4" s="36" t="n">
        <f aca="false">SQRT(M4^2+N4^2)</f>
        <v>3.13379303463874</v>
      </c>
      <c r="P4" s="47" t="n">
        <f aca="false">IF(J4="","",MAX(0,J4-1.96*O4/100))</f>
        <v>0.251077656521081</v>
      </c>
      <c r="Q4" s="47" t="n">
        <f aca="false">IF(J4="","",MIN(1,J4+1.96*O4/100))</f>
        <v>0.373922343478919</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189</v>
      </c>
      <c r="B5" s="32" t="s">
        <v>197</v>
      </c>
      <c r="C5" s="32" t="s">
        <v>191</v>
      </c>
      <c r="D5" s="66" t="n">
        <v>329</v>
      </c>
      <c r="E5" s="66" t="n">
        <v>372</v>
      </c>
      <c r="F5" s="77" t="n">
        <f aca="false">IF(E5="","",D5-E5)</f>
        <v>-43</v>
      </c>
      <c r="G5" s="66" t="n">
        <v>802</v>
      </c>
      <c r="H5" s="66" t="n">
        <v>925</v>
      </c>
      <c r="I5" s="77" t="n">
        <f aca="false">IF(H5="","",G5-H5)</f>
        <v>-123</v>
      </c>
      <c r="J5" s="47" t="n">
        <f aca="false">IF(OR(D5="",D5+G5=0),"",D5/(D5+G5))</f>
        <v>0.290893015030946</v>
      </c>
      <c r="K5" s="47" t="n">
        <f aca="false">IF(E5="","",E5/(E5+H5))</f>
        <v>0.286815728604472</v>
      </c>
      <c r="L5" s="78" t="n">
        <f aca="false">IF(OR(K5="",J5=""),"",(J5-K5)*100)</f>
        <v>0.40772864264742</v>
      </c>
      <c r="M5" s="36" t="n">
        <v>1.79166014209263</v>
      </c>
      <c r="N5" s="36" t="n">
        <v>1.2491777271704</v>
      </c>
      <c r="O5" s="36" t="n">
        <f aca="false">SQRT(M5^2+N5^2)</f>
        <v>2.1841453840855</v>
      </c>
      <c r="P5" s="47" t="n">
        <f aca="false">IF(J5="","",MAX(0,J5-1.96*O5/100))</f>
        <v>0.24808376550287</v>
      </c>
      <c r="Q5" s="47" t="n">
        <f aca="false">IF(J5="","",MIN(1,J5+1.96*O5/100))</f>
        <v>0.333702264559022</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189</v>
      </c>
      <c r="B6" s="32" t="s">
        <v>199</v>
      </c>
      <c r="C6" s="32" t="s">
        <v>191</v>
      </c>
      <c r="D6" s="66" t="n">
        <v>31</v>
      </c>
      <c r="E6" s="66" t="n">
        <v>33</v>
      </c>
      <c r="F6" s="77" t="n">
        <f aca="false">IF(E6="","",D6-E6)</f>
        <v>-2</v>
      </c>
      <c r="G6" s="66" t="n">
        <v>45</v>
      </c>
      <c r="H6" s="66" t="n">
        <v>61</v>
      </c>
      <c r="I6" s="77" t="n">
        <f aca="false">IF(H6="","",G6-H6)</f>
        <v>-16</v>
      </c>
      <c r="J6" s="47" t="n">
        <f aca="false">IF(OR(D6="",D6+G6=0),"",D6/(D6+G6))</f>
        <v>0.407894736842105</v>
      </c>
      <c r="K6" s="47" t="n">
        <f aca="false">IF(E6="","",E6/(E6+H6))</f>
        <v>0.351063829787234</v>
      </c>
      <c r="L6" s="78" t="n">
        <f aca="false">IF(OR(K6="",J6=""),"",(J6-K6)*100)</f>
        <v>5.68309070548712</v>
      </c>
      <c r="M6" s="36" t="n">
        <v>2.87405876590783</v>
      </c>
      <c r="N6" s="36" t="n">
        <v>1.2491777271704</v>
      </c>
      <c r="O6" s="36" t="n">
        <f aca="false">SQRT(M6^2+N6^2)</f>
        <v>3.13379303463874</v>
      </c>
      <c r="P6" s="47" t="n">
        <f aca="false">IF(J6="","",MAX(0,J6-1.96*O6/100))</f>
        <v>0.346472393363186</v>
      </c>
      <c r="Q6" s="47" t="n">
        <f aca="false">IF(J6="","",MIN(1,J6+1.96*O6/100))</f>
        <v>0.469317080321025</v>
      </c>
      <c r="R6" s="32" t="str">
        <f aca="false">IF(L6="","",IF(ABS(L6)&lt;=O6,"Yes","No"))</f>
        <v>No</v>
      </c>
      <c r="S6" s="32" t="str">
        <f aca="false">IF(L6="","",IF(ABS(L6)&lt;=1.96*O6,"Yes","No"))</f>
        <v>Yes</v>
      </c>
      <c r="T6" s="66" t="n">
        <f aca="false">IF(D6="","",ROUND(SQRT(((D6+G6)*O6/100)^2+(J6*(D6+G6)*0.0534)^2),0))</f>
        <v>3</v>
      </c>
      <c r="U6" s="32"/>
    </row>
    <row r="7" customFormat="false" ht="15" hidden="false" customHeight="false" outlineLevel="0" collapsed="false">
      <c r="A7" s="32" t="s">
        <v>189</v>
      </c>
      <c r="B7" s="32" t="s">
        <v>200</v>
      </c>
      <c r="C7" s="32" t="s">
        <v>191</v>
      </c>
      <c r="D7" s="66" t="n">
        <v>505</v>
      </c>
      <c r="E7" s="66" t="n">
        <v>560</v>
      </c>
      <c r="F7" s="77" t="n">
        <f aca="false">IF(E7="","",D7-E7)</f>
        <v>-55</v>
      </c>
      <c r="G7" s="66" t="n">
        <v>1224</v>
      </c>
      <c r="H7" s="66" t="n">
        <v>1398</v>
      </c>
      <c r="I7" s="77" t="n">
        <f aca="false">IF(H7="","",G7-H7)</f>
        <v>-174</v>
      </c>
      <c r="J7" s="47" t="n">
        <f aca="false">IF(OR(D7="",D7+G7=0),"",D7/(D7+G7))</f>
        <v>0.292076344707924</v>
      </c>
      <c r="K7" s="47" t="n">
        <f aca="false">IF(E7="","",E7/(E7+H7))</f>
        <v>0.286006128702758</v>
      </c>
      <c r="L7" s="78" t="n">
        <f aca="false">IF(OR(K7="",J7=""),"",(J7-K7)*100)</f>
        <v>0.607021600516572</v>
      </c>
      <c r="M7" s="36" t="n">
        <v>1.79166014209263</v>
      </c>
      <c r="N7" s="36" t="n">
        <v>1.2491777271704</v>
      </c>
      <c r="O7" s="36" t="n">
        <f aca="false">SQRT(M7^2+N7^2)</f>
        <v>2.1841453840855</v>
      </c>
      <c r="P7" s="47" t="n">
        <f aca="false">IF(J7="","",MAX(0,J7-1.96*O7/100))</f>
        <v>0.249267095179848</v>
      </c>
      <c r="Q7" s="47" t="n">
        <f aca="false">IF(J7="","",MIN(1,J7+1.96*O7/100))</f>
        <v>0.334885594235999</v>
      </c>
      <c r="R7" s="32" t="str">
        <f aca="false">IF(L7="","",IF(ABS(L7)&lt;=O7,"Yes","No"))</f>
        <v>Yes</v>
      </c>
      <c r="S7" s="32" t="str">
        <f aca="false">IF(L7="","",IF(ABS(L7)&lt;=1.96*O7,"Yes","No"))</f>
        <v>Yes</v>
      </c>
      <c r="T7" s="66" t="n">
        <f aca="false">IF(D7="","",ROUND(SQRT(((D7+G7)*O7/100)^2+(J7*(D7+G7)*0.03811)^2),0))</f>
        <v>42</v>
      </c>
      <c r="U7" s="32"/>
    </row>
    <row r="8" customFormat="false" ht="15" hidden="false" customHeight="false" outlineLevel="0" collapsed="false">
      <c r="A8" s="32" t="s">
        <v>189</v>
      </c>
      <c r="B8" s="32" t="s">
        <v>201</v>
      </c>
      <c r="C8" s="32" t="s">
        <v>191</v>
      </c>
      <c r="D8" s="66" t="n">
        <v>805</v>
      </c>
      <c r="E8" s="66" t="n">
        <v>979</v>
      </c>
      <c r="F8" s="77" t="n">
        <f aca="false">IF(E8="","",D8-E8)</f>
        <v>-174</v>
      </c>
      <c r="G8" s="66" t="n">
        <v>1046</v>
      </c>
      <c r="H8" s="66" t="n">
        <v>1157</v>
      </c>
      <c r="I8" s="77" t="n">
        <f aca="false">IF(H8="","",G8-H8)</f>
        <v>-111</v>
      </c>
      <c r="J8" s="47" t="n">
        <f aca="false">IF(OR(D8="",D8+G8=0),"",D8/(D8+G8))</f>
        <v>0.434900054024851</v>
      </c>
      <c r="K8" s="47" t="n">
        <f aca="false">IF(E8="","",E8/(E8+H8))</f>
        <v>0.458333333333333</v>
      </c>
      <c r="L8" s="78" t="n">
        <f aca="false">IF(OR(K8="",J8=""),"",(J8-K8)*100)</f>
        <v>-2.34332793084819</v>
      </c>
      <c r="M8" s="36" t="n">
        <v>1.79166014209263</v>
      </c>
      <c r="N8" s="36" t="n">
        <v>1.2491777271704</v>
      </c>
      <c r="O8" s="36" t="n">
        <f aca="false">SQRT(M8^2+N8^2)</f>
        <v>2.1841453840855</v>
      </c>
      <c r="P8" s="47" t="n">
        <f aca="false">IF(J8="","",MAX(0,J8-1.96*O8/100))</f>
        <v>0.392090804496776</v>
      </c>
      <c r="Q8" s="47" t="n">
        <f aca="false">IF(J8="","",MIN(1,J8+1.96*O8/100))</f>
        <v>0.477709303552927</v>
      </c>
      <c r="R8" s="32" t="str">
        <f aca="false">IF(L8="","",IF(ABS(L8)&lt;=O8,"Yes","No"))</f>
        <v>No</v>
      </c>
      <c r="S8" s="32" t="str">
        <f aca="false">IF(L8="","",IF(ABS(L8)&lt;=1.96*O8,"Yes","No"))</f>
        <v>Yes</v>
      </c>
      <c r="T8" s="66" t="n">
        <f aca="false">IF(D8="","",ROUND(SQRT(((D8+G8)*O8/100)^2+(J8*(D8+G8)*0.03811)^2),0))</f>
        <v>51</v>
      </c>
      <c r="U8" s="32"/>
    </row>
    <row r="9" customFormat="false" ht="15" hidden="false" customHeight="false" outlineLevel="0" collapsed="false">
      <c r="A9" s="32" t="s">
        <v>189</v>
      </c>
      <c r="B9" s="32" t="s">
        <v>202</v>
      </c>
      <c r="C9" s="32" t="s">
        <v>191</v>
      </c>
      <c r="D9" s="66" t="n">
        <v>267</v>
      </c>
      <c r="E9" s="66" t="n">
        <v>277</v>
      </c>
      <c r="F9" s="77" t="n">
        <f aca="false">IF(E9="","",D9-E9)</f>
        <v>-10</v>
      </c>
      <c r="G9" s="66" t="n">
        <v>542</v>
      </c>
      <c r="H9" s="66" t="n">
        <v>560</v>
      </c>
      <c r="I9" s="77" t="n">
        <f aca="false">IF(H9="","",G9-H9)</f>
        <v>-18</v>
      </c>
      <c r="J9" s="47" t="n">
        <f aca="false">IF(OR(D9="",D9+G9=0),"",D9/(D9+G9))</f>
        <v>0.330037082818294</v>
      </c>
      <c r="K9" s="47" t="n">
        <f aca="false">IF(E9="","",E9/(E9+H9))</f>
        <v>0.330943847072879</v>
      </c>
      <c r="L9" s="78" t="n">
        <f aca="false">IF(OR(K9="",J9=""),"",(J9-K9)*100)</f>
        <v>-0.0906764254585135</v>
      </c>
      <c r="M9" s="36" t="n">
        <v>2.87405876590783</v>
      </c>
      <c r="N9" s="36" t="n">
        <v>1.2491777271704</v>
      </c>
      <c r="O9" s="36" t="n">
        <f aca="false">SQRT(M9^2+N9^2)</f>
        <v>3.13379303463874</v>
      </c>
      <c r="P9" s="47" t="n">
        <f aca="false">IF(J9="","",MAX(0,J9-1.96*O9/100))</f>
        <v>0.268614739339375</v>
      </c>
      <c r="Q9" s="47" t="n">
        <f aca="false">IF(J9="","",MIN(1,J9+1.96*O9/100))</f>
        <v>0.391459426297213</v>
      </c>
      <c r="R9" s="32" t="str">
        <f aca="false">IF(L9="","",IF(ABS(L9)&lt;=O9,"Yes","No"))</f>
        <v>Yes</v>
      </c>
      <c r="S9" s="32" t="str">
        <f aca="false">IF(L9="","",IF(ABS(L9)&lt;=1.96*O9,"Yes","No"))</f>
        <v>Yes</v>
      </c>
      <c r="T9" s="66" t="n">
        <f aca="false">IF(D9="","",ROUND(SQRT(((D9+G9)*O9/100)^2+(J9*(D9+G9)*0.0534)^2),0))</f>
        <v>29</v>
      </c>
      <c r="U9" s="32"/>
    </row>
    <row r="10" customFormat="false" ht="15" hidden="false" customHeight="false" outlineLevel="0" collapsed="false">
      <c r="A10" s="32" t="s">
        <v>189</v>
      </c>
      <c r="B10" s="32" t="s">
        <v>203</v>
      </c>
      <c r="C10" s="32" t="s">
        <v>191</v>
      </c>
      <c r="D10" s="66" t="n">
        <v>390</v>
      </c>
      <c r="E10" s="66" t="n">
        <v>420</v>
      </c>
      <c r="F10" s="77" t="n">
        <f aca="false">IF(E10="","",D10-E10)</f>
        <v>-30</v>
      </c>
      <c r="G10" s="66" t="n">
        <v>521</v>
      </c>
      <c r="H10" s="66" t="n">
        <v>580</v>
      </c>
      <c r="I10" s="77" t="n">
        <f aca="false">IF(H10="","",G10-H10)</f>
        <v>-59</v>
      </c>
      <c r="J10" s="47" t="n">
        <f aca="false">IF(OR(D10="",D10+G10=0),"",D10/(D10+G10))</f>
        <v>0.428100987925357</v>
      </c>
      <c r="K10" s="47" t="n">
        <f aca="false">IF(E10="","",E10/(E10+H10))</f>
        <v>0.42</v>
      </c>
      <c r="L10" s="78" t="n">
        <f aca="false">IF(OR(K10="",J10=""),"",(J10-K10)*100)</f>
        <v>0.810098792535674</v>
      </c>
      <c r="M10" s="36" t="n">
        <v>2.87405876590783</v>
      </c>
      <c r="N10" s="36" t="n">
        <v>1.2491777271704</v>
      </c>
      <c r="O10" s="36" t="n">
        <f aca="false">SQRT(M10^2+N10^2)</f>
        <v>3.13379303463874</v>
      </c>
      <c r="P10" s="47" t="n">
        <f aca="false">IF(J10="","",MAX(0,J10-1.96*O10/100))</f>
        <v>0.366678644446438</v>
      </c>
      <c r="Q10" s="47" t="n">
        <f aca="false">IF(J10="","",MIN(1,J10+1.96*O10/100))</f>
        <v>0.489523331404276</v>
      </c>
      <c r="R10" s="32" t="str">
        <f aca="false">IF(L10="","",IF(ABS(L10)&lt;=O10,"Yes","No"))</f>
        <v>Yes</v>
      </c>
      <c r="S10" s="32" t="str">
        <f aca="false">IF(L10="","",IF(ABS(L10)&lt;=1.96*O10,"Yes","No"))</f>
        <v>Yes</v>
      </c>
      <c r="T10" s="66" t="n">
        <f aca="false">IF(D10="","",ROUND(SQRT(((D10+G10)*O10/100)^2+(J10*(D10+G10)*0.0534)^2),0))</f>
        <v>35</v>
      </c>
      <c r="U10" s="32"/>
    </row>
    <row r="11" customFormat="false" ht="15" hidden="false" customHeight="false" outlineLevel="0" collapsed="false">
      <c r="A11" s="32" t="s">
        <v>189</v>
      </c>
      <c r="B11" s="32" t="s">
        <v>204</v>
      </c>
      <c r="C11" s="32" t="s">
        <v>191</v>
      </c>
      <c r="D11" s="66" t="n">
        <v>28</v>
      </c>
      <c r="E11" s="66" t="n">
        <v>36</v>
      </c>
      <c r="F11" s="77" t="n">
        <f aca="false">IF(E11="","",D11-E11)</f>
        <v>-8</v>
      </c>
      <c r="G11" s="66" t="n">
        <v>63</v>
      </c>
      <c r="H11" s="66" t="n">
        <v>79</v>
      </c>
      <c r="I11" s="77" t="n">
        <f aca="false">IF(H11="","",G11-H11)</f>
        <v>-16</v>
      </c>
      <c r="J11" s="47" t="n">
        <f aca="false">IF(OR(D11="",D11+G11=0),"",D11/(D11+G11))</f>
        <v>0.307692307692308</v>
      </c>
      <c r="K11" s="47" t="n">
        <f aca="false">IF(E11="","",E11/(E11+H11))</f>
        <v>0.31304347826087</v>
      </c>
      <c r="L11" s="78" t="n">
        <f aca="false">IF(OR(K11="",J11=""),"",(J11-K11)*100)</f>
        <v>-0.535117056856188</v>
      </c>
      <c r="M11" s="36" t="n">
        <v>2.87405876590783</v>
      </c>
      <c r="N11" s="36" t="n">
        <v>1.2491777271704</v>
      </c>
      <c r="O11" s="36" t="n">
        <f aca="false">SQRT(M11^2+N11^2)</f>
        <v>3.13379303463874</v>
      </c>
      <c r="P11" s="47" t="n">
        <f aca="false">IF(J11="","",MAX(0,J11-1.96*O11/100))</f>
        <v>0.246269964213388</v>
      </c>
      <c r="Q11" s="47" t="n">
        <f aca="false">IF(J11="","",MIN(1,J11+1.96*O11/100))</f>
        <v>0.369114651171227</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189</v>
      </c>
      <c r="B12" s="32" t="s">
        <v>205</v>
      </c>
      <c r="C12" s="32" t="s">
        <v>191</v>
      </c>
      <c r="D12" s="66" t="n">
        <v>38</v>
      </c>
      <c r="E12" s="66" t="n">
        <v>52</v>
      </c>
      <c r="F12" s="77" t="n">
        <f aca="false">IF(E12="","",D12-E12)</f>
        <v>-14</v>
      </c>
      <c r="G12" s="66" t="n">
        <v>161</v>
      </c>
      <c r="H12" s="66" t="n">
        <v>189</v>
      </c>
      <c r="I12" s="77" t="n">
        <f aca="false">IF(H12="","",G12-H12)</f>
        <v>-28</v>
      </c>
      <c r="J12" s="47" t="n">
        <f aca="false">IF(OR(D12="",D12+G12=0),"",D12/(D12+G12))</f>
        <v>0.190954773869347</v>
      </c>
      <c r="K12" s="47" t="n">
        <f aca="false">IF(E12="","",E12/(E12+H12))</f>
        <v>0.215767634854772</v>
      </c>
      <c r="L12" s="78" t="n">
        <f aca="false">IF(OR(K12="",J12=""),"",(J12-K12)*100)</f>
        <v>-2.48128609854251</v>
      </c>
      <c r="M12" s="36" t="n">
        <v>2.87405876590783</v>
      </c>
      <c r="N12" s="36" t="n">
        <v>1.2491777271704</v>
      </c>
      <c r="O12" s="36" t="n">
        <f aca="false">SQRT(M12^2+N12^2)</f>
        <v>3.13379303463874</v>
      </c>
      <c r="P12" s="47" t="n">
        <f aca="false">IF(J12="","",MAX(0,J12-1.96*O12/100))</f>
        <v>0.129532430390428</v>
      </c>
      <c r="Q12" s="47" t="n">
        <f aca="false">IF(J12="","",MIN(1,J12+1.96*O12/100))</f>
        <v>0.252377117348266</v>
      </c>
      <c r="R12" s="32" t="str">
        <f aca="false">IF(L12="","",IF(ABS(L12)&lt;=O12,"Yes","No"))</f>
        <v>Yes</v>
      </c>
      <c r="S12" s="32" t="str">
        <f aca="false">IF(L12="","",IF(ABS(L12)&lt;=1.96*O12,"Yes","No"))</f>
        <v>Yes</v>
      </c>
      <c r="T12" s="66" t="n">
        <f aca="false">IF(D12="","",ROUND(SQRT(((D12+G12)*O12/100)^2+(J12*(D12+G12)*0.0534)^2),0))</f>
        <v>7</v>
      </c>
      <c r="U12" s="32"/>
    </row>
    <row r="13" customFormat="false" ht="15" hidden="false" customHeight="false" outlineLevel="0" collapsed="false">
      <c r="A13" s="32" t="s">
        <v>189</v>
      </c>
      <c r="B13" s="32" t="s">
        <v>206</v>
      </c>
      <c r="C13" s="32" t="s">
        <v>191</v>
      </c>
      <c r="D13" s="66" t="n">
        <v>606</v>
      </c>
      <c r="E13" s="66" t="n">
        <v>719</v>
      </c>
      <c r="F13" s="77" t="n">
        <f aca="false">IF(E13="","",D13-E13)</f>
        <v>-113</v>
      </c>
      <c r="G13" s="66" t="n">
        <v>870</v>
      </c>
      <c r="H13" s="66" t="n">
        <v>948</v>
      </c>
      <c r="I13" s="77" t="n">
        <f aca="false">IF(H13="","",G13-H13)</f>
        <v>-78</v>
      </c>
      <c r="J13" s="47" t="n">
        <f aca="false">IF(OR(D13="",D13+G13=0),"",D13/(D13+G13))</f>
        <v>0.410569105691057</v>
      </c>
      <c r="K13" s="47" t="n">
        <f aca="false">IF(E13="","",E13/(E13+H13))</f>
        <v>0.43131373725255</v>
      </c>
      <c r="L13" s="78" t="n">
        <f aca="false">IF(OR(K13="",J13=""),"",(J13-K13)*100)</f>
        <v>-2.07446315614926</v>
      </c>
      <c r="M13" s="36" t="n">
        <v>1.79166014209263</v>
      </c>
      <c r="N13" s="36" t="n">
        <v>1.2491777271704</v>
      </c>
      <c r="O13" s="36" t="n">
        <f aca="false">SQRT(M13^2+N13^2)</f>
        <v>2.1841453840855</v>
      </c>
      <c r="P13" s="47" t="n">
        <f aca="false">IF(J13="","",MAX(0,J13-1.96*O13/100))</f>
        <v>0.367759856162981</v>
      </c>
      <c r="Q13" s="47" t="n">
        <f aca="false">IF(J13="","",MIN(1,J13+1.96*O13/100))</f>
        <v>0.453378355219133</v>
      </c>
      <c r="R13" s="32" t="str">
        <f aca="false">IF(L13="","",IF(ABS(L13)&lt;=O13,"Yes","No"))</f>
        <v>Yes</v>
      </c>
      <c r="S13" s="32" t="str">
        <f aca="false">IF(L13="","",IF(ABS(L13)&lt;=1.96*O13,"Yes","No"))</f>
        <v>Yes</v>
      </c>
      <c r="T13" s="66" t="n">
        <f aca="false">IF(D13="","",ROUND(SQRT(((D13+G13)*O13/100)^2+(J13*(D13+G13)*0.03811)^2),0))</f>
        <v>40</v>
      </c>
      <c r="U13" s="32"/>
    </row>
    <row r="14" customFormat="false" ht="15" hidden="false" customHeight="false" outlineLevel="0" collapsed="false">
      <c r="A14" s="32" t="s">
        <v>189</v>
      </c>
      <c r="B14" s="32" t="s">
        <v>207</v>
      </c>
      <c r="C14" s="32" t="s">
        <v>191</v>
      </c>
      <c r="D14" s="66" t="n">
        <v>368</v>
      </c>
      <c r="E14" s="66" t="n">
        <v>430</v>
      </c>
      <c r="F14" s="77" t="n">
        <f aca="false">IF(E14="","",D14-E14)</f>
        <v>-62</v>
      </c>
      <c r="G14" s="66" t="n">
        <v>788</v>
      </c>
      <c r="H14" s="66" t="n">
        <v>916</v>
      </c>
      <c r="I14" s="77" t="n">
        <f aca="false">IF(H14="","",G14-H14)</f>
        <v>-128</v>
      </c>
      <c r="J14" s="47" t="n">
        <f aca="false">IF(OR(D14="",D14+G14=0),"",D14/(D14+G14))</f>
        <v>0.318339100346021</v>
      </c>
      <c r="K14" s="47" t="n">
        <f aca="false">IF(E14="","",E14/(E14+H14))</f>
        <v>0.319465081723626</v>
      </c>
      <c r="L14" s="78" t="n">
        <f aca="false">IF(OR(K14="",J14=""),"",(J14-K14)*100)</f>
        <v>-0.112598137760478</v>
      </c>
      <c r="M14" s="36" t="n">
        <v>1.79166014209263</v>
      </c>
      <c r="N14" s="36" t="n">
        <v>1.2491777271704</v>
      </c>
      <c r="O14" s="36" t="n">
        <f aca="false">SQRT(M14^2+N14^2)</f>
        <v>2.1841453840855</v>
      </c>
      <c r="P14" s="47" t="n">
        <f aca="false">IF(J14="","",MAX(0,J14-1.96*O14/100))</f>
        <v>0.275529850817945</v>
      </c>
      <c r="Q14" s="47" t="n">
        <f aca="false">IF(J14="","",MIN(1,J14+1.96*O14/100))</f>
        <v>0.361148349874097</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189</v>
      </c>
      <c r="B15" s="32" t="s">
        <v>208</v>
      </c>
      <c r="C15" s="32" t="s">
        <v>191</v>
      </c>
      <c r="D15" s="66" t="n">
        <v>456</v>
      </c>
      <c r="E15" s="66" t="n">
        <v>546</v>
      </c>
      <c r="F15" s="77" t="n">
        <f aca="false">IF(E15="","",D15-E15)</f>
        <v>-90</v>
      </c>
      <c r="G15" s="66" t="n">
        <v>1103</v>
      </c>
      <c r="H15" s="66" t="n">
        <v>1227</v>
      </c>
      <c r="I15" s="77" t="n">
        <f aca="false">IF(H15="","",G15-H15)</f>
        <v>-124</v>
      </c>
      <c r="J15" s="47" t="n">
        <f aca="false">IF(OR(D15="",D15+G15=0),"",D15/(D15+G15))</f>
        <v>0.292495189223862</v>
      </c>
      <c r="K15" s="47" t="n">
        <f aca="false">IF(E15="","",E15/(E15+H15))</f>
        <v>0.307952622673435</v>
      </c>
      <c r="L15" s="78" t="n">
        <f aca="false">IF(OR(K15="",J15=""),"",(J15-K15)*100)</f>
        <v>-1.54574334495734</v>
      </c>
      <c r="M15" s="36" t="n">
        <v>1.79166014209263</v>
      </c>
      <c r="N15" s="36" t="n">
        <v>1.2491777271704</v>
      </c>
      <c r="O15" s="36" t="n">
        <f aca="false">SQRT(M15^2+N15^2)</f>
        <v>2.1841453840855</v>
      </c>
      <c r="P15" s="47" t="n">
        <f aca="false">IF(J15="","",MAX(0,J15-1.96*O15/100))</f>
        <v>0.249685939695786</v>
      </c>
      <c r="Q15" s="47" t="n">
        <f aca="false">IF(J15="","",MIN(1,J15+1.96*O15/100))</f>
        <v>0.335304438751937</v>
      </c>
      <c r="R15" s="32" t="str">
        <f aca="false">IF(L15="","",IF(ABS(L15)&lt;=O15,"Yes","No"))</f>
        <v>Yes</v>
      </c>
      <c r="S15" s="32" t="str">
        <f aca="false">IF(L15="","",IF(ABS(L15)&lt;=1.96*O15,"Yes","No"))</f>
        <v>Yes</v>
      </c>
      <c r="T15" s="66" t="n">
        <f aca="false">IF(D15="","",ROUND(SQRT(((D15+G15)*O15/100)^2+(J15*(D15+G15)*0.03811)^2),0))</f>
        <v>38</v>
      </c>
      <c r="U15" s="32"/>
    </row>
    <row r="16" customFormat="false" ht="15" hidden="false" customHeight="false" outlineLevel="0" collapsed="false">
      <c r="A16" s="32" t="s">
        <v>189</v>
      </c>
      <c r="B16" s="32" t="s">
        <v>209</v>
      </c>
      <c r="C16" s="32" t="s">
        <v>191</v>
      </c>
      <c r="D16" s="66" t="n">
        <v>410</v>
      </c>
      <c r="E16" s="66" t="n">
        <v>488</v>
      </c>
      <c r="F16" s="77" t="n">
        <f aca="false">IF(E16="","",D16-E16)</f>
        <v>-78</v>
      </c>
      <c r="G16" s="66" t="n">
        <v>613</v>
      </c>
      <c r="H16" s="66" t="n">
        <v>706</v>
      </c>
      <c r="I16" s="77" t="n">
        <f aca="false">IF(H16="","",G16-H16)</f>
        <v>-93</v>
      </c>
      <c r="J16" s="47" t="n">
        <f aca="false">IF(OR(D16="",D16+G16=0),"",D16/(D16+G16))</f>
        <v>0.400782013685239</v>
      </c>
      <c r="K16" s="47" t="n">
        <f aca="false">IF(E16="","",E16/(E16+H16))</f>
        <v>0.408710217755444</v>
      </c>
      <c r="L16" s="78" t="n">
        <f aca="false">IF(OR(K16="",J16=""),"",(J16-K16)*100)</f>
        <v>-0.792820407020439</v>
      </c>
      <c r="M16" s="36" t="n">
        <v>2.87405876590783</v>
      </c>
      <c r="N16" s="36" t="n">
        <v>1.2491777271704</v>
      </c>
      <c r="O16" s="36" t="n">
        <f aca="false">SQRT(M16^2+N16^2)</f>
        <v>3.13379303463874</v>
      </c>
      <c r="P16" s="47" t="n">
        <f aca="false">IF(J16="","",MAX(0,J16-1.96*O16/100))</f>
        <v>0.33935967020632</v>
      </c>
      <c r="Q16" s="47" t="n">
        <f aca="false">IF(J16="","",MIN(1,J16+1.96*O16/100))</f>
        <v>0.462204357164159</v>
      </c>
      <c r="R16" s="32" t="str">
        <f aca="false">IF(L16="","",IF(ABS(L16)&lt;=O16,"Yes","No"))</f>
        <v>Yes</v>
      </c>
      <c r="S16" s="32" t="str">
        <f aca="false">IF(L16="","",IF(ABS(L16)&lt;=1.96*O16,"Yes","No"))</f>
        <v>Yes</v>
      </c>
      <c r="T16" s="66" t="n">
        <f aca="false">IF(D16="","",ROUND(SQRT(((D16+G16)*O16/100)^2+(J16*(D16+G16)*0.0534)^2),0))</f>
        <v>39</v>
      </c>
      <c r="U16" s="32"/>
    </row>
    <row r="17" customFormat="false" ht="15" hidden="false" customHeight="false" outlineLevel="0" collapsed="false">
      <c r="A17" s="32" t="s">
        <v>189</v>
      </c>
      <c r="B17" s="32" t="s">
        <v>210</v>
      </c>
      <c r="C17" s="32" t="s">
        <v>191</v>
      </c>
      <c r="D17" s="66" t="n">
        <v>95</v>
      </c>
      <c r="E17" s="66" t="n">
        <v>96</v>
      </c>
      <c r="F17" s="77" t="n">
        <f aca="false">IF(E17="","",D17-E17)</f>
        <v>-1</v>
      </c>
      <c r="G17" s="66" t="n">
        <v>397</v>
      </c>
      <c r="H17" s="66" t="n">
        <v>444</v>
      </c>
      <c r="I17" s="77" t="n">
        <f aca="false">IF(H17="","",G17-H17)</f>
        <v>-47</v>
      </c>
      <c r="J17" s="47" t="n">
        <f aca="false">IF(OR(D17="",D17+G17=0),"",D17/(D17+G17))</f>
        <v>0.193089430894309</v>
      </c>
      <c r="K17" s="47" t="n">
        <f aca="false">IF(E17="","",E17/(E17+H17))</f>
        <v>0.177777777777778</v>
      </c>
      <c r="L17" s="78" t="n">
        <f aca="false">IF(OR(K17="",J17=""),"",(J17-K17)*100)</f>
        <v>1.53116531165312</v>
      </c>
      <c r="M17" s="36" t="n">
        <v>2.87405876590783</v>
      </c>
      <c r="N17" s="36" t="n">
        <v>1.2491777271704</v>
      </c>
      <c r="O17" s="36" t="n">
        <f aca="false">SQRT(M17^2+N17^2)</f>
        <v>3.13379303463874</v>
      </c>
      <c r="P17" s="47" t="n">
        <f aca="false">IF(J17="","",MAX(0,J17-1.96*O17/100))</f>
        <v>0.13166708741539</v>
      </c>
      <c r="Q17" s="47" t="n">
        <f aca="false">IF(J17="","",MIN(1,J17+1.96*O17/100))</f>
        <v>0.254511774373228</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189</v>
      </c>
      <c r="B18" s="32" t="s">
        <v>211</v>
      </c>
      <c r="C18" s="32" t="s">
        <v>191</v>
      </c>
      <c r="D18" s="66" t="n">
        <v>640</v>
      </c>
      <c r="E18" s="66" t="n">
        <v>737</v>
      </c>
      <c r="F18" s="77" t="n">
        <f aca="false">IF(E18="","",D18-E18)</f>
        <v>-97</v>
      </c>
      <c r="G18" s="66" t="n">
        <v>1094</v>
      </c>
      <c r="H18" s="66" t="n">
        <v>1172</v>
      </c>
      <c r="I18" s="77" t="n">
        <f aca="false">IF(H18="","",G18-H18)</f>
        <v>-78</v>
      </c>
      <c r="J18" s="47" t="n">
        <f aca="false">IF(OR(D18="",D18+G18=0),"",D18/(D18+G18))</f>
        <v>0.369088811995386</v>
      </c>
      <c r="K18" s="47" t="n">
        <f aca="false">IF(E18="","",E18/(E18+H18))</f>
        <v>0.386066003143007</v>
      </c>
      <c r="L18" s="78" t="n">
        <f aca="false">IF(OR(K18="",J18=""),"",(J18-K18)*100)</f>
        <v>-1.69771911476204</v>
      </c>
      <c r="M18" s="36" t="n">
        <v>1.79166014209263</v>
      </c>
      <c r="N18" s="36" t="n">
        <v>1.2491777271704</v>
      </c>
      <c r="O18" s="36" t="n">
        <f aca="false">SQRT(M18^2+N18^2)</f>
        <v>2.1841453840855</v>
      </c>
      <c r="P18" s="47" t="n">
        <f aca="false">IF(J18="","",MAX(0,J18-1.96*O18/100))</f>
        <v>0.326279562467311</v>
      </c>
      <c r="Q18" s="47" t="n">
        <f aca="false">IF(J18="","",MIN(1,J18+1.96*O18/100))</f>
        <v>0.411898061523462</v>
      </c>
      <c r="R18" s="32" t="str">
        <f aca="false">IF(L18="","",IF(ABS(L18)&lt;=O18,"Yes","No"))</f>
        <v>Yes</v>
      </c>
      <c r="S18" s="32" t="str">
        <f aca="false">IF(L18="","",IF(ABS(L18)&lt;=1.96*O18,"Yes","No"))</f>
        <v>Yes</v>
      </c>
      <c r="T18" s="66" t="n">
        <f aca="false">IF(D18="","",ROUND(SQRT(((D18+G18)*O18/100)^2+(J18*(D18+G18)*0.03811)^2),0))</f>
        <v>45</v>
      </c>
      <c r="U18" s="32"/>
    </row>
    <row r="19" customFormat="false" ht="15" hidden="false" customHeight="false" outlineLevel="0" collapsed="false">
      <c r="A19" s="32" t="s">
        <v>189</v>
      </c>
      <c r="B19" s="32" t="s">
        <v>212</v>
      </c>
      <c r="C19" s="32" t="s">
        <v>191</v>
      </c>
      <c r="D19" s="66" t="n">
        <v>50</v>
      </c>
      <c r="E19" s="66" t="n">
        <v>51</v>
      </c>
      <c r="F19" s="77" t="n">
        <f aca="false">IF(E19="","",D19-E19)</f>
        <v>-1</v>
      </c>
      <c r="G19" s="66" t="n">
        <v>125</v>
      </c>
      <c r="H19" s="66" t="n">
        <v>136</v>
      </c>
      <c r="I19" s="77" t="n">
        <f aca="false">IF(H19="","",G19-H19)</f>
        <v>-11</v>
      </c>
      <c r="J19" s="47" t="n">
        <f aca="false">IF(OR(D19="",D19+G19=0),"",D19/(D19+G19))</f>
        <v>0.285714285714286</v>
      </c>
      <c r="K19" s="47" t="n">
        <f aca="false">IF(E19="","",E19/(E19+H19))</f>
        <v>0.272727272727273</v>
      </c>
      <c r="L19" s="78" t="n">
        <f aca="false">IF(OR(K19="",J19=""),"",(J19-K19)*100)</f>
        <v>1.2987012987013</v>
      </c>
      <c r="M19" s="36" t="n">
        <v>2.87405876590783</v>
      </c>
      <c r="N19" s="36" t="n">
        <v>1.2491777271704</v>
      </c>
      <c r="O19" s="36" t="n">
        <f aca="false">SQRT(M19^2+N19^2)</f>
        <v>3.13379303463874</v>
      </c>
      <c r="P19" s="47" t="n">
        <f aca="false">IF(J19="","",MAX(0,J19-1.96*O19/100))</f>
        <v>0.224291942235366</v>
      </c>
      <c r="Q19" s="47" t="n">
        <f aca="false">IF(J19="","",MIN(1,J19+1.96*O19/100))</f>
        <v>0.347136629193205</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189</v>
      </c>
      <c r="B20" s="32" t="s">
        <v>213</v>
      </c>
      <c r="C20" s="32" t="s">
        <v>191</v>
      </c>
      <c r="D20" s="66" t="n">
        <v>1378</v>
      </c>
      <c r="E20" s="66" t="n">
        <v>1574</v>
      </c>
      <c r="F20" s="77" t="n">
        <f aca="false">IF(E20="","",D20-E20)</f>
        <v>-196</v>
      </c>
      <c r="G20" s="66" t="n">
        <v>2266</v>
      </c>
      <c r="H20" s="66" t="n">
        <v>2750</v>
      </c>
      <c r="I20" s="77" t="n">
        <f aca="false">IF(H20="","",G20-H20)</f>
        <v>-484</v>
      </c>
      <c r="J20" s="47" t="n">
        <f aca="false">IF(OR(D20="",D20+G20=0),"",D20/(D20+G20))</f>
        <v>0.378155872667399</v>
      </c>
      <c r="K20" s="47" t="n">
        <f aca="false">IF(E20="","",E20/(E20+H20))</f>
        <v>0.364014801110083</v>
      </c>
      <c r="L20" s="78" t="n">
        <f aca="false">IF(OR(K20="",J20=""),"",(J20-K20)*100)</f>
        <v>1.41410715573152</v>
      </c>
      <c r="M20" s="36" t="n">
        <v>1.19581403900077</v>
      </c>
      <c r="N20" s="36" t="n">
        <v>1.2491777271704</v>
      </c>
      <c r="O20" s="36" t="n">
        <f aca="false">SQRT(M20^2+N20^2)</f>
        <v>1.7292819925998</v>
      </c>
      <c r="P20" s="47" t="n">
        <f aca="false">IF(J20="","",MAX(0,J20-1.96*O20/100))</f>
        <v>0.344261945612442</v>
      </c>
      <c r="Q20" s="47" t="n">
        <f aca="false">IF(J20="","",MIN(1,J20+1.96*O20/100))</f>
        <v>0.412049799722355</v>
      </c>
      <c r="R20" s="32" t="str">
        <f aca="false">IF(L20="","",IF(ABS(L20)&lt;=O20,"Yes","No"))</f>
        <v>Yes</v>
      </c>
      <c r="S20" s="32" t="str">
        <f aca="false">IF(L20="","",IF(ABS(L20)&lt;=1.96*O20,"Yes","No"))</f>
        <v>Yes</v>
      </c>
      <c r="T20" s="66" t="n">
        <f aca="false">IF(D20="","",ROUND(SQRT(((D20+G20)*O20/100)^2+(J20*(D20+G20)*0.02225)^2),0))</f>
        <v>70</v>
      </c>
      <c r="U20" s="32"/>
    </row>
    <row r="21" customFormat="false" ht="15" hidden="false" customHeight="false" outlineLevel="0" collapsed="false">
      <c r="A21" s="32" t="s">
        <v>189</v>
      </c>
      <c r="B21" s="32" t="s">
        <v>215</v>
      </c>
      <c r="C21" s="32" t="s">
        <v>191</v>
      </c>
      <c r="D21" s="66" t="n">
        <v>494</v>
      </c>
      <c r="E21" s="66" t="n">
        <v>557</v>
      </c>
      <c r="F21" s="77" t="n">
        <f aca="false">IF(E21="","",D21-E21)</f>
        <v>-63</v>
      </c>
      <c r="G21" s="66" t="n">
        <v>650</v>
      </c>
      <c r="H21" s="66" t="n">
        <v>678</v>
      </c>
      <c r="I21" s="77" t="n">
        <f aca="false">IF(H21="","",G21-H21)</f>
        <v>-28</v>
      </c>
      <c r="J21" s="47" t="n">
        <f aca="false">IF(OR(D21="",D21+G21=0),"",D21/(D21+G21))</f>
        <v>0.431818181818182</v>
      </c>
      <c r="K21" s="47" t="n">
        <f aca="false">IF(E21="","",E21/(E21+H21))</f>
        <v>0.451012145748988</v>
      </c>
      <c r="L21" s="78" t="n">
        <f aca="false">IF(OR(K21="",J21=""),"",(J21-K21)*100)</f>
        <v>-1.9193963930806</v>
      </c>
      <c r="M21" s="36" t="n">
        <v>1.79166014209263</v>
      </c>
      <c r="N21" s="36" t="n">
        <v>1.2491777271704</v>
      </c>
      <c r="O21" s="36" t="n">
        <f aca="false">SQRT(M21^2+N21^2)</f>
        <v>2.1841453840855</v>
      </c>
      <c r="P21" s="47" t="n">
        <f aca="false">IF(J21="","",MAX(0,J21-1.96*O21/100))</f>
        <v>0.389008932290106</v>
      </c>
      <c r="Q21" s="47" t="n">
        <f aca="false">IF(J21="","",MIN(1,J21+1.96*O21/100))</f>
        <v>0.474627431346258</v>
      </c>
      <c r="R21" s="32" t="str">
        <f aca="false">IF(L21="","",IF(ABS(L21)&lt;=O21,"Yes","No"))</f>
        <v>Yes</v>
      </c>
      <c r="S21" s="32" t="str">
        <f aca="false">IF(L21="","",IF(ABS(L21)&lt;=1.96*O21,"Yes","No"))</f>
        <v>Yes</v>
      </c>
      <c r="T21" s="66" t="n">
        <f aca="false">IF(D21="","",ROUND(SQRT(((D21+G21)*O21/100)^2+(J21*(D21+G21)*0.03811)^2),0))</f>
        <v>31</v>
      </c>
      <c r="U21" s="32"/>
    </row>
    <row r="22" customFormat="false" ht="15" hidden="false" customHeight="false" outlineLevel="0" collapsed="false">
      <c r="A22" s="32" t="s">
        <v>189</v>
      </c>
      <c r="B22" s="32" t="s">
        <v>216</v>
      </c>
      <c r="C22" s="32" t="s">
        <v>191</v>
      </c>
      <c r="D22" s="66" t="n">
        <v>543</v>
      </c>
      <c r="E22" s="66" t="n">
        <v>625</v>
      </c>
      <c r="F22" s="77" t="n">
        <f aca="false">IF(E22="","",D22-E22)</f>
        <v>-82</v>
      </c>
      <c r="G22" s="66" t="n">
        <v>1304</v>
      </c>
      <c r="H22" s="66" t="n">
        <v>1506</v>
      </c>
      <c r="I22" s="77" t="n">
        <f aca="false">IF(H22="","",G22-H22)</f>
        <v>-202</v>
      </c>
      <c r="J22" s="47" t="n">
        <f aca="false">IF(OR(D22="",D22+G22=0),"",D22/(D22+G22))</f>
        <v>0.293990254466703</v>
      </c>
      <c r="K22" s="47" t="n">
        <f aca="false">IF(E22="","",E22/(E22+H22))</f>
        <v>0.293289535429376</v>
      </c>
      <c r="L22" s="78" t="n">
        <f aca="false">IF(OR(K22="",J22=""),"",(J22-K22)*100)</f>
        <v>0.070071903732688</v>
      </c>
      <c r="M22" s="36" t="n">
        <v>1.79166014209263</v>
      </c>
      <c r="N22" s="36" t="n">
        <v>1.2491777271704</v>
      </c>
      <c r="O22" s="36" t="n">
        <f aca="false">SQRT(M22^2+N22^2)</f>
        <v>2.1841453840855</v>
      </c>
      <c r="P22" s="47" t="n">
        <f aca="false">IF(J22="","",MAX(0,J22-1.96*O22/100))</f>
        <v>0.251181004938627</v>
      </c>
      <c r="Q22" s="47" t="n">
        <f aca="false">IF(J22="","",MIN(1,J22+1.96*O22/100))</f>
        <v>0.336799503994779</v>
      </c>
      <c r="R22" s="32" t="str">
        <f aca="false">IF(L22="","",IF(ABS(L22)&lt;=O22,"Yes","No"))</f>
        <v>Yes</v>
      </c>
      <c r="S22" s="32" t="str">
        <f aca="false">IF(L22="","",IF(ABS(L22)&lt;=1.96*O22,"Yes","No"))</f>
        <v>Yes</v>
      </c>
      <c r="T22" s="66" t="n">
        <f aca="false">IF(D22="","",ROUND(SQRT(((D22+G22)*O22/100)^2+(J22*(D22+G22)*0.03811)^2),0))</f>
        <v>45</v>
      </c>
      <c r="U22" s="32"/>
    </row>
    <row r="23" customFormat="false" ht="15" hidden="false" customHeight="false" outlineLevel="0" collapsed="false">
      <c r="A23" s="32" t="s">
        <v>189</v>
      </c>
      <c r="B23" s="32" t="s">
        <v>217</v>
      </c>
      <c r="C23" s="32" t="s">
        <v>191</v>
      </c>
      <c r="D23" s="66" t="n">
        <v>249</v>
      </c>
      <c r="E23" s="66" t="n">
        <v>245</v>
      </c>
      <c r="F23" s="77" t="n">
        <f aca="false">IF(E23="","",D23-E23)</f>
        <v>4</v>
      </c>
      <c r="G23" s="66" t="n">
        <v>601</v>
      </c>
      <c r="H23" s="66" t="n">
        <v>656</v>
      </c>
      <c r="I23" s="77" t="n">
        <f aca="false">IF(H23="","",G23-H23)</f>
        <v>-55</v>
      </c>
      <c r="J23" s="47" t="n">
        <f aca="false">IF(OR(D23="",D23+G23=0),"",D23/(D23+G23))</f>
        <v>0.292941176470588</v>
      </c>
      <c r="K23" s="47" t="n">
        <f aca="false">IF(E23="","",E23/(E23+H23))</f>
        <v>0.271920088790233</v>
      </c>
      <c r="L23" s="78" t="n">
        <f aca="false">IF(OR(K23="",J23=""),"",(J23-K23)*100)</f>
        <v>2.10210876803552</v>
      </c>
      <c r="M23" s="36" t="n">
        <v>2.87405876590783</v>
      </c>
      <c r="N23" s="36" t="n">
        <v>1.2491777271704</v>
      </c>
      <c r="O23" s="36" t="n">
        <f aca="false">SQRT(M23^2+N23^2)</f>
        <v>3.13379303463874</v>
      </c>
      <c r="P23" s="47" t="n">
        <f aca="false">IF(J23="","",MAX(0,J23-1.96*O23/100))</f>
        <v>0.231518832991669</v>
      </c>
      <c r="Q23" s="47" t="n">
        <f aca="false">IF(J23="","",MIN(1,J23+1.96*O23/100))</f>
        <v>0.354363519949508</v>
      </c>
      <c r="R23" s="32" t="str">
        <f aca="false">IF(L23="","",IF(ABS(L23)&lt;=O23,"Yes","No"))</f>
        <v>Yes</v>
      </c>
      <c r="S23" s="32" t="str">
        <f aca="false">IF(L23="","",IF(ABS(L23)&lt;=1.96*O23,"Yes","No"))</f>
        <v>Yes</v>
      </c>
      <c r="T23" s="66" t="n">
        <f aca="false">IF(D23="","",ROUND(SQRT(((D23+G23)*O23/100)^2+(J23*(D23+G23)*0.0534)^2),0))</f>
        <v>30</v>
      </c>
      <c r="U23" s="32"/>
    </row>
    <row r="24" customFormat="false" ht="15" hidden="false" customHeight="false" outlineLevel="0" collapsed="false">
      <c r="A24" s="32" t="s">
        <v>189</v>
      </c>
      <c r="B24" s="32" t="s">
        <v>218</v>
      </c>
      <c r="C24" s="32" t="s">
        <v>191</v>
      </c>
      <c r="D24" s="66" t="n">
        <v>39</v>
      </c>
      <c r="E24" s="66" t="n">
        <v>46</v>
      </c>
      <c r="F24" s="77" t="n">
        <f aca="false">IF(E24="","",D24-E24)</f>
        <v>-7</v>
      </c>
      <c r="G24" s="66" t="n">
        <v>53</v>
      </c>
      <c r="H24" s="66" t="n">
        <v>54</v>
      </c>
      <c r="I24" s="77" t="n">
        <f aca="false">IF(H24="","",G24-H24)</f>
        <v>-1</v>
      </c>
      <c r="J24" s="47" t="n">
        <f aca="false">IF(OR(D24="",D24+G24=0),"",D24/(D24+G24))</f>
        <v>0.423913043478261</v>
      </c>
      <c r="K24" s="47" t="n">
        <f aca="false">IF(E24="","",E24/(E24+H24))</f>
        <v>0.46</v>
      </c>
      <c r="L24" s="78" t="n">
        <f aca="false">IF(OR(K24="",J24=""),"",(J24-K24)*100)</f>
        <v>-3.60869565217392</v>
      </c>
      <c r="M24" s="36" t="n">
        <v>2.87405876590783</v>
      </c>
      <c r="N24" s="36" t="n">
        <v>1.2491777271704</v>
      </c>
      <c r="O24" s="36" t="n">
        <f aca="false">SQRT(M24^2+N24^2)</f>
        <v>3.13379303463874</v>
      </c>
      <c r="P24" s="47" t="n">
        <f aca="false">IF(J24="","",MAX(0,J24-1.96*O24/100))</f>
        <v>0.362490699999342</v>
      </c>
      <c r="Q24" s="47" t="n">
        <f aca="false">IF(J24="","",MIN(1,J24+1.96*O24/100))</f>
        <v>0.48533538695718</v>
      </c>
      <c r="R24" s="32" t="str">
        <f aca="false">IF(L24="","",IF(ABS(L24)&lt;=O24,"Yes","No"))</f>
        <v>No</v>
      </c>
      <c r="S24" s="32" t="str">
        <f aca="false">IF(L24="","",IF(ABS(L24)&lt;=1.96*O24,"Yes","No"))</f>
        <v>Yes</v>
      </c>
      <c r="T24" s="66" t="n">
        <f aca="false">IF(D24="","",ROUND(SQRT(((D24+G24)*O24/100)^2+(J24*(D24+G24)*0.0534)^2),0))</f>
        <v>4</v>
      </c>
      <c r="U24" s="32"/>
    </row>
    <row r="25" customFormat="false" ht="15" hidden="false" customHeight="false" outlineLevel="0" collapsed="false">
      <c r="A25" s="32" t="s">
        <v>219</v>
      </c>
      <c r="B25" s="32" t="s">
        <v>220</v>
      </c>
      <c r="C25" s="32" t="s">
        <v>191</v>
      </c>
      <c r="D25" s="66" t="n">
        <v>448</v>
      </c>
      <c r="E25" s="66" t="n">
        <v>494</v>
      </c>
      <c r="F25" s="77" t="n">
        <f aca="false">IF(E25="","",D25-E25)</f>
        <v>-46</v>
      </c>
      <c r="G25" s="66" t="n">
        <v>478</v>
      </c>
      <c r="H25" s="66" t="n">
        <v>519</v>
      </c>
      <c r="I25" s="77" t="n">
        <f aca="false">IF(H25="","",G25-H25)</f>
        <v>-41</v>
      </c>
      <c r="J25" s="47" t="n">
        <f aca="false">IF(OR(D25="",D25+G25=0),"",D25/(D25+G25))</f>
        <v>0.483801295896328</v>
      </c>
      <c r="K25" s="47" t="n">
        <f aca="false">IF(E25="","",E25/(E25+H25))</f>
        <v>0.487660414610069</v>
      </c>
      <c r="L25" s="78" t="n">
        <f aca="false">IF(OR(K25="",J25=""),"",(J25-K25)*100)</f>
        <v>-0.385911871374078</v>
      </c>
      <c r="M25" s="36" t="n">
        <v>2.87405876590783</v>
      </c>
      <c r="N25" s="36" t="n">
        <v>1.2491777271704</v>
      </c>
      <c r="O25" s="36" t="n">
        <f aca="false">SQRT(M25^2+N25^2)</f>
        <v>3.13379303463874</v>
      </c>
      <c r="P25" s="47" t="n">
        <f aca="false">IF(J25="","",MAX(0,J25-1.96*O25/100))</f>
        <v>0.422378952417409</v>
      </c>
      <c r="Q25" s="47" t="n">
        <f aca="false">IF(J25="","",MIN(1,J25+1.96*O25/100))</f>
        <v>0.545223639375248</v>
      </c>
      <c r="R25" s="32" t="str">
        <f aca="false">IF(L25="","",IF(ABS(L25)&lt;=O25,"Yes","No"))</f>
        <v>Yes</v>
      </c>
      <c r="S25" s="32" t="str">
        <f aca="false">IF(L25="","",IF(ABS(L25)&lt;=1.96*O25,"Yes","No"))</f>
        <v>Yes</v>
      </c>
      <c r="T25" s="66" t="n">
        <f aca="false">IF(D25="","",ROUND(SQRT(((D25+G25)*O25/100)^2+(J25*(D25+G25)*0.0534)^2),0))</f>
        <v>38</v>
      </c>
      <c r="U25" s="32"/>
    </row>
    <row r="26" customFormat="false" ht="15" hidden="false" customHeight="false" outlineLevel="0" collapsed="false">
      <c r="A26" s="32" t="s">
        <v>219</v>
      </c>
      <c r="B26" s="32" t="s">
        <v>221</v>
      </c>
      <c r="C26" s="32" t="s">
        <v>191</v>
      </c>
      <c r="D26" s="66" t="n">
        <v>18743</v>
      </c>
      <c r="E26" s="66" t="n">
        <v>16965</v>
      </c>
      <c r="F26" s="77" t="n">
        <f aca="false">IF(E26="","",D26-E26)</f>
        <v>1778</v>
      </c>
      <c r="G26" s="66" t="n">
        <v>8060</v>
      </c>
      <c r="H26" s="66" t="n">
        <v>7936</v>
      </c>
      <c r="I26" s="77" t="n">
        <f aca="false">IF(H26="","",G26-H26)</f>
        <v>124</v>
      </c>
      <c r="J26" s="47" t="n">
        <f aca="false">IF(OR(D26="",D26+G26=0),"",D26/(D26+G26))</f>
        <v>0.699287393202254</v>
      </c>
      <c r="K26" s="47" t="n">
        <f aca="false">IF(E26="","",E26/(E26+H26))</f>
        <v>0.681297939841773</v>
      </c>
      <c r="L26" s="78" t="n">
        <f aca="false">IF(OR(K26="",J26=""),"",(J26-K26)*100)</f>
        <v>1.79894533604801</v>
      </c>
      <c r="M26" s="36" t="n">
        <v>1.19581403900077</v>
      </c>
      <c r="N26" s="36" t="n">
        <v>1.2491777271704</v>
      </c>
      <c r="O26" s="36" t="n">
        <f aca="false">SQRT(M26^2+N26^2)</f>
        <v>1.7292819925998</v>
      </c>
      <c r="P26" s="47" t="n">
        <f aca="false">IF(J26="","",MAX(0,J26-1.96*O26/100))</f>
        <v>0.665393466147297</v>
      </c>
      <c r="Q26" s="47" t="n">
        <f aca="false">IF(J26="","",MIN(1,J26+1.96*O26/100))</f>
        <v>0.73318132025721</v>
      </c>
      <c r="R26" s="32" t="str">
        <f aca="false">IF(L26="","",IF(ABS(L26)&lt;=O26,"Yes","No"))</f>
        <v>No</v>
      </c>
      <c r="S26" s="32" t="str">
        <f aca="false">IF(L26="","",IF(ABS(L26)&lt;=1.96*O26,"Yes","No"))</f>
        <v>Yes</v>
      </c>
      <c r="T26" s="66" t="n">
        <f aca="false">IF(D26="","",ROUND(SQRT(((D26+G26)*O26/100)^2+(J26*(D26+G26)*0.02225)^2),0))</f>
        <v>623</v>
      </c>
      <c r="U26" s="32"/>
    </row>
    <row r="27" customFormat="false" ht="15" hidden="false" customHeight="false" outlineLevel="0" collapsed="false">
      <c r="A27" s="32" t="s">
        <v>219</v>
      </c>
      <c r="B27" s="32" t="s">
        <v>222</v>
      </c>
      <c r="C27" s="32" t="s">
        <v>191</v>
      </c>
      <c r="D27" s="66" t="n">
        <v>4819</v>
      </c>
      <c r="E27" s="66" t="n">
        <v>5186</v>
      </c>
      <c r="F27" s="77" t="n">
        <f aca="false">IF(E27="","",D27-E27)</f>
        <v>-367</v>
      </c>
      <c r="G27" s="66" t="n">
        <v>2695</v>
      </c>
      <c r="H27" s="66" t="n">
        <v>2705</v>
      </c>
      <c r="I27" s="77" t="n">
        <f aca="false">IF(H27="","",G27-H27)</f>
        <v>-10</v>
      </c>
      <c r="J27" s="47" t="n">
        <f aca="false">IF(OR(D27="",D27+G27=0),"",D27/(D27+G27))</f>
        <v>0.641336172478041</v>
      </c>
      <c r="K27" s="47" t="n">
        <f aca="false">IF(E27="","",E27/(E27+H27))</f>
        <v>0.657204410087441</v>
      </c>
      <c r="L27" s="78" t="n">
        <f aca="false">IF(OR(K27="",J27=""),"",(J27-K27)*100)</f>
        <v>-1.58682376094004</v>
      </c>
      <c r="M27" s="36" t="n">
        <v>1.19581403900077</v>
      </c>
      <c r="N27" s="36" t="n">
        <v>1.2491777271704</v>
      </c>
      <c r="O27" s="36" t="n">
        <f aca="false">SQRT(M27^2+N27^2)</f>
        <v>1.7292819925998</v>
      </c>
      <c r="P27" s="47" t="n">
        <f aca="false">IF(J27="","",MAX(0,J27-1.96*O27/100))</f>
        <v>0.607442245423085</v>
      </c>
      <c r="Q27" s="47" t="n">
        <f aca="false">IF(J27="","",MIN(1,J27+1.96*O27/100))</f>
        <v>0.675230099532997</v>
      </c>
      <c r="R27" s="32" t="str">
        <f aca="false">IF(L27="","",IF(ABS(L27)&lt;=O27,"Yes","No"))</f>
        <v>Yes</v>
      </c>
      <c r="S27" s="32" t="str">
        <f aca="false">IF(L27="","",IF(ABS(L27)&lt;=1.96*O27,"Yes","No"))</f>
        <v>Yes</v>
      </c>
      <c r="T27" s="66" t="n">
        <f aca="false">IF(D27="","",ROUND(SQRT(((D27+G27)*O27/100)^2+(J27*(D27+G27)*0.02225)^2),0))</f>
        <v>168</v>
      </c>
      <c r="U27" s="32"/>
    </row>
    <row r="28" customFormat="false" ht="15" hidden="false" customHeight="false" outlineLevel="0" collapsed="false">
      <c r="A28" s="32" t="s">
        <v>219</v>
      </c>
      <c r="B28" s="32" t="s">
        <v>223</v>
      </c>
      <c r="C28" s="32" t="s">
        <v>191</v>
      </c>
      <c r="D28" s="66" t="n">
        <v>1083</v>
      </c>
      <c r="E28" s="66" t="n">
        <v>1135</v>
      </c>
      <c r="F28" s="77" t="n">
        <f aca="false">IF(E28="","",D28-E28)</f>
        <v>-52</v>
      </c>
      <c r="G28" s="66" t="n">
        <v>960</v>
      </c>
      <c r="H28" s="66" t="n">
        <v>975</v>
      </c>
      <c r="I28" s="77" t="n">
        <f aca="false">IF(H28="","",G28-H28)</f>
        <v>-15</v>
      </c>
      <c r="J28" s="47" t="n">
        <f aca="false">IF(OR(D28="",D28+G28=0),"",D28/(D28+G28))</f>
        <v>0.530102790014684</v>
      </c>
      <c r="K28" s="47" t="n">
        <f aca="false">IF(E28="","",E28/(E28+H28))</f>
        <v>0.537914691943128</v>
      </c>
      <c r="L28" s="78" t="n">
        <f aca="false">IF(OR(K28="",J28=""),"",(J28-K28)*100)</f>
        <v>-0.781190192844361</v>
      </c>
      <c r="M28" s="36" t="n">
        <v>1.79166014209263</v>
      </c>
      <c r="N28" s="36" t="n">
        <v>1.2491777271704</v>
      </c>
      <c r="O28" s="36" t="n">
        <f aca="false">SQRT(M28^2+N28^2)</f>
        <v>2.1841453840855</v>
      </c>
      <c r="P28" s="47" t="n">
        <f aca="false">IF(J28="","",MAX(0,J28-1.96*O28/100))</f>
        <v>0.487293540486609</v>
      </c>
      <c r="Q28" s="47" t="n">
        <f aca="false">IF(J28="","",MIN(1,J28+1.96*O28/100))</f>
        <v>0.57291203954276</v>
      </c>
      <c r="R28" s="32" t="str">
        <f aca="false">IF(L28="","",IF(ABS(L28)&lt;=O28,"Yes","No"))</f>
        <v>Yes</v>
      </c>
      <c r="S28" s="32" t="str">
        <f aca="false">IF(L28="","",IF(ABS(L28)&lt;=1.96*O28,"Yes","No"))</f>
        <v>Yes</v>
      </c>
      <c r="T28" s="66" t="n">
        <f aca="false">IF(D28="","",ROUND(SQRT(((D28+G28)*O28/100)^2+(J28*(D28+G28)*0.03811)^2),0))</f>
        <v>61</v>
      </c>
      <c r="U28" s="32"/>
    </row>
    <row r="29" customFormat="false" ht="15" hidden="false" customHeight="false" outlineLevel="0" collapsed="false">
      <c r="A29" s="32" t="s">
        <v>219</v>
      </c>
      <c r="B29" s="32" t="s">
        <v>224</v>
      </c>
      <c r="C29" s="32" t="s">
        <v>191</v>
      </c>
      <c r="D29" s="66" t="n">
        <v>525</v>
      </c>
      <c r="E29" s="66" t="n">
        <v>621</v>
      </c>
      <c r="F29" s="77" t="n">
        <f aca="false">IF(E29="","",D29-E29)</f>
        <v>-96</v>
      </c>
      <c r="G29" s="66" t="n">
        <v>562</v>
      </c>
      <c r="H29" s="66" t="n">
        <v>598</v>
      </c>
      <c r="I29" s="77" t="n">
        <f aca="false">IF(H29="","",G29-H29)</f>
        <v>-36</v>
      </c>
      <c r="J29" s="47" t="n">
        <f aca="false">IF(OR(D29="",D29+G29=0),"",D29/(D29+G29))</f>
        <v>0.482980680772769</v>
      </c>
      <c r="K29" s="47" t="n">
        <f aca="false">IF(E29="","",E29/(E29+H29))</f>
        <v>0.509433962264151</v>
      </c>
      <c r="L29" s="78" t="n">
        <f aca="false">IF(OR(K29="",J29=""),"",(J29-K29)*100)</f>
        <v>-2.64532814913819</v>
      </c>
      <c r="M29" s="36" t="n">
        <v>2.87405876590783</v>
      </c>
      <c r="N29" s="36" t="n">
        <v>1.2491777271704</v>
      </c>
      <c r="O29" s="36" t="n">
        <f aca="false">SQRT(M29^2+N29^2)</f>
        <v>3.13379303463874</v>
      </c>
      <c r="P29" s="47" t="n">
        <f aca="false">IF(J29="","",MAX(0,J29-1.96*O29/100))</f>
        <v>0.42155833729385</v>
      </c>
      <c r="Q29" s="47" t="n">
        <f aca="false">IF(J29="","",MIN(1,J29+1.96*O29/100))</f>
        <v>0.544403024251688</v>
      </c>
      <c r="R29" s="32" t="str">
        <f aca="false">IF(L29="","",IF(ABS(L29)&lt;=O29,"Yes","No"))</f>
        <v>Yes</v>
      </c>
      <c r="S29" s="32" t="str">
        <f aca="false">IF(L29="","",IF(ABS(L29)&lt;=1.96*O29,"Yes","No"))</f>
        <v>Yes</v>
      </c>
      <c r="T29" s="66" t="n">
        <f aca="false">IF(D29="","",ROUND(SQRT(((D29+G29)*O29/100)^2+(J29*(D29+G29)*0.0534)^2),0))</f>
        <v>44</v>
      </c>
      <c r="U29" s="32"/>
    </row>
    <row r="30" customFormat="false" ht="15" hidden="false" customHeight="false" outlineLevel="0" collapsed="false">
      <c r="A30" s="32" t="s">
        <v>219</v>
      </c>
      <c r="B30" s="32" t="s">
        <v>225</v>
      </c>
      <c r="C30" s="32" t="s">
        <v>191</v>
      </c>
      <c r="D30" s="66" t="n">
        <v>665</v>
      </c>
      <c r="E30" s="66" t="n">
        <v>691</v>
      </c>
      <c r="F30" s="77" t="n">
        <f aca="false">IF(E30="","",D30-E30)</f>
        <v>-26</v>
      </c>
      <c r="G30" s="66" t="n">
        <v>593</v>
      </c>
      <c r="H30" s="66" t="n">
        <v>606</v>
      </c>
      <c r="I30" s="77" t="n">
        <f aca="false">IF(H30="","",G30-H30)</f>
        <v>-13</v>
      </c>
      <c r="J30" s="47" t="n">
        <f aca="false">IF(OR(D30="",D30+G30=0),"",D30/(D30+G30))</f>
        <v>0.528616852146264</v>
      </c>
      <c r="K30" s="47" t="n">
        <f aca="false">IF(E30="","",E30/(E30+H30))</f>
        <v>0.532767925983038</v>
      </c>
      <c r="L30" s="78" t="n">
        <f aca="false">IF(OR(K30="",J30=""),"",(J30-K30)*100)</f>
        <v>-0.415107383677393</v>
      </c>
      <c r="M30" s="36" t="n">
        <v>1.79166014209263</v>
      </c>
      <c r="N30" s="36" t="n">
        <v>1.2491777271704</v>
      </c>
      <c r="O30" s="36" t="n">
        <f aca="false">SQRT(M30^2+N30^2)</f>
        <v>2.1841453840855</v>
      </c>
      <c r="P30" s="47" t="n">
        <f aca="false">IF(J30="","",MAX(0,J30-1.96*O30/100))</f>
        <v>0.485807602618188</v>
      </c>
      <c r="Q30" s="47" t="n">
        <f aca="false">IF(J30="","",MIN(1,J30+1.96*O30/100))</f>
        <v>0.57142610167434</v>
      </c>
      <c r="R30" s="32" t="str">
        <f aca="false">IF(L30="","",IF(ABS(L30)&lt;=O30,"Yes","No"))</f>
        <v>Yes</v>
      </c>
      <c r="S30" s="32" t="str">
        <f aca="false">IF(L30="","",IF(ABS(L30)&lt;=1.96*O30,"Yes","No"))</f>
        <v>Yes</v>
      </c>
      <c r="T30" s="66" t="n">
        <f aca="false">IF(D30="","",ROUND(SQRT(((D30+G30)*O30/100)^2+(J30*(D30+G30)*0.03811)^2),0))</f>
        <v>37</v>
      </c>
      <c r="U30" s="32"/>
    </row>
    <row r="31" customFormat="false" ht="15" hidden="false" customHeight="false" outlineLevel="0" collapsed="false">
      <c r="A31" s="32" t="s">
        <v>219</v>
      </c>
      <c r="B31" s="32" t="s">
        <v>226</v>
      </c>
      <c r="C31" s="32" t="s">
        <v>191</v>
      </c>
      <c r="D31" s="66" t="n">
        <v>2529</v>
      </c>
      <c r="E31" s="66" t="n">
        <v>2834</v>
      </c>
      <c r="F31" s="77" t="n">
        <f aca="false">IF(E31="","",D31-E31)</f>
        <v>-305</v>
      </c>
      <c r="G31" s="66" t="n">
        <v>2184</v>
      </c>
      <c r="H31" s="66" t="n">
        <v>2250</v>
      </c>
      <c r="I31" s="77" t="n">
        <f aca="false">IF(H31="","",G31-H31)</f>
        <v>-66</v>
      </c>
      <c r="J31" s="47" t="n">
        <f aca="false">IF(OR(D31="",D31+G31=0),"",D31/(D31+G31))</f>
        <v>0.536600891152132</v>
      </c>
      <c r="K31" s="47" t="n">
        <f aca="false">IF(E31="","",E31/(E31+H31))</f>
        <v>0.557435090479937</v>
      </c>
      <c r="L31" s="78" t="n">
        <f aca="false">IF(OR(K31="",J31=""),"",(J31-K31)*100)</f>
        <v>-2.08341993278047</v>
      </c>
      <c r="M31" s="36" t="n">
        <v>1.19581403900077</v>
      </c>
      <c r="N31" s="36" t="n">
        <v>1.2491777271704</v>
      </c>
      <c r="O31" s="36" t="n">
        <f aca="false">SQRT(M31^2+N31^2)</f>
        <v>1.7292819925998</v>
      </c>
      <c r="P31" s="47" t="n">
        <f aca="false">IF(J31="","",MAX(0,J31-1.96*O31/100))</f>
        <v>0.502706964097176</v>
      </c>
      <c r="Q31" s="47" t="n">
        <f aca="false">IF(J31="","",MIN(1,J31+1.96*O31/100))</f>
        <v>0.570494818207089</v>
      </c>
      <c r="R31" s="32" t="str">
        <f aca="false">IF(L31="","",IF(ABS(L31)&lt;=O31,"Yes","No"))</f>
        <v>No</v>
      </c>
      <c r="S31" s="32" t="str">
        <f aca="false">IF(L31="","",IF(ABS(L31)&lt;=1.96*O31,"Yes","No"))</f>
        <v>Yes</v>
      </c>
      <c r="T31" s="66" t="n">
        <f aca="false">IF(D31="","",ROUND(SQRT(((D31+G31)*O31/100)^2+(J31*(D31+G31)*0.02225)^2),0))</f>
        <v>99</v>
      </c>
      <c r="U31" s="32"/>
    </row>
    <row r="32" customFormat="false" ht="15" hidden="false" customHeight="false" outlineLevel="0" collapsed="false">
      <c r="A32" s="32" t="s">
        <v>219</v>
      </c>
      <c r="B32" s="32" t="s">
        <v>227</v>
      </c>
      <c r="C32" s="32" t="s">
        <v>191</v>
      </c>
      <c r="D32" s="66" t="n">
        <v>1099</v>
      </c>
      <c r="E32" s="66" t="n">
        <v>1070</v>
      </c>
      <c r="F32" s="77" t="n">
        <f aca="false">IF(E32="","",D32-E32)</f>
        <v>29</v>
      </c>
      <c r="G32" s="66" t="n">
        <v>516</v>
      </c>
      <c r="H32" s="66" t="n">
        <v>479</v>
      </c>
      <c r="I32" s="77" t="n">
        <f aca="false">IF(H32="","",G32-H32)</f>
        <v>37</v>
      </c>
      <c r="J32" s="47" t="n">
        <f aca="false">IF(OR(D32="",D32+G32=0),"",D32/(D32+G32))</f>
        <v>0.680495356037152</v>
      </c>
      <c r="K32" s="47" t="n">
        <f aca="false">IF(E32="","",E32/(E32+H32))</f>
        <v>0.690768237572628</v>
      </c>
      <c r="L32" s="78" t="n">
        <f aca="false">IF(OR(K32="",J32=""),"",(J32-K32)*100)</f>
        <v>-1.02728815354758</v>
      </c>
      <c r="M32" s="36" t="n">
        <v>1.79166014209263</v>
      </c>
      <c r="N32" s="36" t="n">
        <v>1.2491777271704</v>
      </c>
      <c r="O32" s="36" t="n">
        <f aca="false">SQRT(M32^2+N32^2)</f>
        <v>2.1841453840855</v>
      </c>
      <c r="P32" s="47" t="n">
        <f aca="false">IF(J32="","",MAX(0,J32-1.96*O32/100))</f>
        <v>0.637686106509076</v>
      </c>
      <c r="Q32" s="47" t="n">
        <f aca="false">IF(J32="","",MIN(1,J32+1.96*O32/100))</f>
        <v>0.723304605565228</v>
      </c>
      <c r="R32" s="32" t="str">
        <f aca="false">IF(L32="","",IF(ABS(L32)&lt;=O32,"Yes","No"))</f>
        <v>Yes</v>
      </c>
      <c r="S32" s="32" t="str">
        <f aca="false">IF(L32="","",IF(ABS(L32)&lt;=1.96*O32,"Yes","No"))</f>
        <v>Yes</v>
      </c>
      <c r="T32" s="66" t="n">
        <f aca="false">IF(D32="","",ROUND(SQRT(((D32+G32)*O32/100)^2+(J32*(D32+G32)*0.03811)^2),0))</f>
        <v>55</v>
      </c>
      <c r="U32" s="32"/>
    </row>
    <row r="33" customFormat="false" ht="15" hidden="false" customHeight="false" outlineLevel="0" collapsed="false">
      <c r="A33" s="32" t="s">
        <v>219</v>
      </c>
      <c r="B33" s="32" t="s">
        <v>228</v>
      </c>
      <c r="C33" s="32" t="s">
        <v>191</v>
      </c>
      <c r="D33" s="66" t="n">
        <v>274</v>
      </c>
      <c r="E33" s="66" t="n">
        <v>262</v>
      </c>
      <c r="F33" s="77" t="n">
        <f aca="false">IF(E33="","",D33-E33)</f>
        <v>12</v>
      </c>
      <c r="G33" s="66" t="n">
        <v>215</v>
      </c>
      <c r="H33" s="66" t="n">
        <v>205</v>
      </c>
      <c r="I33" s="77" t="n">
        <f aca="false">IF(H33="","",G33-H33)</f>
        <v>10</v>
      </c>
      <c r="J33" s="47" t="n">
        <f aca="false">IF(OR(D33="",D33+G33=0),"",D33/(D33+G33))</f>
        <v>0.560327198364008</v>
      </c>
      <c r="K33" s="47" t="n">
        <f aca="false">IF(E33="","",E33/(E33+H33))</f>
        <v>0.561027837259101</v>
      </c>
      <c r="L33" s="78" t="n">
        <f aca="false">IF(OR(K33="",J33=""),"",(J33-K33)*100)</f>
        <v>-0.0700638895092531</v>
      </c>
      <c r="M33" s="36" t="n">
        <v>2.87405876590783</v>
      </c>
      <c r="N33" s="36" t="n">
        <v>1.2491777271704</v>
      </c>
      <c r="O33" s="36" t="n">
        <f aca="false">SQRT(M33^2+N33^2)</f>
        <v>3.13379303463874</v>
      </c>
      <c r="P33" s="47" t="n">
        <f aca="false">IF(J33="","",MAX(0,J33-1.96*O33/100))</f>
        <v>0.498904854885089</v>
      </c>
      <c r="Q33" s="47" t="n">
        <f aca="false">IF(J33="","",MIN(1,J33+1.96*O33/100))</f>
        <v>0.621749541842927</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219</v>
      </c>
      <c r="B34" s="32" t="s">
        <v>229</v>
      </c>
      <c r="C34" s="32" t="s">
        <v>191</v>
      </c>
      <c r="D34" s="66" t="n">
        <v>478</v>
      </c>
      <c r="E34" s="66" t="n">
        <v>532</v>
      </c>
      <c r="F34" s="77" t="n">
        <f aca="false">IF(E34="","",D34-E34)</f>
        <v>-54</v>
      </c>
      <c r="G34" s="66" t="n">
        <v>995</v>
      </c>
      <c r="H34" s="66" t="n">
        <v>1068</v>
      </c>
      <c r="I34" s="77" t="n">
        <f aca="false">IF(H34="","",G34-H34)</f>
        <v>-73</v>
      </c>
      <c r="J34" s="47" t="n">
        <f aca="false">IF(OR(D34="",D34+G34=0),"",D34/(D34+G34))</f>
        <v>0.324507807196198</v>
      </c>
      <c r="K34" s="47" t="n">
        <f aca="false">IF(E34="","",E34/(E34+H34))</f>
        <v>0.3325</v>
      </c>
      <c r="L34" s="78" t="n">
        <f aca="false">IF(OR(K34="",J34=""),"",(J34-K34)*100)</f>
        <v>-0.799219280380176</v>
      </c>
      <c r="M34" s="36" t="n">
        <v>1.79166014209263</v>
      </c>
      <c r="N34" s="36" t="n">
        <v>1.2491777271704</v>
      </c>
      <c r="O34" s="36" t="n">
        <f aca="false">SQRT(M34^2+N34^2)</f>
        <v>2.1841453840855</v>
      </c>
      <c r="P34" s="47" t="n">
        <f aca="false">IF(J34="","",MAX(0,J34-1.96*O34/100))</f>
        <v>0.281698557668123</v>
      </c>
      <c r="Q34" s="47" t="n">
        <f aca="false">IF(J34="","",MIN(1,J34+1.96*O34/100))</f>
        <v>0.367317056724274</v>
      </c>
      <c r="R34" s="32" t="str">
        <f aca="false">IF(L34="","",IF(ABS(L34)&lt;=O34,"Yes","No"))</f>
        <v>Yes</v>
      </c>
      <c r="S34" s="32" t="str">
        <f aca="false">IF(L34="","",IF(ABS(L34)&lt;=1.96*O34,"Yes","No"))</f>
        <v>Yes</v>
      </c>
      <c r="T34" s="66" t="n">
        <f aca="false">IF(D34="","",ROUND(SQRT(((D34+G34)*O34/100)^2+(J34*(D34+G34)*0.03811)^2),0))</f>
        <v>37</v>
      </c>
      <c r="U34" s="32"/>
    </row>
    <row r="35" customFormat="false" ht="15" hidden="false" customHeight="false" outlineLevel="0" collapsed="false">
      <c r="A35" s="32" t="s">
        <v>219</v>
      </c>
      <c r="B35" s="32" t="s">
        <v>230</v>
      </c>
      <c r="C35" s="32" t="s">
        <v>191</v>
      </c>
      <c r="D35" s="66" t="n">
        <v>7573</v>
      </c>
      <c r="E35" s="66" t="n">
        <v>8358</v>
      </c>
      <c r="F35" s="77" t="n">
        <f aca="false">IF(E35="","",D35-E35)</f>
        <v>-785</v>
      </c>
      <c r="G35" s="66" t="n">
        <v>7489</v>
      </c>
      <c r="H35" s="66" t="n">
        <v>7595</v>
      </c>
      <c r="I35" s="77" t="n">
        <f aca="false">IF(H35="","",G35-H35)</f>
        <v>-106</v>
      </c>
      <c r="J35" s="47" t="n">
        <f aca="false">IF(OR(D35="",D35+G35=0),"",D35/(D35+G35))</f>
        <v>0.502788474306201</v>
      </c>
      <c r="K35" s="47" t="n">
        <f aca="false">IF(E35="","",E35/(E35+H35))</f>
        <v>0.523913997367266</v>
      </c>
      <c r="L35" s="78" t="n">
        <f aca="false">IF(OR(K35="",J35=""),"",(J35-K35)*100)</f>
        <v>-2.11255230610653</v>
      </c>
      <c r="M35" s="36" t="n">
        <v>1.19581403900077</v>
      </c>
      <c r="N35" s="36" t="n">
        <v>1.2491777271704</v>
      </c>
      <c r="O35" s="36" t="n">
        <f aca="false">SQRT(M35^2+N35^2)</f>
        <v>1.7292819925998</v>
      </c>
      <c r="P35" s="47" t="n">
        <f aca="false">IF(J35="","",MAX(0,J35-1.96*O35/100))</f>
        <v>0.468894547251245</v>
      </c>
      <c r="Q35" s="47" t="n">
        <f aca="false">IF(J35="","",MIN(1,J35+1.96*O35/100))</f>
        <v>0.536682401361157</v>
      </c>
      <c r="R35" s="32" t="str">
        <f aca="false">IF(L35="","",IF(ABS(L35)&lt;=O35,"Yes","No"))</f>
        <v>No</v>
      </c>
      <c r="S35" s="32" t="str">
        <f aca="false">IF(L35="","",IF(ABS(L35)&lt;=1.96*O35,"Yes","No"))</f>
        <v>Yes</v>
      </c>
      <c r="T35" s="66" t="n">
        <f aca="false">IF(D35="","",ROUND(SQRT(((D35+G35)*O35/100)^2+(J35*(D35+G35)*0.02225)^2),0))</f>
        <v>310</v>
      </c>
      <c r="U35" s="32"/>
    </row>
    <row r="36" customFormat="false" ht="15" hidden="false" customHeight="false" outlineLevel="0" collapsed="false">
      <c r="A36" s="32" t="s">
        <v>219</v>
      </c>
      <c r="B36" s="32" t="s">
        <v>231</v>
      </c>
      <c r="C36" s="32" t="s">
        <v>191</v>
      </c>
      <c r="D36" s="66" t="n">
        <v>740</v>
      </c>
      <c r="E36" s="66" t="n">
        <v>850</v>
      </c>
      <c r="F36" s="77" t="n">
        <f aca="false">IF(E36="","",D36-E36)</f>
        <v>-110</v>
      </c>
      <c r="G36" s="66" t="n">
        <v>1272</v>
      </c>
      <c r="H36" s="66" t="n">
        <v>1311</v>
      </c>
      <c r="I36" s="77" t="n">
        <f aca="false">IF(H36="","",G36-H36)</f>
        <v>-39</v>
      </c>
      <c r="J36" s="47" t="n">
        <f aca="false">IF(OR(D36="",D36+G36=0),"",D36/(D36+G36))</f>
        <v>0.36779324055666</v>
      </c>
      <c r="K36" s="47" t="n">
        <f aca="false">IF(E36="","",E36/(E36+H36))</f>
        <v>0.39333641832485</v>
      </c>
      <c r="L36" s="78" t="n">
        <f aca="false">IF(OR(K36="",J36=""),"",(J36-K36)*100)</f>
        <v>-2.55431777681896</v>
      </c>
      <c r="M36" s="36" t="n">
        <v>1.79166014209263</v>
      </c>
      <c r="N36" s="36" t="n">
        <v>1.2491777271704</v>
      </c>
      <c r="O36" s="36" t="n">
        <f aca="false">SQRT(M36^2+N36^2)</f>
        <v>2.1841453840855</v>
      </c>
      <c r="P36" s="47" t="n">
        <f aca="false">IF(J36="","",MAX(0,J36-1.96*O36/100))</f>
        <v>0.324983991028584</v>
      </c>
      <c r="Q36" s="47" t="n">
        <f aca="false">IF(J36="","",MIN(1,J36+1.96*O36/100))</f>
        <v>0.410602490084736</v>
      </c>
      <c r="R36" s="32" t="str">
        <f aca="false">IF(L36="","",IF(ABS(L36)&lt;=O36,"Yes","No"))</f>
        <v>No</v>
      </c>
      <c r="S36" s="32" t="str">
        <f aca="false">IF(L36="","",IF(ABS(L36)&lt;=1.96*O36,"Yes","No"))</f>
        <v>Yes</v>
      </c>
      <c r="T36" s="66" t="n">
        <f aca="false">IF(D36="","",ROUND(SQRT(((D36+G36)*O36/100)^2+(J36*(D36+G36)*0.03811)^2),0))</f>
        <v>52</v>
      </c>
      <c r="U36" s="32"/>
    </row>
    <row r="37" customFormat="false" ht="15" hidden="false" customHeight="false" outlineLevel="0" collapsed="false">
      <c r="A37" s="32" t="s">
        <v>219</v>
      </c>
      <c r="B37" s="32" t="s">
        <v>232</v>
      </c>
      <c r="C37" s="32" t="s">
        <v>191</v>
      </c>
      <c r="D37" s="66" t="n">
        <v>412</v>
      </c>
      <c r="E37" s="66" t="n">
        <v>457</v>
      </c>
      <c r="F37" s="77" t="n">
        <f aca="false">IF(E37="","",D37-E37)</f>
        <v>-45</v>
      </c>
      <c r="G37" s="66" t="n">
        <v>766</v>
      </c>
      <c r="H37" s="66" t="n">
        <v>760</v>
      </c>
      <c r="I37" s="77" t="n">
        <f aca="false">IF(H37="","",G37-H37)</f>
        <v>6</v>
      </c>
      <c r="J37" s="47" t="n">
        <f aca="false">IF(OR(D37="",D37+G37=0),"",D37/(D37+G37))</f>
        <v>0.34974533106961</v>
      </c>
      <c r="K37" s="47" t="n">
        <f aca="false">IF(E37="","",E37/(E37+H37))</f>
        <v>0.375513557929334</v>
      </c>
      <c r="L37" s="78" t="n">
        <f aca="false">IF(OR(K37="",J37=""),"",(J37-K37)*100)</f>
        <v>-2.57682268597249</v>
      </c>
      <c r="M37" s="36" t="n">
        <v>1.79166014209263</v>
      </c>
      <c r="N37" s="36" t="n">
        <v>1.2491777271704</v>
      </c>
      <c r="O37" s="36" t="n">
        <f aca="false">SQRT(M37^2+N37^2)</f>
        <v>2.1841453840855</v>
      </c>
      <c r="P37" s="47" t="n">
        <f aca="false">IF(J37="","",MAX(0,J37-1.96*O37/100))</f>
        <v>0.306936081541534</v>
      </c>
      <c r="Q37" s="47" t="n">
        <f aca="false">IF(J37="","",MIN(1,J37+1.96*O37/100))</f>
        <v>0.392554580597685</v>
      </c>
      <c r="R37" s="32" t="str">
        <f aca="false">IF(L37="","",IF(ABS(L37)&lt;=O37,"Yes","No"))</f>
        <v>No</v>
      </c>
      <c r="S37" s="32" t="str">
        <f aca="false">IF(L37="","",IF(ABS(L37)&lt;=1.96*O37,"Yes","No"))</f>
        <v>Yes</v>
      </c>
      <c r="T37" s="66" t="n">
        <f aca="false">IF(D37="","",ROUND(SQRT(((D37+G37)*O37/100)^2+(J37*(D37+G37)*0.03811)^2),0))</f>
        <v>30</v>
      </c>
      <c r="U37" s="32"/>
    </row>
    <row r="38" customFormat="false" ht="15" hidden="false" customHeight="false" outlineLevel="0" collapsed="false">
      <c r="A38" s="32" t="s">
        <v>219</v>
      </c>
      <c r="B38" s="32" t="s">
        <v>233</v>
      </c>
      <c r="C38" s="32" t="s">
        <v>191</v>
      </c>
      <c r="D38" s="66" t="n">
        <v>640</v>
      </c>
      <c r="E38" s="66" t="n">
        <v>719</v>
      </c>
      <c r="F38" s="77" t="n">
        <f aca="false">IF(E38="","",D38-E38)</f>
        <v>-79</v>
      </c>
      <c r="G38" s="66" t="n">
        <v>1352</v>
      </c>
      <c r="H38" s="66" t="n">
        <v>1434</v>
      </c>
      <c r="I38" s="77" t="n">
        <f aca="false">IF(H38="","",G38-H38)</f>
        <v>-82</v>
      </c>
      <c r="J38" s="47" t="n">
        <f aca="false">IF(OR(D38="",D38+G38=0),"",D38/(D38+G38))</f>
        <v>0.321285140562249</v>
      </c>
      <c r="K38" s="47" t="n">
        <f aca="false">IF(E38="","",E38/(E38+H38))</f>
        <v>0.333952624245239</v>
      </c>
      <c r="L38" s="78" t="n">
        <f aca="false">IF(OR(K38="",J38=""),"",(J38-K38)*100)</f>
        <v>-1.26674836829902</v>
      </c>
      <c r="M38" s="36" t="n">
        <v>1.79166014209263</v>
      </c>
      <c r="N38" s="36" t="n">
        <v>1.2491777271704</v>
      </c>
      <c r="O38" s="36" t="n">
        <f aca="false">SQRT(M38^2+N38^2)</f>
        <v>2.1841453840855</v>
      </c>
      <c r="P38" s="47" t="n">
        <f aca="false">IF(J38="","",MAX(0,J38-1.96*O38/100))</f>
        <v>0.278475891034173</v>
      </c>
      <c r="Q38" s="47" t="n">
        <f aca="false">IF(J38="","",MIN(1,J38+1.96*O38/100))</f>
        <v>0.364094390090325</v>
      </c>
      <c r="R38" s="32" t="str">
        <f aca="false">IF(L38="","",IF(ABS(L38)&lt;=O38,"Yes","No"))</f>
        <v>Yes</v>
      </c>
      <c r="S38" s="32" t="str">
        <f aca="false">IF(L38="","",IF(ABS(L38)&lt;=1.96*O38,"Yes","No"))</f>
        <v>Yes</v>
      </c>
      <c r="T38" s="66" t="n">
        <f aca="false">IF(D38="","",ROUND(SQRT(((D38+G38)*O38/100)^2+(J38*(D38+G38)*0.03811)^2),0))</f>
        <v>50</v>
      </c>
      <c r="U38" s="32"/>
    </row>
    <row r="39" customFormat="false" ht="15" hidden="false" customHeight="false" outlineLevel="0" collapsed="false">
      <c r="A39" s="32" t="s">
        <v>219</v>
      </c>
      <c r="B39" s="32" t="s">
        <v>234</v>
      </c>
      <c r="C39" s="32" t="s">
        <v>191</v>
      </c>
      <c r="D39" s="66" t="n">
        <v>713</v>
      </c>
      <c r="E39" s="66" t="n">
        <v>788</v>
      </c>
      <c r="F39" s="77" t="n">
        <f aca="false">IF(E39="","",D39-E39)</f>
        <v>-75</v>
      </c>
      <c r="G39" s="66" t="n">
        <v>632</v>
      </c>
      <c r="H39" s="66" t="n">
        <v>628</v>
      </c>
      <c r="I39" s="77" t="n">
        <f aca="false">IF(H39="","",G39-H39)</f>
        <v>4</v>
      </c>
      <c r="J39" s="47" t="n">
        <f aca="false">IF(OR(D39="",D39+G39=0),"",D39/(D39+G39))</f>
        <v>0.530111524163569</v>
      </c>
      <c r="K39" s="47" t="n">
        <f aca="false">IF(E39="","",E39/(E39+H39))</f>
        <v>0.556497175141243</v>
      </c>
      <c r="L39" s="78" t="n">
        <f aca="false">IF(OR(K39="",J39=""),"",(J39-K39)*100)</f>
        <v>-2.63856509776742</v>
      </c>
      <c r="M39" s="36" t="n">
        <v>1.79166014209263</v>
      </c>
      <c r="N39" s="36" t="n">
        <v>1.2491777271704</v>
      </c>
      <c r="O39" s="36" t="n">
        <f aca="false">SQRT(M39^2+N39^2)</f>
        <v>2.1841453840855</v>
      </c>
      <c r="P39" s="47" t="n">
        <f aca="false">IF(J39="","",MAX(0,J39-1.96*O39/100))</f>
        <v>0.487302274635493</v>
      </c>
      <c r="Q39" s="47" t="n">
        <f aca="false">IF(J39="","",MIN(1,J39+1.96*O39/100))</f>
        <v>0.572920773691645</v>
      </c>
      <c r="R39" s="32" t="str">
        <f aca="false">IF(L39="","",IF(ABS(L39)&lt;=O39,"Yes","No"))</f>
        <v>No</v>
      </c>
      <c r="S39" s="32" t="str">
        <f aca="false">IF(L39="","",IF(ABS(L39)&lt;=1.96*O39,"Yes","No"))</f>
        <v>Yes</v>
      </c>
      <c r="T39" s="66" t="n">
        <f aca="false">IF(D39="","",ROUND(SQRT(((D39+G39)*O39/100)^2+(J39*(D39+G39)*0.03811)^2),0))</f>
        <v>40</v>
      </c>
      <c r="U39" s="32"/>
    </row>
    <row r="40" customFormat="false" ht="15" hidden="false" customHeight="false" outlineLevel="0" collapsed="false">
      <c r="A40" s="32" t="s">
        <v>219</v>
      </c>
      <c r="B40" s="32" t="s">
        <v>235</v>
      </c>
      <c r="C40" s="32" t="s">
        <v>191</v>
      </c>
      <c r="D40" s="66" t="n">
        <v>2891</v>
      </c>
      <c r="E40" s="66" t="n">
        <v>3255</v>
      </c>
      <c r="F40" s="77" t="n">
        <f aca="false">IF(E40="","",D40-E40)</f>
        <v>-364</v>
      </c>
      <c r="G40" s="66" t="n">
        <v>4127</v>
      </c>
      <c r="H40" s="66" t="n">
        <v>4462</v>
      </c>
      <c r="I40" s="77" t="n">
        <f aca="false">IF(H40="","",G40-H40)</f>
        <v>-335</v>
      </c>
      <c r="J40" s="47" t="n">
        <f aca="false">IF(OR(D40="",D40+G40=0),"",D40/(D40+G40))</f>
        <v>0.41194072385295</v>
      </c>
      <c r="K40" s="47" t="n">
        <f aca="false">IF(E40="","",E40/(E40+H40))</f>
        <v>0.421796034728521</v>
      </c>
      <c r="L40" s="78" t="n">
        <f aca="false">IF(OR(K40="",J40=""),"",(J40-K40)*100)</f>
        <v>-0.98553108755719</v>
      </c>
      <c r="M40" s="36" t="n">
        <v>1.19581403900077</v>
      </c>
      <c r="N40" s="36" t="n">
        <v>1.2491777271704</v>
      </c>
      <c r="O40" s="36" t="n">
        <f aca="false">SQRT(M40^2+N40^2)</f>
        <v>1.7292819925998</v>
      </c>
      <c r="P40" s="47" t="n">
        <f aca="false">IF(J40="","",MAX(0,J40-1.96*O40/100))</f>
        <v>0.378046796797993</v>
      </c>
      <c r="Q40" s="47" t="n">
        <f aca="false">IF(J40="","",MIN(1,J40+1.96*O40/100))</f>
        <v>0.445834650907906</v>
      </c>
      <c r="R40" s="32" t="str">
        <f aca="false">IF(L40="","",IF(ABS(L40)&lt;=O40,"Yes","No"))</f>
        <v>Yes</v>
      </c>
      <c r="S40" s="32" t="str">
        <f aca="false">IF(L40="","",IF(ABS(L40)&lt;=1.96*O40,"Yes","No"))</f>
        <v>Yes</v>
      </c>
      <c r="T40" s="66" t="n">
        <f aca="false">IF(D40="","",ROUND(SQRT(((D40+G40)*O40/100)^2+(J40*(D40+G40)*0.02225)^2),0))</f>
        <v>137</v>
      </c>
      <c r="U40" s="32"/>
    </row>
    <row r="41" customFormat="false" ht="15" hidden="false" customHeight="false" outlineLevel="0" collapsed="false">
      <c r="A41" s="32" t="s">
        <v>219</v>
      </c>
      <c r="B41" s="32" t="s">
        <v>236</v>
      </c>
      <c r="C41" s="32" t="s">
        <v>191</v>
      </c>
      <c r="D41" s="66" t="n">
        <v>3042</v>
      </c>
      <c r="E41" s="66" t="n">
        <v>3239</v>
      </c>
      <c r="F41" s="77" t="n">
        <f aca="false">IF(E41="","",D41-E41)</f>
        <v>-197</v>
      </c>
      <c r="G41" s="66" t="n">
        <v>2981</v>
      </c>
      <c r="H41" s="66" t="n">
        <v>3129</v>
      </c>
      <c r="I41" s="77" t="n">
        <f aca="false">IF(H41="","",G41-H41)</f>
        <v>-148</v>
      </c>
      <c r="J41" s="47" t="n">
        <f aca="false">IF(OR(D41="",D41+G41=0),"",D41/(D41+G41))</f>
        <v>0.505063921633737</v>
      </c>
      <c r="K41" s="47" t="n">
        <f aca="false">IF(E41="","",E41/(E41+H41))</f>
        <v>0.508636934673367</v>
      </c>
      <c r="L41" s="78" t="n">
        <f aca="false">IF(OR(K41="",J41=""),"",(J41-K41)*100)</f>
        <v>-0.357301303962942</v>
      </c>
      <c r="M41" s="36" t="n">
        <v>1.19581403900077</v>
      </c>
      <c r="N41" s="36" t="n">
        <v>1.2491777271704</v>
      </c>
      <c r="O41" s="36" t="n">
        <f aca="false">SQRT(M41^2+N41^2)</f>
        <v>1.7292819925998</v>
      </c>
      <c r="P41" s="47" t="n">
        <f aca="false">IF(J41="","",MAX(0,J41-1.96*O41/100))</f>
        <v>0.471169994578781</v>
      </c>
      <c r="Q41" s="47" t="n">
        <f aca="false">IF(J41="","",MIN(1,J41+1.96*O41/100))</f>
        <v>0.538957848688694</v>
      </c>
      <c r="R41" s="32" t="str">
        <f aca="false">IF(L41="","",IF(ABS(L41)&lt;=O41,"Yes","No"))</f>
        <v>Yes</v>
      </c>
      <c r="S41" s="32" t="str">
        <f aca="false">IF(L41="","",IF(ABS(L41)&lt;=1.96*O41,"Yes","No"))</f>
        <v>Yes</v>
      </c>
      <c r="T41" s="66" t="n">
        <f aca="false">IF(D41="","",ROUND(SQRT(((D41+G41)*O41/100)^2+(J41*(D41+G41)*0.02225)^2),0))</f>
        <v>124</v>
      </c>
      <c r="U41" s="32"/>
    </row>
    <row r="42" customFormat="false" ht="15" hidden="false" customHeight="false" outlineLevel="0" collapsed="false">
      <c r="A42" s="32" t="s">
        <v>219</v>
      </c>
      <c r="B42" s="32" t="s">
        <v>237</v>
      </c>
      <c r="C42" s="32" t="s">
        <v>191</v>
      </c>
      <c r="D42" s="66" t="n">
        <v>560</v>
      </c>
      <c r="E42" s="66" t="n">
        <v>611</v>
      </c>
      <c r="F42" s="77" t="n">
        <f aca="false">IF(E42="","",D42-E42)</f>
        <v>-51</v>
      </c>
      <c r="G42" s="66" t="n">
        <v>753</v>
      </c>
      <c r="H42" s="66" t="n">
        <v>740</v>
      </c>
      <c r="I42" s="77" t="n">
        <f aca="false">IF(H42="","",G42-H42)</f>
        <v>13</v>
      </c>
      <c r="J42" s="47" t="n">
        <f aca="false">IF(OR(D42="",D42+G42=0),"",D42/(D42+G42))</f>
        <v>0.426504188880427</v>
      </c>
      <c r="K42" s="47" t="n">
        <f aca="false">IF(E42="","",E42/(E42+H42))</f>
        <v>0.452257586972613</v>
      </c>
      <c r="L42" s="78" t="n">
        <f aca="false">IF(OR(K42="",J42=""),"",(J42-K42)*100)</f>
        <v>-2.57533980921864</v>
      </c>
      <c r="M42" s="36" t="n">
        <v>1.79166014209263</v>
      </c>
      <c r="N42" s="36" t="n">
        <v>1.2491777271704</v>
      </c>
      <c r="O42" s="36" t="n">
        <f aca="false">SQRT(M42^2+N42^2)</f>
        <v>2.1841453840855</v>
      </c>
      <c r="P42" s="47" t="n">
        <f aca="false">IF(J42="","",MAX(0,J42-1.96*O42/100))</f>
        <v>0.383694939352351</v>
      </c>
      <c r="Q42" s="47" t="n">
        <f aca="false">IF(J42="","",MIN(1,J42+1.96*O42/100))</f>
        <v>0.469313438408502</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219</v>
      </c>
      <c r="B43" s="32" t="s">
        <v>238</v>
      </c>
      <c r="C43" s="32" t="s">
        <v>191</v>
      </c>
      <c r="D43" s="66" t="n">
        <v>5177</v>
      </c>
      <c r="E43" s="66" t="n">
        <v>5699</v>
      </c>
      <c r="F43" s="77" t="n">
        <f aca="false">IF(E43="","",D43-E43)</f>
        <v>-522</v>
      </c>
      <c r="G43" s="66" t="n">
        <v>4482</v>
      </c>
      <c r="H43" s="66" t="n">
        <v>4420</v>
      </c>
      <c r="I43" s="77" t="n">
        <f aca="false">IF(H43="","",G43-H43)</f>
        <v>62</v>
      </c>
      <c r="J43" s="47" t="n">
        <f aca="false">IF(OR(D43="",D43+G43=0),"",D43/(D43+G43))</f>
        <v>0.535976809193498</v>
      </c>
      <c r="K43" s="47" t="n">
        <f aca="false">IF(E43="","",E43/(E43+H43))</f>
        <v>0.563197944460915</v>
      </c>
      <c r="L43" s="78" t="n">
        <f aca="false">IF(OR(K43="",J43=""),"",(J43-K43)*100)</f>
        <v>-2.72211352674168</v>
      </c>
      <c r="M43" s="36" t="n">
        <v>1.19581403900077</v>
      </c>
      <c r="N43" s="36" t="n">
        <v>1.2491777271704</v>
      </c>
      <c r="O43" s="36" t="n">
        <f aca="false">SQRT(M43^2+N43^2)</f>
        <v>1.7292819925998</v>
      </c>
      <c r="P43" s="47" t="n">
        <f aca="false">IF(J43="","",MAX(0,J43-1.96*O43/100))</f>
        <v>0.502082882138542</v>
      </c>
      <c r="Q43" s="47" t="n">
        <f aca="false">IF(J43="","",MIN(1,J43+1.96*O43/100))</f>
        <v>0.569870736248454</v>
      </c>
      <c r="R43" s="32" t="str">
        <f aca="false">IF(L43="","",IF(ABS(L43)&lt;=O43,"Yes","No"))</f>
        <v>No</v>
      </c>
      <c r="S43" s="32" t="str">
        <f aca="false">IF(L43="","",IF(ABS(L43)&lt;=1.96*O43,"Yes","No"))</f>
        <v>Yes</v>
      </c>
      <c r="T43" s="66" t="n">
        <f aca="false">IF(D43="","",ROUND(SQRT(((D43+G43)*O43/100)^2+(J43*(D43+G43)*0.02225)^2),0))</f>
        <v>203</v>
      </c>
      <c r="U43" s="32"/>
    </row>
    <row r="44" customFormat="false" ht="15" hidden="false" customHeight="false" outlineLevel="0" collapsed="false">
      <c r="A44" s="32" t="s">
        <v>219</v>
      </c>
      <c r="B44" s="32" t="s">
        <v>239</v>
      </c>
      <c r="C44" s="32" t="s">
        <v>191</v>
      </c>
      <c r="D44" s="66" t="n">
        <v>5767</v>
      </c>
      <c r="E44" s="66" t="n">
        <v>6009</v>
      </c>
      <c r="F44" s="77" t="n">
        <f aca="false">IF(E44="","",D44-E44)</f>
        <v>-242</v>
      </c>
      <c r="G44" s="66" t="n">
        <v>5034</v>
      </c>
      <c r="H44" s="66" t="n">
        <v>5257</v>
      </c>
      <c r="I44" s="77" t="n">
        <f aca="false">IF(H44="","",G44-H44)</f>
        <v>-223</v>
      </c>
      <c r="J44" s="47" t="n">
        <f aca="false">IF(OR(D44="",D44+G44=0),"",D44/(D44+G44))</f>
        <v>0.533932043329321</v>
      </c>
      <c r="K44" s="47" t="n">
        <f aca="false">IF(E44="","",E44/(E44+H44))</f>
        <v>0.533374755902716</v>
      </c>
      <c r="L44" s="78" t="n">
        <f aca="false">IF(OR(K44="",J44=""),"",(J44-K44)*100)</f>
        <v>0.0557287426605213</v>
      </c>
      <c r="M44" s="36" t="n">
        <v>1.19581403900077</v>
      </c>
      <c r="N44" s="36" t="n">
        <v>1.2491777271704</v>
      </c>
      <c r="O44" s="36" t="n">
        <f aca="false">SQRT(M44^2+N44^2)</f>
        <v>1.7292819925998</v>
      </c>
      <c r="P44" s="47" t="n">
        <f aca="false">IF(J44="","",MAX(0,J44-1.96*O44/100))</f>
        <v>0.500038116274365</v>
      </c>
      <c r="Q44" s="47" t="n">
        <f aca="false">IF(J44="","",MIN(1,J44+1.96*O44/100))</f>
        <v>0.567825970384277</v>
      </c>
      <c r="R44" s="32" t="str">
        <f aca="false">IF(L44="","",IF(ABS(L44)&lt;=O44,"Yes","No"))</f>
        <v>Yes</v>
      </c>
      <c r="S44" s="32" t="str">
        <f aca="false">IF(L44="","",IF(ABS(L44)&lt;=1.96*O44,"Yes","No"))</f>
        <v>Yes</v>
      </c>
      <c r="T44" s="66" t="n">
        <f aca="false">IF(D44="","",ROUND(SQRT(((D44+G44)*O44/100)^2+(J44*(D44+G44)*0.02225)^2),0))</f>
        <v>227</v>
      </c>
      <c r="U44" s="32"/>
    </row>
    <row r="45" customFormat="false" ht="15" hidden="false" customHeight="false" outlineLevel="0" collapsed="false">
      <c r="A45" s="32" t="s">
        <v>219</v>
      </c>
      <c r="B45" s="32" t="s">
        <v>240</v>
      </c>
      <c r="C45" s="32" t="s">
        <v>191</v>
      </c>
      <c r="D45" s="66" t="n">
        <v>1774</v>
      </c>
      <c r="E45" s="66" t="n">
        <v>2032</v>
      </c>
      <c r="F45" s="77" t="n">
        <f aca="false">IF(E45="","",D45-E45)</f>
        <v>-258</v>
      </c>
      <c r="G45" s="66" t="n">
        <v>2362</v>
      </c>
      <c r="H45" s="66" t="n">
        <v>2450</v>
      </c>
      <c r="I45" s="77" t="n">
        <f aca="false">IF(H45="","",G45-H45)</f>
        <v>-88</v>
      </c>
      <c r="J45" s="47" t="n">
        <f aca="false">IF(OR(D45="",D45+G45=0),"",D45/(D45+G45))</f>
        <v>0.428916827852998</v>
      </c>
      <c r="K45" s="47" t="n">
        <f aca="false">IF(E45="","",E45/(E45+H45))</f>
        <v>0.453369031682285</v>
      </c>
      <c r="L45" s="78" t="n">
        <f aca="false">IF(OR(K45="",J45=""),"",(J45-K45)*100)</f>
        <v>-2.44522038292866</v>
      </c>
      <c r="M45" s="36" t="n">
        <v>1.19581403900077</v>
      </c>
      <c r="N45" s="36" t="n">
        <v>1.2491777271704</v>
      </c>
      <c r="O45" s="36" t="n">
        <f aca="false">SQRT(M45^2+N45^2)</f>
        <v>1.7292819925998</v>
      </c>
      <c r="P45" s="47" t="n">
        <f aca="false">IF(J45="","",MAX(0,J45-1.96*O45/100))</f>
        <v>0.395022900798042</v>
      </c>
      <c r="Q45" s="47" t="n">
        <f aca="false">IF(J45="","",MIN(1,J45+1.96*O45/100))</f>
        <v>0.462810754907954</v>
      </c>
      <c r="R45" s="32" t="str">
        <f aca="false">IF(L45="","",IF(ABS(L45)&lt;=O45,"Yes","No"))</f>
        <v>No</v>
      </c>
      <c r="S45" s="32" t="str">
        <f aca="false">IF(L45="","",IF(ABS(L45)&lt;=1.96*O45,"Yes","No"))</f>
        <v>Yes</v>
      </c>
      <c r="T45" s="66" t="n">
        <f aca="false">IF(D45="","",ROUND(SQRT(((D45+G45)*O45/100)^2+(J45*(D45+G45)*0.02225)^2),0))</f>
        <v>82</v>
      </c>
      <c r="U45" s="32"/>
    </row>
    <row r="46" customFormat="false" ht="15" hidden="false" customHeight="false" outlineLevel="0" collapsed="false">
      <c r="A46" s="32" t="s">
        <v>219</v>
      </c>
      <c r="B46" s="32" t="s">
        <v>241</v>
      </c>
      <c r="C46" s="32" t="s">
        <v>191</v>
      </c>
      <c r="D46" s="66" t="n">
        <v>3920</v>
      </c>
      <c r="E46" s="66" t="n">
        <v>4406</v>
      </c>
      <c r="F46" s="77" t="n">
        <f aca="false">IF(E46="","",D46-E46)</f>
        <v>-486</v>
      </c>
      <c r="G46" s="66" t="n">
        <v>4169</v>
      </c>
      <c r="H46" s="66" t="n">
        <v>4369</v>
      </c>
      <c r="I46" s="77" t="n">
        <f aca="false">IF(H46="","",G46-H46)</f>
        <v>-200</v>
      </c>
      <c r="J46" s="47" t="n">
        <f aca="false">IF(OR(D46="",D46+G46=0),"",D46/(D46+G46))</f>
        <v>0.484608727902089</v>
      </c>
      <c r="K46" s="47" t="n">
        <f aca="false">IF(E46="","",E46/(E46+H46))</f>
        <v>0.502108262108262</v>
      </c>
      <c r="L46" s="78" t="n">
        <f aca="false">IF(OR(K46="",J46=""),"",(J46-K46)*100)</f>
        <v>-1.74995342061728</v>
      </c>
      <c r="M46" s="36" t="n">
        <v>1.19581403900077</v>
      </c>
      <c r="N46" s="36" t="n">
        <v>1.2491777271704</v>
      </c>
      <c r="O46" s="36" t="n">
        <f aca="false">SQRT(M46^2+N46^2)</f>
        <v>1.7292819925998</v>
      </c>
      <c r="P46" s="47" t="n">
        <f aca="false">IF(J46="","",MAX(0,J46-1.96*O46/100))</f>
        <v>0.450714800847133</v>
      </c>
      <c r="Q46" s="47" t="n">
        <f aca="false">IF(J46="","",MIN(1,J46+1.96*O46/100))</f>
        <v>0.518502654957045</v>
      </c>
      <c r="R46" s="32" t="str">
        <f aca="false">IF(L46="","",IF(ABS(L46)&lt;=O46,"Yes","No"))</f>
        <v>No</v>
      </c>
      <c r="S46" s="32" t="str">
        <f aca="false">IF(L46="","",IF(ABS(L46)&lt;=1.96*O46,"Yes","No"))</f>
        <v>Yes</v>
      </c>
      <c r="T46" s="66" t="n">
        <f aca="false">IF(D46="","",ROUND(SQRT(((D46+G46)*O46/100)^2+(J46*(D46+G46)*0.02225)^2),0))</f>
        <v>165</v>
      </c>
      <c r="U46" s="32"/>
    </row>
    <row r="47" customFormat="false" ht="15" hidden="false" customHeight="false" outlineLevel="0" collapsed="false">
      <c r="A47" s="32" t="s">
        <v>219</v>
      </c>
      <c r="B47" s="32" t="s">
        <v>242</v>
      </c>
      <c r="C47" s="32" t="s">
        <v>191</v>
      </c>
      <c r="D47" s="66" t="n">
        <v>872</v>
      </c>
      <c r="E47" s="66" t="n">
        <v>1054</v>
      </c>
      <c r="F47" s="77" t="n">
        <f aca="false">IF(E47="","",D47-E47)</f>
        <v>-182</v>
      </c>
      <c r="G47" s="66" t="n">
        <v>1781</v>
      </c>
      <c r="H47" s="66" t="n">
        <v>1952</v>
      </c>
      <c r="I47" s="77" t="n">
        <f aca="false">IF(H47="","",G47-H47)</f>
        <v>-171</v>
      </c>
      <c r="J47" s="47" t="n">
        <f aca="false">IF(OR(D47="",D47+G47=0),"",D47/(D47+G47))</f>
        <v>0.328684508104033</v>
      </c>
      <c r="K47" s="47" t="n">
        <f aca="false">IF(E47="","",E47/(E47+H47))</f>
        <v>0.350632069194943</v>
      </c>
      <c r="L47" s="78" t="n">
        <f aca="false">IF(OR(K47="",J47=""),"",(J47-K47)*100)</f>
        <v>-2.19475610909103</v>
      </c>
      <c r="M47" s="36" t="n">
        <v>1.19581403900077</v>
      </c>
      <c r="N47" s="36" t="n">
        <v>1.2491777271704</v>
      </c>
      <c r="O47" s="36" t="n">
        <f aca="false">SQRT(M47^2+N47^2)</f>
        <v>1.7292819925998</v>
      </c>
      <c r="P47" s="47" t="n">
        <f aca="false">IF(J47="","",MAX(0,J47-1.96*O47/100))</f>
        <v>0.294790581049077</v>
      </c>
      <c r="Q47" s="47" t="n">
        <f aca="false">IF(J47="","",MIN(1,J47+1.96*O47/100))</f>
        <v>0.362578435158989</v>
      </c>
      <c r="R47" s="32" t="str">
        <f aca="false">IF(L47="","",IF(ABS(L47)&lt;=O47,"Yes","No"))</f>
        <v>No</v>
      </c>
      <c r="S47" s="32" t="str">
        <f aca="false">IF(L47="","",IF(ABS(L47)&lt;=1.96*O47,"Yes","No"))</f>
        <v>Yes</v>
      </c>
      <c r="T47" s="66" t="n">
        <f aca="false">IF(D47="","",ROUND(SQRT(((D47+G47)*O47/100)^2+(J47*(D47+G47)*0.02225)^2),0))</f>
        <v>50</v>
      </c>
      <c r="U47" s="32"/>
    </row>
    <row r="48" customFormat="false" ht="15" hidden="false" customHeight="false" outlineLevel="0" collapsed="false">
      <c r="A48" s="32" t="s">
        <v>219</v>
      </c>
      <c r="B48" s="32" t="s">
        <v>243</v>
      </c>
      <c r="C48" s="32" t="s">
        <v>191</v>
      </c>
      <c r="D48" s="66" t="n">
        <v>852</v>
      </c>
      <c r="E48" s="66" t="n">
        <v>981</v>
      </c>
      <c r="F48" s="77" t="n">
        <f aca="false">IF(E48="","",D48-E48)</f>
        <v>-129</v>
      </c>
      <c r="G48" s="66" t="n">
        <v>1677</v>
      </c>
      <c r="H48" s="66" t="n">
        <v>1711</v>
      </c>
      <c r="I48" s="77" t="n">
        <f aca="false">IF(H48="","",G48-H48)</f>
        <v>-34</v>
      </c>
      <c r="J48" s="47" t="n">
        <f aca="false">IF(OR(D48="",D48+G48=0),"",D48/(D48+G48))</f>
        <v>0.336892052194543</v>
      </c>
      <c r="K48" s="47" t="n">
        <f aca="false">IF(E48="","",E48/(E48+H48))</f>
        <v>0.364413075780089</v>
      </c>
      <c r="L48" s="78" t="n">
        <f aca="false">IF(OR(K48="",J48=""),"",(J48-K48)*100)</f>
        <v>-2.75210235855458</v>
      </c>
      <c r="M48" s="36" t="n">
        <v>1.79166014209263</v>
      </c>
      <c r="N48" s="36" t="n">
        <v>1.2491777271704</v>
      </c>
      <c r="O48" s="36" t="n">
        <f aca="false">SQRT(M48^2+N48^2)</f>
        <v>2.1841453840855</v>
      </c>
      <c r="P48" s="47" t="n">
        <f aca="false">IF(J48="","",MAX(0,J48-1.96*O48/100))</f>
        <v>0.294082802666468</v>
      </c>
      <c r="Q48" s="47" t="n">
        <f aca="false">IF(J48="","",MIN(1,J48+1.96*O48/100))</f>
        <v>0.379701301722619</v>
      </c>
      <c r="R48" s="32" t="str">
        <f aca="false">IF(L48="","",IF(ABS(L48)&lt;=O48,"Yes","No"))</f>
        <v>No</v>
      </c>
      <c r="S48" s="32" t="str">
        <f aca="false">IF(L48="","",IF(ABS(L48)&lt;=1.96*O48,"Yes","No"))</f>
        <v>Yes</v>
      </c>
      <c r="T48" s="66" t="n">
        <f aca="false">IF(D48="","",ROUND(SQRT(((D48+G48)*O48/100)^2+(J48*(D48+G48)*0.03811)^2),0))</f>
        <v>64</v>
      </c>
      <c r="U48" s="32"/>
    </row>
    <row r="49" customFormat="false" ht="15" hidden="false" customHeight="false" outlineLevel="0" collapsed="false">
      <c r="A49" s="32" t="s">
        <v>219</v>
      </c>
      <c r="B49" s="32" t="s">
        <v>244</v>
      </c>
      <c r="C49" s="32" t="s">
        <v>191</v>
      </c>
      <c r="D49" s="66" t="n">
        <v>5309</v>
      </c>
      <c r="E49" s="66" t="n">
        <v>5508</v>
      </c>
      <c r="F49" s="77" t="n">
        <f aca="false">IF(E49="","",D49-E49)</f>
        <v>-199</v>
      </c>
      <c r="G49" s="66" t="n">
        <v>4551</v>
      </c>
      <c r="H49" s="66" t="n">
        <v>4784</v>
      </c>
      <c r="I49" s="77" t="n">
        <f aca="false">IF(H49="","",G49-H49)</f>
        <v>-233</v>
      </c>
      <c r="J49" s="47" t="n">
        <f aca="false">IF(OR(D49="",D49+G49=0),"",D49/(D49+G49))</f>
        <v>0.538438133874239</v>
      </c>
      <c r="K49" s="47" t="n">
        <f aca="false">IF(E49="","",E49/(E49+H49))</f>
        <v>0.535172949863972</v>
      </c>
      <c r="L49" s="78" t="n">
        <f aca="false">IF(OR(K49="",J49=""),"",(J49-K49)*100)</f>
        <v>0.326518401026732</v>
      </c>
      <c r="M49" s="36" t="n">
        <v>1.19581403900077</v>
      </c>
      <c r="N49" s="36" t="n">
        <v>1.2491777271704</v>
      </c>
      <c r="O49" s="36" t="n">
        <f aca="false">SQRT(M49^2+N49^2)</f>
        <v>1.7292819925998</v>
      </c>
      <c r="P49" s="47" t="n">
        <f aca="false">IF(J49="","",MAX(0,J49-1.96*O49/100))</f>
        <v>0.504544206819283</v>
      </c>
      <c r="Q49" s="47" t="n">
        <f aca="false">IF(J49="","",MIN(1,J49+1.96*O49/100))</f>
        <v>0.572332060929195</v>
      </c>
      <c r="R49" s="32" t="str">
        <f aca="false">IF(L49="","",IF(ABS(L49)&lt;=O49,"Yes","No"))</f>
        <v>Yes</v>
      </c>
      <c r="S49" s="32" t="str">
        <f aca="false">IF(L49="","",IF(ABS(L49)&lt;=1.96*O49,"Yes","No"))</f>
        <v>Yes</v>
      </c>
      <c r="T49" s="66" t="n">
        <f aca="false">IF(D49="","",ROUND(SQRT(((D49+G49)*O49/100)^2+(J49*(D49+G49)*0.02225)^2),0))</f>
        <v>207</v>
      </c>
      <c r="U49" s="32"/>
    </row>
    <row r="50" customFormat="false" ht="15" hidden="false" customHeight="false" outlineLevel="0" collapsed="false">
      <c r="A50" s="32" t="s">
        <v>245</v>
      </c>
      <c r="B50" s="32" t="s">
        <v>246</v>
      </c>
      <c r="C50" s="32" t="s">
        <v>191</v>
      </c>
      <c r="D50" s="66" t="n">
        <v>349</v>
      </c>
      <c r="E50" s="66" t="n">
        <v>361</v>
      </c>
      <c r="F50" s="77" t="n">
        <f aca="false">IF(E50="","",D50-E50)</f>
        <v>-12</v>
      </c>
      <c r="G50" s="66" t="n">
        <v>699</v>
      </c>
      <c r="H50" s="66" t="n">
        <v>824</v>
      </c>
      <c r="I50" s="77" t="n">
        <f aca="false">IF(H50="","",G50-H50)</f>
        <v>-125</v>
      </c>
      <c r="J50" s="47" t="n">
        <f aca="false">IF(OR(D50="",D50+G50=0),"",D50/(D50+G50))</f>
        <v>0.333015267175573</v>
      </c>
      <c r="K50" s="47" t="n">
        <f aca="false">IF(E50="","",E50/(E50+H50))</f>
        <v>0.30464135021097</v>
      </c>
      <c r="L50" s="78" t="n">
        <f aca="false">IF(OR(K50="",J50=""),"",(J50-K50)*100)</f>
        <v>2.83739169646021</v>
      </c>
      <c r="M50" s="36" t="n">
        <v>2.87405876590783</v>
      </c>
      <c r="N50" s="36" t="n">
        <v>1.2491777271704</v>
      </c>
      <c r="O50" s="36" t="n">
        <f aca="false">SQRT(M50^2+N50^2)</f>
        <v>3.13379303463874</v>
      </c>
      <c r="P50" s="47" t="n">
        <f aca="false">IF(J50="","",MAX(0,J50-1.96*O50/100))</f>
        <v>0.271592923696653</v>
      </c>
      <c r="Q50" s="47" t="n">
        <f aca="false">IF(J50="","",MIN(1,J50+1.96*O50/100))</f>
        <v>0.394437610654492</v>
      </c>
      <c r="R50" s="32" t="str">
        <f aca="false">IF(L50="","",IF(ABS(L50)&lt;=O50,"Yes","No"))</f>
        <v>Yes</v>
      </c>
      <c r="S50" s="32" t="str">
        <f aca="false">IF(L50="","",IF(ABS(L50)&lt;=1.96*O50,"Yes","No"))</f>
        <v>Yes</v>
      </c>
      <c r="T50" s="66" t="n">
        <f aca="false">IF(D50="","",ROUND(SQRT(((D50+G50)*O50/100)^2+(J50*(D50+G50)*0.0534)^2),0))</f>
        <v>38</v>
      </c>
      <c r="U50" s="32"/>
    </row>
    <row r="51" customFormat="false" ht="15" hidden="false" customHeight="false" outlineLevel="0" collapsed="false">
      <c r="A51" s="32" t="s">
        <v>245</v>
      </c>
      <c r="B51" s="32" t="s">
        <v>247</v>
      </c>
      <c r="C51" s="32" t="s">
        <v>191</v>
      </c>
      <c r="D51" s="66" t="n">
        <v>1050</v>
      </c>
      <c r="E51" s="66" t="n">
        <v>1021</v>
      </c>
      <c r="F51" s="77" t="n">
        <f aca="false">IF(E51="","",D51-E51)</f>
        <v>29</v>
      </c>
      <c r="G51" s="66" t="n">
        <v>1738</v>
      </c>
      <c r="H51" s="66" t="n">
        <v>1984</v>
      </c>
      <c r="I51" s="77" t="n">
        <f aca="false">IF(H51="","",G51-H51)</f>
        <v>-246</v>
      </c>
      <c r="J51" s="47" t="n">
        <f aca="false">IF(OR(D51="",D51+G51=0),"",D51/(D51+G51))</f>
        <v>0.37661406025825</v>
      </c>
      <c r="K51" s="47" t="n">
        <f aca="false">IF(E51="","",E51/(E51+H51))</f>
        <v>0.339767054908486</v>
      </c>
      <c r="L51" s="78" t="n">
        <f aca="false">IF(OR(K51="",J51=""),"",(J51-K51)*100)</f>
        <v>3.68470053497638</v>
      </c>
      <c r="M51" s="36" t="n">
        <v>1.19581403900077</v>
      </c>
      <c r="N51" s="36" t="n">
        <v>1.2491777271704</v>
      </c>
      <c r="O51" s="36" t="n">
        <f aca="false">SQRT(M51^2+N51^2)</f>
        <v>1.7292819925998</v>
      </c>
      <c r="P51" s="47" t="n">
        <f aca="false">IF(J51="","",MAX(0,J51-1.96*O51/100))</f>
        <v>0.342720133203294</v>
      </c>
      <c r="Q51" s="47" t="n">
        <f aca="false">IF(J51="","",MIN(1,J51+1.96*O51/100))</f>
        <v>0.410507987313206</v>
      </c>
      <c r="R51" s="32" t="str">
        <f aca="false">IF(L51="","",IF(ABS(L51)&lt;=O51,"Yes","No"))</f>
        <v>No</v>
      </c>
      <c r="S51" s="32" t="str">
        <f aca="false">IF(L51="","",IF(ABS(L51)&lt;=1.96*O51,"Yes","No"))</f>
        <v>No</v>
      </c>
      <c r="T51" s="66" t="n">
        <f aca="false">IF(D51="","",ROUND(SQRT(((D51+G51)*O51/100)^2+(J51*(D51+G51)*0.02225)^2),0))</f>
        <v>54</v>
      </c>
      <c r="U51" s="32"/>
    </row>
    <row r="52" customFormat="false" ht="15" hidden="false" customHeight="false" outlineLevel="0" collapsed="false">
      <c r="A52" s="32" t="s">
        <v>245</v>
      </c>
      <c r="B52" s="32" t="s">
        <v>248</v>
      </c>
      <c r="C52" s="32" t="s">
        <v>191</v>
      </c>
      <c r="D52" s="66" t="n">
        <v>337</v>
      </c>
      <c r="E52" s="66" t="n">
        <v>380</v>
      </c>
      <c r="F52" s="77" t="n">
        <f aca="false">IF(E52="","",D52-E52)</f>
        <v>-43</v>
      </c>
      <c r="G52" s="66" t="n">
        <v>527</v>
      </c>
      <c r="H52" s="66" t="n">
        <v>732</v>
      </c>
      <c r="I52" s="77" t="n">
        <f aca="false">IF(H52="","",G52-H52)</f>
        <v>-205</v>
      </c>
      <c r="J52" s="47" t="n">
        <f aca="false">IF(OR(D52="",D52+G52=0),"",D52/(D52+G52))</f>
        <v>0.390046296296296</v>
      </c>
      <c r="K52" s="47" t="n">
        <f aca="false">IF(E52="","",E52/(E52+H52))</f>
        <v>0.341726618705036</v>
      </c>
      <c r="L52" s="78" t="n">
        <f aca="false">IF(OR(K52="",J52=""),"",(J52-K52)*100)</f>
        <v>4.83196775912603</v>
      </c>
      <c r="M52" s="36" t="n">
        <v>2.87405876590783</v>
      </c>
      <c r="N52" s="36" t="n">
        <v>1.2491777271704</v>
      </c>
      <c r="O52" s="36" t="n">
        <f aca="false">SQRT(M52^2+N52^2)</f>
        <v>3.13379303463874</v>
      </c>
      <c r="P52" s="47" t="n">
        <f aca="false">IF(J52="","",MAX(0,J52-1.96*O52/100))</f>
        <v>0.328623952817377</v>
      </c>
      <c r="Q52" s="47" t="n">
        <f aca="false">IF(J52="","",MIN(1,J52+1.96*O52/100))</f>
        <v>0.451468639775216</v>
      </c>
      <c r="R52" s="32" t="str">
        <f aca="false">IF(L52="","",IF(ABS(L52)&lt;=O52,"Yes","No"))</f>
        <v>No</v>
      </c>
      <c r="S52" s="32" t="str">
        <f aca="false">IF(L52="","",IF(ABS(L52)&lt;=1.96*O52,"Yes","No"))</f>
        <v>Yes</v>
      </c>
      <c r="T52" s="66" t="n">
        <f aca="false">IF(D52="","",ROUND(SQRT(((D52+G52)*O52/100)^2+(J52*(D52+G52)*0.0534)^2),0))</f>
        <v>33</v>
      </c>
      <c r="U52" s="32"/>
    </row>
    <row r="53" customFormat="false" ht="15" hidden="false" customHeight="false" outlineLevel="0" collapsed="false">
      <c r="A53" s="32" t="s">
        <v>249</v>
      </c>
      <c r="B53" s="32" t="s">
        <v>250</v>
      </c>
      <c r="C53" s="32" t="s">
        <v>191</v>
      </c>
      <c r="D53" s="66" t="n">
        <v>1015</v>
      </c>
      <c r="E53" s="66" t="n">
        <v>1174</v>
      </c>
      <c r="F53" s="77" t="n">
        <f aca="false">IF(E53="","",D53-E53)</f>
        <v>-159</v>
      </c>
      <c r="G53" s="66" t="n">
        <v>1332</v>
      </c>
      <c r="H53" s="66" t="n">
        <v>1426</v>
      </c>
      <c r="I53" s="77" t="n">
        <f aca="false">IF(H53="","",G53-H53)</f>
        <v>-94</v>
      </c>
      <c r="J53" s="47" t="n">
        <f aca="false">IF(OR(D53="",D53+G53=0),"",D53/(D53+G53))</f>
        <v>0.432466979122284</v>
      </c>
      <c r="K53" s="47" t="n">
        <f aca="false">IF(E53="","",E53/(E53+H53))</f>
        <v>0.451538461538462</v>
      </c>
      <c r="L53" s="78" t="n">
        <f aca="false">IF(OR(K53="",J53=""),"",(J53-K53)*100)</f>
        <v>-1.90714824161778</v>
      </c>
      <c r="M53" s="36" t="n">
        <v>1.79166014209263</v>
      </c>
      <c r="N53" s="36" t="n">
        <v>1.2491777271704</v>
      </c>
      <c r="O53" s="36" t="n">
        <f aca="false">SQRT(M53^2+N53^2)</f>
        <v>2.1841453840855</v>
      </c>
      <c r="P53" s="47" t="n">
        <f aca="false">IF(J53="","",MAX(0,J53-1.96*O53/100))</f>
        <v>0.389657729594208</v>
      </c>
      <c r="Q53" s="47" t="n">
        <f aca="false">IF(J53="","",MIN(1,J53+1.96*O53/100))</f>
        <v>0.47527622865036</v>
      </c>
      <c r="R53" s="32" t="str">
        <f aca="false">IF(L53="","",IF(ABS(L53)&lt;=O53,"Yes","No"))</f>
        <v>Yes</v>
      </c>
      <c r="S53" s="32" t="str">
        <f aca="false">IF(L53="","",IF(ABS(L53)&lt;=1.96*O53,"Yes","No"))</f>
        <v>Yes</v>
      </c>
      <c r="T53" s="66" t="n">
        <f aca="false">IF(D53="","",ROUND(SQRT(((D53+G53)*O53/100)^2+(J53*(D53+G53)*0.03811)^2),0))</f>
        <v>64</v>
      </c>
      <c r="U53" s="32"/>
    </row>
    <row r="54" customFormat="false" ht="15" hidden="false" customHeight="false" outlineLevel="0" collapsed="false">
      <c r="A54" s="32" t="s">
        <v>249</v>
      </c>
      <c r="B54" s="32" t="s">
        <v>251</v>
      </c>
      <c r="C54" s="32" t="s">
        <v>191</v>
      </c>
      <c r="D54" s="66" t="n">
        <v>677</v>
      </c>
      <c r="E54" s="66" t="n">
        <v>729</v>
      </c>
      <c r="F54" s="77" t="n">
        <f aca="false">IF(E54="","",D54-E54)</f>
        <v>-52</v>
      </c>
      <c r="G54" s="66" t="n">
        <v>897</v>
      </c>
      <c r="H54" s="66" t="n">
        <v>928</v>
      </c>
      <c r="I54" s="77" t="n">
        <f aca="false">IF(H54="","",G54-H54)</f>
        <v>-31</v>
      </c>
      <c r="J54" s="47" t="n">
        <f aca="false">IF(OR(D54="",D54+G54=0),"",D54/(D54+G54))</f>
        <v>0.430114358322745</v>
      </c>
      <c r="K54" s="47" t="n">
        <f aca="false">IF(E54="","",E54/(E54+H54))</f>
        <v>0.43995171997586</v>
      </c>
      <c r="L54" s="78" t="n">
        <f aca="false">IF(OR(K54="",J54=""),"",(J54-K54)*100)</f>
        <v>-0.983736165311538</v>
      </c>
      <c r="M54" s="36" t="n">
        <v>1.79166014209263</v>
      </c>
      <c r="N54" s="36" t="n">
        <v>1.2491777271704</v>
      </c>
      <c r="O54" s="36" t="n">
        <f aca="false">SQRT(M54^2+N54^2)</f>
        <v>2.1841453840855</v>
      </c>
      <c r="P54" s="47" t="n">
        <f aca="false">IF(J54="","",MAX(0,J54-1.96*O54/100))</f>
        <v>0.387305108794669</v>
      </c>
      <c r="Q54" s="47" t="n">
        <f aca="false">IF(J54="","",MIN(1,J54+1.96*O54/100))</f>
        <v>0.47292360785082</v>
      </c>
      <c r="R54" s="32" t="str">
        <f aca="false">IF(L54="","",IF(ABS(L54)&lt;=O54,"Yes","No"))</f>
        <v>Yes</v>
      </c>
      <c r="S54" s="32" t="str">
        <f aca="false">IF(L54="","",IF(ABS(L54)&lt;=1.96*O54,"Yes","No"))</f>
        <v>Yes</v>
      </c>
      <c r="T54" s="66" t="n">
        <f aca="false">IF(D54="","",ROUND(SQRT(((D54+G54)*O54/100)^2+(J54*(D54+G54)*0.03811)^2),0))</f>
        <v>43</v>
      </c>
      <c r="U54" s="32"/>
    </row>
    <row r="55" customFormat="false" ht="15" hidden="false" customHeight="false" outlineLevel="0" collapsed="false">
      <c r="A55" s="32" t="s">
        <v>249</v>
      </c>
      <c r="B55" s="32" t="s">
        <v>252</v>
      </c>
      <c r="C55" s="32" t="s">
        <v>191</v>
      </c>
      <c r="D55" s="66" t="n">
        <v>413</v>
      </c>
      <c r="E55" s="66" t="n">
        <v>441</v>
      </c>
      <c r="F55" s="77" t="n">
        <f aca="false">IF(E55="","",D55-E55)</f>
        <v>-28</v>
      </c>
      <c r="G55" s="66" t="n">
        <v>461</v>
      </c>
      <c r="H55" s="66" t="n">
        <v>513</v>
      </c>
      <c r="I55" s="77" t="n">
        <f aca="false">IF(H55="","",G55-H55)</f>
        <v>-52</v>
      </c>
      <c r="J55" s="47" t="n">
        <f aca="false">IF(OR(D55="",D55+G55=0),"",D55/(D55+G55))</f>
        <v>0.47254004576659</v>
      </c>
      <c r="K55" s="47" t="n">
        <f aca="false">IF(E55="","",E55/(E55+H55))</f>
        <v>0.462264150943396</v>
      </c>
      <c r="L55" s="78" t="n">
        <f aca="false">IF(OR(K55="",J55=""),"",(J55-K55)*100)</f>
        <v>1.02758948231941</v>
      </c>
      <c r="M55" s="36" t="n">
        <v>2.87405876590783</v>
      </c>
      <c r="N55" s="36" t="n">
        <v>1.2491777271704</v>
      </c>
      <c r="O55" s="36" t="n">
        <f aca="false">SQRT(M55^2+N55^2)</f>
        <v>3.13379303463874</v>
      </c>
      <c r="P55" s="47" t="n">
        <f aca="false">IF(J55="","",MAX(0,J55-1.96*O55/100))</f>
        <v>0.411117702287671</v>
      </c>
      <c r="Q55" s="47" t="n">
        <f aca="false">IF(J55="","",MIN(1,J55+1.96*O55/100))</f>
        <v>0.53396238924551</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249</v>
      </c>
      <c r="B56" s="32" t="s">
        <v>222</v>
      </c>
      <c r="C56" s="32" t="s">
        <v>191</v>
      </c>
      <c r="D56" s="66" t="n">
        <v>12049</v>
      </c>
      <c r="E56" s="66" t="n">
        <v>12402</v>
      </c>
      <c r="F56" s="77" t="n">
        <f aca="false">IF(E56="","",D56-E56)</f>
        <v>-353</v>
      </c>
      <c r="G56" s="66" t="n">
        <v>5619</v>
      </c>
      <c r="H56" s="66" t="n">
        <v>5692</v>
      </c>
      <c r="I56" s="77" t="n">
        <f aca="false">IF(H56="","",G56-H56)</f>
        <v>-73</v>
      </c>
      <c r="J56" s="47" t="n">
        <f aca="false">IF(OR(D56="",D56+G56=0),"",D56/(D56+G56))</f>
        <v>0.681967398686892</v>
      </c>
      <c r="K56" s="47" t="n">
        <f aca="false">IF(E56="","",E56/(E56+H56))</f>
        <v>0.685420581408202</v>
      </c>
      <c r="L56" s="78" t="n">
        <f aca="false">IF(OR(K56="",J56=""),"",(J56-K56)*100)</f>
        <v>-0.345318272131001</v>
      </c>
      <c r="M56" s="36" t="n">
        <v>1.19581403900077</v>
      </c>
      <c r="N56" s="36" t="n">
        <v>1.2491777271704</v>
      </c>
      <c r="O56" s="36" t="n">
        <f aca="false">SQRT(M56^2+N56^2)</f>
        <v>1.7292819925998</v>
      </c>
      <c r="P56" s="47" t="n">
        <f aca="false">IF(J56="","",MAX(0,J56-1.96*O56/100))</f>
        <v>0.648073471631936</v>
      </c>
      <c r="Q56" s="47" t="n">
        <f aca="false">IF(J56="","",MIN(1,J56+1.96*O56/100))</f>
        <v>0.715861325741848</v>
      </c>
      <c r="R56" s="32" t="str">
        <f aca="false">IF(L56="","",IF(ABS(L56)&lt;=O56,"Yes","No"))</f>
        <v>Yes</v>
      </c>
      <c r="S56" s="32" t="str">
        <f aca="false">IF(L56="","",IF(ABS(L56)&lt;=1.96*O56,"Yes","No"))</f>
        <v>Yes</v>
      </c>
      <c r="T56" s="66" t="n">
        <f aca="false">IF(D56="","",ROUND(SQRT(((D56+G56)*O56/100)^2+(J56*(D56+G56)*0.02225)^2),0))</f>
        <v>406</v>
      </c>
      <c r="U56" s="32"/>
    </row>
    <row r="57" customFormat="false" ht="15" hidden="false" customHeight="false" outlineLevel="0" collapsed="false">
      <c r="A57" s="32" t="s">
        <v>249</v>
      </c>
      <c r="B57" s="32" t="s">
        <v>253</v>
      </c>
      <c r="C57" s="32" t="s">
        <v>191</v>
      </c>
      <c r="D57" s="66" t="n">
        <v>5927</v>
      </c>
      <c r="E57" s="66" t="n">
        <v>6681</v>
      </c>
      <c r="F57" s="77" t="n">
        <f aca="false">IF(E57="","",D57-E57)</f>
        <v>-754</v>
      </c>
      <c r="G57" s="66" t="n">
        <v>5274</v>
      </c>
      <c r="H57" s="66" t="n">
        <v>5562</v>
      </c>
      <c r="I57" s="77" t="n">
        <f aca="false">IF(H57="","",G57-H57)</f>
        <v>-288</v>
      </c>
      <c r="J57" s="47" t="n">
        <f aca="false">IF(OR(D57="",D57+G57=0),"",D57/(D57+G57))</f>
        <v>0.529149183108651</v>
      </c>
      <c r="K57" s="47" t="n">
        <f aca="false">IF(E57="","",E57/(E57+H57))</f>
        <v>0.545699583435433</v>
      </c>
      <c r="L57" s="78" t="n">
        <f aca="false">IF(OR(K57="",J57=""),"",(J57-K57)*100)</f>
        <v>-1.65504003267815</v>
      </c>
      <c r="M57" s="36" t="n">
        <v>1.19581403900077</v>
      </c>
      <c r="N57" s="36" t="n">
        <v>1.2491777271704</v>
      </c>
      <c r="O57" s="36" t="n">
        <f aca="false">SQRT(M57^2+N57^2)</f>
        <v>1.7292819925998</v>
      </c>
      <c r="P57" s="47" t="n">
        <f aca="false">IF(J57="","",MAX(0,J57-1.96*O57/100))</f>
        <v>0.495255256053695</v>
      </c>
      <c r="Q57" s="47" t="n">
        <f aca="false">IF(J57="","",MIN(1,J57+1.96*O57/100))</f>
        <v>0.563043110163607</v>
      </c>
      <c r="R57" s="32" t="str">
        <f aca="false">IF(L57="","",IF(ABS(L57)&lt;=O57,"Yes","No"))</f>
        <v>Yes</v>
      </c>
      <c r="S57" s="32" t="str">
        <f aca="false">IF(L57="","",IF(ABS(L57)&lt;=1.96*O57,"Yes","No"))</f>
        <v>Yes</v>
      </c>
      <c r="T57" s="66" t="n">
        <f aca="false">IF(D57="","",ROUND(SQRT(((D57+G57)*O57/100)^2+(J57*(D57+G57)*0.02225)^2),0))</f>
        <v>234</v>
      </c>
      <c r="U57" s="32"/>
    </row>
    <row r="58" customFormat="false" ht="15" hidden="false" customHeight="false" outlineLevel="0" collapsed="false">
      <c r="A58" s="32" t="s">
        <v>249</v>
      </c>
      <c r="B58" s="32" t="s">
        <v>254</v>
      </c>
      <c r="C58" s="32" t="s">
        <v>191</v>
      </c>
      <c r="D58" s="66" t="n">
        <v>1448</v>
      </c>
      <c r="E58" s="66" t="n">
        <v>1737</v>
      </c>
      <c r="F58" s="77" t="n">
        <f aca="false">IF(E58="","",D58-E58)</f>
        <v>-289</v>
      </c>
      <c r="G58" s="66" t="n">
        <v>2394</v>
      </c>
      <c r="H58" s="66" t="n">
        <v>2662</v>
      </c>
      <c r="I58" s="77" t="n">
        <f aca="false">IF(H58="","",G58-H58)</f>
        <v>-268</v>
      </c>
      <c r="J58" s="47" t="n">
        <f aca="false">IF(OR(D58="",D58+G58=0),"",D58/(D58+G58))</f>
        <v>0.376887038001041</v>
      </c>
      <c r="K58" s="47" t="n">
        <f aca="false">IF(E58="","",E58/(E58+H58))</f>
        <v>0.394862468742896</v>
      </c>
      <c r="L58" s="78" t="n">
        <f aca="false">IF(OR(K58="",J58=""),"",(J58-K58)*100)</f>
        <v>-1.7975430741855</v>
      </c>
      <c r="M58" s="36" t="n">
        <v>1.19581403900077</v>
      </c>
      <c r="N58" s="36" t="n">
        <v>1.2491777271704</v>
      </c>
      <c r="O58" s="36" t="n">
        <f aca="false">SQRT(M58^2+N58^2)</f>
        <v>1.7292819925998</v>
      </c>
      <c r="P58" s="47" t="n">
        <f aca="false">IF(J58="","",MAX(0,J58-1.96*O58/100))</f>
        <v>0.342993110946085</v>
      </c>
      <c r="Q58" s="47" t="n">
        <f aca="false">IF(J58="","",MIN(1,J58+1.96*O58/100))</f>
        <v>0.410780965055997</v>
      </c>
      <c r="R58" s="32" t="str">
        <f aca="false">IF(L58="","",IF(ABS(L58)&lt;=O58,"Yes","No"))</f>
        <v>No</v>
      </c>
      <c r="S58" s="32" t="str">
        <f aca="false">IF(L58="","",IF(ABS(L58)&lt;=1.96*O58,"Yes","No"))</f>
        <v>Yes</v>
      </c>
      <c r="T58" s="66" t="n">
        <f aca="false">IF(D58="","",ROUND(SQRT(((D58+G58)*O58/100)^2+(J58*(D58+G58)*0.02225)^2),0))</f>
        <v>74</v>
      </c>
      <c r="U58" s="32"/>
    </row>
    <row r="59" customFormat="false" ht="15" hidden="false" customHeight="false" outlineLevel="0" collapsed="false">
      <c r="A59" s="32" t="s">
        <v>249</v>
      </c>
      <c r="B59" s="32" t="s">
        <v>255</v>
      </c>
      <c r="C59" s="32" t="s">
        <v>191</v>
      </c>
      <c r="D59" s="66" t="n">
        <v>25</v>
      </c>
      <c r="E59" s="66" t="n">
        <v>31</v>
      </c>
      <c r="F59" s="77" t="n">
        <f aca="false">IF(E59="","",D59-E59)</f>
        <v>-6</v>
      </c>
      <c r="G59" s="66" t="n">
        <v>43</v>
      </c>
      <c r="H59" s="66" t="n">
        <v>55</v>
      </c>
      <c r="I59" s="77" t="n">
        <f aca="false">IF(H59="","",G59-H59)</f>
        <v>-12</v>
      </c>
      <c r="J59" s="47" t="n">
        <f aca="false">IF(OR(D59="",D59+G59=0),"",D59/(D59+G59))</f>
        <v>0.367647058823529</v>
      </c>
      <c r="K59" s="47" t="n">
        <f aca="false">IF(E59="","",E59/(E59+H59))</f>
        <v>0.36046511627907</v>
      </c>
      <c r="L59" s="78" t="n">
        <f aca="false">IF(OR(K59="",J59=""),"",(J59-K59)*100)</f>
        <v>0.71819425444597</v>
      </c>
      <c r="M59" s="36" t="n">
        <v>2.87405876590783</v>
      </c>
      <c r="N59" s="36" t="n">
        <v>1.2491777271704</v>
      </c>
      <c r="O59" s="36" t="n">
        <f aca="false">SQRT(M59^2+N59^2)</f>
        <v>3.13379303463874</v>
      </c>
      <c r="P59" s="47" t="n">
        <f aca="false">IF(J59="","",MAX(0,J59-1.96*O59/100))</f>
        <v>0.30622471534461</v>
      </c>
      <c r="Q59" s="47" t="n">
        <f aca="false">IF(J59="","",MIN(1,J59+1.96*O59/100))</f>
        <v>0.429069402302449</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249</v>
      </c>
      <c r="B60" s="32" t="s">
        <v>256</v>
      </c>
      <c r="C60" s="32" t="s">
        <v>191</v>
      </c>
      <c r="D60" s="66" t="n">
        <v>928</v>
      </c>
      <c r="E60" s="66" t="n">
        <v>1109</v>
      </c>
      <c r="F60" s="77" t="n">
        <f aca="false">IF(E60="","",D60-E60)</f>
        <v>-181</v>
      </c>
      <c r="G60" s="66" t="n">
        <v>1335</v>
      </c>
      <c r="H60" s="66" t="n">
        <v>1408</v>
      </c>
      <c r="I60" s="77" t="n">
        <f aca="false">IF(H60="","",G60-H60)</f>
        <v>-73</v>
      </c>
      <c r="J60" s="47" t="n">
        <f aca="false">IF(OR(D60="",D60+G60=0),"",D60/(D60+G60))</f>
        <v>0.410075121520106</v>
      </c>
      <c r="K60" s="47" t="n">
        <f aca="false">IF(E60="","",E60/(E60+H60))</f>
        <v>0.440603893524037</v>
      </c>
      <c r="L60" s="78" t="n">
        <f aca="false">IF(OR(K60="",J60=""),"",(J60-K60)*100)</f>
        <v>-3.05287720039305</v>
      </c>
      <c r="M60" s="36" t="n">
        <v>1.79166014209263</v>
      </c>
      <c r="N60" s="36" t="n">
        <v>1.2491777271704</v>
      </c>
      <c r="O60" s="36" t="n">
        <f aca="false">SQRT(M60^2+N60^2)</f>
        <v>2.1841453840855</v>
      </c>
      <c r="P60" s="47" t="n">
        <f aca="false">IF(J60="","",MAX(0,J60-1.96*O60/100))</f>
        <v>0.36726587199203</v>
      </c>
      <c r="Q60" s="47" t="n">
        <f aca="false">IF(J60="","",MIN(1,J60+1.96*O60/100))</f>
        <v>0.452884371048182</v>
      </c>
      <c r="R60" s="32" t="str">
        <f aca="false">IF(L60="","",IF(ABS(L60)&lt;=O60,"Yes","No"))</f>
        <v>No</v>
      </c>
      <c r="S60" s="32" t="str">
        <f aca="false">IF(L60="","",IF(ABS(L60)&lt;=1.96*O60,"Yes","No"))</f>
        <v>Yes</v>
      </c>
      <c r="T60" s="66" t="n">
        <f aca="false">IF(D60="","",ROUND(SQRT(((D60+G60)*O60/100)^2+(J60*(D60+G60)*0.03811)^2),0))</f>
        <v>61</v>
      </c>
      <c r="U60" s="32"/>
    </row>
    <row r="61" customFormat="false" ht="15" hidden="false" customHeight="false" outlineLevel="0" collapsed="false">
      <c r="A61" s="32" t="s">
        <v>249</v>
      </c>
      <c r="B61" s="32" t="s">
        <v>257</v>
      </c>
      <c r="C61" s="32" t="s">
        <v>191</v>
      </c>
      <c r="D61" s="66" t="n">
        <v>126</v>
      </c>
      <c r="E61" s="66" t="n">
        <v>137</v>
      </c>
      <c r="F61" s="77" t="n">
        <f aca="false">IF(E61="","",D61-E61)</f>
        <v>-11</v>
      </c>
      <c r="G61" s="66" t="n">
        <v>222</v>
      </c>
      <c r="H61" s="66" t="n">
        <v>214</v>
      </c>
      <c r="I61" s="77" t="n">
        <f aca="false">IF(H61="","",G61-H61)</f>
        <v>8</v>
      </c>
      <c r="J61" s="47" t="n">
        <f aca="false">IF(OR(D61="",D61+G61=0),"",D61/(D61+G61))</f>
        <v>0.362068965517241</v>
      </c>
      <c r="K61" s="47" t="n">
        <f aca="false">IF(E61="","",E61/(E61+H61))</f>
        <v>0.39031339031339</v>
      </c>
      <c r="L61" s="78" t="n">
        <f aca="false">IF(OR(K61="",J61=""),"",(J61-K61)*100)</f>
        <v>-2.82444247961489</v>
      </c>
      <c r="M61" s="36" t="n">
        <v>2.87405876590783</v>
      </c>
      <c r="N61" s="36" t="n">
        <v>1.2491777271704</v>
      </c>
      <c r="O61" s="36" t="n">
        <f aca="false">SQRT(M61^2+N61^2)</f>
        <v>3.13379303463874</v>
      </c>
      <c r="P61" s="47" t="n">
        <f aca="false">IF(J61="","",MAX(0,J61-1.96*O61/100))</f>
        <v>0.300646622038322</v>
      </c>
      <c r="Q61" s="47" t="n">
        <f aca="false">IF(J61="","",MIN(1,J61+1.96*O61/100))</f>
        <v>0.423491308996161</v>
      </c>
      <c r="R61" s="32" t="str">
        <f aca="false">IF(L61="","",IF(ABS(L61)&lt;=O61,"Yes","No"))</f>
        <v>Yes</v>
      </c>
      <c r="S61" s="32" t="str">
        <f aca="false">IF(L61="","",IF(ABS(L61)&lt;=1.96*O61,"Yes","No"))</f>
        <v>Yes</v>
      </c>
      <c r="T61" s="66" t="n">
        <f aca="false">IF(D61="","",ROUND(SQRT(((D61+G61)*O61/100)^2+(J61*(D61+G61)*0.0534)^2),0))</f>
        <v>13</v>
      </c>
      <c r="U61" s="32"/>
    </row>
    <row r="62" customFormat="false" ht="15" hidden="false" customHeight="false" outlineLevel="0" collapsed="false">
      <c r="A62" s="32" t="s">
        <v>249</v>
      </c>
      <c r="B62" s="32" t="s">
        <v>258</v>
      </c>
      <c r="C62" s="32" t="s">
        <v>191</v>
      </c>
      <c r="D62" s="66" t="n">
        <v>5008</v>
      </c>
      <c r="E62" s="66" t="n">
        <v>5210</v>
      </c>
      <c r="F62" s="77" t="n">
        <f aca="false">IF(E62="","",D62-E62)</f>
        <v>-202</v>
      </c>
      <c r="G62" s="66" t="n">
        <v>1942</v>
      </c>
      <c r="H62" s="66" t="n">
        <v>1883</v>
      </c>
      <c r="I62" s="77" t="n">
        <f aca="false">IF(H62="","",G62-H62)</f>
        <v>59</v>
      </c>
      <c r="J62" s="47" t="n">
        <f aca="false">IF(OR(D62="",D62+G62=0),"",D62/(D62+G62))</f>
        <v>0.720575539568345</v>
      </c>
      <c r="K62" s="47" t="n">
        <f aca="false">IF(E62="","",E62/(E62+H62))</f>
        <v>0.734526998449175</v>
      </c>
      <c r="L62" s="78" t="n">
        <f aca="false">IF(OR(K62="",J62=""),"",(J62-K62)*100)</f>
        <v>-1.39514588808299</v>
      </c>
      <c r="M62" s="36" t="n">
        <v>1.19581403900077</v>
      </c>
      <c r="N62" s="36" t="n">
        <v>1.2491777271704</v>
      </c>
      <c r="O62" s="36" t="n">
        <f aca="false">SQRT(M62^2+N62^2)</f>
        <v>1.7292819925998</v>
      </c>
      <c r="P62" s="47" t="n">
        <f aca="false">IF(J62="","",MAX(0,J62-1.96*O62/100))</f>
        <v>0.686681612513389</v>
      </c>
      <c r="Q62" s="47" t="n">
        <f aca="false">IF(J62="","",MIN(1,J62+1.96*O62/100))</f>
        <v>0.754469466623301</v>
      </c>
      <c r="R62" s="32" t="str">
        <f aca="false">IF(L62="","",IF(ABS(L62)&lt;=O62,"Yes","No"))</f>
        <v>Yes</v>
      </c>
      <c r="S62" s="32" t="str">
        <f aca="false">IF(L62="","",IF(ABS(L62)&lt;=1.96*O62,"Yes","No"))</f>
        <v>Yes</v>
      </c>
      <c r="T62" s="66" t="n">
        <f aca="false">IF(D62="","",ROUND(SQRT(((D62+G62)*O62/100)^2+(J62*(D62+G62)*0.02225)^2),0))</f>
        <v>164</v>
      </c>
      <c r="U62" s="32"/>
    </row>
    <row r="63" customFormat="false" ht="15" hidden="false" customHeight="false" outlineLevel="0" collapsed="false">
      <c r="A63" s="32" t="s">
        <v>249</v>
      </c>
      <c r="B63" s="32" t="s">
        <v>259</v>
      </c>
      <c r="C63" s="32" t="s">
        <v>191</v>
      </c>
      <c r="D63" s="66" t="n">
        <v>3855</v>
      </c>
      <c r="E63" s="66" t="n">
        <v>4158</v>
      </c>
      <c r="F63" s="77" t="n">
        <f aca="false">IF(E63="","",D63-E63)</f>
        <v>-303</v>
      </c>
      <c r="G63" s="66" t="n">
        <v>3400</v>
      </c>
      <c r="H63" s="66" t="n">
        <v>3782</v>
      </c>
      <c r="I63" s="77" t="n">
        <f aca="false">IF(H63="","",G63-H63)</f>
        <v>-382</v>
      </c>
      <c r="J63" s="47" t="n">
        <f aca="false">IF(OR(D63="",D63+G63=0),"",D63/(D63+G63))</f>
        <v>0.531357684355617</v>
      </c>
      <c r="K63" s="47" t="n">
        <f aca="false">IF(E63="","",E63/(E63+H63))</f>
        <v>0.52367758186398</v>
      </c>
      <c r="L63" s="78" t="n">
        <f aca="false">IF(OR(K63="",J63=""),"",(J63-K63)*100)</f>
        <v>0.768010249163698</v>
      </c>
      <c r="M63" s="36" t="n">
        <v>1.19581403900077</v>
      </c>
      <c r="N63" s="36" t="n">
        <v>1.2491777271704</v>
      </c>
      <c r="O63" s="36" t="n">
        <f aca="false">SQRT(M63^2+N63^2)</f>
        <v>1.7292819925998</v>
      </c>
      <c r="P63" s="47" t="n">
        <f aca="false">IF(J63="","",MAX(0,J63-1.96*O63/100))</f>
        <v>0.497463757300661</v>
      </c>
      <c r="Q63" s="47" t="n">
        <f aca="false">IF(J63="","",MIN(1,J63+1.96*O63/100))</f>
        <v>0.565251611410573</v>
      </c>
      <c r="R63" s="32" t="str">
        <f aca="false">IF(L63="","",IF(ABS(L63)&lt;=O63,"Yes","No"))</f>
        <v>Yes</v>
      </c>
      <c r="S63" s="32" t="str">
        <f aca="false">IF(L63="","",IF(ABS(L63)&lt;=1.96*O63,"Yes","No"))</f>
        <v>Yes</v>
      </c>
      <c r="T63" s="66" t="n">
        <f aca="false">IF(D63="","",ROUND(SQRT(((D63+G63)*O63/100)^2+(J63*(D63+G63)*0.02225)^2),0))</f>
        <v>152</v>
      </c>
      <c r="U63" s="32"/>
    </row>
    <row r="64" customFormat="false" ht="15" hidden="false" customHeight="false" outlineLevel="0" collapsed="false">
      <c r="A64" s="32" t="s">
        <v>249</v>
      </c>
      <c r="B64" s="32" t="s">
        <v>260</v>
      </c>
      <c r="C64" s="32" t="s">
        <v>191</v>
      </c>
      <c r="D64" s="66" t="n">
        <v>533</v>
      </c>
      <c r="E64" s="66" t="n">
        <v>480</v>
      </c>
      <c r="F64" s="77" t="n">
        <f aca="false">IF(E64="","",D64-E64)</f>
        <v>53</v>
      </c>
      <c r="G64" s="66" t="n">
        <v>298</v>
      </c>
      <c r="H64" s="66" t="n">
        <v>330</v>
      </c>
      <c r="I64" s="77" t="n">
        <f aca="false">IF(H64="","",G64-H64)</f>
        <v>-32</v>
      </c>
      <c r="J64" s="47" t="n">
        <f aca="false">IF(OR(D64="",D64+G64=0),"",D64/(D64+G64))</f>
        <v>0.641395908543923</v>
      </c>
      <c r="K64" s="47" t="n">
        <f aca="false">IF(E64="","",E64/(E64+H64))</f>
        <v>0.592592592592593</v>
      </c>
      <c r="L64" s="78" t="n">
        <f aca="false">IF(OR(K64="",J64=""),"",(J64-K64)*100)</f>
        <v>4.88033159513305</v>
      </c>
      <c r="M64" s="36" t="n">
        <v>2.87405876590783</v>
      </c>
      <c r="N64" s="36" t="n">
        <v>1.2491777271704</v>
      </c>
      <c r="O64" s="36" t="n">
        <f aca="false">SQRT(M64^2+N64^2)</f>
        <v>3.13379303463874</v>
      </c>
      <c r="P64" s="47" t="n">
        <f aca="false">IF(J64="","",MAX(0,J64-1.96*O64/100))</f>
        <v>0.579973565065004</v>
      </c>
      <c r="Q64" s="47" t="n">
        <f aca="false">IF(J64="","",MIN(1,J64+1.96*O64/100))</f>
        <v>0.702818252022842</v>
      </c>
      <c r="R64" s="32" t="str">
        <f aca="false">IF(L64="","",IF(ABS(L64)&lt;=O64,"Yes","No"))</f>
        <v>No</v>
      </c>
      <c r="S64" s="32" t="str">
        <f aca="false">IF(L64="","",IF(ABS(L64)&lt;=1.96*O64,"Yes","No"))</f>
        <v>Yes</v>
      </c>
      <c r="T64" s="66" t="n">
        <f aca="false">IF(D64="","",ROUND(SQRT(((D64+G64)*O64/100)^2+(J64*(D64+G64)*0.0534)^2),0))</f>
        <v>39</v>
      </c>
      <c r="U64" s="32"/>
    </row>
    <row r="65" customFormat="false" ht="15" hidden="false" customHeight="false" outlineLevel="0" collapsed="false">
      <c r="A65" s="32" t="s">
        <v>249</v>
      </c>
      <c r="B65" s="32" t="s">
        <v>261</v>
      </c>
      <c r="C65" s="32" t="s">
        <v>191</v>
      </c>
      <c r="D65" s="66" t="n">
        <v>69</v>
      </c>
      <c r="E65" s="66" t="n">
        <v>72</v>
      </c>
      <c r="F65" s="77" t="n">
        <f aca="false">IF(E65="","",D65-E65)</f>
        <v>-3</v>
      </c>
      <c r="G65" s="66" t="n">
        <v>59</v>
      </c>
      <c r="H65" s="66" t="n">
        <v>69</v>
      </c>
      <c r="I65" s="77" t="n">
        <f aca="false">IF(H65="","",G65-H65)</f>
        <v>-10</v>
      </c>
      <c r="J65" s="47" t="n">
        <f aca="false">IF(OR(D65="",D65+G65=0),"",D65/(D65+G65))</f>
        <v>0.5390625</v>
      </c>
      <c r="K65" s="47" t="n">
        <f aca="false">IF(E65="","",E65/(E65+H65))</f>
        <v>0.51063829787234</v>
      </c>
      <c r="L65" s="78" t="n">
        <f aca="false">IF(OR(K65="",J65=""),"",(J65-K65)*100)</f>
        <v>2.84242021276596</v>
      </c>
      <c r="M65" s="36" t="n">
        <v>2.87405876590783</v>
      </c>
      <c r="N65" s="36" t="n">
        <v>1.2491777271704</v>
      </c>
      <c r="O65" s="36" t="n">
        <f aca="false">SQRT(M65^2+N65^2)</f>
        <v>3.13379303463874</v>
      </c>
      <c r="P65" s="47" t="n">
        <f aca="false">IF(J65="","",MAX(0,J65-1.96*O65/100))</f>
        <v>0.477640156521081</v>
      </c>
      <c r="Q65" s="47" t="n">
        <f aca="false">IF(J65="","",MIN(1,J65+1.96*O65/100))</f>
        <v>0.600484843478919</v>
      </c>
      <c r="R65" s="32" t="str">
        <f aca="false">IF(L65="","",IF(ABS(L65)&lt;=O65,"Yes","No"))</f>
        <v>Yes</v>
      </c>
      <c r="S65" s="32" t="str">
        <f aca="false">IF(L65="","",IF(ABS(L65)&lt;=1.96*O65,"Yes","No"))</f>
        <v>Yes</v>
      </c>
      <c r="T65" s="66" t="n">
        <f aca="false">IF(D65="","",ROUND(SQRT(((D65+G65)*O65/100)^2+(J65*(D65+G65)*0.0534)^2),0))</f>
        <v>5</v>
      </c>
      <c r="U65" s="32"/>
    </row>
    <row r="66" customFormat="false" ht="15" hidden="false" customHeight="false" outlineLevel="0" collapsed="false">
      <c r="A66" s="32" t="s">
        <v>249</v>
      </c>
      <c r="B66" s="32" t="s">
        <v>228</v>
      </c>
      <c r="C66" s="32" t="s">
        <v>191</v>
      </c>
      <c r="D66" s="66" t="n">
        <v>3220</v>
      </c>
      <c r="E66" s="66" t="n">
        <v>3570</v>
      </c>
      <c r="F66" s="77" t="n">
        <f aca="false">IF(E66="","",D66-E66)</f>
        <v>-350</v>
      </c>
      <c r="G66" s="66" t="n">
        <v>2784</v>
      </c>
      <c r="H66" s="66" t="n">
        <v>2883</v>
      </c>
      <c r="I66" s="77" t="n">
        <f aca="false">IF(H66="","",G66-H66)</f>
        <v>-99</v>
      </c>
      <c r="J66" s="47" t="n">
        <f aca="false">IF(OR(D66="",D66+G66=0),"",D66/(D66+G66))</f>
        <v>0.536309127248501</v>
      </c>
      <c r="K66" s="47" t="n">
        <f aca="false">IF(E66="","",E66/(E66+H66))</f>
        <v>0.553231055323106</v>
      </c>
      <c r="L66" s="78" t="n">
        <f aca="false">IF(OR(K66="",J66=""),"",(J66-K66)*100)</f>
        <v>-1.69219280746046</v>
      </c>
      <c r="M66" s="36" t="n">
        <v>1.19581403900077</v>
      </c>
      <c r="N66" s="36" t="n">
        <v>1.2491777271704</v>
      </c>
      <c r="O66" s="36" t="n">
        <f aca="false">SQRT(M66^2+N66^2)</f>
        <v>1.7292819925998</v>
      </c>
      <c r="P66" s="47" t="n">
        <f aca="false">IF(J66="","",MAX(0,J66-1.96*O66/100))</f>
        <v>0.502415200193545</v>
      </c>
      <c r="Q66" s="47" t="n">
        <f aca="false">IF(J66="","",MIN(1,J66+1.96*O66/100))</f>
        <v>0.570203054303457</v>
      </c>
      <c r="R66" s="32" t="str">
        <f aca="false">IF(L66="","",IF(ABS(L66)&lt;=O66,"Yes","No"))</f>
        <v>Yes</v>
      </c>
      <c r="S66" s="32" t="str">
        <f aca="false">IF(L66="","",IF(ABS(L66)&lt;=1.96*O66,"Yes","No"))</f>
        <v>Yes</v>
      </c>
      <c r="T66" s="66" t="n">
        <f aca="false">IF(D66="","",ROUND(SQRT(((D66+G66)*O66/100)^2+(J66*(D66+G66)*0.02225)^2),0))</f>
        <v>126</v>
      </c>
      <c r="U66" s="32"/>
    </row>
    <row r="67" customFormat="false" ht="15" hidden="false" customHeight="false" outlineLevel="0" collapsed="false">
      <c r="A67" s="32" t="s">
        <v>249</v>
      </c>
      <c r="B67" s="32" t="s">
        <v>262</v>
      </c>
      <c r="C67" s="32" t="s">
        <v>191</v>
      </c>
      <c r="D67" s="66" t="n">
        <v>1266</v>
      </c>
      <c r="E67" s="66" t="n">
        <v>1372</v>
      </c>
      <c r="F67" s="77" t="n">
        <f aca="false">IF(E67="","",D67-E67)</f>
        <v>-106</v>
      </c>
      <c r="G67" s="66" t="n">
        <v>1157</v>
      </c>
      <c r="H67" s="66" t="n">
        <v>1201</v>
      </c>
      <c r="I67" s="77" t="n">
        <f aca="false">IF(H67="","",G67-H67)</f>
        <v>-44</v>
      </c>
      <c r="J67" s="47" t="n">
        <f aca="false">IF(OR(D67="",D67+G67=0),"",D67/(D67+G67))</f>
        <v>0.522492777548494</v>
      </c>
      <c r="K67" s="47" t="n">
        <f aca="false">IF(E67="","",E67/(E67+H67))</f>
        <v>0.53322969296541</v>
      </c>
      <c r="L67" s="78" t="n">
        <f aca="false">IF(OR(K67="",J67=""),"",(J67-K67)*100)</f>
        <v>-1.07369154169165</v>
      </c>
      <c r="M67" s="36" t="n">
        <v>1.79166014209263</v>
      </c>
      <c r="N67" s="36" t="n">
        <v>1.2491777271704</v>
      </c>
      <c r="O67" s="36" t="n">
        <f aca="false">SQRT(M67^2+N67^2)</f>
        <v>2.1841453840855</v>
      </c>
      <c r="P67" s="47" t="n">
        <f aca="false">IF(J67="","",MAX(0,J67-1.96*O67/100))</f>
        <v>0.479683528020418</v>
      </c>
      <c r="Q67" s="47" t="n">
        <f aca="false">IF(J67="","",MIN(1,J67+1.96*O67/100))</f>
        <v>0.565302027076569</v>
      </c>
      <c r="R67" s="32" t="str">
        <f aca="false">IF(L67="","",IF(ABS(L67)&lt;=O67,"Yes","No"))</f>
        <v>Yes</v>
      </c>
      <c r="S67" s="32" t="str">
        <f aca="false">IF(L67="","",IF(ABS(L67)&lt;=1.96*O67,"Yes","No"))</f>
        <v>Yes</v>
      </c>
      <c r="T67" s="66" t="n">
        <f aca="false">IF(D67="","",ROUND(SQRT(((D67+G67)*O67/100)^2+(J67*(D67+G67)*0.03811)^2),0))</f>
        <v>72</v>
      </c>
      <c r="U67" s="32"/>
    </row>
    <row r="68" customFormat="false" ht="15" hidden="false" customHeight="false" outlineLevel="0" collapsed="false">
      <c r="A68" s="32" t="s">
        <v>249</v>
      </c>
      <c r="B68" s="32" t="s">
        <v>263</v>
      </c>
      <c r="C68" s="32" t="s">
        <v>191</v>
      </c>
      <c r="D68" s="66" t="n">
        <v>1582</v>
      </c>
      <c r="E68" s="66" t="n">
        <v>1803</v>
      </c>
      <c r="F68" s="77" t="n">
        <f aca="false">IF(E68="","",D68-E68)</f>
        <v>-221</v>
      </c>
      <c r="G68" s="66" t="n">
        <v>3007</v>
      </c>
      <c r="H68" s="66" t="n">
        <v>3303</v>
      </c>
      <c r="I68" s="77" t="n">
        <f aca="false">IF(H68="","",G68-H68)</f>
        <v>-296</v>
      </c>
      <c r="J68" s="47" t="n">
        <f aca="false">IF(OR(D68="",D68+G68=0),"",D68/(D68+G68))</f>
        <v>0.344737415558945</v>
      </c>
      <c r="K68" s="47" t="n">
        <f aca="false">IF(E68="","",E68/(E68+H68))</f>
        <v>0.353113983548766</v>
      </c>
      <c r="L68" s="78" t="n">
        <f aca="false">IF(OR(K68="",J68=""),"",(J68-K68)*100)</f>
        <v>-0.837656798982084</v>
      </c>
      <c r="M68" s="36" t="n">
        <v>1.19581403900077</v>
      </c>
      <c r="N68" s="36" t="n">
        <v>1.2491777271704</v>
      </c>
      <c r="O68" s="36" t="n">
        <f aca="false">SQRT(M68^2+N68^2)</f>
        <v>1.7292819925998</v>
      </c>
      <c r="P68" s="47" t="n">
        <f aca="false">IF(J68="","",MAX(0,J68-1.96*O68/100))</f>
        <v>0.310843488503989</v>
      </c>
      <c r="Q68" s="47" t="n">
        <f aca="false">IF(J68="","",MIN(1,J68+1.96*O68/100))</f>
        <v>0.378631342613901</v>
      </c>
      <c r="R68" s="32" t="str">
        <f aca="false">IF(L68="","",IF(ABS(L68)&lt;=O68,"Yes","No"))</f>
        <v>Yes</v>
      </c>
      <c r="S68" s="32" t="str">
        <f aca="false">IF(L68="","",IF(ABS(L68)&lt;=1.96*O68,"Yes","No"))</f>
        <v>Yes</v>
      </c>
      <c r="T68" s="66" t="n">
        <f aca="false">IF(D68="","",ROUND(SQRT(((D68+G68)*O68/100)^2+(J68*(D68+G68)*0.02225)^2),0))</f>
        <v>87</v>
      </c>
      <c r="U68" s="32"/>
    </row>
    <row r="69" customFormat="false" ht="15" hidden="false" customHeight="false" outlineLevel="0" collapsed="false">
      <c r="A69" s="32" t="s">
        <v>249</v>
      </c>
      <c r="B69" s="32" t="s">
        <v>264</v>
      </c>
      <c r="C69" s="32" t="s">
        <v>191</v>
      </c>
      <c r="D69" s="66" t="n">
        <v>441</v>
      </c>
      <c r="E69" s="66" t="n">
        <v>511</v>
      </c>
      <c r="F69" s="77" t="n">
        <f aca="false">IF(E69="","",D69-E69)</f>
        <v>-70</v>
      </c>
      <c r="G69" s="66" t="n">
        <v>769</v>
      </c>
      <c r="H69" s="66" t="n">
        <v>889</v>
      </c>
      <c r="I69" s="77" t="n">
        <f aca="false">IF(H69="","",G69-H69)</f>
        <v>-120</v>
      </c>
      <c r="J69" s="47" t="n">
        <f aca="false">IF(OR(D69="",D69+G69=0),"",D69/(D69+G69))</f>
        <v>0.364462809917355</v>
      </c>
      <c r="K69" s="47" t="n">
        <f aca="false">IF(E69="","",E69/(E69+H69))</f>
        <v>0.365</v>
      </c>
      <c r="L69" s="78" t="n">
        <f aca="false">IF(OR(K69="",J69=""),"",(J69-K69)*100)</f>
        <v>-0.0537190082644634</v>
      </c>
      <c r="M69" s="36" t="n">
        <v>1.79166014209263</v>
      </c>
      <c r="N69" s="36" t="n">
        <v>1.2491777271704</v>
      </c>
      <c r="O69" s="36" t="n">
        <f aca="false">SQRT(M69^2+N69^2)</f>
        <v>2.1841453840855</v>
      </c>
      <c r="P69" s="47" t="n">
        <f aca="false">IF(J69="","",MAX(0,J69-1.96*O69/100))</f>
        <v>0.32165356038928</v>
      </c>
      <c r="Q69" s="47" t="n">
        <f aca="false">IF(J69="","",MIN(1,J69+1.96*O69/100))</f>
        <v>0.407272059445431</v>
      </c>
      <c r="R69" s="32" t="str">
        <f aca="false">IF(L69="","",IF(ABS(L69)&lt;=O69,"Yes","No"))</f>
        <v>Yes</v>
      </c>
      <c r="S69" s="32" t="str">
        <f aca="false">IF(L69="","",IF(ABS(L69)&lt;=1.96*O69,"Yes","No"))</f>
        <v>Yes</v>
      </c>
      <c r="T69" s="66" t="n">
        <f aca="false">IF(D69="","",ROUND(SQRT(((D69+G69)*O69/100)^2+(J69*(D69+G69)*0.03811)^2),0))</f>
        <v>31</v>
      </c>
      <c r="U69" s="32"/>
    </row>
    <row r="70" customFormat="false" ht="15" hidden="false" customHeight="false" outlineLevel="0" collapsed="false">
      <c r="A70" s="32" t="s">
        <v>249</v>
      </c>
      <c r="B70" s="32" t="s">
        <v>265</v>
      </c>
      <c r="C70" s="32" t="s">
        <v>191</v>
      </c>
      <c r="D70" s="66" t="n">
        <v>1456</v>
      </c>
      <c r="E70" s="66" t="n">
        <v>1632</v>
      </c>
      <c r="F70" s="77" t="n">
        <f aca="false">IF(E70="","",D70-E70)</f>
        <v>-176</v>
      </c>
      <c r="G70" s="66" t="n">
        <v>1890</v>
      </c>
      <c r="H70" s="66" t="n">
        <v>2067</v>
      </c>
      <c r="I70" s="77" t="n">
        <f aca="false">IF(H70="","",G70-H70)</f>
        <v>-177</v>
      </c>
      <c r="J70" s="47" t="n">
        <f aca="false">IF(OR(D70="",D70+G70=0),"",D70/(D70+G70))</f>
        <v>0.435146443514644</v>
      </c>
      <c r="K70" s="47" t="n">
        <f aca="false">IF(E70="","",E70/(E70+H70))</f>
        <v>0.441200324412003</v>
      </c>
      <c r="L70" s="78" t="n">
        <f aca="false">IF(OR(K70="",J70=""),"",(J70-K70)*100)</f>
        <v>-0.605388089735887</v>
      </c>
      <c r="M70" s="36" t="n">
        <v>1.19581403900077</v>
      </c>
      <c r="N70" s="36" t="n">
        <v>1.2491777271704</v>
      </c>
      <c r="O70" s="36" t="n">
        <f aca="false">SQRT(M70^2+N70^2)</f>
        <v>1.7292819925998</v>
      </c>
      <c r="P70" s="47" t="n">
        <f aca="false">IF(J70="","",MAX(0,J70-1.96*O70/100))</f>
        <v>0.401252516459688</v>
      </c>
      <c r="Q70" s="47" t="n">
        <f aca="false">IF(J70="","",MIN(1,J70+1.96*O70/100))</f>
        <v>0.4690403705696</v>
      </c>
      <c r="R70" s="32" t="str">
        <f aca="false">IF(L70="","",IF(ABS(L70)&lt;=O70,"Yes","No"))</f>
        <v>Yes</v>
      </c>
      <c r="S70" s="32" t="str">
        <f aca="false">IF(L70="","",IF(ABS(L70)&lt;=1.96*O70,"Yes","No"))</f>
        <v>Yes</v>
      </c>
      <c r="T70" s="66" t="n">
        <f aca="false">IF(D70="","",ROUND(SQRT(((D70+G70)*O70/100)^2+(J70*(D70+G70)*0.02225)^2),0))</f>
        <v>66</v>
      </c>
      <c r="U70" s="32"/>
    </row>
    <row r="71" customFormat="false" ht="15" hidden="false" customHeight="false" outlineLevel="0" collapsed="false">
      <c r="A71" s="32" t="s">
        <v>249</v>
      </c>
      <c r="B71" s="32" t="s">
        <v>266</v>
      </c>
      <c r="C71" s="32" t="s">
        <v>191</v>
      </c>
      <c r="D71" s="66" t="n">
        <v>2592</v>
      </c>
      <c r="E71" s="66" t="n">
        <v>2919</v>
      </c>
      <c r="F71" s="77" t="n">
        <f aca="false">IF(E71="","",D71-E71)</f>
        <v>-327</v>
      </c>
      <c r="G71" s="66" t="n">
        <v>2862</v>
      </c>
      <c r="H71" s="66" t="n">
        <v>3008</v>
      </c>
      <c r="I71" s="77" t="n">
        <f aca="false">IF(H71="","",G71-H71)</f>
        <v>-146</v>
      </c>
      <c r="J71" s="47" t="n">
        <f aca="false">IF(OR(D71="",D71+G71=0),"",D71/(D71+G71))</f>
        <v>0.475247524752475</v>
      </c>
      <c r="K71" s="47" t="n">
        <f aca="false">IF(E71="","",E71/(E71+H71))</f>
        <v>0.492491985827569</v>
      </c>
      <c r="L71" s="78" t="n">
        <f aca="false">IF(OR(K71="",J71=""),"",(J71-K71)*100)</f>
        <v>-1.72444610750935</v>
      </c>
      <c r="M71" s="36" t="n">
        <v>1.19581403900077</v>
      </c>
      <c r="N71" s="36" t="n">
        <v>1.2491777271704</v>
      </c>
      <c r="O71" s="36" t="n">
        <f aca="false">SQRT(M71^2+N71^2)</f>
        <v>1.7292819925998</v>
      </c>
      <c r="P71" s="47" t="n">
        <f aca="false">IF(J71="","",MAX(0,J71-1.96*O71/100))</f>
        <v>0.441353597697519</v>
      </c>
      <c r="Q71" s="47" t="n">
        <f aca="false">IF(J71="","",MIN(1,J71+1.96*O71/100))</f>
        <v>0.509141451807431</v>
      </c>
      <c r="R71" s="32" t="str">
        <f aca="false">IF(L71="","",IF(ABS(L71)&lt;=O71,"Yes","No"))</f>
        <v>Yes</v>
      </c>
      <c r="S71" s="32" t="str">
        <f aca="false">IF(L71="","",IF(ABS(L71)&lt;=1.96*O71,"Yes","No"))</f>
        <v>Yes</v>
      </c>
      <c r="T71" s="66" t="n">
        <f aca="false">IF(D71="","",ROUND(SQRT(((D71+G71)*O71/100)^2+(J71*(D71+G71)*0.02225)^2),0))</f>
        <v>111</v>
      </c>
      <c r="U71" s="32"/>
    </row>
    <row r="72" customFormat="false" ht="15" hidden="false" customHeight="false" outlineLevel="0" collapsed="false">
      <c r="A72" s="32" t="s">
        <v>249</v>
      </c>
      <c r="B72" s="32" t="s">
        <v>267</v>
      </c>
      <c r="C72" s="32" t="s">
        <v>191</v>
      </c>
      <c r="D72" s="66" t="n">
        <v>1437</v>
      </c>
      <c r="E72" s="66" t="n">
        <v>1661</v>
      </c>
      <c r="F72" s="77" t="n">
        <f aca="false">IF(E72="","",D72-E72)</f>
        <v>-224</v>
      </c>
      <c r="G72" s="66" t="n">
        <v>2837</v>
      </c>
      <c r="H72" s="66" t="n">
        <v>3091</v>
      </c>
      <c r="I72" s="77" t="n">
        <f aca="false">IF(H72="","",G72-H72)</f>
        <v>-254</v>
      </c>
      <c r="J72" s="47" t="n">
        <f aca="false">IF(OR(D72="",D72+G72=0),"",D72/(D72+G72))</f>
        <v>0.336218998596163</v>
      </c>
      <c r="K72" s="47" t="n">
        <f aca="false">IF(E72="","",E72/(E72+H72))</f>
        <v>0.349537037037037</v>
      </c>
      <c r="L72" s="78" t="n">
        <f aca="false">IF(OR(K72="",J72=""),"",(J72-K72)*100)</f>
        <v>-1.33180384408742</v>
      </c>
      <c r="M72" s="36" t="n">
        <v>1.19581403900077</v>
      </c>
      <c r="N72" s="36" t="n">
        <v>1.2491777271704</v>
      </c>
      <c r="O72" s="36" t="n">
        <f aca="false">SQRT(M72^2+N72^2)</f>
        <v>1.7292819925998</v>
      </c>
      <c r="P72" s="47" t="n">
        <f aca="false">IF(J72="","",MAX(0,J72-1.96*O72/100))</f>
        <v>0.302325071541207</v>
      </c>
      <c r="Q72" s="47" t="n">
        <f aca="false">IF(J72="","",MIN(1,J72+1.96*O72/100))</f>
        <v>0.370112925651119</v>
      </c>
      <c r="R72" s="32" t="str">
        <f aca="false">IF(L72="","",IF(ABS(L72)&lt;=O72,"Yes","No"))</f>
        <v>Yes</v>
      </c>
      <c r="S72" s="32" t="str">
        <f aca="false">IF(L72="","",IF(ABS(L72)&lt;=1.96*O72,"Yes","No"))</f>
        <v>Yes</v>
      </c>
      <c r="T72" s="66" t="n">
        <f aca="false">IF(D72="","",ROUND(SQRT(((D72+G72)*O72/100)^2+(J72*(D72+G72)*0.02225)^2),0))</f>
        <v>81</v>
      </c>
      <c r="U72" s="32"/>
    </row>
    <row r="73" customFormat="false" ht="15" hidden="false" customHeight="false" outlineLevel="0" collapsed="false">
      <c r="A73" s="32" t="s">
        <v>249</v>
      </c>
      <c r="B73" s="32" t="s">
        <v>268</v>
      </c>
      <c r="C73" s="32" t="s">
        <v>191</v>
      </c>
      <c r="D73" s="66" t="n">
        <v>1085</v>
      </c>
      <c r="E73" s="66" t="n">
        <v>1272</v>
      </c>
      <c r="F73" s="77" t="n">
        <f aca="false">IF(E73="","",D73-E73)</f>
        <v>-187</v>
      </c>
      <c r="G73" s="66" t="n">
        <v>1141</v>
      </c>
      <c r="H73" s="66" t="n">
        <v>1188</v>
      </c>
      <c r="I73" s="77" t="n">
        <f aca="false">IF(H73="","",G73-H73)</f>
        <v>-47</v>
      </c>
      <c r="J73" s="47" t="n">
        <f aca="false">IF(OR(D73="",D73+G73=0),"",D73/(D73+G73))</f>
        <v>0.487421383647799</v>
      </c>
      <c r="K73" s="47" t="n">
        <f aca="false">IF(E73="","",E73/(E73+H73))</f>
        <v>0.517073170731707</v>
      </c>
      <c r="L73" s="78" t="n">
        <f aca="false">IF(OR(K73="",J73=""),"",(J73-K73)*100)</f>
        <v>-2.96517870839086</v>
      </c>
      <c r="M73" s="36" t="n">
        <v>1.79166014209263</v>
      </c>
      <c r="N73" s="36" t="n">
        <v>1.2491777271704</v>
      </c>
      <c r="O73" s="36" t="n">
        <f aca="false">SQRT(M73^2+N73^2)</f>
        <v>2.1841453840855</v>
      </c>
      <c r="P73" s="47" t="n">
        <f aca="false">IF(J73="","",MAX(0,J73-1.96*O73/100))</f>
        <v>0.444612134119723</v>
      </c>
      <c r="Q73" s="47" t="n">
        <f aca="false">IF(J73="","",MIN(1,J73+1.96*O73/100))</f>
        <v>0.530230633175875</v>
      </c>
      <c r="R73" s="32" t="str">
        <f aca="false">IF(L73="","",IF(ABS(L73)&lt;=O73,"Yes","No"))</f>
        <v>No</v>
      </c>
      <c r="S73" s="32" t="str">
        <f aca="false">IF(L73="","",IF(ABS(L73)&lt;=1.96*O73,"Yes","No"))</f>
        <v>Yes</v>
      </c>
      <c r="T73" s="66" t="n">
        <f aca="false">IF(D73="","",ROUND(SQRT(((D73+G73)*O73/100)^2+(J73*(D73+G73)*0.03811)^2),0))</f>
        <v>64</v>
      </c>
      <c r="U73" s="32"/>
    </row>
    <row r="74" customFormat="false" ht="15" hidden="false" customHeight="false" outlineLevel="0" collapsed="false">
      <c r="A74" s="32" t="s">
        <v>249</v>
      </c>
      <c r="B74" s="32" t="s">
        <v>269</v>
      </c>
      <c r="C74" s="32" t="s">
        <v>191</v>
      </c>
      <c r="D74" s="66" t="n">
        <v>565</v>
      </c>
      <c r="E74" s="66" t="n">
        <v>644</v>
      </c>
      <c r="F74" s="77" t="n">
        <f aca="false">IF(E74="","",D74-E74)</f>
        <v>-79</v>
      </c>
      <c r="G74" s="66" t="n">
        <v>612</v>
      </c>
      <c r="H74" s="66" t="n">
        <v>634</v>
      </c>
      <c r="I74" s="77" t="n">
        <f aca="false">IF(H74="","",G74-H74)</f>
        <v>-22</v>
      </c>
      <c r="J74" s="47" t="n">
        <f aca="false">IF(OR(D74="",D74+G74=0),"",D74/(D74+G74))</f>
        <v>0.480033984706882</v>
      </c>
      <c r="K74" s="47" t="n">
        <f aca="false">IF(E74="","",E74/(E74+H74))</f>
        <v>0.503912363067293</v>
      </c>
      <c r="L74" s="78" t="n">
        <f aca="false">IF(OR(K74="",J74=""),"",(J74-K74)*100)</f>
        <v>-2.38783783604107</v>
      </c>
      <c r="M74" s="36" t="n">
        <v>1.79166014209263</v>
      </c>
      <c r="N74" s="36" t="n">
        <v>1.2491777271704</v>
      </c>
      <c r="O74" s="36" t="n">
        <f aca="false">SQRT(M74^2+N74^2)</f>
        <v>2.1841453840855</v>
      </c>
      <c r="P74" s="47" t="n">
        <f aca="false">IF(J74="","",MAX(0,J74-1.96*O74/100))</f>
        <v>0.437224735178806</v>
      </c>
      <c r="Q74" s="47" t="n">
        <f aca="false">IF(J74="","",MIN(1,J74+1.96*O74/100))</f>
        <v>0.522843234234958</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249</v>
      </c>
      <c r="B75" s="32" t="s">
        <v>270</v>
      </c>
      <c r="C75" s="32" t="s">
        <v>191</v>
      </c>
      <c r="D75" s="66" t="n">
        <v>1737</v>
      </c>
      <c r="E75" s="66" t="n">
        <v>1957</v>
      </c>
      <c r="F75" s="77" t="n">
        <f aca="false">IF(E75="","",D75-E75)</f>
        <v>-220</v>
      </c>
      <c r="G75" s="66" t="n">
        <v>1892</v>
      </c>
      <c r="H75" s="66" t="n">
        <v>1970</v>
      </c>
      <c r="I75" s="77" t="n">
        <f aca="false">IF(H75="","",G75-H75)</f>
        <v>-78</v>
      </c>
      <c r="J75" s="47" t="n">
        <f aca="false">IF(OR(D75="",D75+G75=0),"",D75/(D75+G75))</f>
        <v>0.478644254615597</v>
      </c>
      <c r="K75" s="47" t="n">
        <f aca="false">IF(E75="","",E75/(E75+H75))</f>
        <v>0.49834479246244</v>
      </c>
      <c r="L75" s="78" t="n">
        <f aca="false">IF(OR(K75="",J75=""),"",(J75-K75)*100)</f>
        <v>-1.97005378468429</v>
      </c>
      <c r="M75" s="36" t="n">
        <v>1.19581403900077</v>
      </c>
      <c r="N75" s="36" t="n">
        <v>1.2491777271704</v>
      </c>
      <c r="O75" s="36" t="n">
        <f aca="false">SQRT(M75^2+N75^2)</f>
        <v>1.7292819925998</v>
      </c>
      <c r="P75" s="47" t="n">
        <f aca="false">IF(J75="","",MAX(0,J75-1.96*O75/100))</f>
        <v>0.444750327560641</v>
      </c>
      <c r="Q75" s="47" t="n">
        <f aca="false">IF(J75="","",MIN(1,J75+1.96*O75/100))</f>
        <v>0.512538181670553</v>
      </c>
      <c r="R75" s="32" t="str">
        <f aca="false">IF(L75="","",IF(ABS(L75)&lt;=O75,"Yes","No"))</f>
        <v>No</v>
      </c>
      <c r="S75" s="32" t="str">
        <f aca="false">IF(L75="","",IF(ABS(L75)&lt;=1.96*O75,"Yes","No"))</f>
        <v>Yes</v>
      </c>
      <c r="T75" s="66" t="n">
        <f aca="false">IF(D75="","",ROUND(SQRT(((D75+G75)*O75/100)^2+(J75*(D75+G75)*0.02225)^2),0))</f>
        <v>74</v>
      </c>
      <c r="U75" s="32"/>
    </row>
    <row r="76" customFormat="false" ht="15" hidden="false" customHeight="false" outlineLevel="0" collapsed="false">
      <c r="A76" s="32" t="s">
        <v>249</v>
      </c>
      <c r="B76" s="32" t="s">
        <v>271</v>
      </c>
      <c r="C76" s="32" t="s">
        <v>191</v>
      </c>
      <c r="D76" s="66" t="n">
        <v>5086</v>
      </c>
      <c r="E76" s="66" t="n">
        <v>5403</v>
      </c>
      <c r="F76" s="77" t="n">
        <f aca="false">IF(E76="","",D76-E76)</f>
        <v>-317</v>
      </c>
      <c r="G76" s="66" t="n">
        <v>4591</v>
      </c>
      <c r="H76" s="66" t="n">
        <v>4910</v>
      </c>
      <c r="I76" s="77" t="n">
        <f aca="false">IF(H76="","",G76-H76)</f>
        <v>-319</v>
      </c>
      <c r="J76" s="47" t="n">
        <f aca="false">IF(OR(D76="",D76+G76=0),"",D76/(D76+G76))</f>
        <v>0.525576108298026</v>
      </c>
      <c r="K76" s="47" t="n">
        <f aca="false">IF(E76="","",E76/(E76+H76))</f>
        <v>0.523901871424416</v>
      </c>
      <c r="L76" s="78" t="n">
        <f aca="false">IF(OR(K76="",J76=""),"",(J76-K76)*100)</f>
        <v>0.167423687361046</v>
      </c>
      <c r="M76" s="36" t="n">
        <v>1.19581403900077</v>
      </c>
      <c r="N76" s="36" t="n">
        <v>1.2491777271704</v>
      </c>
      <c r="O76" s="36" t="n">
        <f aca="false">SQRT(M76^2+N76^2)</f>
        <v>1.7292819925998</v>
      </c>
      <c r="P76" s="47" t="n">
        <f aca="false">IF(J76="","",MAX(0,J76-1.96*O76/100))</f>
        <v>0.49168218124307</v>
      </c>
      <c r="Q76" s="47" t="n">
        <f aca="false">IF(J76="","",MIN(1,J76+1.96*O76/100))</f>
        <v>0.559470035352982</v>
      </c>
      <c r="R76" s="32" t="str">
        <f aca="false">IF(L76="","",IF(ABS(L76)&lt;=O76,"Yes","No"))</f>
        <v>Yes</v>
      </c>
      <c r="S76" s="32" t="str">
        <f aca="false">IF(L76="","",IF(ABS(L76)&lt;=1.96*O76,"Yes","No"))</f>
        <v>Yes</v>
      </c>
      <c r="T76" s="66" t="n">
        <f aca="false">IF(D76="","",ROUND(SQRT(((D76+G76)*O76/100)^2+(J76*(D76+G76)*0.02225)^2),0))</f>
        <v>202</v>
      </c>
      <c r="U76" s="32"/>
    </row>
    <row r="77" customFormat="false" ht="15" hidden="false" customHeight="false" outlineLevel="0" collapsed="false">
      <c r="A77" s="32" t="s">
        <v>249</v>
      </c>
      <c r="B77" s="32" t="s">
        <v>272</v>
      </c>
      <c r="C77" s="32" t="s">
        <v>191</v>
      </c>
      <c r="D77" s="66" t="n">
        <v>481</v>
      </c>
      <c r="E77" s="66" t="n">
        <v>511</v>
      </c>
      <c r="F77" s="77" t="n">
        <f aca="false">IF(E77="","",D77-E77)</f>
        <v>-30</v>
      </c>
      <c r="G77" s="66" t="n">
        <v>724</v>
      </c>
      <c r="H77" s="66" t="n">
        <v>778</v>
      </c>
      <c r="I77" s="77" t="n">
        <f aca="false">IF(H77="","",G77-H77)</f>
        <v>-54</v>
      </c>
      <c r="J77" s="47" t="n">
        <f aca="false">IF(OR(D77="",D77+G77=0),"",D77/(D77+G77))</f>
        <v>0.399170124481328</v>
      </c>
      <c r="K77" s="47" t="n">
        <f aca="false">IF(E77="","",E77/(E77+H77))</f>
        <v>0.396431342125679</v>
      </c>
      <c r="L77" s="78" t="n">
        <f aca="false">IF(OR(K77="",J77=""),"",(J77-K77)*100)</f>
        <v>0.273878235564901</v>
      </c>
      <c r="M77" s="36" t="n">
        <v>1.79166014209263</v>
      </c>
      <c r="N77" s="36" t="n">
        <v>1.2491777271704</v>
      </c>
      <c r="O77" s="36" t="n">
        <f aca="false">SQRT(M77^2+N77^2)</f>
        <v>2.1841453840855</v>
      </c>
      <c r="P77" s="47" t="n">
        <f aca="false">IF(J77="","",MAX(0,J77-1.96*O77/100))</f>
        <v>0.356360874953252</v>
      </c>
      <c r="Q77" s="47" t="n">
        <f aca="false">IF(J77="","",MIN(1,J77+1.96*O77/100))</f>
        <v>0.441979374009404</v>
      </c>
      <c r="R77" s="32" t="str">
        <f aca="false">IF(L77="","",IF(ABS(L77)&lt;=O77,"Yes","No"))</f>
        <v>Yes</v>
      </c>
      <c r="S77" s="32" t="str">
        <f aca="false">IF(L77="","",IF(ABS(L77)&lt;=1.96*O77,"Yes","No"))</f>
        <v>Yes</v>
      </c>
      <c r="T77" s="66" t="n">
        <f aca="false">IF(D77="","",ROUND(SQRT(((D77+G77)*O77/100)^2+(J77*(D77+G77)*0.03811)^2),0))</f>
        <v>32</v>
      </c>
      <c r="U77" s="32"/>
    </row>
    <row r="78" customFormat="false" ht="15" hidden="false" customHeight="false" outlineLevel="0" collapsed="false">
      <c r="A78" s="32" t="s">
        <v>249</v>
      </c>
      <c r="B78" s="32" t="s">
        <v>273</v>
      </c>
      <c r="C78" s="32" t="s">
        <v>191</v>
      </c>
      <c r="D78" s="66" t="n">
        <v>1009</v>
      </c>
      <c r="E78" s="66" t="n">
        <v>1076</v>
      </c>
      <c r="F78" s="77" t="n">
        <f aca="false">IF(E78="","",D78-E78)</f>
        <v>-67</v>
      </c>
      <c r="G78" s="66" t="n">
        <v>1741</v>
      </c>
      <c r="H78" s="66" t="n">
        <v>1998</v>
      </c>
      <c r="I78" s="77" t="n">
        <f aca="false">IF(H78="","",G78-H78)</f>
        <v>-257</v>
      </c>
      <c r="J78" s="47" t="n">
        <f aca="false">IF(OR(D78="",D78+G78=0),"",D78/(D78+G78))</f>
        <v>0.366909090909091</v>
      </c>
      <c r="K78" s="47" t="n">
        <f aca="false">IF(E78="","",E78/(E78+H78))</f>
        <v>0.350032530904359</v>
      </c>
      <c r="L78" s="78" t="n">
        <f aca="false">IF(OR(K78="",J78=""),"",(J78-K78)*100)</f>
        <v>1.68765600047318</v>
      </c>
      <c r="M78" s="36" t="n">
        <v>1.19581403900077</v>
      </c>
      <c r="N78" s="36" t="n">
        <v>1.2491777271704</v>
      </c>
      <c r="O78" s="36" t="n">
        <f aca="false">SQRT(M78^2+N78^2)</f>
        <v>1.7292819925998</v>
      </c>
      <c r="P78" s="47" t="n">
        <f aca="false">IF(J78="","",MAX(0,J78-1.96*O78/100))</f>
        <v>0.333015163854135</v>
      </c>
      <c r="Q78" s="47" t="n">
        <f aca="false">IF(J78="","",MIN(1,J78+1.96*O78/100))</f>
        <v>0.400803017964047</v>
      </c>
      <c r="R78" s="32" t="str">
        <f aca="false">IF(L78="","",IF(ABS(L78)&lt;=O78,"Yes","No"))</f>
        <v>Yes</v>
      </c>
      <c r="S78" s="32" t="str">
        <f aca="false">IF(L78="","",IF(ABS(L78)&lt;=1.96*O78,"Yes","No"))</f>
        <v>Yes</v>
      </c>
      <c r="T78" s="66" t="n">
        <f aca="false">IF(D78="","",ROUND(SQRT(((D78+G78)*O78/100)^2+(J78*(D78+G78)*0.02225)^2),0))</f>
        <v>53</v>
      </c>
      <c r="U78" s="32"/>
    </row>
    <row r="79" customFormat="false" ht="15" hidden="false" customHeight="false" outlineLevel="0" collapsed="false">
      <c r="A79" s="32" t="s">
        <v>249</v>
      </c>
      <c r="B79" s="32" t="s">
        <v>274</v>
      </c>
      <c r="C79" s="32" t="s">
        <v>191</v>
      </c>
      <c r="D79" s="66" t="n">
        <v>60</v>
      </c>
      <c r="E79" s="66" t="n">
        <v>65</v>
      </c>
      <c r="F79" s="77" t="n">
        <f aca="false">IF(E79="","",D79-E79)</f>
        <v>-5</v>
      </c>
      <c r="G79" s="66" t="n">
        <v>118</v>
      </c>
      <c r="H79" s="66" t="n">
        <v>129</v>
      </c>
      <c r="I79" s="77" t="n">
        <f aca="false">IF(H79="","",G79-H79)</f>
        <v>-11</v>
      </c>
      <c r="J79" s="47" t="n">
        <f aca="false">IF(OR(D79="",D79+G79=0),"",D79/(D79+G79))</f>
        <v>0.337078651685393</v>
      </c>
      <c r="K79" s="47" t="n">
        <f aca="false">IF(E79="","",E79/(E79+H79))</f>
        <v>0.335051546391753</v>
      </c>
      <c r="L79" s="78" t="n">
        <f aca="false">IF(OR(K79="",J79=""),"",(J79-K79)*100)</f>
        <v>0.20271052936407</v>
      </c>
      <c r="M79" s="36" t="n">
        <v>2.87405876590783</v>
      </c>
      <c r="N79" s="36" t="n">
        <v>1.2491777271704</v>
      </c>
      <c r="O79" s="36" t="n">
        <f aca="false">SQRT(M79^2+N79^2)</f>
        <v>3.13379303463874</v>
      </c>
      <c r="P79" s="47" t="n">
        <f aca="false">IF(J79="","",MAX(0,J79-1.96*O79/100))</f>
        <v>0.275656308206474</v>
      </c>
      <c r="Q79" s="47" t="n">
        <f aca="false">IF(J79="","",MIN(1,J79+1.96*O79/100))</f>
        <v>0.398500995164313</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249</v>
      </c>
      <c r="B80" s="32" t="s">
        <v>275</v>
      </c>
      <c r="C80" s="32" t="s">
        <v>191</v>
      </c>
      <c r="D80" s="66" t="n">
        <v>254</v>
      </c>
      <c r="E80" s="66" t="n">
        <v>258</v>
      </c>
      <c r="F80" s="77" t="n">
        <f aca="false">IF(E80="","",D80-E80)</f>
        <v>-4</v>
      </c>
      <c r="G80" s="66" t="n">
        <v>401</v>
      </c>
      <c r="H80" s="66" t="n">
        <v>418</v>
      </c>
      <c r="I80" s="77" t="n">
        <f aca="false">IF(H80="","",G80-H80)</f>
        <v>-17</v>
      </c>
      <c r="J80" s="47" t="n">
        <f aca="false">IF(OR(D80="",D80+G80=0),"",D80/(D80+G80))</f>
        <v>0.387786259541985</v>
      </c>
      <c r="K80" s="47" t="n">
        <f aca="false">IF(E80="","",E80/(E80+H80))</f>
        <v>0.381656804733728</v>
      </c>
      <c r="L80" s="78" t="n">
        <f aca="false">IF(OR(K80="",J80=""),"",(J80-K80)*100)</f>
        <v>0.612945480825694</v>
      </c>
      <c r="M80" s="36" t="n">
        <v>2.87405876590783</v>
      </c>
      <c r="N80" s="36" t="n">
        <v>1.2491777271704</v>
      </c>
      <c r="O80" s="36" t="n">
        <f aca="false">SQRT(M80^2+N80^2)</f>
        <v>3.13379303463874</v>
      </c>
      <c r="P80" s="47" t="n">
        <f aca="false">IF(J80="","",MAX(0,J80-1.96*O80/100))</f>
        <v>0.326363916063066</v>
      </c>
      <c r="Q80" s="47" t="n">
        <f aca="false">IF(J80="","",MIN(1,J80+1.96*O80/100))</f>
        <v>0.449208603020904</v>
      </c>
      <c r="R80" s="32" t="str">
        <f aca="false">IF(L80="","",IF(ABS(L80)&lt;=O80,"Yes","No"))</f>
        <v>Yes</v>
      </c>
      <c r="S80" s="32" t="str">
        <f aca="false">IF(L80="","",IF(ABS(L80)&lt;=1.96*O80,"Yes","No"))</f>
        <v>Yes</v>
      </c>
      <c r="T80" s="66" t="n">
        <f aca="false">IF(D80="","",ROUND(SQRT(((D80+G80)*O80/100)^2+(J80*(D80+G80)*0.0534)^2),0))</f>
        <v>25</v>
      </c>
      <c r="U80" s="32"/>
    </row>
    <row r="81" customFormat="false" ht="15" hidden="false" customHeight="false" outlineLevel="0" collapsed="false">
      <c r="A81" s="32" t="s">
        <v>249</v>
      </c>
      <c r="B81" s="32" t="s">
        <v>276</v>
      </c>
      <c r="C81" s="32" t="s">
        <v>191</v>
      </c>
      <c r="D81" s="66" t="n">
        <v>142</v>
      </c>
      <c r="E81" s="66" t="n">
        <v>160</v>
      </c>
      <c r="F81" s="77" t="n">
        <f aca="false">IF(E81="","",D81-E81)</f>
        <v>-18</v>
      </c>
      <c r="G81" s="66" t="n">
        <v>192</v>
      </c>
      <c r="H81" s="66" t="n">
        <v>227</v>
      </c>
      <c r="I81" s="77" t="n">
        <f aca="false">IF(H81="","",G81-H81)</f>
        <v>-35</v>
      </c>
      <c r="J81" s="47" t="n">
        <f aca="false">IF(OR(D81="",D81+G81=0),"",D81/(D81+G81))</f>
        <v>0.425149700598802</v>
      </c>
      <c r="K81" s="47" t="n">
        <f aca="false">IF(E81="","",E81/(E81+H81))</f>
        <v>0.41343669250646</v>
      </c>
      <c r="L81" s="78" t="n">
        <f aca="false">IF(OR(K81="",J81=""),"",(J81-K81)*100)</f>
        <v>1.17130080923425</v>
      </c>
      <c r="M81" s="36" t="n">
        <v>2.87405876590783</v>
      </c>
      <c r="N81" s="36" t="n">
        <v>1.2491777271704</v>
      </c>
      <c r="O81" s="36" t="n">
        <f aca="false">SQRT(M81^2+N81^2)</f>
        <v>3.13379303463874</v>
      </c>
      <c r="P81" s="47" t="n">
        <f aca="false">IF(J81="","",MAX(0,J81-1.96*O81/100))</f>
        <v>0.363727357119883</v>
      </c>
      <c r="Q81" s="47" t="n">
        <f aca="false">IF(J81="","",MIN(1,J81+1.96*O81/100))</f>
        <v>0.486572044077722</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249</v>
      </c>
      <c r="B82" s="32" t="s">
        <v>277</v>
      </c>
      <c r="C82" s="32" t="s">
        <v>191</v>
      </c>
      <c r="D82" s="66" t="n">
        <v>217</v>
      </c>
      <c r="E82" s="66" t="n">
        <v>243</v>
      </c>
      <c r="F82" s="77" t="n">
        <f aca="false">IF(E82="","",D82-E82)</f>
        <v>-26</v>
      </c>
      <c r="G82" s="66" t="n">
        <v>306</v>
      </c>
      <c r="H82" s="66" t="n">
        <v>318</v>
      </c>
      <c r="I82" s="77" t="n">
        <f aca="false">IF(H82="","",G82-H82)</f>
        <v>-12</v>
      </c>
      <c r="J82" s="47" t="n">
        <f aca="false">IF(OR(D82="",D82+G82=0),"",D82/(D82+G82))</f>
        <v>0.41491395793499</v>
      </c>
      <c r="K82" s="47" t="n">
        <f aca="false">IF(E82="","",E82/(E82+H82))</f>
        <v>0.433155080213904</v>
      </c>
      <c r="L82" s="78" t="n">
        <f aca="false">IF(OR(K82="",J82=""),"",(J82-K82)*100)</f>
        <v>-1.82411222789133</v>
      </c>
      <c r="M82" s="36" t="n">
        <v>2.87405876590783</v>
      </c>
      <c r="N82" s="36" t="n">
        <v>1.2491777271704</v>
      </c>
      <c r="O82" s="36" t="n">
        <f aca="false">SQRT(M82^2+N82^2)</f>
        <v>3.13379303463874</v>
      </c>
      <c r="P82" s="47" t="n">
        <f aca="false">IF(J82="","",MAX(0,J82-1.96*O82/100))</f>
        <v>0.353491614456071</v>
      </c>
      <c r="Q82" s="47" t="n">
        <f aca="false">IF(J82="","",MIN(1,J82+1.96*O82/100))</f>
        <v>0.47633630141391</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249</v>
      </c>
      <c r="B83" s="32" t="s">
        <v>278</v>
      </c>
      <c r="C83" s="32" t="s">
        <v>191</v>
      </c>
      <c r="D83" s="66" t="n">
        <v>940</v>
      </c>
      <c r="E83" s="66" t="n">
        <v>1030</v>
      </c>
      <c r="F83" s="77" t="n">
        <f aca="false">IF(E83="","",D83-E83)</f>
        <v>-90</v>
      </c>
      <c r="G83" s="66" t="n">
        <v>1907</v>
      </c>
      <c r="H83" s="66" t="n">
        <v>2095</v>
      </c>
      <c r="I83" s="77" t="n">
        <f aca="false">IF(H83="","",G83-H83)</f>
        <v>-188</v>
      </c>
      <c r="J83" s="47" t="n">
        <f aca="false">IF(OR(D83="",D83+G83=0),"",D83/(D83+G83))</f>
        <v>0.330172110994029</v>
      </c>
      <c r="K83" s="47" t="n">
        <f aca="false">IF(E83="","",E83/(E83+H83))</f>
        <v>0.3296</v>
      </c>
      <c r="L83" s="78" t="n">
        <f aca="false">IF(OR(K83="",J83=""),"",(J83-K83)*100)</f>
        <v>0.0572110994028818</v>
      </c>
      <c r="M83" s="36" t="n">
        <v>1.19581403900077</v>
      </c>
      <c r="N83" s="36" t="n">
        <v>1.2491777271704</v>
      </c>
      <c r="O83" s="36" t="n">
        <f aca="false">SQRT(M83^2+N83^2)</f>
        <v>1.7292819925998</v>
      </c>
      <c r="P83" s="47" t="n">
        <f aca="false">IF(J83="","",MAX(0,J83-1.96*O83/100))</f>
        <v>0.296278183939073</v>
      </c>
      <c r="Q83" s="47" t="n">
        <f aca="false">IF(J83="","",MIN(1,J83+1.96*O83/100))</f>
        <v>0.364066038048985</v>
      </c>
      <c r="R83" s="32" t="str">
        <f aca="false">IF(L83="","",IF(ABS(L83)&lt;=O83,"Yes","No"))</f>
        <v>Yes</v>
      </c>
      <c r="S83" s="32" t="str">
        <f aca="false">IF(L83="","",IF(ABS(L83)&lt;=1.96*O83,"Yes","No"))</f>
        <v>Yes</v>
      </c>
      <c r="T83" s="66" t="n">
        <f aca="false">IF(D83="","",ROUND(SQRT(((D83+G83)*O83/100)^2+(J83*(D83+G83)*0.02225)^2),0))</f>
        <v>53</v>
      </c>
      <c r="U83" s="32"/>
    </row>
    <row r="84" customFormat="false" ht="15" hidden="false" customHeight="false" outlineLevel="0" collapsed="false">
      <c r="A84" s="32" t="s">
        <v>249</v>
      </c>
      <c r="B84" s="32" t="s">
        <v>279</v>
      </c>
      <c r="C84" s="32" t="s">
        <v>191</v>
      </c>
      <c r="D84" s="66" t="n">
        <v>1328</v>
      </c>
      <c r="E84" s="66" t="n">
        <v>1575</v>
      </c>
      <c r="F84" s="77" t="n">
        <f aca="false">IF(E84="","",D84-E84)</f>
        <v>-247</v>
      </c>
      <c r="G84" s="66" t="n">
        <v>1459</v>
      </c>
      <c r="H84" s="66" t="n">
        <v>1588</v>
      </c>
      <c r="I84" s="77" t="n">
        <f aca="false">IF(H84="","",G84-H84)</f>
        <v>-129</v>
      </c>
      <c r="J84" s="47" t="n">
        <f aca="false">IF(OR(D84="",D84+G84=0),"",D84/(D84+G84))</f>
        <v>0.476498026551848</v>
      </c>
      <c r="K84" s="47" t="n">
        <f aca="false">IF(E84="","",E84/(E84+H84))</f>
        <v>0.497944988934556</v>
      </c>
      <c r="L84" s="78" t="n">
        <f aca="false">IF(OR(K84="",J84=""),"",(J84-K84)*100)</f>
        <v>-2.14469623827079</v>
      </c>
      <c r="M84" s="36" t="n">
        <v>1.19581403900077</v>
      </c>
      <c r="N84" s="36" t="n">
        <v>1.2491777271704</v>
      </c>
      <c r="O84" s="36" t="n">
        <f aca="false">SQRT(M84^2+N84^2)</f>
        <v>1.7292819925998</v>
      </c>
      <c r="P84" s="47" t="n">
        <f aca="false">IF(J84="","",MAX(0,J84-1.96*O84/100))</f>
        <v>0.442604099496892</v>
      </c>
      <c r="Q84" s="47" t="n">
        <f aca="false">IF(J84="","",MIN(1,J84+1.96*O84/100))</f>
        <v>0.510391953606804</v>
      </c>
      <c r="R84" s="32" t="str">
        <f aca="false">IF(L84="","",IF(ABS(L84)&lt;=O84,"Yes","No"))</f>
        <v>No</v>
      </c>
      <c r="S84" s="32" t="str">
        <f aca="false">IF(L84="","",IF(ABS(L84)&lt;=1.96*O84,"Yes","No"))</f>
        <v>Yes</v>
      </c>
      <c r="T84" s="66" t="n">
        <f aca="false">IF(D84="","",ROUND(SQRT(((D84+G84)*O84/100)^2+(J84*(D84+G84)*0.02225)^2),0))</f>
        <v>57</v>
      </c>
      <c r="U84" s="32"/>
    </row>
    <row r="85" customFormat="false" ht="15" hidden="false" customHeight="false" outlineLevel="0" collapsed="false">
      <c r="A85" s="32" t="s">
        <v>249</v>
      </c>
      <c r="B85" s="32" t="s">
        <v>280</v>
      </c>
      <c r="C85" s="32" t="s">
        <v>191</v>
      </c>
      <c r="D85" s="66" t="n">
        <v>270</v>
      </c>
      <c r="E85" s="66" t="n">
        <v>305</v>
      </c>
      <c r="F85" s="77" t="n">
        <f aca="false">IF(E85="","",D85-E85)</f>
        <v>-35</v>
      </c>
      <c r="G85" s="66" t="n">
        <v>396</v>
      </c>
      <c r="H85" s="66" t="n">
        <v>419</v>
      </c>
      <c r="I85" s="77" t="n">
        <f aca="false">IF(H85="","",G85-H85)</f>
        <v>-23</v>
      </c>
      <c r="J85" s="47" t="n">
        <f aca="false">IF(OR(D85="",D85+G85=0),"",D85/(D85+G85))</f>
        <v>0.405405405405405</v>
      </c>
      <c r="K85" s="47" t="n">
        <f aca="false">IF(E85="","",E85/(E85+H85))</f>
        <v>0.421270718232044</v>
      </c>
      <c r="L85" s="78" t="n">
        <f aca="false">IF(OR(K85="",J85=""),"",(J85-K85)*100)</f>
        <v>-1.58653128266388</v>
      </c>
      <c r="M85" s="36" t="n">
        <v>2.87405876590783</v>
      </c>
      <c r="N85" s="36" t="n">
        <v>1.2491777271704</v>
      </c>
      <c r="O85" s="36" t="n">
        <f aca="false">SQRT(M85^2+N85^2)</f>
        <v>3.13379303463874</v>
      </c>
      <c r="P85" s="47" t="n">
        <f aca="false">IF(J85="","",MAX(0,J85-1.96*O85/100))</f>
        <v>0.343983061926486</v>
      </c>
      <c r="Q85" s="47" t="n">
        <f aca="false">IF(J85="","",MIN(1,J85+1.96*O85/100))</f>
        <v>0.466827748884325</v>
      </c>
      <c r="R85" s="32" t="str">
        <f aca="false">IF(L85="","",IF(ABS(L85)&lt;=O85,"Yes","No"))</f>
        <v>Yes</v>
      </c>
      <c r="S85" s="32" t="str">
        <f aca="false">IF(L85="","",IF(ABS(L85)&lt;=1.96*O85,"Yes","No"))</f>
        <v>Yes</v>
      </c>
      <c r="T85" s="66" t="n">
        <f aca="false">IF(D85="","",ROUND(SQRT(((D85+G85)*O85/100)^2+(J85*(D85+G85)*0.0534)^2),0))</f>
        <v>25</v>
      </c>
      <c r="U85" s="32"/>
    </row>
    <row r="86" customFormat="false" ht="15" hidden="false" customHeight="false" outlineLevel="0" collapsed="false">
      <c r="A86" s="32" t="s">
        <v>249</v>
      </c>
      <c r="B86" s="32" t="s">
        <v>242</v>
      </c>
      <c r="C86" s="32" t="s">
        <v>191</v>
      </c>
      <c r="D86" s="66" t="n">
        <v>737</v>
      </c>
      <c r="E86" s="66" t="n">
        <v>840</v>
      </c>
      <c r="F86" s="77" t="n">
        <f aca="false">IF(E86="","",D86-E86)</f>
        <v>-103</v>
      </c>
      <c r="G86" s="66" t="n">
        <v>1302</v>
      </c>
      <c r="H86" s="66" t="n">
        <v>1533</v>
      </c>
      <c r="I86" s="77" t="n">
        <f aca="false">IF(H86="","",G86-H86)</f>
        <v>-231</v>
      </c>
      <c r="J86" s="47" t="n">
        <f aca="false">IF(OR(D86="",D86+G86=0),"",D86/(D86+G86))</f>
        <v>0.361451692005885</v>
      </c>
      <c r="K86" s="47" t="n">
        <f aca="false">IF(E86="","",E86/(E86+H86))</f>
        <v>0.353982300884956</v>
      </c>
      <c r="L86" s="78" t="n">
        <f aca="false">IF(OR(K86="",J86=""),"",(J86-K86)*100)</f>
        <v>0.746939112092948</v>
      </c>
      <c r="M86" s="36" t="n">
        <v>1.79166014209263</v>
      </c>
      <c r="N86" s="36" t="n">
        <v>1.2491777271704</v>
      </c>
      <c r="O86" s="36" t="n">
        <f aca="false">SQRT(M86^2+N86^2)</f>
        <v>2.1841453840855</v>
      </c>
      <c r="P86" s="47" t="n">
        <f aca="false">IF(J86="","",MAX(0,J86-1.96*O86/100))</f>
        <v>0.31864244247781</v>
      </c>
      <c r="Q86" s="47" t="n">
        <f aca="false">IF(J86="","",MIN(1,J86+1.96*O86/100))</f>
        <v>0.404260941533961</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249</v>
      </c>
      <c r="B87" s="32" t="s">
        <v>281</v>
      </c>
      <c r="C87" s="32" t="s">
        <v>191</v>
      </c>
      <c r="D87" s="66" t="n">
        <v>178</v>
      </c>
      <c r="E87" s="66" t="n">
        <v>199</v>
      </c>
      <c r="F87" s="77" t="n">
        <f aca="false">IF(E87="","",D87-E87)</f>
        <v>-21</v>
      </c>
      <c r="G87" s="66" t="n">
        <v>190</v>
      </c>
      <c r="H87" s="66" t="n">
        <v>215</v>
      </c>
      <c r="I87" s="77" t="n">
        <f aca="false">IF(H87="","",G87-H87)</f>
        <v>-25</v>
      </c>
      <c r="J87" s="47" t="n">
        <f aca="false">IF(OR(D87="",D87+G87=0),"",D87/(D87+G87))</f>
        <v>0.483695652173913</v>
      </c>
      <c r="K87" s="47" t="n">
        <f aca="false">IF(E87="","",E87/(E87+H87))</f>
        <v>0.480676328502416</v>
      </c>
      <c r="L87" s="78" t="n">
        <f aca="false">IF(OR(K87="",J87=""),"",(J87-K87)*100)</f>
        <v>0.301932367149754</v>
      </c>
      <c r="M87" s="36" t="n">
        <v>2.87405876590783</v>
      </c>
      <c r="N87" s="36" t="n">
        <v>1.2491777271704</v>
      </c>
      <c r="O87" s="36" t="n">
        <f aca="false">SQRT(M87^2+N87^2)</f>
        <v>3.13379303463874</v>
      </c>
      <c r="P87" s="47" t="n">
        <f aca="false">IF(J87="","",MAX(0,J87-1.96*O87/100))</f>
        <v>0.422273308694994</v>
      </c>
      <c r="Q87" s="47" t="n">
        <f aca="false">IF(J87="","",MIN(1,J87+1.96*O87/100))</f>
        <v>0.545117995652832</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249</v>
      </c>
      <c r="B88" s="32" t="s">
        <v>282</v>
      </c>
      <c r="C88" s="32" t="s">
        <v>191</v>
      </c>
      <c r="D88" s="66" t="n">
        <v>1322</v>
      </c>
      <c r="E88" s="66" t="n">
        <v>1456</v>
      </c>
      <c r="F88" s="77" t="n">
        <f aca="false">IF(E88="","",D88-E88)</f>
        <v>-134</v>
      </c>
      <c r="G88" s="66" t="n">
        <v>1729</v>
      </c>
      <c r="H88" s="66" t="n">
        <v>1860</v>
      </c>
      <c r="I88" s="77" t="n">
        <f aca="false">IF(H88="","",G88-H88)</f>
        <v>-131</v>
      </c>
      <c r="J88" s="47" t="n">
        <f aca="false">IF(OR(D88="",D88+G88=0),"",D88/(D88+G88))</f>
        <v>0.433300557194363</v>
      </c>
      <c r="K88" s="47" t="n">
        <f aca="false">IF(E88="","",E88/(E88+H88))</f>
        <v>0.439083232810615</v>
      </c>
      <c r="L88" s="78" t="n">
        <f aca="false">IF(OR(K88="",J88=""),"",(J88-K88)*100)</f>
        <v>-0.578267561625268</v>
      </c>
      <c r="M88" s="36" t="n">
        <v>1.19581403900077</v>
      </c>
      <c r="N88" s="36" t="n">
        <v>1.2491777271704</v>
      </c>
      <c r="O88" s="36" t="n">
        <f aca="false">SQRT(M88^2+N88^2)</f>
        <v>1.7292819925998</v>
      </c>
      <c r="P88" s="47" t="n">
        <f aca="false">IF(J88="","",MAX(0,J88-1.96*O88/100))</f>
        <v>0.399406630139406</v>
      </c>
      <c r="Q88" s="47" t="n">
        <f aca="false">IF(J88="","",MIN(1,J88+1.96*O88/100))</f>
        <v>0.467194484249319</v>
      </c>
      <c r="R88" s="32" t="str">
        <f aca="false">IF(L88="","",IF(ABS(L88)&lt;=O88,"Yes","No"))</f>
        <v>Yes</v>
      </c>
      <c r="S88" s="32" t="str">
        <f aca="false">IF(L88="","",IF(ABS(L88)&lt;=1.96*O88,"Yes","No"))</f>
        <v>Yes</v>
      </c>
      <c r="T88" s="66" t="n">
        <f aca="false">IF(D88="","",ROUND(SQRT(((D88+G88)*O88/100)^2+(J88*(D88+G88)*0.02225)^2),0))</f>
        <v>60</v>
      </c>
      <c r="U88" s="32"/>
    </row>
    <row r="89" customFormat="false" ht="15" hidden="false" customHeight="false" outlineLevel="0" collapsed="false">
      <c r="A89" s="32" t="s">
        <v>249</v>
      </c>
      <c r="B89" s="32" t="s">
        <v>283</v>
      </c>
      <c r="C89" s="32" t="s">
        <v>191</v>
      </c>
      <c r="D89" s="66" t="n">
        <v>1201</v>
      </c>
      <c r="E89" s="66" t="n">
        <v>1340</v>
      </c>
      <c r="F89" s="77" t="n">
        <f aca="false">IF(E89="","",D89-E89)</f>
        <v>-139</v>
      </c>
      <c r="G89" s="66" t="n">
        <v>927</v>
      </c>
      <c r="H89" s="66" t="n">
        <v>953</v>
      </c>
      <c r="I89" s="77" t="n">
        <f aca="false">IF(H89="","",G89-H89)</f>
        <v>-26</v>
      </c>
      <c r="J89" s="47" t="n">
        <f aca="false">IF(OR(D89="",D89+G89=0),"",D89/(D89+G89))</f>
        <v>0.56437969924812</v>
      </c>
      <c r="K89" s="47" t="n">
        <f aca="false">IF(E89="","",E89/(E89+H89))</f>
        <v>0.584387265590929</v>
      </c>
      <c r="L89" s="78" t="n">
        <f aca="false">IF(OR(K89="",J89=""),"",(J89-K89)*100)</f>
        <v>-2.00075663428086</v>
      </c>
      <c r="M89" s="36" t="n">
        <v>1.79166014209263</v>
      </c>
      <c r="N89" s="36" t="n">
        <v>1.2491777271704</v>
      </c>
      <c r="O89" s="36" t="n">
        <f aca="false">SQRT(M89^2+N89^2)</f>
        <v>2.1841453840855</v>
      </c>
      <c r="P89" s="47" t="n">
        <f aca="false">IF(J89="","",MAX(0,J89-1.96*O89/100))</f>
        <v>0.521570449720045</v>
      </c>
      <c r="Q89" s="47" t="n">
        <f aca="false">IF(J89="","",MIN(1,J89+1.96*O89/100))</f>
        <v>0.607188948776196</v>
      </c>
      <c r="R89" s="32" t="str">
        <f aca="false">IF(L89="","",IF(ABS(L89)&lt;=O89,"Yes","No"))</f>
        <v>Yes</v>
      </c>
      <c r="S89" s="32" t="str">
        <f aca="false">IF(L89="","",IF(ABS(L89)&lt;=1.96*O89,"Yes","No"))</f>
        <v>Yes</v>
      </c>
      <c r="T89" s="66" t="n">
        <f aca="false">IF(D89="","",ROUND(SQRT(((D89+G89)*O89/100)^2+(J89*(D89+G89)*0.03811)^2),0))</f>
        <v>65</v>
      </c>
      <c r="U89" s="32"/>
    </row>
    <row r="90" customFormat="false" ht="15" hidden="false" customHeight="false" outlineLevel="0" collapsed="false">
      <c r="A90" s="32" t="s">
        <v>249</v>
      </c>
      <c r="B90" s="32" t="s">
        <v>284</v>
      </c>
      <c r="C90" s="32" t="s">
        <v>191</v>
      </c>
      <c r="D90" s="66" t="n">
        <v>398</v>
      </c>
      <c r="E90" s="66" t="n">
        <v>494</v>
      </c>
      <c r="F90" s="77" t="n">
        <f aca="false">IF(E90="","",D90-E90)</f>
        <v>-96</v>
      </c>
      <c r="G90" s="66" t="n">
        <v>569</v>
      </c>
      <c r="H90" s="66" t="n">
        <v>601</v>
      </c>
      <c r="I90" s="77" t="n">
        <f aca="false">IF(H90="","",G90-H90)</f>
        <v>-32</v>
      </c>
      <c r="J90" s="47" t="n">
        <f aca="false">IF(OR(D90="",D90+G90=0),"",D90/(D90+G90))</f>
        <v>0.41158221302999</v>
      </c>
      <c r="K90" s="47" t="n">
        <f aca="false">IF(E90="","",E90/(E90+H90))</f>
        <v>0.451141552511416</v>
      </c>
      <c r="L90" s="78" t="n">
        <f aca="false">IF(OR(K90="",J90=""),"",(J90-K90)*100)</f>
        <v>-3.95593394814259</v>
      </c>
      <c r="M90" s="36" t="n">
        <v>2.87405876590783</v>
      </c>
      <c r="N90" s="36" t="n">
        <v>1.2491777271704</v>
      </c>
      <c r="O90" s="36" t="n">
        <f aca="false">SQRT(M90^2+N90^2)</f>
        <v>3.13379303463874</v>
      </c>
      <c r="P90" s="47" t="n">
        <f aca="false">IF(J90="","",MAX(0,J90-1.96*O90/100))</f>
        <v>0.35015986955107</v>
      </c>
      <c r="Q90" s="47" t="n">
        <f aca="false">IF(J90="","",MIN(1,J90+1.96*O90/100))</f>
        <v>0.473004556508909</v>
      </c>
      <c r="R90" s="32" t="str">
        <f aca="false">IF(L90="","",IF(ABS(L90)&lt;=O90,"Yes","No"))</f>
        <v>No</v>
      </c>
      <c r="S90" s="32" t="str">
        <f aca="false">IF(L90="","",IF(ABS(L90)&lt;=1.96*O90,"Yes","No"))</f>
        <v>Yes</v>
      </c>
      <c r="T90" s="66" t="n">
        <f aca="false">IF(D90="","",ROUND(SQRT(((D90+G90)*O90/100)^2+(J90*(D90+G90)*0.0534)^2),0))</f>
        <v>37</v>
      </c>
      <c r="U90" s="32"/>
    </row>
    <row r="92" customFormat="false" ht="15" hidden="false" customHeight="false" outlineLevel="0" collapsed="false">
      <c r="A92" s="20" t="s">
        <v>419</v>
      </c>
      <c r="B92" s="44"/>
      <c r="C92" s="44"/>
      <c r="D92" s="79" t="n">
        <f aca="false">SUMIF(E2:E90,"&lt;&gt;",D2:D90)</f>
        <v>141739</v>
      </c>
      <c r="E92" s="79" t="n">
        <f aca="false">SUM(E2:E90)</f>
        <v>151364</v>
      </c>
      <c r="F92" s="80" t="n">
        <f aca="false">D92-E92</f>
        <v>-9625</v>
      </c>
      <c r="G92" s="79" t="n">
        <f aca="false">SUMIF(H2:H90,"&lt;&gt;",G2:G90)</f>
        <v>137308</v>
      </c>
      <c r="H92" s="79" t="n">
        <f aca="false">SUM(H2:H90)</f>
        <v>145527</v>
      </c>
      <c r="I92" s="80" t="n">
        <f aca="false">G92-H92</f>
        <v>-8219</v>
      </c>
      <c r="J92" s="46" t="n">
        <f aca="false">D92/(D92+G92)</f>
        <v>0.50793952273273</v>
      </c>
      <c r="K92" s="46" t="n">
        <f aca="false">E92/(E92+H92)</f>
        <v>0.509830207045683</v>
      </c>
      <c r="L92" s="81" t="n">
        <f aca="false">(J92-K92)*100</f>
        <v>-0.189068431295381</v>
      </c>
      <c r="M92" s="45" t="n">
        <v>0</v>
      </c>
      <c r="N92" s="45" t="n">
        <v>1.2491777271704</v>
      </c>
      <c r="O92" s="45" t="n">
        <f aca="false">SQRT(M92^2+N92^2)</f>
        <v>1.2491777271704</v>
      </c>
      <c r="P92" s="46" t="n">
        <f aca="false">J92-1.96*O92/100</f>
        <v>0.48345563928019</v>
      </c>
      <c r="Q92" s="46" t="n">
        <f aca="false">J92+1.96*O92/100</f>
        <v>0.532423406185269</v>
      </c>
      <c r="R92" s="44" t="str">
        <f aca="false">IF(ABS(L92)&lt;=O92,"Yes","No")</f>
        <v>Yes</v>
      </c>
      <c r="S92" s="44" t="str">
        <f aca="false">IF(ABS(L92)&lt;=1.96*O92,"Yes","No")</f>
        <v>Yes</v>
      </c>
      <c r="T92" s="79" t="n">
        <f aca="false">ROUND(SQRT(((D92+G92)*O92/100)^2+(J92*(D92+G92)*0.00561)^2),0)</f>
        <v>3575</v>
      </c>
    </row>
    <row r="93" customFormat="false" ht="15" hidden="false" customHeight="false" outlineLevel="0" collapsed="false">
      <c r="A93" s="20" t="s">
        <v>420</v>
      </c>
      <c r="B93" s="44"/>
      <c r="C93" s="44"/>
      <c r="D93" s="79" t="n">
        <f aca="false">SUM(D2:D90)</f>
        <v>141739</v>
      </c>
      <c r="E93" s="79"/>
      <c r="F93" s="80"/>
      <c r="G93" s="79" t="n">
        <f aca="false">SUM(G2:G90)</f>
        <v>137308</v>
      </c>
      <c r="H93" s="79"/>
      <c r="I93" s="80"/>
      <c r="J93" s="46" t="n">
        <f aca="false">D93/(D93+G93)</f>
        <v>0.50793952273273</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150.955056179775</v>
      </c>
    </row>
    <row r="96" customFormat="false" ht="15" hidden="false" customHeight="false" outlineLevel="0" collapsed="false">
      <c r="A96" s="2" t="s">
        <v>422</v>
      </c>
      <c r="F96" s="82" t="n">
        <f aca="false">(SUMIF(I2:I90,"&gt;0")-SUMIF(I2:I90,"&lt;0"))/COUNT(I2:I90)</f>
        <v>99.6067415730337</v>
      </c>
    </row>
    <row r="97" customFormat="false" ht="15" hidden="false" customHeight="false" outlineLevel="0" collapsed="false">
      <c r="A97" s="2" t="s">
        <v>423</v>
      </c>
      <c r="F97" s="83" t="n">
        <f aca="false">(SUMIF(L2:L90,"&gt;0")-SUMIF(L2:L90,"&lt;0"))/COUNT(L2:L90)</f>
        <v>1.6459847527308</v>
      </c>
    </row>
    <row r="98" customFormat="false" ht="15" hidden="false" customHeight="false" outlineLevel="0" collapsed="false">
      <c r="A98" s="5" t="s">
        <v>424</v>
      </c>
      <c r="F98" s="84" t="n">
        <f aca="false">SQRT(SUMSQ(L2:L90)/COUNT(L2:L90))</f>
        <v>2.03760997957285</v>
      </c>
    </row>
    <row r="99" customFormat="false" ht="15" hidden="false" customHeight="false" outlineLevel="0" collapsed="false">
      <c r="A99" s="5" t="s">
        <v>425</v>
      </c>
      <c r="F99" s="85" t="n">
        <f aca="false">L92</f>
        <v>-0.189068431295381</v>
      </c>
    </row>
    <row r="100" customFormat="false" ht="15" hidden="false" customHeight="false" outlineLevel="0" collapsed="false">
      <c r="A100" s="5" t="s">
        <v>426</v>
      </c>
      <c r="F100" s="84" t="n">
        <f aca="false">SQRT((SUMSQ(L2:L90)-2*L92*SUM(L2:L90)+COUNT(L2:L90)*L92^2)/COUNT(L2:L90))</f>
        <v>1.99155500318885</v>
      </c>
    </row>
    <row r="101" customFormat="false" ht="15" hidden="false" customHeight="false" outlineLevel="0" collapsed="false">
      <c r="A101" s="2" t="s">
        <v>427</v>
      </c>
      <c r="F101" s="86" t="n">
        <f aca="false">D92/E92-1</f>
        <v>-0.0635884358235777</v>
      </c>
    </row>
    <row r="102" customFormat="false" ht="15" hidden="false" customHeight="false" outlineLevel="0" collapsed="false">
      <c r="A102" s="5" t="s">
        <v>428</v>
      </c>
      <c r="F102" s="87" t="n">
        <f aca="false">G92/H92-1</f>
        <v>-0.0564774921492232</v>
      </c>
    </row>
    <row r="103" customFormat="false" ht="15" hidden="false" customHeight="false" outlineLevel="0" collapsed="false">
      <c r="A103" s="2" t="s">
        <v>429</v>
      </c>
      <c r="F103" s="86" t="n">
        <f aca="false">(D92+G92)/(E92+H92)-1</f>
        <v>-0.0601028660350095</v>
      </c>
    </row>
    <row r="104" customFormat="false" ht="15" hidden="false" customHeight="false" outlineLevel="0" collapsed="false">
      <c r="A104" s="2" t="s">
        <v>430</v>
      </c>
      <c r="F104" s="83" t="n">
        <f aca="false">AVERAGE(O2:O90)</f>
        <v>2.35092659500714</v>
      </c>
    </row>
    <row r="105" customFormat="false" ht="15" hidden="false" customHeight="false" outlineLevel="0" collapsed="false">
      <c r="A105" s="5" t="s">
        <v>431</v>
      </c>
      <c r="F105" s="88" t="n">
        <f aca="false">COUNTIF(R2:R90,"Yes")/(COUNTIF(R2:R90,"Yes")+COUNTIF(R2:R90,"No"))</f>
        <v>0.707865168539326</v>
      </c>
    </row>
    <row r="106" customFormat="false" ht="15" hidden="false" customHeight="false" outlineLevel="0" collapsed="false">
      <c r="A106" s="5" t="s">
        <v>432</v>
      </c>
      <c r="F106" s="88" t="n">
        <f aca="false">COUNTIF(S2:S90,"Yes")/(COUNTIF(S2:S90,"Yes")+COUNTIF(S2:S90,"No"))</f>
        <v>0.98876404494382</v>
      </c>
    </row>
    <row r="107" customFormat="false" ht="15" hidden="false" customHeight="false" outlineLevel="0" collapsed="false">
      <c r="A107" s="2" t="s">
        <v>433</v>
      </c>
      <c r="F107" s="89" t="n">
        <f aca="false">COUNTIFS(L2:L90,"&gt;=-3",L2:L90,"&lt;=3")/COUNT(L2:L90)</f>
        <v>0.910112359550562</v>
      </c>
    </row>
    <row r="108" customFormat="false" ht="15" hidden="false" customHeight="false" outlineLevel="0" collapsed="false">
      <c r="A108" s="2" t="s">
        <v>457</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-9097.41021452317</v>
      </c>
    </row>
    <row r="112" customFormat="false" ht="15" hidden="false" customHeight="false" outlineLevel="0" collapsed="false">
      <c r="A112" s="2" t="s">
        <v>438</v>
      </c>
      <c r="F112" s="91" t="n">
        <f aca="false">F92-((D92+G92)-(E92+H92))*K92</f>
        <v>-527.589785476826</v>
      </c>
    </row>
    <row r="113" customFormat="false" ht="15" hidden="false" customHeight="false" outlineLevel="0" collapsed="false">
      <c r="A113" s="2" t="s">
        <v>439</v>
      </c>
      <c r="F113" s="91" t="n">
        <f aca="false">((D92+G92)-(E92+H92))*(1-K92)</f>
        <v>-8746.58978547683</v>
      </c>
    </row>
    <row r="114" customFormat="false" ht="15" hidden="false" customHeight="false" outlineLevel="0" collapsed="false">
      <c r="A114" s="2" t="s">
        <v>440</v>
      </c>
      <c r="F114" s="91" t="n">
        <f aca="false">I92-((D92+G92)-(E92+H92))*(1-K92)</f>
        <v>527.589785476826</v>
      </c>
    </row>
    <row r="115" customFormat="false" ht="15" hidden="false" customHeight="false" outlineLevel="0" collapsed="false">
      <c r="A115" s="2" t="s">
        <v>441</v>
      </c>
      <c r="F115" s="86" t="n">
        <f aca="false">(F92-((D92+G92)-(E92+H92))*K92)/E92</f>
        <v>-0.00348556978856813</v>
      </c>
    </row>
    <row r="116" customFormat="false" ht="15" hidden="false" customHeight="false" outlineLevel="0" collapsed="false">
      <c r="A116" s="2" t="s">
        <v>442</v>
      </c>
      <c r="F116" s="86" t="n">
        <f aca="false">(I92-((D92+G92)-(E92+H92))*(1-K92))/H92</f>
        <v>0.00362537388578632</v>
      </c>
    </row>
    <row r="118" customFormat="false" ht="15" hidden="false" customHeight="false" outlineLevel="0" collapsed="false">
      <c r="U118" s="5" t="s">
        <v>166</v>
      </c>
    </row>
    <row r="119" customFormat="false" ht="28.35" hidden="false" customHeight="false" outlineLevel="0" collapsed="false">
      <c r="U119" s="76" t="s">
        <v>458</v>
      </c>
    </row>
    <row r="120" customFormat="false" ht="15" hidden="false" customHeight="false" outlineLevel="0" collapsed="false">
      <c r="U120" s="76" t="s">
        <v>444</v>
      </c>
    </row>
    <row r="121" customFormat="false" ht="95.5" hidden="false" customHeight="false" outlineLevel="0" collapsed="false">
      <c r="U121" s="76" t="s">
        <v>464</v>
      </c>
    </row>
    <row r="122" customFormat="false" ht="15" hidden="false" customHeight="false" outlineLevel="0" collapsed="false">
      <c r="U122" s="76" t="s">
        <v>459</v>
      </c>
    </row>
    <row r="123" customFormat="false" ht="41.75" hidden="false" customHeight="false" outlineLevel="0" collapsed="false">
      <c r="U123" s="76" t="s">
        <v>460</v>
      </c>
    </row>
    <row r="124" customFormat="false" ht="28.35" hidden="false" customHeight="false" outlineLevel="0" collapsed="false">
      <c r="U124" s="76" t="s">
        <v>461</v>
      </c>
    </row>
    <row r="125" customFormat="false" ht="28.35" hidden="false" customHeight="false" outlineLevel="0" collapsed="false">
      <c r="U125" s="76" t="s">
        <v>449</v>
      </c>
    </row>
    <row r="126" customFormat="false" ht="41.75" hidden="false" customHeight="false" outlineLevel="0" collapsed="false">
      <c r="U126" s="76" t="s">
        <v>462</v>
      </c>
    </row>
    <row r="127" customFormat="false" ht="15" hidden="false" customHeight="false" outlineLevel="0" collapsed="false">
      <c r="U127" s="76" t="s">
        <v>463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455</v>
      </c>
      <c r="N1" s="8" t="s">
        <v>456</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126</v>
      </c>
      <c r="E2" s="66" t="n">
        <v>137</v>
      </c>
      <c r="F2" s="77" t="n">
        <f aca="false">IF(E2="","",D2-E2)</f>
        <v>-11</v>
      </c>
      <c r="G2" s="66" t="n">
        <v>219</v>
      </c>
      <c r="H2" s="66" t="n">
        <v>249</v>
      </c>
      <c r="I2" s="77" t="n">
        <f aca="false">IF(H2="","",G2-H2)</f>
        <v>-30</v>
      </c>
      <c r="J2" s="47" t="n">
        <f aca="false">IF(OR(D2="",D2+G2=0),"",D2/(D2+G2))</f>
        <v>0.365217391304348</v>
      </c>
      <c r="K2" s="47" t="n">
        <f aca="false">IF(E2="","",E2/(E2+H2))</f>
        <v>0.354922279792746</v>
      </c>
      <c r="L2" s="78" t="n">
        <f aca="false">IF(OR(K2="",J2=""),"",(J2-K2)*100)</f>
        <v>1.02951115116017</v>
      </c>
      <c r="M2" s="36" t="n">
        <v>2.85482016247941</v>
      </c>
      <c r="N2" s="36" t="n">
        <v>1.24848469443204</v>
      </c>
      <c r="O2" s="36" t="n">
        <f aca="false">SQRT(M2^2+N2^2)</f>
        <v>3.11588064475038</v>
      </c>
      <c r="P2" s="47" t="n">
        <f aca="false">IF(J2="","",MAX(0,J2-1.96*O2/100))</f>
        <v>0.30414613066724</v>
      </c>
      <c r="Q2" s="47" t="n">
        <f aca="false">IF(J2="","",MIN(1,J2+1.96*O2/100))</f>
        <v>0.426288651941455</v>
      </c>
      <c r="R2" s="32" t="str">
        <f aca="false">IF(L2="","",IF(ABS(L2)&lt;=O2,"Yes","No"))</f>
        <v>Yes</v>
      </c>
      <c r="S2" s="32" t="str">
        <f aca="false">IF(L2="","",IF(ABS(L2)&lt;=1.96*O2,"Yes","No"))</f>
        <v>Yes</v>
      </c>
      <c r="T2" s="66" t="n">
        <f aca="false">IF(D2="","",ROUND(SQRT(((D2+G2)*O2/100)^2+(J2*(D2+G2)*0.0534)^2),0))</f>
        <v>13</v>
      </c>
      <c r="U2" s="32"/>
    </row>
    <row r="3" customFormat="false" ht="15" hidden="false" customHeight="false" outlineLevel="0" collapsed="false">
      <c r="A3" s="32" t="s">
        <v>189</v>
      </c>
      <c r="B3" s="32" t="s">
        <v>195</v>
      </c>
      <c r="C3" s="32" t="s">
        <v>191</v>
      </c>
      <c r="D3" s="66" t="n">
        <v>76</v>
      </c>
      <c r="E3" s="66" t="n">
        <v>84</v>
      </c>
      <c r="F3" s="77" t="n">
        <f aca="false">IF(E3="","",D3-E3)</f>
        <v>-8</v>
      </c>
      <c r="G3" s="66" t="n">
        <v>202</v>
      </c>
      <c r="H3" s="66" t="n">
        <v>230</v>
      </c>
      <c r="I3" s="77" t="n">
        <f aca="false">IF(H3="","",G3-H3)</f>
        <v>-28</v>
      </c>
      <c r="J3" s="47" t="n">
        <f aca="false">IF(OR(D3="",D3+G3=0),"",D3/(D3+G3))</f>
        <v>0.273381294964029</v>
      </c>
      <c r="K3" s="47" t="n">
        <f aca="false">IF(E3="","",E3/(E3+H3))</f>
        <v>0.267515923566879</v>
      </c>
      <c r="L3" s="78" t="n">
        <f aca="false">IF(OR(K3="",J3=""),"",(J3-K3)*100)</f>
        <v>0.586537139714982</v>
      </c>
      <c r="M3" s="36" t="n">
        <v>2.85482016247941</v>
      </c>
      <c r="N3" s="36" t="n">
        <v>1.24848469443204</v>
      </c>
      <c r="O3" s="36" t="n">
        <f aca="false">SQRT(M3^2+N3^2)</f>
        <v>3.11588064475038</v>
      </c>
      <c r="P3" s="47" t="n">
        <f aca="false">IF(J3="","",MAX(0,J3-1.96*O3/100))</f>
        <v>0.212310034326921</v>
      </c>
      <c r="Q3" s="47" t="n">
        <f aca="false">IF(J3="","",MIN(1,J3+1.96*O3/100))</f>
        <v>0.334452555601136</v>
      </c>
      <c r="R3" s="32" t="str">
        <f aca="false">IF(L3="","",IF(ABS(L3)&lt;=O3,"Yes","No"))</f>
        <v>Yes</v>
      </c>
      <c r="S3" s="32" t="str">
        <f aca="false">IF(L3="","",IF(ABS(L3)&lt;=1.96*O3,"Yes","No"))</f>
        <v>Yes</v>
      </c>
      <c r="T3" s="66" t="n">
        <f aca="false">IF(D3="","",ROUND(SQRT(((D3+G3)*O3/100)^2+(J3*(D3+G3)*0.0534)^2),0))</f>
        <v>10</v>
      </c>
      <c r="U3" s="32"/>
    </row>
    <row r="4" customFormat="false" ht="15" hidden="false" customHeight="false" outlineLevel="0" collapsed="false">
      <c r="A4" s="32" t="s">
        <v>189</v>
      </c>
      <c r="B4" s="32" t="s">
        <v>196</v>
      </c>
      <c r="C4" s="32" t="s">
        <v>191</v>
      </c>
      <c r="D4" s="66" t="n">
        <v>86</v>
      </c>
      <c r="E4" s="66" t="n">
        <v>125</v>
      </c>
      <c r="F4" s="77" t="n">
        <f aca="false">IF(E4="","",D4-E4)</f>
        <v>-39</v>
      </c>
      <c r="G4" s="66" t="n">
        <v>202</v>
      </c>
      <c r="H4" s="66" t="n">
        <v>223</v>
      </c>
      <c r="I4" s="77" t="n">
        <f aca="false">IF(H4="","",G4-H4)</f>
        <v>-21</v>
      </c>
      <c r="J4" s="47" t="n">
        <f aca="false">IF(OR(D4="",D4+G4=0),"",D4/(D4+G4))</f>
        <v>0.298611111111111</v>
      </c>
      <c r="K4" s="47" t="n">
        <f aca="false">IF(E4="","",E4/(E4+H4))</f>
        <v>0.359195402298851</v>
      </c>
      <c r="L4" s="78" t="n">
        <f aca="false">IF(OR(K4="",J4=""),"",(J4-K4)*100)</f>
        <v>-6.05842911877395</v>
      </c>
      <c r="M4" s="36" t="n">
        <v>2.85482016247941</v>
      </c>
      <c r="N4" s="36" t="n">
        <v>1.24848469443204</v>
      </c>
      <c r="O4" s="36" t="n">
        <f aca="false">SQRT(M4^2+N4^2)</f>
        <v>3.11588064475038</v>
      </c>
      <c r="P4" s="47" t="n">
        <f aca="false">IF(J4="","",MAX(0,J4-1.96*O4/100))</f>
        <v>0.237539850474004</v>
      </c>
      <c r="Q4" s="47" t="n">
        <f aca="false">IF(J4="","",MIN(1,J4+1.96*O4/100))</f>
        <v>0.359682371748219</v>
      </c>
      <c r="R4" s="32" t="str">
        <f aca="false">IF(L4="","",IF(ABS(L4)&lt;=O4,"Yes","No"))</f>
        <v>No</v>
      </c>
      <c r="S4" s="32" t="str">
        <f aca="false">IF(L4="","",IF(ABS(L4)&lt;=1.96*O4,"Yes","No"))</f>
        <v>Yes</v>
      </c>
      <c r="T4" s="66" t="n">
        <f aca="false">IF(D4="","",ROUND(SQRT(((D4+G4)*O4/100)^2+(J4*(D4+G4)*0.0534)^2),0))</f>
        <v>10</v>
      </c>
      <c r="U4" s="32"/>
    </row>
    <row r="5" customFormat="false" ht="15" hidden="false" customHeight="false" outlineLevel="0" collapsed="false">
      <c r="A5" s="32" t="s">
        <v>189</v>
      </c>
      <c r="B5" s="32" t="s">
        <v>197</v>
      </c>
      <c r="C5" s="32" t="s">
        <v>191</v>
      </c>
      <c r="D5" s="66" t="n">
        <v>303</v>
      </c>
      <c r="E5" s="66" t="n">
        <v>372</v>
      </c>
      <c r="F5" s="77" t="n">
        <f aca="false">IF(E5="","",D5-E5)</f>
        <v>-69</v>
      </c>
      <c r="G5" s="66" t="n">
        <v>828</v>
      </c>
      <c r="H5" s="66" t="n">
        <v>925</v>
      </c>
      <c r="I5" s="77" t="n">
        <f aca="false">IF(H5="","",G5-H5)</f>
        <v>-97</v>
      </c>
      <c r="J5" s="47" t="n">
        <f aca="false">IF(OR(D5="",D5+G5=0),"",D5/(D5+G5))</f>
        <v>0.26790450928382</v>
      </c>
      <c r="K5" s="47" t="n">
        <f aca="false">IF(E5="","",E5/(E5+H5))</f>
        <v>0.286815728604472</v>
      </c>
      <c r="L5" s="78" t="n">
        <f aca="false">IF(OR(K5="",J5=""),"",(J5-K5)*100)</f>
        <v>-1.89112193206522</v>
      </c>
      <c r="M5" s="36" t="n">
        <v>1.87176133364825</v>
      </c>
      <c r="N5" s="36" t="n">
        <v>1.24848469443204</v>
      </c>
      <c r="O5" s="36" t="n">
        <f aca="false">SQRT(M5^2+N5^2)</f>
        <v>2.2499343373467</v>
      </c>
      <c r="P5" s="47" t="n">
        <f aca="false">IF(J5="","",MAX(0,J5-1.96*O5/100))</f>
        <v>0.223805796271824</v>
      </c>
      <c r="Q5" s="47" t="n">
        <f aca="false">IF(J5="","",MIN(1,J5+1.96*O5/100))</f>
        <v>0.312003222295815</v>
      </c>
      <c r="R5" s="32" t="str">
        <f aca="false">IF(L5="","",IF(ABS(L5)&lt;=O5,"Yes","No"))</f>
        <v>Yes</v>
      </c>
      <c r="S5" s="32" t="str">
        <f aca="false">IF(L5="","",IF(ABS(L5)&lt;=1.96*O5,"Yes","No"))</f>
        <v>Yes</v>
      </c>
      <c r="T5" s="66" t="n">
        <f aca="false">IF(D5="","",ROUND(SQRT(((D5+G5)*O5/100)^2+(J5*(D5+G5)*0.03811)^2),0))</f>
        <v>28</v>
      </c>
      <c r="U5" s="32"/>
    </row>
    <row r="6" customFormat="false" ht="15" hidden="false" customHeight="false" outlineLevel="0" collapsed="false">
      <c r="A6" s="32" t="s">
        <v>189</v>
      </c>
      <c r="B6" s="32" t="s">
        <v>199</v>
      </c>
      <c r="C6" s="32" t="s">
        <v>191</v>
      </c>
      <c r="D6" s="66" t="n">
        <v>31</v>
      </c>
      <c r="E6" s="66" t="n">
        <v>33</v>
      </c>
      <c r="F6" s="77" t="n">
        <f aca="false">IF(E6="","",D6-E6)</f>
        <v>-2</v>
      </c>
      <c r="G6" s="66" t="n">
        <v>45</v>
      </c>
      <c r="H6" s="66" t="n">
        <v>61</v>
      </c>
      <c r="I6" s="77" t="n">
        <f aca="false">IF(H6="","",G6-H6)</f>
        <v>-16</v>
      </c>
      <c r="J6" s="47" t="n">
        <f aca="false">IF(OR(D6="",D6+G6=0),"",D6/(D6+G6))</f>
        <v>0.407894736842105</v>
      </c>
      <c r="K6" s="47" t="n">
        <f aca="false">IF(E6="","",E6/(E6+H6))</f>
        <v>0.351063829787234</v>
      </c>
      <c r="L6" s="78" t="n">
        <f aca="false">IF(OR(K6="",J6=""),"",(J6-K6)*100)</f>
        <v>5.68309070548712</v>
      </c>
      <c r="M6" s="36" t="n">
        <v>2.85482016247941</v>
      </c>
      <c r="N6" s="36" t="n">
        <v>1.24848469443204</v>
      </c>
      <c r="O6" s="36" t="n">
        <f aca="false">SQRT(M6^2+N6^2)</f>
        <v>3.11588064475038</v>
      </c>
      <c r="P6" s="47" t="n">
        <f aca="false">IF(J6="","",MAX(0,J6-1.96*O6/100))</f>
        <v>0.346823476204998</v>
      </c>
      <c r="Q6" s="47" t="n">
        <f aca="false">IF(J6="","",MIN(1,J6+1.96*O6/100))</f>
        <v>0.468965997479213</v>
      </c>
      <c r="R6" s="32" t="str">
        <f aca="false">IF(L6="","",IF(ABS(L6)&lt;=O6,"Yes","No"))</f>
        <v>No</v>
      </c>
      <c r="S6" s="32" t="str">
        <f aca="false">IF(L6="","",IF(ABS(L6)&lt;=1.96*O6,"Yes","No"))</f>
        <v>Yes</v>
      </c>
      <c r="T6" s="66" t="n">
        <f aca="false">IF(D6="","",ROUND(SQRT(((D6+G6)*O6/100)^2+(J6*(D6+G6)*0.0534)^2),0))</f>
        <v>3</v>
      </c>
      <c r="U6" s="32"/>
    </row>
    <row r="7" customFormat="false" ht="15" hidden="false" customHeight="false" outlineLevel="0" collapsed="false">
      <c r="A7" s="32" t="s">
        <v>189</v>
      </c>
      <c r="B7" s="32" t="s">
        <v>200</v>
      </c>
      <c r="C7" s="32" t="s">
        <v>191</v>
      </c>
      <c r="D7" s="66" t="n">
        <v>467</v>
      </c>
      <c r="E7" s="66" t="n">
        <v>560</v>
      </c>
      <c r="F7" s="77" t="n">
        <f aca="false">IF(E7="","",D7-E7)</f>
        <v>-93</v>
      </c>
      <c r="G7" s="66" t="n">
        <v>1262</v>
      </c>
      <c r="H7" s="66" t="n">
        <v>1398</v>
      </c>
      <c r="I7" s="77" t="n">
        <f aca="false">IF(H7="","",G7-H7)</f>
        <v>-136</v>
      </c>
      <c r="J7" s="47" t="n">
        <f aca="false">IF(OR(D7="",D7+G7=0),"",D7/(D7+G7))</f>
        <v>0.270098322729902</v>
      </c>
      <c r="K7" s="47" t="n">
        <f aca="false">IF(E7="","",E7/(E7+H7))</f>
        <v>0.286006128702758</v>
      </c>
      <c r="L7" s="78" t="n">
        <f aca="false">IF(OR(K7="",J7=""),"",(J7-K7)*100)</f>
        <v>-1.59078059728562</v>
      </c>
      <c r="M7" s="36" t="n">
        <v>1.87176133364825</v>
      </c>
      <c r="N7" s="36" t="n">
        <v>1.24848469443204</v>
      </c>
      <c r="O7" s="36" t="n">
        <f aca="false">SQRT(M7^2+N7^2)</f>
        <v>2.2499343373467</v>
      </c>
      <c r="P7" s="47" t="n">
        <f aca="false">IF(J7="","",MAX(0,J7-1.96*O7/100))</f>
        <v>0.225999609717906</v>
      </c>
      <c r="Q7" s="47" t="n">
        <f aca="false">IF(J7="","",MIN(1,J7+1.96*O7/100))</f>
        <v>0.314197035741897</v>
      </c>
      <c r="R7" s="32" t="str">
        <f aca="false">IF(L7="","",IF(ABS(L7)&lt;=O7,"Yes","No"))</f>
        <v>Yes</v>
      </c>
      <c r="S7" s="32" t="str">
        <f aca="false">IF(L7="","",IF(ABS(L7)&lt;=1.96*O7,"Yes","No"))</f>
        <v>Yes</v>
      </c>
      <c r="T7" s="66" t="n">
        <f aca="false">IF(D7="","",ROUND(SQRT(((D7+G7)*O7/100)^2+(J7*(D7+G7)*0.03811)^2),0))</f>
        <v>43</v>
      </c>
      <c r="U7" s="32"/>
    </row>
    <row r="8" customFormat="false" ht="15" hidden="false" customHeight="false" outlineLevel="0" collapsed="false">
      <c r="A8" s="32" t="s">
        <v>189</v>
      </c>
      <c r="B8" s="32" t="s">
        <v>201</v>
      </c>
      <c r="C8" s="32" t="s">
        <v>191</v>
      </c>
      <c r="D8" s="66" t="n">
        <v>804</v>
      </c>
      <c r="E8" s="66" t="n">
        <v>979</v>
      </c>
      <c r="F8" s="77" t="n">
        <f aca="false">IF(E8="","",D8-E8)</f>
        <v>-175</v>
      </c>
      <c r="G8" s="66" t="n">
        <v>1047</v>
      </c>
      <c r="H8" s="66" t="n">
        <v>1157</v>
      </c>
      <c r="I8" s="77" t="n">
        <f aca="false">IF(H8="","",G8-H8)</f>
        <v>-110</v>
      </c>
      <c r="J8" s="47" t="n">
        <f aca="false">IF(OR(D8="",D8+G8=0),"",D8/(D8+G8))</f>
        <v>0.434359805510535</v>
      </c>
      <c r="K8" s="47" t="n">
        <f aca="false">IF(E8="","",E8/(E8+H8))</f>
        <v>0.458333333333333</v>
      </c>
      <c r="L8" s="78" t="n">
        <f aca="false">IF(OR(K8="",J8=""),"",(J8-K8)*100)</f>
        <v>-2.39735278227985</v>
      </c>
      <c r="M8" s="36" t="n">
        <v>1.87176133364825</v>
      </c>
      <c r="N8" s="36" t="n">
        <v>1.24848469443204</v>
      </c>
      <c r="O8" s="36" t="n">
        <f aca="false">SQRT(M8^2+N8^2)</f>
        <v>2.2499343373467</v>
      </c>
      <c r="P8" s="47" t="n">
        <f aca="false">IF(J8="","",MAX(0,J8-1.96*O8/100))</f>
        <v>0.39026109249854</v>
      </c>
      <c r="Q8" s="47" t="n">
        <f aca="false">IF(J8="","",MIN(1,J8+1.96*O8/100))</f>
        <v>0.47845851852253</v>
      </c>
      <c r="R8" s="32" t="str">
        <f aca="false">IF(L8="","",IF(ABS(L8)&lt;=O8,"Yes","No"))</f>
        <v>No</v>
      </c>
      <c r="S8" s="32" t="str">
        <f aca="false">IF(L8="","",IF(ABS(L8)&lt;=1.96*O8,"Yes","No"))</f>
        <v>Yes</v>
      </c>
      <c r="T8" s="66" t="n">
        <f aca="false">IF(D8="","",ROUND(SQRT(((D8+G8)*O8/100)^2+(J8*(D8+G8)*0.03811)^2),0))</f>
        <v>52</v>
      </c>
      <c r="U8" s="32"/>
    </row>
    <row r="9" customFormat="false" ht="15" hidden="false" customHeight="false" outlineLevel="0" collapsed="false">
      <c r="A9" s="32" t="s">
        <v>189</v>
      </c>
      <c r="B9" s="32" t="s">
        <v>202</v>
      </c>
      <c r="C9" s="32" t="s">
        <v>191</v>
      </c>
      <c r="D9" s="66" t="n">
        <v>249</v>
      </c>
      <c r="E9" s="66" t="n">
        <v>277</v>
      </c>
      <c r="F9" s="77" t="n">
        <f aca="false">IF(E9="","",D9-E9)</f>
        <v>-28</v>
      </c>
      <c r="G9" s="66" t="n">
        <v>560</v>
      </c>
      <c r="H9" s="66" t="n">
        <v>560</v>
      </c>
      <c r="I9" s="77" t="n">
        <f aca="false">IF(H9="","",G9-H9)</f>
        <v>0</v>
      </c>
      <c r="J9" s="47" t="n">
        <f aca="false">IF(OR(D9="",D9+G9=0),"",D9/(D9+G9))</f>
        <v>0.30778739184178</v>
      </c>
      <c r="K9" s="47" t="n">
        <f aca="false">IF(E9="","",E9/(E9+H9))</f>
        <v>0.330943847072879</v>
      </c>
      <c r="L9" s="78" t="n">
        <f aca="false">IF(OR(K9="",J9=""),"",(J9-K9)*100)</f>
        <v>-2.31564552310993</v>
      </c>
      <c r="M9" s="36" t="n">
        <v>2.85482016247941</v>
      </c>
      <c r="N9" s="36" t="n">
        <v>1.24848469443204</v>
      </c>
      <c r="O9" s="36" t="n">
        <f aca="false">SQRT(M9^2+N9^2)</f>
        <v>3.11588064475038</v>
      </c>
      <c r="P9" s="47" t="n">
        <f aca="false">IF(J9="","",MAX(0,J9-1.96*O9/100))</f>
        <v>0.246716131204673</v>
      </c>
      <c r="Q9" s="47" t="n">
        <f aca="false">IF(J9="","",MIN(1,J9+1.96*O9/100))</f>
        <v>0.368858652478887</v>
      </c>
      <c r="R9" s="32" t="str">
        <f aca="false">IF(L9="","",IF(ABS(L9)&lt;=O9,"Yes","No"))</f>
        <v>Yes</v>
      </c>
      <c r="S9" s="32" t="str">
        <f aca="false">IF(L9="","",IF(ABS(L9)&lt;=1.96*O9,"Yes","No"))</f>
        <v>Yes</v>
      </c>
      <c r="T9" s="66" t="n">
        <f aca="false">IF(D9="","",ROUND(SQRT(((D9+G9)*O9/100)^2+(J9*(D9+G9)*0.0534)^2),0))</f>
        <v>28</v>
      </c>
      <c r="U9" s="32"/>
    </row>
    <row r="10" customFormat="false" ht="15" hidden="false" customHeight="false" outlineLevel="0" collapsed="false">
      <c r="A10" s="32" t="s">
        <v>189</v>
      </c>
      <c r="B10" s="32" t="s">
        <v>203</v>
      </c>
      <c r="C10" s="32" t="s">
        <v>191</v>
      </c>
      <c r="D10" s="66" t="n">
        <v>391</v>
      </c>
      <c r="E10" s="66" t="n">
        <v>420</v>
      </c>
      <c r="F10" s="77" t="n">
        <f aca="false">IF(E10="","",D10-E10)</f>
        <v>-29</v>
      </c>
      <c r="G10" s="66" t="n">
        <v>520</v>
      </c>
      <c r="H10" s="66" t="n">
        <v>580</v>
      </c>
      <c r="I10" s="77" t="n">
        <f aca="false">IF(H10="","",G10-H10)</f>
        <v>-60</v>
      </c>
      <c r="J10" s="47" t="n">
        <f aca="false">IF(OR(D10="",D10+G10=0),"",D10/(D10+G10))</f>
        <v>0.429198682766191</v>
      </c>
      <c r="K10" s="47" t="n">
        <f aca="false">IF(E10="","",E10/(E10+H10))</f>
        <v>0.42</v>
      </c>
      <c r="L10" s="78" t="n">
        <f aca="false">IF(OR(K10="",J10=""),"",(J10-K10)*100)</f>
        <v>0.919868276619101</v>
      </c>
      <c r="M10" s="36" t="n">
        <v>2.85482016247941</v>
      </c>
      <c r="N10" s="36" t="n">
        <v>1.24848469443204</v>
      </c>
      <c r="O10" s="36" t="n">
        <f aca="false">SQRT(M10^2+N10^2)</f>
        <v>3.11588064475038</v>
      </c>
      <c r="P10" s="47" t="n">
        <f aca="false">IF(J10="","",MAX(0,J10-1.96*O10/100))</f>
        <v>0.368127422129084</v>
      </c>
      <c r="Q10" s="47" t="n">
        <f aca="false">IF(J10="","",MIN(1,J10+1.96*O10/100))</f>
        <v>0.490269943403298</v>
      </c>
      <c r="R10" s="32" t="str">
        <f aca="false">IF(L10="","",IF(ABS(L10)&lt;=O10,"Yes","No"))</f>
        <v>Yes</v>
      </c>
      <c r="S10" s="32" t="str">
        <f aca="false">IF(L10="","",IF(ABS(L10)&lt;=1.96*O10,"Yes","No"))</f>
        <v>Yes</v>
      </c>
      <c r="T10" s="66" t="n">
        <f aca="false">IF(D10="","",ROUND(SQRT(((D10+G10)*O10/100)^2+(J10*(D10+G10)*0.0534)^2),0))</f>
        <v>35</v>
      </c>
      <c r="U10" s="32"/>
    </row>
    <row r="11" customFormat="false" ht="15" hidden="false" customHeight="false" outlineLevel="0" collapsed="false">
      <c r="A11" s="32" t="s">
        <v>189</v>
      </c>
      <c r="B11" s="32" t="s">
        <v>204</v>
      </c>
      <c r="C11" s="32" t="s">
        <v>191</v>
      </c>
      <c r="D11" s="66" t="n">
        <v>27</v>
      </c>
      <c r="E11" s="66" t="n">
        <v>36</v>
      </c>
      <c r="F11" s="77" t="n">
        <f aca="false">IF(E11="","",D11-E11)</f>
        <v>-9</v>
      </c>
      <c r="G11" s="66" t="n">
        <v>64</v>
      </c>
      <c r="H11" s="66" t="n">
        <v>79</v>
      </c>
      <c r="I11" s="77" t="n">
        <f aca="false">IF(H11="","",G11-H11)</f>
        <v>-15</v>
      </c>
      <c r="J11" s="47" t="n">
        <f aca="false">IF(OR(D11="",D11+G11=0),"",D11/(D11+G11))</f>
        <v>0.296703296703297</v>
      </c>
      <c r="K11" s="47" t="n">
        <f aca="false">IF(E11="","",E11/(E11+H11))</f>
        <v>0.31304347826087</v>
      </c>
      <c r="L11" s="78" t="n">
        <f aca="false">IF(OR(K11="",J11=""),"",(J11-K11)*100)</f>
        <v>-1.63401815575729</v>
      </c>
      <c r="M11" s="36" t="n">
        <v>2.85482016247941</v>
      </c>
      <c r="N11" s="36" t="n">
        <v>1.24848469443204</v>
      </c>
      <c r="O11" s="36" t="n">
        <f aca="false">SQRT(M11^2+N11^2)</f>
        <v>3.11588064475038</v>
      </c>
      <c r="P11" s="47" t="n">
        <f aca="false">IF(J11="","",MAX(0,J11-1.96*O11/100))</f>
        <v>0.235632036066189</v>
      </c>
      <c r="Q11" s="47" t="n">
        <f aca="false">IF(J11="","",MIN(1,J11+1.96*O11/100))</f>
        <v>0.357774557340404</v>
      </c>
      <c r="R11" s="32" t="str">
        <f aca="false">IF(L11="","",IF(ABS(L11)&lt;=O11,"Yes","No"))</f>
        <v>Yes</v>
      </c>
      <c r="S11" s="32" t="str">
        <f aca="false">IF(L11="","",IF(ABS(L11)&lt;=1.96*O11,"Yes","No"))</f>
        <v>Yes</v>
      </c>
      <c r="T11" s="66" t="n">
        <f aca="false">IF(D11="","",ROUND(SQRT(((D11+G11)*O11/100)^2+(J11*(D11+G11)*0.0534)^2),0))</f>
        <v>3</v>
      </c>
      <c r="U11" s="32"/>
    </row>
    <row r="12" customFormat="false" ht="15" hidden="false" customHeight="false" outlineLevel="0" collapsed="false">
      <c r="A12" s="32" t="s">
        <v>189</v>
      </c>
      <c r="B12" s="32" t="s">
        <v>205</v>
      </c>
      <c r="C12" s="32" t="s">
        <v>191</v>
      </c>
      <c r="D12" s="66" t="n">
        <v>35</v>
      </c>
      <c r="E12" s="66" t="n">
        <v>52</v>
      </c>
      <c r="F12" s="77" t="n">
        <f aca="false">IF(E12="","",D12-E12)</f>
        <v>-17</v>
      </c>
      <c r="G12" s="66" t="n">
        <v>164</v>
      </c>
      <c r="H12" s="66" t="n">
        <v>189</v>
      </c>
      <c r="I12" s="77" t="n">
        <f aca="false">IF(H12="","",G12-H12)</f>
        <v>-25</v>
      </c>
      <c r="J12" s="47" t="n">
        <f aca="false">IF(OR(D12="",D12+G12=0),"",D12/(D12+G12))</f>
        <v>0.175879396984925</v>
      </c>
      <c r="K12" s="47" t="n">
        <f aca="false">IF(E12="","",E12/(E12+H12))</f>
        <v>0.215767634854772</v>
      </c>
      <c r="L12" s="78" t="n">
        <f aca="false">IF(OR(K12="",J12=""),"",(J12-K12)*100)</f>
        <v>-3.98882378698472</v>
      </c>
      <c r="M12" s="36" t="n">
        <v>2.85482016247941</v>
      </c>
      <c r="N12" s="36" t="n">
        <v>1.24848469443204</v>
      </c>
      <c r="O12" s="36" t="n">
        <f aca="false">SQRT(M12^2+N12^2)</f>
        <v>3.11588064475038</v>
      </c>
      <c r="P12" s="47" t="n">
        <f aca="false">IF(J12="","",MAX(0,J12-1.96*O12/100))</f>
        <v>0.114808136347817</v>
      </c>
      <c r="Q12" s="47" t="n">
        <f aca="false">IF(J12="","",MIN(1,J12+1.96*O12/100))</f>
        <v>0.236950657622032</v>
      </c>
      <c r="R12" s="32" t="str">
        <f aca="false">IF(L12="","",IF(ABS(L12)&lt;=O12,"Yes","No"))</f>
        <v>No</v>
      </c>
      <c r="S12" s="32" t="str">
        <f aca="false">IF(L12="","",IF(ABS(L12)&lt;=1.96*O12,"Yes","No"))</f>
        <v>Yes</v>
      </c>
      <c r="T12" s="66" t="n">
        <f aca="false">IF(D12="","",ROUND(SQRT(((D12+G12)*O12/100)^2+(J12*(D12+G12)*0.0534)^2),0))</f>
        <v>6</v>
      </c>
      <c r="U12" s="32"/>
    </row>
    <row r="13" customFormat="false" ht="15" hidden="false" customHeight="false" outlineLevel="0" collapsed="false">
      <c r="A13" s="32" t="s">
        <v>189</v>
      </c>
      <c r="B13" s="32" t="s">
        <v>206</v>
      </c>
      <c r="C13" s="32" t="s">
        <v>191</v>
      </c>
      <c r="D13" s="66" t="n">
        <v>587</v>
      </c>
      <c r="E13" s="66" t="n">
        <v>719</v>
      </c>
      <c r="F13" s="77" t="n">
        <f aca="false">IF(E13="","",D13-E13)</f>
        <v>-132</v>
      </c>
      <c r="G13" s="66" t="n">
        <v>889</v>
      </c>
      <c r="H13" s="66" t="n">
        <v>948</v>
      </c>
      <c r="I13" s="77" t="n">
        <f aca="false">IF(H13="","",G13-H13)</f>
        <v>-59</v>
      </c>
      <c r="J13" s="47" t="n">
        <f aca="false">IF(OR(D13="",D13+G13=0),"",D13/(D13+G13))</f>
        <v>0.39769647696477</v>
      </c>
      <c r="K13" s="47" t="n">
        <f aca="false">IF(E13="","",E13/(E13+H13))</f>
        <v>0.43131373725255</v>
      </c>
      <c r="L13" s="78" t="n">
        <f aca="false">IF(OR(K13="",J13=""),"",(J13-K13)*100)</f>
        <v>-3.36172602877798</v>
      </c>
      <c r="M13" s="36" t="n">
        <v>1.87176133364825</v>
      </c>
      <c r="N13" s="36" t="n">
        <v>1.24848469443204</v>
      </c>
      <c r="O13" s="36" t="n">
        <f aca="false">SQRT(M13^2+N13^2)</f>
        <v>2.2499343373467</v>
      </c>
      <c r="P13" s="47" t="n">
        <f aca="false">IF(J13="","",MAX(0,J13-1.96*O13/100))</f>
        <v>0.353597763952774</v>
      </c>
      <c r="Q13" s="47" t="n">
        <f aca="false">IF(J13="","",MIN(1,J13+1.96*O13/100))</f>
        <v>0.441795189976765</v>
      </c>
      <c r="R13" s="32" t="str">
        <f aca="false">IF(L13="","",IF(ABS(L13)&lt;=O13,"Yes","No"))</f>
        <v>No</v>
      </c>
      <c r="S13" s="32" t="str">
        <f aca="false">IF(L13="","",IF(ABS(L13)&lt;=1.96*O13,"Yes","No"))</f>
        <v>Yes</v>
      </c>
      <c r="T13" s="66" t="n">
        <f aca="false">IF(D13="","",ROUND(SQRT(((D13+G13)*O13/100)^2+(J13*(D13+G13)*0.03811)^2),0))</f>
        <v>40</v>
      </c>
      <c r="U13" s="32"/>
    </row>
    <row r="14" customFormat="false" ht="15" hidden="false" customHeight="false" outlineLevel="0" collapsed="false">
      <c r="A14" s="32" t="s">
        <v>189</v>
      </c>
      <c r="B14" s="32" t="s">
        <v>207</v>
      </c>
      <c r="C14" s="32" t="s">
        <v>191</v>
      </c>
      <c r="D14" s="66" t="n">
        <v>350</v>
      </c>
      <c r="E14" s="66" t="n">
        <v>430</v>
      </c>
      <c r="F14" s="77" t="n">
        <f aca="false">IF(E14="","",D14-E14)</f>
        <v>-80</v>
      </c>
      <c r="G14" s="66" t="n">
        <v>806</v>
      </c>
      <c r="H14" s="66" t="n">
        <v>916</v>
      </c>
      <c r="I14" s="77" t="n">
        <f aca="false">IF(H14="","",G14-H14)</f>
        <v>-110</v>
      </c>
      <c r="J14" s="47" t="n">
        <f aca="false">IF(OR(D14="",D14+G14=0),"",D14/(D14+G14))</f>
        <v>0.302768166089965</v>
      </c>
      <c r="K14" s="47" t="n">
        <f aca="false">IF(E14="","",E14/(E14+H14))</f>
        <v>0.319465081723626</v>
      </c>
      <c r="L14" s="78" t="n">
        <f aca="false">IF(OR(K14="",J14=""),"",(J14-K14)*100)</f>
        <v>-1.66969156336602</v>
      </c>
      <c r="M14" s="36" t="n">
        <v>1.87176133364825</v>
      </c>
      <c r="N14" s="36" t="n">
        <v>1.24848469443204</v>
      </c>
      <c r="O14" s="36" t="n">
        <f aca="false">SQRT(M14^2+N14^2)</f>
        <v>2.2499343373467</v>
      </c>
      <c r="P14" s="47" t="n">
        <f aca="false">IF(J14="","",MAX(0,J14-1.96*O14/100))</f>
        <v>0.25866945307797</v>
      </c>
      <c r="Q14" s="47" t="n">
        <f aca="false">IF(J14="","",MIN(1,J14+1.96*O14/100))</f>
        <v>0.346866879101961</v>
      </c>
      <c r="R14" s="32" t="str">
        <f aca="false">IF(L14="","",IF(ABS(L14)&lt;=O14,"Yes","No"))</f>
        <v>Yes</v>
      </c>
      <c r="S14" s="32" t="str">
        <f aca="false">IF(L14="","",IF(ABS(L14)&lt;=1.96*O14,"Yes","No"))</f>
        <v>Yes</v>
      </c>
      <c r="T14" s="66" t="n">
        <f aca="false">IF(D14="","",ROUND(SQRT(((D14+G14)*O14/100)^2+(J14*(D14+G14)*0.03811)^2),0))</f>
        <v>29</v>
      </c>
      <c r="U14" s="32"/>
    </row>
    <row r="15" customFormat="false" ht="15" hidden="false" customHeight="false" outlineLevel="0" collapsed="false">
      <c r="A15" s="32" t="s">
        <v>189</v>
      </c>
      <c r="B15" s="32" t="s">
        <v>208</v>
      </c>
      <c r="C15" s="32" t="s">
        <v>191</v>
      </c>
      <c r="D15" s="66" t="n">
        <v>426</v>
      </c>
      <c r="E15" s="66" t="n">
        <v>546</v>
      </c>
      <c r="F15" s="77" t="n">
        <f aca="false">IF(E15="","",D15-E15)</f>
        <v>-120</v>
      </c>
      <c r="G15" s="66" t="n">
        <v>1133</v>
      </c>
      <c r="H15" s="66" t="n">
        <v>1227</v>
      </c>
      <c r="I15" s="77" t="n">
        <f aca="false">IF(H15="","",G15-H15)</f>
        <v>-94</v>
      </c>
      <c r="J15" s="47" t="n">
        <f aca="false">IF(OR(D15="",D15+G15=0),"",D15/(D15+G15))</f>
        <v>0.27325208466966</v>
      </c>
      <c r="K15" s="47" t="n">
        <f aca="false">IF(E15="","",E15/(E15+H15))</f>
        <v>0.307952622673435</v>
      </c>
      <c r="L15" s="78" t="n">
        <f aca="false">IF(OR(K15="",J15=""),"",(J15-K15)*100)</f>
        <v>-3.47005380037748</v>
      </c>
      <c r="M15" s="36" t="n">
        <v>1.87176133364825</v>
      </c>
      <c r="N15" s="36" t="n">
        <v>1.24848469443204</v>
      </c>
      <c r="O15" s="36" t="n">
        <f aca="false">SQRT(M15^2+N15^2)</f>
        <v>2.2499343373467</v>
      </c>
      <c r="P15" s="47" t="n">
        <f aca="false">IF(J15="","",MAX(0,J15-1.96*O15/100))</f>
        <v>0.229153371657665</v>
      </c>
      <c r="Q15" s="47" t="n">
        <f aca="false">IF(J15="","",MIN(1,J15+1.96*O15/100))</f>
        <v>0.317350797681655</v>
      </c>
      <c r="R15" s="32" t="str">
        <f aca="false">IF(L15="","",IF(ABS(L15)&lt;=O15,"Yes","No"))</f>
        <v>No</v>
      </c>
      <c r="S15" s="32" t="str">
        <f aca="false">IF(L15="","",IF(ABS(L15)&lt;=1.96*O15,"Yes","No"))</f>
        <v>Yes</v>
      </c>
      <c r="T15" s="66" t="n">
        <f aca="false">IF(D15="","",ROUND(SQRT(((D15+G15)*O15/100)^2+(J15*(D15+G15)*0.03811)^2),0))</f>
        <v>39</v>
      </c>
      <c r="U15" s="32"/>
    </row>
    <row r="16" customFormat="false" ht="15" hidden="false" customHeight="false" outlineLevel="0" collapsed="false">
      <c r="A16" s="32" t="s">
        <v>189</v>
      </c>
      <c r="B16" s="32" t="s">
        <v>209</v>
      </c>
      <c r="C16" s="32" t="s">
        <v>191</v>
      </c>
      <c r="D16" s="66" t="n">
        <v>406</v>
      </c>
      <c r="E16" s="66" t="n">
        <v>488</v>
      </c>
      <c r="F16" s="77" t="n">
        <f aca="false">IF(E16="","",D16-E16)</f>
        <v>-82</v>
      </c>
      <c r="G16" s="66" t="n">
        <v>617</v>
      </c>
      <c r="H16" s="66" t="n">
        <v>706</v>
      </c>
      <c r="I16" s="77" t="n">
        <f aca="false">IF(H16="","",G16-H16)</f>
        <v>-89</v>
      </c>
      <c r="J16" s="47" t="n">
        <f aca="false">IF(OR(D16="",D16+G16=0),"",D16/(D16+G16))</f>
        <v>0.396871945259042</v>
      </c>
      <c r="K16" s="47" t="n">
        <f aca="false">IF(E16="","",E16/(E16+H16))</f>
        <v>0.408710217755444</v>
      </c>
      <c r="L16" s="78" t="n">
        <f aca="false">IF(OR(K16="",J16=""),"",(J16-K16)*100)</f>
        <v>-1.18382724964018</v>
      </c>
      <c r="M16" s="36" t="n">
        <v>2.85482016247941</v>
      </c>
      <c r="N16" s="36" t="n">
        <v>1.24848469443204</v>
      </c>
      <c r="O16" s="36" t="n">
        <f aca="false">SQRT(M16^2+N16^2)</f>
        <v>3.11588064475038</v>
      </c>
      <c r="P16" s="47" t="n">
        <f aca="false">IF(J16="","",MAX(0,J16-1.96*O16/100))</f>
        <v>0.335800684621935</v>
      </c>
      <c r="Q16" s="47" t="n">
        <f aca="false">IF(J16="","",MIN(1,J16+1.96*O16/100))</f>
        <v>0.457943205896149</v>
      </c>
      <c r="R16" s="32" t="str">
        <f aca="false">IF(L16="","",IF(ABS(L16)&lt;=O16,"Yes","No"))</f>
        <v>Yes</v>
      </c>
      <c r="S16" s="32" t="str">
        <f aca="false">IF(L16="","",IF(ABS(L16)&lt;=1.96*O16,"Yes","No"))</f>
        <v>Yes</v>
      </c>
      <c r="T16" s="66" t="n">
        <f aca="false">IF(D16="","",ROUND(SQRT(((D16+G16)*O16/100)^2+(J16*(D16+G16)*0.0534)^2),0))</f>
        <v>39</v>
      </c>
      <c r="U16" s="32"/>
    </row>
    <row r="17" customFormat="false" ht="15" hidden="false" customHeight="false" outlineLevel="0" collapsed="false">
      <c r="A17" s="32" t="s">
        <v>189</v>
      </c>
      <c r="B17" s="32" t="s">
        <v>210</v>
      </c>
      <c r="C17" s="32" t="s">
        <v>191</v>
      </c>
      <c r="D17" s="66" t="n">
        <v>85</v>
      </c>
      <c r="E17" s="66" t="n">
        <v>96</v>
      </c>
      <c r="F17" s="77" t="n">
        <f aca="false">IF(E17="","",D17-E17)</f>
        <v>-11</v>
      </c>
      <c r="G17" s="66" t="n">
        <v>407</v>
      </c>
      <c r="H17" s="66" t="n">
        <v>444</v>
      </c>
      <c r="I17" s="77" t="n">
        <f aca="false">IF(H17="","",G17-H17)</f>
        <v>-37</v>
      </c>
      <c r="J17" s="47" t="n">
        <f aca="false">IF(OR(D17="",D17+G17=0),"",D17/(D17+G17))</f>
        <v>0.172764227642276</v>
      </c>
      <c r="K17" s="47" t="n">
        <f aca="false">IF(E17="","",E17/(E17+H17))</f>
        <v>0.177777777777778</v>
      </c>
      <c r="L17" s="78" t="n">
        <f aca="false">IF(OR(K17="",J17=""),"",(J17-K17)*100)</f>
        <v>-0.501355013550137</v>
      </c>
      <c r="M17" s="36" t="n">
        <v>2.85482016247941</v>
      </c>
      <c r="N17" s="36" t="n">
        <v>1.24848469443204</v>
      </c>
      <c r="O17" s="36" t="n">
        <f aca="false">SQRT(M17^2+N17^2)</f>
        <v>3.11588064475038</v>
      </c>
      <c r="P17" s="47" t="n">
        <f aca="false">IF(J17="","",MAX(0,J17-1.96*O17/100))</f>
        <v>0.111692967005169</v>
      </c>
      <c r="Q17" s="47" t="n">
        <f aca="false">IF(J17="","",MIN(1,J17+1.96*O17/100))</f>
        <v>0.233835488279384</v>
      </c>
      <c r="R17" s="32" t="str">
        <f aca="false">IF(L17="","",IF(ABS(L17)&lt;=O17,"Yes","No"))</f>
        <v>Yes</v>
      </c>
      <c r="S17" s="32" t="str">
        <f aca="false">IF(L17="","",IF(ABS(L17)&lt;=1.96*O17,"Yes","No"))</f>
        <v>Yes</v>
      </c>
      <c r="T17" s="66" t="n">
        <f aca="false">IF(D17="","",ROUND(SQRT(((D17+G17)*O17/100)^2+(J17*(D17+G17)*0.0534)^2),0))</f>
        <v>16</v>
      </c>
      <c r="U17" s="32"/>
    </row>
    <row r="18" customFormat="false" ht="15" hidden="false" customHeight="false" outlineLevel="0" collapsed="false">
      <c r="A18" s="32" t="s">
        <v>189</v>
      </c>
      <c r="B18" s="32" t="s">
        <v>211</v>
      </c>
      <c r="C18" s="32" t="s">
        <v>191</v>
      </c>
      <c r="D18" s="66" t="n">
        <v>620</v>
      </c>
      <c r="E18" s="66" t="n">
        <v>737</v>
      </c>
      <c r="F18" s="77" t="n">
        <f aca="false">IF(E18="","",D18-E18)</f>
        <v>-117</v>
      </c>
      <c r="G18" s="66" t="n">
        <v>1114</v>
      </c>
      <c r="H18" s="66" t="n">
        <v>1172</v>
      </c>
      <c r="I18" s="77" t="n">
        <f aca="false">IF(H18="","",G18-H18)</f>
        <v>-58</v>
      </c>
      <c r="J18" s="47" t="n">
        <f aca="false">IF(OR(D18="",D18+G18=0),"",D18/(D18+G18))</f>
        <v>0.357554786620531</v>
      </c>
      <c r="K18" s="47" t="n">
        <f aca="false">IF(E18="","",E18/(E18+H18))</f>
        <v>0.386066003143007</v>
      </c>
      <c r="L18" s="78" t="n">
        <f aca="false">IF(OR(K18="",J18=""),"",(J18-K18)*100)</f>
        <v>-2.85112165224762</v>
      </c>
      <c r="M18" s="36" t="n">
        <v>1.87176133364825</v>
      </c>
      <c r="N18" s="36" t="n">
        <v>1.24848469443204</v>
      </c>
      <c r="O18" s="36" t="n">
        <f aca="false">SQRT(M18^2+N18^2)</f>
        <v>2.2499343373467</v>
      </c>
      <c r="P18" s="47" t="n">
        <f aca="false">IF(J18="","",MAX(0,J18-1.96*O18/100))</f>
        <v>0.313456073608535</v>
      </c>
      <c r="Q18" s="47" t="n">
        <f aca="false">IF(J18="","",MIN(1,J18+1.96*O18/100))</f>
        <v>0.401653499632526</v>
      </c>
      <c r="R18" s="32" t="str">
        <f aca="false">IF(L18="","",IF(ABS(L18)&lt;=O18,"Yes","No"))</f>
        <v>No</v>
      </c>
      <c r="S18" s="32" t="str">
        <f aca="false">IF(L18="","",IF(ABS(L18)&lt;=1.96*O18,"Yes","No"))</f>
        <v>Yes</v>
      </c>
      <c r="T18" s="66" t="n">
        <f aca="false">IF(D18="","",ROUND(SQRT(((D18+G18)*O18/100)^2+(J18*(D18+G18)*0.03811)^2),0))</f>
        <v>46</v>
      </c>
      <c r="U18" s="32"/>
    </row>
    <row r="19" customFormat="false" ht="15" hidden="false" customHeight="false" outlineLevel="0" collapsed="false">
      <c r="A19" s="32" t="s">
        <v>189</v>
      </c>
      <c r="B19" s="32" t="s">
        <v>212</v>
      </c>
      <c r="C19" s="32" t="s">
        <v>191</v>
      </c>
      <c r="D19" s="66" t="n">
        <v>47</v>
      </c>
      <c r="E19" s="66" t="n">
        <v>51</v>
      </c>
      <c r="F19" s="77" t="n">
        <f aca="false">IF(E19="","",D19-E19)</f>
        <v>-4</v>
      </c>
      <c r="G19" s="66" t="n">
        <v>128</v>
      </c>
      <c r="H19" s="66" t="n">
        <v>136</v>
      </c>
      <c r="I19" s="77" t="n">
        <f aca="false">IF(H19="","",G19-H19)</f>
        <v>-8</v>
      </c>
      <c r="J19" s="47" t="n">
        <f aca="false">IF(OR(D19="",D19+G19=0),"",D19/(D19+G19))</f>
        <v>0.268571428571429</v>
      </c>
      <c r="K19" s="47" t="n">
        <f aca="false">IF(E19="","",E19/(E19+H19))</f>
        <v>0.272727272727273</v>
      </c>
      <c r="L19" s="78" t="n">
        <f aca="false">IF(OR(K19="",J19=""),"",(J19-K19)*100)</f>
        <v>-0.415584415584414</v>
      </c>
      <c r="M19" s="36" t="n">
        <v>2.85482016247941</v>
      </c>
      <c r="N19" s="36" t="n">
        <v>1.24848469443204</v>
      </c>
      <c r="O19" s="36" t="n">
        <f aca="false">SQRT(M19^2+N19^2)</f>
        <v>3.11588064475038</v>
      </c>
      <c r="P19" s="47" t="n">
        <f aca="false">IF(J19="","",MAX(0,J19-1.96*O19/100))</f>
        <v>0.207500167934321</v>
      </c>
      <c r="Q19" s="47" t="n">
        <f aca="false">IF(J19="","",MIN(1,J19+1.96*O19/100))</f>
        <v>0.329642689208536</v>
      </c>
      <c r="R19" s="32" t="str">
        <f aca="false">IF(L19="","",IF(ABS(L19)&lt;=O19,"Yes","No"))</f>
        <v>Yes</v>
      </c>
      <c r="S19" s="32" t="str">
        <f aca="false">IF(L19="","",IF(ABS(L19)&lt;=1.96*O19,"Yes","No"))</f>
        <v>Yes</v>
      </c>
      <c r="T19" s="66" t="n">
        <f aca="false">IF(D19="","",ROUND(SQRT(((D19+G19)*O19/100)^2+(J19*(D19+G19)*0.0534)^2),0))</f>
        <v>6</v>
      </c>
      <c r="U19" s="32"/>
    </row>
    <row r="20" customFormat="false" ht="15" hidden="false" customHeight="false" outlineLevel="0" collapsed="false">
      <c r="A20" s="32" t="s">
        <v>189</v>
      </c>
      <c r="B20" s="32" t="s">
        <v>213</v>
      </c>
      <c r="C20" s="32" t="s">
        <v>191</v>
      </c>
      <c r="D20" s="66" t="n">
        <v>1353</v>
      </c>
      <c r="E20" s="66" t="n">
        <v>1574</v>
      </c>
      <c r="F20" s="77" t="n">
        <f aca="false">IF(E20="","",D20-E20)</f>
        <v>-221</v>
      </c>
      <c r="G20" s="66" t="n">
        <v>2291</v>
      </c>
      <c r="H20" s="66" t="n">
        <v>2750</v>
      </c>
      <c r="I20" s="77" t="n">
        <f aca="false">IF(H20="","",G20-H20)</f>
        <v>-459</v>
      </c>
      <c r="J20" s="47" t="n">
        <f aca="false">IF(OR(D20="",D20+G20=0),"",D20/(D20+G20))</f>
        <v>0.371295279912184</v>
      </c>
      <c r="K20" s="47" t="n">
        <f aca="false">IF(E20="","",E20/(E20+H20))</f>
        <v>0.364014801110083</v>
      </c>
      <c r="L20" s="78" t="n">
        <f aca="false">IF(OR(K20="",J20=""),"",(J20-K20)*100)</f>
        <v>0.728047880210114</v>
      </c>
      <c r="M20" s="36" t="n">
        <v>1.24497174563071</v>
      </c>
      <c r="N20" s="36" t="n">
        <v>1.24848469443204</v>
      </c>
      <c r="O20" s="36" t="n">
        <f aca="false">SQRT(M20^2+N20^2)</f>
        <v>1.76314170719481</v>
      </c>
      <c r="P20" s="47" t="n">
        <f aca="false">IF(J20="","",MAX(0,J20-1.96*O20/100))</f>
        <v>0.336737702451166</v>
      </c>
      <c r="Q20" s="47" t="n">
        <f aca="false">IF(J20="","",MIN(1,J20+1.96*O20/100))</f>
        <v>0.405852857373203</v>
      </c>
      <c r="R20" s="32" t="str">
        <f aca="false">IF(L20="","",IF(ABS(L20)&lt;=O20,"Yes","No"))</f>
        <v>Yes</v>
      </c>
      <c r="S20" s="32" t="str">
        <f aca="false">IF(L20="","",IF(ABS(L20)&lt;=1.96*O20,"Yes","No"))</f>
        <v>Yes</v>
      </c>
      <c r="T20" s="66" t="n">
        <f aca="false">IF(D20="","",ROUND(SQRT(((D20+G20)*O20/100)^2+(J20*(D20+G20)*0.02225)^2),0))</f>
        <v>71</v>
      </c>
      <c r="U20" s="32"/>
    </row>
    <row r="21" customFormat="false" ht="15" hidden="false" customHeight="false" outlineLevel="0" collapsed="false">
      <c r="A21" s="32" t="s">
        <v>189</v>
      </c>
      <c r="B21" s="32" t="s">
        <v>215</v>
      </c>
      <c r="C21" s="32" t="s">
        <v>191</v>
      </c>
      <c r="D21" s="66" t="n">
        <v>494</v>
      </c>
      <c r="E21" s="66" t="n">
        <v>557</v>
      </c>
      <c r="F21" s="77" t="n">
        <f aca="false">IF(E21="","",D21-E21)</f>
        <v>-63</v>
      </c>
      <c r="G21" s="66" t="n">
        <v>650</v>
      </c>
      <c r="H21" s="66" t="n">
        <v>678</v>
      </c>
      <c r="I21" s="77" t="n">
        <f aca="false">IF(H21="","",G21-H21)</f>
        <v>-28</v>
      </c>
      <c r="J21" s="47" t="n">
        <f aca="false">IF(OR(D21="",D21+G21=0),"",D21/(D21+G21))</f>
        <v>0.431818181818182</v>
      </c>
      <c r="K21" s="47" t="n">
        <f aca="false">IF(E21="","",E21/(E21+H21))</f>
        <v>0.451012145748988</v>
      </c>
      <c r="L21" s="78" t="n">
        <f aca="false">IF(OR(K21="",J21=""),"",(J21-K21)*100)</f>
        <v>-1.9193963930806</v>
      </c>
      <c r="M21" s="36" t="n">
        <v>1.87176133364825</v>
      </c>
      <c r="N21" s="36" t="n">
        <v>1.24848469443204</v>
      </c>
      <c r="O21" s="36" t="n">
        <f aca="false">SQRT(M21^2+N21^2)</f>
        <v>2.2499343373467</v>
      </c>
      <c r="P21" s="47" t="n">
        <f aca="false">IF(J21="","",MAX(0,J21-1.96*O21/100))</f>
        <v>0.387719468806187</v>
      </c>
      <c r="Q21" s="47" t="n">
        <f aca="false">IF(J21="","",MIN(1,J21+1.96*O21/100))</f>
        <v>0.475916894830177</v>
      </c>
      <c r="R21" s="32" t="str">
        <f aca="false">IF(L21="","",IF(ABS(L21)&lt;=O21,"Yes","No"))</f>
        <v>Yes</v>
      </c>
      <c r="S21" s="32" t="str">
        <f aca="false">IF(L21="","",IF(ABS(L21)&lt;=1.96*O21,"Yes","No"))</f>
        <v>Yes</v>
      </c>
      <c r="T21" s="66" t="n">
        <f aca="false">IF(D21="","",ROUND(SQRT(((D21+G21)*O21/100)^2+(J21*(D21+G21)*0.03811)^2),0))</f>
        <v>32</v>
      </c>
      <c r="U21" s="32"/>
    </row>
    <row r="22" customFormat="false" ht="15" hidden="false" customHeight="false" outlineLevel="0" collapsed="false">
      <c r="A22" s="32" t="s">
        <v>189</v>
      </c>
      <c r="B22" s="32" t="s">
        <v>216</v>
      </c>
      <c r="C22" s="32" t="s">
        <v>191</v>
      </c>
      <c r="D22" s="66" t="n">
        <v>526</v>
      </c>
      <c r="E22" s="66" t="n">
        <v>625</v>
      </c>
      <c r="F22" s="77" t="n">
        <f aca="false">IF(E22="","",D22-E22)</f>
        <v>-99</v>
      </c>
      <c r="G22" s="66" t="n">
        <v>1321</v>
      </c>
      <c r="H22" s="66" t="n">
        <v>1506</v>
      </c>
      <c r="I22" s="77" t="n">
        <f aca="false">IF(H22="","",G22-H22)</f>
        <v>-185</v>
      </c>
      <c r="J22" s="47" t="n">
        <f aca="false">IF(OR(D22="",D22+G22=0),"",D22/(D22+G22))</f>
        <v>0.284786139685977</v>
      </c>
      <c r="K22" s="47" t="n">
        <f aca="false">IF(E22="","",E22/(E22+H22))</f>
        <v>0.293289535429376</v>
      </c>
      <c r="L22" s="78" t="n">
        <f aca="false">IF(OR(K22="",J22=""),"",(J22-K22)*100)</f>
        <v>-0.850339574339859</v>
      </c>
      <c r="M22" s="36" t="n">
        <v>1.87176133364825</v>
      </c>
      <c r="N22" s="36" t="n">
        <v>1.24848469443204</v>
      </c>
      <c r="O22" s="36" t="n">
        <f aca="false">SQRT(M22^2+N22^2)</f>
        <v>2.2499343373467</v>
      </c>
      <c r="P22" s="47" t="n">
        <f aca="false">IF(J22="","",MAX(0,J22-1.96*O22/100))</f>
        <v>0.240687426673982</v>
      </c>
      <c r="Q22" s="47" t="n">
        <f aca="false">IF(J22="","",MIN(1,J22+1.96*O22/100))</f>
        <v>0.328884852697973</v>
      </c>
      <c r="R22" s="32" t="str">
        <f aca="false">IF(L22="","",IF(ABS(L22)&lt;=O22,"Yes","No"))</f>
        <v>Yes</v>
      </c>
      <c r="S22" s="32" t="str">
        <f aca="false">IF(L22="","",IF(ABS(L22)&lt;=1.96*O22,"Yes","No"))</f>
        <v>Yes</v>
      </c>
      <c r="T22" s="66" t="n">
        <f aca="false">IF(D22="","",ROUND(SQRT(((D22+G22)*O22/100)^2+(J22*(D22+G22)*0.03811)^2),0))</f>
        <v>46</v>
      </c>
      <c r="U22" s="32"/>
    </row>
    <row r="23" customFormat="false" ht="15" hidden="false" customHeight="false" outlineLevel="0" collapsed="false">
      <c r="A23" s="32" t="s">
        <v>189</v>
      </c>
      <c r="B23" s="32" t="s">
        <v>217</v>
      </c>
      <c r="C23" s="32" t="s">
        <v>191</v>
      </c>
      <c r="D23" s="66" t="n">
        <v>232</v>
      </c>
      <c r="E23" s="66" t="n">
        <v>245</v>
      </c>
      <c r="F23" s="77" t="n">
        <f aca="false">IF(E23="","",D23-E23)</f>
        <v>-13</v>
      </c>
      <c r="G23" s="66" t="n">
        <v>618</v>
      </c>
      <c r="H23" s="66" t="n">
        <v>656</v>
      </c>
      <c r="I23" s="77" t="n">
        <f aca="false">IF(H23="","",G23-H23)</f>
        <v>-38</v>
      </c>
      <c r="J23" s="47" t="n">
        <f aca="false">IF(OR(D23="",D23+G23=0),"",D23/(D23+G23))</f>
        <v>0.272941176470588</v>
      </c>
      <c r="K23" s="47" t="n">
        <f aca="false">IF(E23="","",E23/(E23+H23))</f>
        <v>0.271920088790233</v>
      </c>
      <c r="L23" s="78" t="n">
        <f aca="false">IF(OR(K23="",J23=""),"",(J23-K23)*100)</f>
        <v>0.102108768035519</v>
      </c>
      <c r="M23" s="36" t="n">
        <v>2.85482016247941</v>
      </c>
      <c r="N23" s="36" t="n">
        <v>1.24848469443204</v>
      </c>
      <c r="O23" s="36" t="n">
        <f aca="false">SQRT(M23^2+N23^2)</f>
        <v>3.11588064475038</v>
      </c>
      <c r="P23" s="47" t="n">
        <f aca="false">IF(J23="","",MAX(0,J23-1.96*O23/100))</f>
        <v>0.211869915833481</v>
      </c>
      <c r="Q23" s="47" t="n">
        <f aca="false">IF(J23="","",MIN(1,J23+1.96*O23/100))</f>
        <v>0.334012437107696</v>
      </c>
      <c r="R23" s="32" t="str">
        <f aca="false">IF(L23="","",IF(ABS(L23)&lt;=O23,"Yes","No"))</f>
        <v>Yes</v>
      </c>
      <c r="S23" s="32" t="str">
        <f aca="false">IF(L23="","",IF(ABS(L23)&lt;=1.96*O23,"Yes","No"))</f>
        <v>Yes</v>
      </c>
      <c r="T23" s="66" t="n">
        <f aca="false">IF(D23="","",ROUND(SQRT(((D23+G23)*O23/100)^2+(J23*(D23+G23)*0.0534)^2),0))</f>
        <v>29</v>
      </c>
      <c r="U23" s="32"/>
    </row>
    <row r="24" customFormat="false" ht="15" hidden="false" customHeight="false" outlineLevel="0" collapsed="false">
      <c r="A24" s="32" t="s">
        <v>189</v>
      </c>
      <c r="B24" s="32" t="s">
        <v>218</v>
      </c>
      <c r="C24" s="32" t="s">
        <v>191</v>
      </c>
      <c r="D24" s="66" t="n">
        <v>38</v>
      </c>
      <c r="E24" s="66" t="n">
        <v>46</v>
      </c>
      <c r="F24" s="77" t="n">
        <f aca="false">IF(E24="","",D24-E24)</f>
        <v>-8</v>
      </c>
      <c r="G24" s="66" t="n">
        <v>54</v>
      </c>
      <c r="H24" s="66" t="n">
        <v>54</v>
      </c>
      <c r="I24" s="77" t="n">
        <f aca="false">IF(H24="","",G24-H24)</f>
        <v>0</v>
      </c>
      <c r="J24" s="47" t="n">
        <f aca="false">IF(OR(D24="",D24+G24=0),"",D24/(D24+G24))</f>
        <v>0.41304347826087</v>
      </c>
      <c r="K24" s="47" t="n">
        <f aca="false">IF(E24="","",E24/(E24+H24))</f>
        <v>0.46</v>
      </c>
      <c r="L24" s="78" t="n">
        <f aca="false">IF(OR(K24="",J24=""),"",(J24-K24)*100)</f>
        <v>-4.69565217391305</v>
      </c>
      <c r="M24" s="36" t="n">
        <v>2.85482016247941</v>
      </c>
      <c r="N24" s="36" t="n">
        <v>1.24848469443204</v>
      </c>
      <c r="O24" s="36" t="n">
        <f aca="false">SQRT(M24^2+N24^2)</f>
        <v>3.11588064475038</v>
      </c>
      <c r="P24" s="47" t="n">
        <f aca="false">IF(J24="","",MAX(0,J24-1.96*O24/100))</f>
        <v>0.351972217623762</v>
      </c>
      <c r="Q24" s="47" t="n">
        <f aca="false">IF(J24="","",MIN(1,J24+1.96*O24/100))</f>
        <v>0.474114738897977</v>
      </c>
      <c r="R24" s="32" t="str">
        <f aca="false">IF(L24="","",IF(ABS(L24)&lt;=O24,"Yes","No"))</f>
        <v>No</v>
      </c>
      <c r="S24" s="32" t="str">
        <f aca="false">IF(L24="","",IF(ABS(L24)&lt;=1.96*O24,"Yes","No"))</f>
        <v>Yes</v>
      </c>
      <c r="T24" s="66" t="n">
        <f aca="false">IF(D24="","",ROUND(SQRT(((D24+G24)*O24/100)^2+(J24*(D24+G24)*0.0534)^2),0))</f>
        <v>4</v>
      </c>
      <c r="U24" s="32"/>
    </row>
    <row r="25" customFormat="false" ht="15" hidden="false" customHeight="false" outlineLevel="0" collapsed="false">
      <c r="A25" s="32" t="s">
        <v>219</v>
      </c>
      <c r="B25" s="32" t="s">
        <v>220</v>
      </c>
      <c r="C25" s="32" t="s">
        <v>191</v>
      </c>
      <c r="D25" s="66" t="n">
        <v>446</v>
      </c>
      <c r="E25" s="66" t="n">
        <v>494</v>
      </c>
      <c r="F25" s="77" t="n">
        <f aca="false">IF(E25="","",D25-E25)</f>
        <v>-48</v>
      </c>
      <c r="G25" s="66" t="n">
        <v>480</v>
      </c>
      <c r="H25" s="66" t="n">
        <v>519</v>
      </c>
      <c r="I25" s="77" t="n">
        <f aca="false">IF(H25="","",G25-H25)</f>
        <v>-39</v>
      </c>
      <c r="J25" s="47" t="n">
        <f aca="false">IF(OR(D25="",D25+G25=0),"",D25/(D25+G25))</f>
        <v>0.481641468682505</v>
      </c>
      <c r="K25" s="47" t="n">
        <f aca="false">IF(E25="","",E25/(E25+H25))</f>
        <v>0.487660414610069</v>
      </c>
      <c r="L25" s="78" t="n">
        <f aca="false">IF(OR(K25="",J25=""),"",(J25-K25)*100)</f>
        <v>-0.601894592756369</v>
      </c>
      <c r="M25" s="36" t="n">
        <v>2.85482016247941</v>
      </c>
      <c r="N25" s="36" t="n">
        <v>1.24848469443204</v>
      </c>
      <c r="O25" s="36" t="n">
        <f aca="false">SQRT(M25^2+N25^2)</f>
        <v>3.11588064475038</v>
      </c>
      <c r="P25" s="47" t="n">
        <f aca="false">IF(J25="","",MAX(0,J25-1.96*O25/100))</f>
        <v>0.420570208045398</v>
      </c>
      <c r="Q25" s="47" t="n">
        <f aca="false">IF(J25="","",MIN(1,J25+1.96*O25/100))</f>
        <v>0.542712729319613</v>
      </c>
      <c r="R25" s="32" t="str">
        <f aca="false">IF(L25="","",IF(ABS(L25)&lt;=O25,"Yes","No"))</f>
        <v>Yes</v>
      </c>
      <c r="S25" s="32" t="str">
        <f aca="false">IF(L25="","",IF(ABS(L25)&lt;=1.96*O25,"Yes","No"))</f>
        <v>Yes</v>
      </c>
      <c r="T25" s="66" t="n">
        <f aca="false">IF(D25="","",ROUND(SQRT(((D25+G25)*O25/100)^2+(J25*(D25+G25)*0.0534)^2),0))</f>
        <v>37</v>
      </c>
      <c r="U25" s="32"/>
    </row>
    <row r="26" customFormat="false" ht="15" hidden="false" customHeight="false" outlineLevel="0" collapsed="false">
      <c r="A26" s="32" t="s">
        <v>219</v>
      </c>
      <c r="B26" s="32" t="s">
        <v>221</v>
      </c>
      <c r="C26" s="32" t="s">
        <v>191</v>
      </c>
      <c r="D26" s="66" t="n">
        <v>19221</v>
      </c>
      <c r="E26" s="66" t="n">
        <v>16965</v>
      </c>
      <c r="F26" s="77" t="n">
        <f aca="false">IF(E26="","",D26-E26)</f>
        <v>2256</v>
      </c>
      <c r="G26" s="66" t="n">
        <v>7582</v>
      </c>
      <c r="H26" s="66" t="n">
        <v>7936</v>
      </c>
      <c r="I26" s="77" t="n">
        <f aca="false">IF(H26="","",G26-H26)</f>
        <v>-354</v>
      </c>
      <c r="J26" s="47" t="n">
        <f aca="false">IF(OR(D26="",D26+G26=0),"",D26/(D26+G26))</f>
        <v>0.71712121777413</v>
      </c>
      <c r="K26" s="47" t="n">
        <f aca="false">IF(E26="","",E26/(E26+H26))</f>
        <v>0.681297939841773</v>
      </c>
      <c r="L26" s="78" t="n">
        <f aca="false">IF(OR(K26="",J26=""),"",(J26-K26)*100)</f>
        <v>3.58232779323563</v>
      </c>
      <c r="M26" s="36" t="n">
        <v>1.24497174563071</v>
      </c>
      <c r="N26" s="36" t="n">
        <v>1.24848469443204</v>
      </c>
      <c r="O26" s="36" t="n">
        <f aca="false">SQRT(M26^2+N26^2)</f>
        <v>1.76314170719481</v>
      </c>
      <c r="P26" s="47" t="n">
        <f aca="false">IF(J26="","",MAX(0,J26-1.96*O26/100))</f>
        <v>0.682563640313112</v>
      </c>
      <c r="Q26" s="47" t="n">
        <f aca="false">IF(J26="","",MIN(1,J26+1.96*O26/100))</f>
        <v>0.751678795235148</v>
      </c>
      <c r="R26" s="32" t="str">
        <f aca="false">IF(L26="","",IF(ABS(L26)&lt;=O26,"Yes","No"))</f>
        <v>No</v>
      </c>
      <c r="S26" s="32" t="str">
        <f aca="false">IF(L26="","",IF(ABS(L26)&lt;=1.96*O26,"Yes","No"))</f>
        <v>No</v>
      </c>
      <c r="T26" s="66" t="n">
        <f aca="false">IF(D26="","",ROUND(SQRT(((D26+G26)*O26/100)^2+(J26*(D26+G26)*0.02225)^2),0))</f>
        <v>637</v>
      </c>
      <c r="U26" s="32"/>
    </row>
    <row r="27" customFormat="false" ht="15" hidden="false" customHeight="false" outlineLevel="0" collapsed="false">
      <c r="A27" s="32" t="s">
        <v>219</v>
      </c>
      <c r="B27" s="32" t="s">
        <v>222</v>
      </c>
      <c r="C27" s="32" t="s">
        <v>191</v>
      </c>
      <c r="D27" s="66" t="n">
        <v>4953</v>
      </c>
      <c r="E27" s="66" t="n">
        <v>5186</v>
      </c>
      <c r="F27" s="77" t="n">
        <f aca="false">IF(E27="","",D27-E27)</f>
        <v>-233</v>
      </c>
      <c r="G27" s="66" t="n">
        <v>2561</v>
      </c>
      <c r="H27" s="66" t="n">
        <v>2705</v>
      </c>
      <c r="I27" s="77" t="n">
        <f aca="false">IF(H27="","",G27-H27)</f>
        <v>-144</v>
      </c>
      <c r="J27" s="47" t="n">
        <f aca="false">IF(OR(D27="",D27+G27=0),"",D27/(D27+G27))</f>
        <v>0.65916955017301</v>
      </c>
      <c r="K27" s="47" t="n">
        <f aca="false">IF(E27="","",E27/(E27+H27))</f>
        <v>0.657204410087441</v>
      </c>
      <c r="L27" s="78" t="n">
        <f aca="false">IF(OR(K27="",J27=""),"",(J27-K27)*100)</f>
        <v>0.196514008556903</v>
      </c>
      <c r="M27" s="36" t="n">
        <v>1.24497174563071</v>
      </c>
      <c r="N27" s="36" t="n">
        <v>1.24848469443204</v>
      </c>
      <c r="O27" s="36" t="n">
        <f aca="false">SQRT(M27^2+N27^2)</f>
        <v>1.76314170719481</v>
      </c>
      <c r="P27" s="47" t="n">
        <f aca="false">IF(J27="","",MAX(0,J27-1.96*O27/100))</f>
        <v>0.624611972711992</v>
      </c>
      <c r="Q27" s="47" t="n">
        <f aca="false">IF(J27="","",MIN(1,J27+1.96*O27/100))</f>
        <v>0.693727127634029</v>
      </c>
      <c r="R27" s="32" t="str">
        <f aca="false">IF(L27="","",IF(ABS(L27)&lt;=O27,"Yes","No"))</f>
        <v>Yes</v>
      </c>
      <c r="S27" s="32" t="str">
        <f aca="false">IF(L27="","",IF(ABS(L27)&lt;=1.96*O27,"Yes","No"))</f>
        <v>Yes</v>
      </c>
      <c r="T27" s="66" t="n">
        <f aca="false">IF(D27="","",ROUND(SQRT(((D27+G27)*O27/100)^2+(J27*(D27+G27)*0.02225)^2),0))</f>
        <v>172</v>
      </c>
      <c r="U27" s="32"/>
    </row>
    <row r="28" customFormat="false" ht="15" hidden="false" customHeight="false" outlineLevel="0" collapsed="false">
      <c r="A28" s="32" t="s">
        <v>219</v>
      </c>
      <c r="B28" s="32" t="s">
        <v>223</v>
      </c>
      <c r="C28" s="32" t="s">
        <v>191</v>
      </c>
      <c r="D28" s="66" t="n">
        <v>1096</v>
      </c>
      <c r="E28" s="66" t="n">
        <v>1135</v>
      </c>
      <c r="F28" s="77" t="n">
        <f aca="false">IF(E28="","",D28-E28)</f>
        <v>-39</v>
      </c>
      <c r="G28" s="66" t="n">
        <v>947</v>
      </c>
      <c r="H28" s="66" t="n">
        <v>975</v>
      </c>
      <c r="I28" s="77" t="n">
        <f aca="false">IF(H28="","",G28-H28)</f>
        <v>-28</v>
      </c>
      <c r="J28" s="47" t="n">
        <f aca="false">IF(OR(D28="",D28+G28=0),"",D28/(D28+G28))</f>
        <v>0.536465981399902</v>
      </c>
      <c r="K28" s="47" t="n">
        <f aca="false">IF(E28="","",E28/(E28+H28))</f>
        <v>0.537914691943128</v>
      </c>
      <c r="L28" s="78" t="n">
        <f aca="false">IF(OR(K28="",J28=""),"",(J28-K28)*100)</f>
        <v>-0.144871054322582</v>
      </c>
      <c r="M28" s="36" t="n">
        <v>1.87176133364825</v>
      </c>
      <c r="N28" s="36" t="n">
        <v>1.24848469443204</v>
      </c>
      <c r="O28" s="36" t="n">
        <f aca="false">SQRT(M28^2+N28^2)</f>
        <v>2.2499343373467</v>
      </c>
      <c r="P28" s="47" t="n">
        <f aca="false">IF(J28="","",MAX(0,J28-1.96*O28/100))</f>
        <v>0.492367268387907</v>
      </c>
      <c r="Q28" s="47" t="n">
        <f aca="false">IF(J28="","",MIN(1,J28+1.96*O28/100))</f>
        <v>0.580564694411897</v>
      </c>
      <c r="R28" s="32" t="str">
        <f aca="false">IF(L28="","",IF(ABS(L28)&lt;=O28,"Yes","No"))</f>
        <v>Yes</v>
      </c>
      <c r="S28" s="32" t="str">
        <f aca="false">IF(L28="","",IF(ABS(L28)&lt;=1.96*O28,"Yes","No"))</f>
        <v>Yes</v>
      </c>
      <c r="T28" s="66" t="n">
        <f aca="false">IF(D28="","",ROUND(SQRT(((D28+G28)*O28/100)^2+(J28*(D28+G28)*0.03811)^2),0))</f>
        <v>62</v>
      </c>
      <c r="U28" s="32"/>
    </row>
    <row r="29" customFormat="false" ht="15" hidden="false" customHeight="false" outlineLevel="0" collapsed="false">
      <c r="A29" s="32" t="s">
        <v>219</v>
      </c>
      <c r="B29" s="32" t="s">
        <v>224</v>
      </c>
      <c r="C29" s="32" t="s">
        <v>191</v>
      </c>
      <c r="D29" s="66" t="n">
        <v>519</v>
      </c>
      <c r="E29" s="66" t="n">
        <v>621</v>
      </c>
      <c r="F29" s="77" t="n">
        <f aca="false">IF(E29="","",D29-E29)</f>
        <v>-102</v>
      </c>
      <c r="G29" s="66" t="n">
        <v>568</v>
      </c>
      <c r="H29" s="66" t="n">
        <v>598</v>
      </c>
      <c r="I29" s="77" t="n">
        <f aca="false">IF(H29="","",G29-H29)</f>
        <v>-30</v>
      </c>
      <c r="J29" s="47" t="n">
        <f aca="false">IF(OR(D29="",D29+G29=0),"",D29/(D29+G29))</f>
        <v>0.477460901563937</v>
      </c>
      <c r="K29" s="47" t="n">
        <f aca="false">IF(E29="","",E29/(E29+H29))</f>
        <v>0.509433962264151</v>
      </c>
      <c r="L29" s="78" t="n">
        <f aca="false">IF(OR(K29="",J29=""),"",(J29-K29)*100)</f>
        <v>-3.19730607002135</v>
      </c>
      <c r="M29" s="36" t="n">
        <v>2.85482016247941</v>
      </c>
      <c r="N29" s="36" t="n">
        <v>1.24848469443204</v>
      </c>
      <c r="O29" s="36" t="n">
        <f aca="false">SQRT(M29^2+N29^2)</f>
        <v>3.11588064475038</v>
      </c>
      <c r="P29" s="47" t="n">
        <f aca="false">IF(J29="","",MAX(0,J29-1.96*O29/100))</f>
        <v>0.41638964092683</v>
      </c>
      <c r="Q29" s="47" t="n">
        <f aca="false">IF(J29="","",MIN(1,J29+1.96*O29/100))</f>
        <v>0.538532162201045</v>
      </c>
      <c r="R29" s="32" t="str">
        <f aca="false">IF(L29="","",IF(ABS(L29)&lt;=O29,"Yes","No"))</f>
        <v>No</v>
      </c>
      <c r="S29" s="32" t="str">
        <f aca="false">IF(L29="","",IF(ABS(L29)&lt;=1.96*O29,"Yes","No"))</f>
        <v>Yes</v>
      </c>
      <c r="T29" s="66" t="n">
        <f aca="false">IF(D29="","",ROUND(SQRT(((D29+G29)*O29/100)^2+(J29*(D29+G29)*0.0534)^2),0))</f>
        <v>44</v>
      </c>
      <c r="U29" s="32"/>
    </row>
    <row r="30" customFormat="false" ht="15" hidden="false" customHeight="false" outlineLevel="0" collapsed="false">
      <c r="A30" s="32" t="s">
        <v>219</v>
      </c>
      <c r="B30" s="32" t="s">
        <v>225</v>
      </c>
      <c r="C30" s="32" t="s">
        <v>191</v>
      </c>
      <c r="D30" s="66" t="n">
        <v>671</v>
      </c>
      <c r="E30" s="66" t="n">
        <v>691</v>
      </c>
      <c r="F30" s="77" t="n">
        <f aca="false">IF(E30="","",D30-E30)</f>
        <v>-20</v>
      </c>
      <c r="G30" s="66" t="n">
        <v>587</v>
      </c>
      <c r="H30" s="66" t="n">
        <v>606</v>
      </c>
      <c r="I30" s="77" t="n">
        <f aca="false">IF(H30="","",G30-H30)</f>
        <v>-19</v>
      </c>
      <c r="J30" s="47" t="n">
        <f aca="false">IF(OR(D30="",D30+G30=0),"",D30/(D30+G30))</f>
        <v>0.533386327503975</v>
      </c>
      <c r="K30" s="47" t="n">
        <f aca="false">IF(E30="","",E30/(E30+H30))</f>
        <v>0.532767925983038</v>
      </c>
      <c r="L30" s="78" t="n">
        <f aca="false">IF(OR(K30="",J30=""),"",(J30-K30)*100)</f>
        <v>0.0618401520936729</v>
      </c>
      <c r="M30" s="36" t="n">
        <v>1.87176133364825</v>
      </c>
      <c r="N30" s="36" t="n">
        <v>1.24848469443204</v>
      </c>
      <c r="O30" s="36" t="n">
        <f aca="false">SQRT(M30^2+N30^2)</f>
        <v>2.2499343373467</v>
      </c>
      <c r="P30" s="47" t="n">
        <f aca="false">IF(J30="","",MAX(0,J30-1.96*O30/100))</f>
        <v>0.489287614491979</v>
      </c>
      <c r="Q30" s="47" t="n">
        <f aca="false">IF(J30="","",MIN(1,J30+1.96*O30/100))</f>
        <v>0.57748504051597</v>
      </c>
      <c r="R30" s="32" t="str">
        <f aca="false">IF(L30="","",IF(ABS(L30)&lt;=O30,"Yes","No"))</f>
        <v>Yes</v>
      </c>
      <c r="S30" s="32" t="str">
        <f aca="false">IF(L30="","",IF(ABS(L30)&lt;=1.96*O30,"Yes","No"))</f>
        <v>Yes</v>
      </c>
      <c r="T30" s="66" t="n">
        <f aca="false">IF(D30="","",ROUND(SQRT(((D30+G30)*O30/100)^2+(J30*(D30+G30)*0.03811)^2),0))</f>
        <v>38</v>
      </c>
      <c r="U30" s="32"/>
    </row>
    <row r="31" customFormat="false" ht="15" hidden="false" customHeight="false" outlineLevel="0" collapsed="false">
      <c r="A31" s="32" t="s">
        <v>219</v>
      </c>
      <c r="B31" s="32" t="s">
        <v>226</v>
      </c>
      <c r="C31" s="32" t="s">
        <v>191</v>
      </c>
      <c r="D31" s="66" t="n">
        <v>2519</v>
      </c>
      <c r="E31" s="66" t="n">
        <v>2834</v>
      </c>
      <c r="F31" s="77" t="n">
        <f aca="false">IF(E31="","",D31-E31)</f>
        <v>-315</v>
      </c>
      <c r="G31" s="66" t="n">
        <v>2194</v>
      </c>
      <c r="H31" s="66" t="n">
        <v>2250</v>
      </c>
      <c r="I31" s="77" t="n">
        <f aca="false">IF(H31="","",G31-H31)</f>
        <v>-56</v>
      </c>
      <c r="J31" s="47" t="n">
        <f aca="false">IF(OR(D31="",D31+G31=0),"",D31/(D31+G31))</f>
        <v>0.534479100360705</v>
      </c>
      <c r="K31" s="47" t="n">
        <f aca="false">IF(E31="","",E31/(E31+H31))</f>
        <v>0.557435090479937</v>
      </c>
      <c r="L31" s="78" t="n">
        <f aca="false">IF(OR(K31="",J31=""),"",(J31-K31)*100)</f>
        <v>-2.29559901192327</v>
      </c>
      <c r="M31" s="36" t="n">
        <v>1.24497174563071</v>
      </c>
      <c r="N31" s="36" t="n">
        <v>1.24848469443204</v>
      </c>
      <c r="O31" s="36" t="n">
        <f aca="false">SQRT(M31^2+N31^2)</f>
        <v>1.76314170719481</v>
      </c>
      <c r="P31" s="47" t="n">
        <f aca="false">IF(J31="","",MAX(0,J31-1.96*O31/100))</f>
        <v>0.499921522899686</v>
      </c>
      <c r="Q31" s="47" t="n">
        <f aca="false">IF(J31="","",MIN(1,J31+1.96*O31/100))</f>
        <v>0.569036677821723</v>
      </c>
      <c r="R31" s="32" t="str">
        <f aca="false">IF(L31="","",IF(ABS(L31)&lt;=O31,"Yes","No"))</f>
        <v>No</v>
      </c>
      <c r="S31" s="32" t="str">
        <f aca="false">IF(L31="","",IF(ABS(L31)&lt;=1.96*O31,"Yes","No"))</f>
        <v>Yes</v>
      </c>
      <c r="T31" s="66" t="n">
        <f aca="false">IF(D31="","",ROUND(SQRT(((D31+G31)*O31/100)^2+(J31*(D31+G31)*0.02225)^2),0))</f>
        <v>100</v>
      </c>
      <c r="U31" s="32"/>
    </row>
    <row r="32" customFormat="false" ht="15" hidden="false" customHeight="false" outlineLevel="0" collapsed="false">
      <c r="A32" s="32" t="s">
        <v>219</v>
      </c>
      <c r="B32" s="32" t="s">
        <v>227</v>
      </c>
      <c r="C32" s="32" t="s">
        <v>191</v>
      </c>
      <c r="D32" s="66" t="n">
        <v>1129</v>
      </c>
      <c r="E32" s="66" t="n">
        <v>1070</v>
      </c>
      <c r="F32" s="77" t="n">
        <f aca="false">IF(E32="","",D32-E32)</f>
        <v>59</v>
      </c>
      <c r="G32" s="66" t="n">
        <v>486</v>
      </c>
      <c r="H32" s="66" t="n">
        <v>479</v>
      </c>
      <c r="I32" s="77" t="n">
        <f aca="false">IF(H32="","",G32-H32)</f>
        <v>7</v>
      </c>
      <c r="J32" s="47" t="n">
        <f aca="false">IF(OR(D32="",D32+G32=0),"",D32/(D32+G32))</f>
        <v>0.699071207430341</v>
      </c>
      <c r="K32" s="47" t="n">
        <f aca="false">IF(E32="","",E32/(E32+H32))</f>
        <v>0.690768237572628</v>
      </c>
      <c r="L32" s="78" t="n">
        <f aca="false">IF(OR(K32="",J32=""),"",(J32-K32)*100)</f>
        <v>0.830296985771306</v>
      </c>
      <c r="M32" s="36" t="n">
        <v>1.87176133364825</v>
      </c>
      <c r="N32" s="36" t="n">
        <v>1.24848469443204</v>
      </c>
      <c r="O32" s="36" t="n">
        <f aca="false">SQRT(M32^2+N32^2)</f>
        <v>2.2499343373467</v>
      </c>
      <c r="P32" s="47" t="n">
        <f aca="false">IF(J32="","",MAX(0,J32-1.96*O32/100))</f>
        <v>0.654972494418345</v>
      </c>
      <c r="Q32" s="47" t="n">
        <f aca="false">IF(J32="","",MIN(1,J32+1.96*O32/100))</f>
        <v>0.743169920442336</v>
      </c>
      <c r="R32" s="32" t="str">
        <f aca="false">IF(L32="","",IF(ABS(L32)&lt;=O32,"Yes","No"))</f>
        <v>Yes</v>
      </c>
      <c r="S32" s="32" t="str">
        <f aca="false">IF(L32="","",IF(ABS(L32)&lt;=1.96*O32,"Yes","No"))</f>
        <v>Yes</v>
      </c>
      <c r="T32" s="66" t="n">
        <f aca="false">IF(D32="","",ROUND(SQRT(((D32+G32)*O32/100)^2+(J32*(D32+G32)*0.03811)^2),0))</f>
        <v>56</v>
      </c>
      <c r="U32" s="32"/>
    </row>
    <row r="33" customFormat="false" ht="15" hidden="false" customHeight="false" outlineLevel="0" collapsed="false">
      <c r="A33" s="32" t="s">
        <v>219</v>
      </c>
      <c r="B33" s="32" t="s">
        <v>228</v>
      </c>
      <c r="C33" s="32" t="s">
        <v>191</v>
      </c>
      <c r="D33" s="66" t="n">
        <v>277</v>
      </c>
      <c r="E33" s="66" t="n">
        <v>262</v>
      </c>
      <c r="F33" s="77" t="n">
        <f aca="false">IF(E33="","",D33-E33)</f>
        <v>15</v>
      </c>
      <c r="G33" s="66" t="n">
        <v>212</v>
      </c>
      <c r="H33" s="66" t="n">
        <v>205</v>
      </c>
      <c r="I33" s="77" t="n">
        <f aca="false">IF(H33="","",G33-H33)</f>
        <v>7</v>
      </c>
      <c r="J33" s="47" t="n">
        <f aca="false">IF(OR(D33="",D33+G33=0),"",D33/(D33+G33))</f>
        <v>0.566462167689162</v>
      </c>
      <c r="K33" s="47" t="n">
        <f aca="false">IF(E33="","",E33/(E33+H33))</f>
        <v>0.561027837259101</v>
      </c>
      <c r="L33" s="78" t="n">
        <f aca="false">IF(OR(K33="",J33=""),"",(J33-K33)*100)</f>
        <v>0.543433043006092</v>
      </c>
      <c r="M33" s="36" t="n">
        <v>2.85482016247941</v>
      </c>
      <c r="N33" s="36" t="n">
        <v>1.24848469443204</v>
      </c>
      <c r="O33" s="36" t="n">
        <f aca="false">SQRT(M33^2+N33^2)</f>
        <v>3.11588064475038</v>
      </c>
      <c r="P33" s="47" t="n">
        <f aca="false">IF(J33="","",MAX(0,J33-1.96*O33/100))</f>
        <v>0.505390907052054</v>
      </c>
      <c r="Q33" s="47" t="n">
        <f aca="false">IF(J33="","",MIN(1,J33+1.96*O33/100))</f>
        <v>0.627533428326269</v>
      </c>
      <c r="R33" s="32" t="str">
        <f aca="false">IF(L33="","",IF(ABS(L33)&lt;=O33,"Yes","No"))</f>
        <v>Yes</v>
      </c>
      <c r="S33" s="32" t="str">
        <f aca="false">IF(L33="","",IF(ABS(L33)&lt;=1.96*O33,"Yes","No"))</f>
        <v>Yes</v>
      </c>
      <c r="T33" s="66" t="n">
        <f aca="false">IF(D33="","",ROUND(SQRT(((D33+G33)*O33/100)^2+(J33*(D33+G33)*0.0534)^2),0))</f>
        <v>21</v>
      </c>
      <c r="U33" s="32"/>
    </row>
    <row r="34" customFormat="false" ht="15" hidden="false" customHeight="false" outlineLevel="0" collapsed="false">
      <c r="A34" s="32" t="s">
        <v>219</v>
      </c>
      <c r="B34" s="32" t="s">
        <v>229</v>
      </c>
      <c r="C34" s="32" t="s">
        <v>191</v>
      </c>
      <c r="D34" s="66" t="n">
        <v>461</v>
      </c>
      <c r="E34" s="66" t="n">
        <v>532</v>
      </c>
      <c r="F34" s="77" t="n">
        <f aca="false">IF(E34="","",D34-E34)</f>
        <v>-71</v>
      </c>
      <c r="G34" s="66" t="n">
        <v>1012</v>
      </c>
      <c r="H34" s="66" t="n">
        <v>1068</v>
      </c>
      <c r="I34" s="77" t="n">
        <f aca="false">IF(H34="","",G34-H34)</f>
        <v>-56</v>
      </c>
      <c r="J34" s="47" t="n">
        <f aca="false">IF(OR(D34="",D34+G34=0),"",D34/(D34+G34))</f>
        <v>0.312966734555329</v>
      </c>
      <c r="K34" s="47" t="n">
        <f aca="false">IF(E34="","",E34/(E34+H34))</f>
        <v>0.3325</v>
      </c>
      <c r="L34" s="78" t="n">
        <f aca="false">IF(OR(K34="",J34=""),"",(J34-K34)*100)</f>
        <v>-1.95332654446708</v>
      </c>
      <c r="M34" s="36" t="n">
        <v>1.87176133364825</v>
      </c>
      <c r="N34" s="36" t="n">
        <v>1.24848469443204</v>
      </c>
      <c r="O34" s="36" t="n">
        <f aca="false">SQRT(M34^2+N34^2)</f>
        <v>2.2499343373467</v>
      </c>
      <c r="P34" s="47" t="n">
        <f aca="false">IF(J34="","",MAX(0,J34-1.96*O34/100))</f>
        <v>0.268868021543334</v>
      </c>
      <c r="Q34" s="47" t="n">
        <f aca="false">IF(J34="","",MIN(1,J34+1.96*O34/100))</f>
        <v>0.357065447567325</v>
      </c>
      <c r="R34" s="32" t="str">
        <f aca="false">IF(L34="","",IF(ABS(L34)&lt;=O34,"Yes","No"))</f>
        <v>Yes</v>
      </c>
      <c r="S34" s="32" t="str">
        <f aca="false">IF(L34="","",IF(ABS(L34)&lt;=1.96*O34,"Yes","No"))</f>
        <v>Yes</v>
      </c>
      <c r="T34" s="66" t="n">
        <f aca="false">IF(D34="","",ROUND(SQRT(((D34+G34)*O34/100)^2+(J34*(D34+G34)*0.03811)^2),0))</f>
        <v>38</v>
      </c>
      <c r="U34" s="32"/>
    </row>
    <row r="35" customFormat="false" ht="15" hidden="false" customHeight="false" outlineLevel="0" collapsed="false">
      <c r="A35" s="32" t="s">
        <v>219</v>
      </c>
      <c r="B35" s="32" t="s">
        <v>230</v>
      </c>
      <c r="C35" s="32" t="s">
        <v>191</v>
      </c>
      <c r="D35" s="66" t="n">
        <v>7534</v>
      </c>
      <c r="E35" s="66" t="n">
        <v>8358</v>
      </c>
      <c r="F35" s="77" t="n">
        <f aca="false">IF(E35="","",D35-E35)</f>
        <v>-824</v>
      </c>
      <c r="G35" s="66" t="n">
        <v>7528</v>
      </c>
      <c r="H35" s="66" t="n">
        <v>7595</v>
      </c>
      <c r="I35" s="77" t="n">
        <f aca="false">IF(H35="","",G35-H35)</f>
        <v>-67</v>
      </c>
      <c r="J35" s="47" t="n">
        <f aca="false">IF(OR(D35="",D35+G35=0),"",D35/(D35+G35))</f>
        <v>0.500199176736157</v>
      </c>
      <c r="K35" s="47" t="n">
        <f aca="false">IF(E35="","",E35/(E35+H35))</f>
        <v>0.523913997367266</v>
      </c>
      <c r="L35" s="78" t="n">
        <f aca="false">IF(OR(K35="",J35=""),"",(J35-K35)*100)</f>
        <v>-2.37148206311091</v>
      </c>
      <c r="M35" s="36" t="n">
        <v>1.24497174563071</v>
      </c>
      <c r="N35" s="36" t="n">
        <v>1.24848469443204</v>
      </c>
      <c r="O35" s="36" t="n">
        <f aca="false">SQRT(M35^2+N35^2)</f>
        <v>1.76314170719481</v>
      </c>
      <c r="P35" s="47" t="n">
        <f aca="false">IF(J35="","",MAX(0,J35-1.96*O35/100))</f>
        <v>0.465641599275139</v>
      </c>
      <c r="Q35" s="47" t="n">
        <f aca="false">IF(J35="","",MIN(1,J35+1.96*O35/100))</f>
        <v>0.534756754197176</v>
      </c>
      <c r="R35" s="32" t="str">
        <f aca="false">IF(L35="","",IF(ABS(L35)&lt;=O35,"Yes","No"))</f>
        <v>No</v>
      </c>
      <c r="S35" s="32" t="str">
        <f aca="false">IF(L35="","",IF(ABS(L35)&lt;=1.96*O35,"Yes","No"))</f>
        <v>Yes</v>
      </c>
      <c r="T35" s="66" t="n">
        <f aca="false">IF(D35="","",ROUND(SQRT(((D35+G35)*O35/100)^2+(J35*(D35+G35)*0.02225)^2),0))</f>
        <v>314</v>
      </c>
      <c r="U35" s="32"/>
    </row>
    <row r="36" customFormat="false" ht="15" hidden="false" customHeight="false" outlineLevel="0" collapsed="false">
      <c r="A36" s="32" t="s">
        <v>219</v>
      </c>
      <c r="B36" s="32" t="s">
        <v>231</v>
      </c>
      <c r="C36" s="32" t="s">
        <v>191</v>
      </c>
      <c r="D36" s="66" t="n">
        <v>726</v>
      </c>
      <c r="E36" s="66" t="n">
        <v>850</v>
      </c>
      <c r="F36" s="77" t="n">
        <f aca="false">IF(E36="","",D36-E36)</f>
        <v>-124</v>
      </c>
      <c r="G36" s="66" t="n">
        <v>1286</v>
      </c>
      <c r="H36" s="66" t="n">
        <v>1311</v>
      </c>
      <c r="I36" s="77" t="n">
        <f aca="false">IF(H36="","",G36-H36)</f>
        <v>-25</v>
      </c>
      <c r="J36" s="47" t="n">
        <f aca="false">IF(OR(D36="",D36+G36=0),"",D36/(D36+G36))</f>
        <v>0.360834990059642</v>
      </c>
      <c r="K36" s="47" t="n">
        <f aca="false">IF(E36="","",E36/(E36+H36))</f>
        <v>0.39333641832485</v>
      </c>
      <c r="L36" s="78" t="n">
        <f aca="false">IF(OR(K36="",J36=""),"",(J36-K36)*100)</f>
        <v>-3.25014282652075</v>
      </c>
      <c r="M36" s="36" t="n">
        <v>1.87176133364825</v>
      </c>
      <c r="N36" s="36" t="n">
        <v>1.24848469443204</v>
      </c>
      <c r="O36" s="36" t="n">
        <f aca="false">SQRT(M36^2+N36^2)</f>
        <v>2.2499343373467</v>
      </c>
      <c r="P36" s="47" t="n">
        <f aca="false">IF(J36="","",MAX(0,J36-1.96*O36/100))</f>
        <v>0.316736277047647</v>
      </c>
      <c r="Q36" s="47" t="n">
        <f aca="false">IF(J36="","",MIN(1,J36+1.96*O36/100))</f>
        <v>0.404933703071637</v>
      </c>
      <c r="R36" s="32" t="str">
        <f aca="false">IF(L36="","",IF(ABS(L36)&lt;=O36,"Yes","No"))</f>
        <v>No</v>
      </c>
      <c r="S36" s="32" t="str">
        <f aca="false">IF(L36="","",IF(ABS(L36)&lt;=1.96*O36,"Yes","No"))</f>
        <v>Yes</v>
      </c>
      <c r="T36" s="66" t="n">
        <f aca="false">IF(D36="","",ROUND(SQRT(((D36+G36)*O36/100)^2+(J36*(D36+G36)*0.03811)^2),0))</f>
        <v>53</v>
      </c>
      <c r="U36" s="32"/>
    </row>
    <row r="37" customFormat="false" ht="15" hidden="false" customHeight="false" outlineLevel="0" collapsed="false">
      <c r="A37" s="32" t="s">
        <v>219</v>
      </c>
      <c r="B37" s="32" t="s">
        <v>232</v>
      </c>
      <c r="C37" s="32" t="s">
        <v>191</v>
      </c>
      <c r="D37" s="66" t="n">
        <v>411</v>
      </c>
      <c r="E37" s="66" t="n">
        <v>457</v>
      </c>
      <c r="F37" s="77" t="n">
        <f aca="false">IF(E37="","",D37-E37)</f>
        <v>-46</v>
      </c>
      <c r="G37" s="66" t="n">
        <v>767</v>
      </c>
      <c r="H37" s="66" t="n">
        <v>760</v>
      </c>
      <c r="I37" s="77" t="n">
        <f aca="false">IF(H37="","",G37-H37)</f>
        <v>7</v>
      </c>
      <c r="J37" s="47" t="n">
        <f aca="false">IF(OR(D37="",D37+G37=0),"",D37/(D37+G37))</f>
        <v>0.348896434634975</v>
      </c>
      <c r="K37" s="47" t="n">
        <f aca="false">IF(E37="","",E37/(E37+H37))</f>
        <v>0.375513557929334</v>
      </c>
      <c r="L37" s="78" t="n">
        <f aca="false">IF(OR(K37="",J37=""),"",(J37-K37)*100)</f>
        <v>-2.66171232943599</v>
      </c>
      <c r="M37" s="36" t="n">
        <v>1.87176133364825</v>
      </c>
      <c r="N37" s="36" t="n">
        <v>1.24848469443204</v>
      </c>
      <c r="O37" s="36" t="n">
        <f aca="false">SQRT(M37^2+N37^2)</f>
        <v>2.2499343373467</v>
      </c>
      <c r="P37" s="47" t="n">
        <f aca="false">IF(J37="","",MAX(0,J37-1.96*O37/100))</f>
        <v>0.304797721622979</v>
      </c>
      <c r="Q37" s="47" t="n">
        <f aca="false">IF(J37="","",MIN(1,J37+1.96*O37/100))</f>
        <v>0.39299514764697</v>
      </c>
      <c r="R37" s="32" t="str">
        <f aca="false">IF(L37="","",IF(ABS(L37)&lt;=O37,"Yes","No"))</f>
        <v>No</v>
      </c>
      <c r="S37" s="32" t="str">
        <f aca="false">IF(L37="","",IF(ABS(L37)&lt;=1.96*O37,"Yes","No"))</f>
        <v>Yes</v>
      </c>
      <c r="T37" s="66" t="n">
        <f aca="false">IF(D37="","",ROUND(SQRT(((D37+G37)*O37/100)^2+(J37*(D37+G37)*0.03811)^2),0))</f>
        <v>31</v>
      </c>
      <c r="U37" s="32"/>
    </row>
    <row r="38" customFormat="false" ht="15" hidden="false" customHeight="false" outlineLevel="0" collapsed="false">
      <c r="A38" s="32" t="s">
        <v>219</v>
      </c>
      <c r="B38" s="32" t="s">
        <v>233</v>
      </c>
      <c r="C38" s="32" t="s">
        <v>191</v>
      </c>
      <c r="D38" s="66" t="n">
        <v>633</v>
      </c>
      <c r="E38" s="66" t="n">
        <v>719</v>
      </c>
      <c r="F38" s="77" t="n">
        <f aca="false">IF(E38="","",D38-E38)</f>
        <v>-86</v>
      </c>
      <c r="G38" s="66" t="n">
        <v>1359</v>
      </c>
      <c r="H38" s="66" t="n">
        <v>1434</v>
      </c>
      <c r="I38" s="77" t="n">
        <f aca="false">IF(H38="","",G38-H38)</f>
        <v>-75</v>
      </c>
      <c r="J38" s="47" t="n">
        <f aca="false">IF(OR(D38="",D38+G38=0),"",D38/(D38+G38))</f>
        <v>0.317771084337349</v>
      </c>
      <c r="K38" s="47" t="n">
        <f aca="false">IF(E38="","",E38/(E38+H38))</f>
        <v>0.333952624245239</v>
      </c>
      <c r="L38" s="78" t="n">
        <f aca="false">IF(OR(K38="",J38=""),"",(J38-K38)*100)</f>
        <v>-1.61815399078898</v>
      </c>
      <c r="M38" s="36" t="n">
        <v>1.87176133364825</v>
      </c>
      <c r="N38" s="36" t="n">
        <v>1.24848469443204</v>
      </c>
      <c r="O38" s="36" t="n">
        <f aca="false">SQRT(M38^2+N38^2)</f>
        <v>2.2499343373467</v>
      </c>
      <c r="P38" s="47" t="n">
        <f aca="false">IF(J38="","",MAX(0,J38-1.96*O38/100))</f>
        <v>0.273672371325354</v>
      </c>
      <c r="Q38" s="47" t="n">
        <f aca="false">IF(J38="","",MIN(1,J38+1.96*O38/100))</f>
        <v>0.361869797349345</v>
      </c>
      <c r="R38" s="32" t="str">
        <f aca="false">IF(L38="","",IF(ABS(L38)&lt;=O38,"Yes","No"))</f>
        <v>Yes</v>
      </c>
      <c r="S38" s="32" t="str">
        <f aca="false">IF(L38="","",IF(ABS(L38)&lt;=1.96*O38,"Yes","No"))</f>
        <v>Yes</v>
      </c>
      <c r="T38" s="66" t="n">
        <f aca="false">IF(D38="","",ROUND(SQRT(((D38+G38)*O38/100)^2+(J38*(D38+G38)*0.03811)^2),0))</f>
        <v>51</v>
      </c>
      <c r="U38" s="32"/>
    </row>
    <row r="39" customFormat="false" ht="15" hidden="false" customHeight="false" outlineLevel="0" collapsed="false">
      <c r="A39" s="32" t="s">
        <v>219</v>
      </c>
      <c r="B39" s="32" t="s">
        <v>234</v>
      </c>
      <c r="C39" s="32" t="s">
        <v>191</v>
      </c>
      <c r="D39" s="66" t="n">
        <v>719</v>
      </c>
      <c r="E39" s="66" t="n">
        <v>788</v>
      </c>
      <c r="F39" s="77" t="n">
        <f aca="false">IF(E39="","",D39-E39)</f>
        <v>-69</v>
      </c>
      <c r="G39" s="66" t="n">
        <v>626</v>
      </c>
      <c r="H39" s="66" t="n">
        <v>628</v>
      </c>
      <c r="I39" s="77" t="n">
        <f aca="false">IF(H39="","",G39-H39)</f>
        <v>-2</v>
      </c>
      <c r="J39" s="47" t="n">
        <f aca="false">IF(OR(D39="",D39+G39=0),"",D39/(D39+G39))</f>
        <v>0.53457249070632</v>
      </c>
      <c r="K39" s="47" t="n">
        <f aca="false">IF(E39="","",E39/(E39+H39))</f>
        <v>0.556497175141243</v>
      </c>
      <c r="L39" s="78" t="n">
        <f aca="false">IF(OR(K39="",J39=""),"",(J39-K39)*100)</f>
        <v>-2.19246844349232</v>
      </c>
      <c r="M39" s="36" t="n">
        <v>1.87176133364825</v>
      </c>
      <c r="N39" s="36" t="n">
        <v>1.24848469443204</v>
      </c>
      <c r="O39" s="36" t="n">
        <f aca="false">SQRT(M39^2+N39^2)</f>
        <v>2.2499343373467</v>
      </c>
      <c r="P39" s="47" t="n">
        <f aca="false">IF(J39="","",MAX(0,J39-1.96*O39/100))</f>
        <v>0.490473777694325</v>
      </c>
      <c r="Q39" s="47" t="n">
        <f aca="false">IF(J39="","",MIN(1,J39+1.96*O39/100))</f>
        <v>0.578671203718315</v>
      </c>
      <c r="R39" s="32" t="str">
        <f aca="false">IF(L39="","",IF(ABS(L39)&lt;=O39,"Yes","No"))</f>
        <v>Yes</v>
      </c>
      <c r="S39" s="32" t="str">
        <f aca="false">IF(L39="","",IF(ABS(L39)&lt;=1.96*O39,"Yes","No"))</f>
        <v>Yes</v>
      </c>
      <c r="T39" s="66" t="n">
        <f aca="false">IF(D39="","",ROUND(SQRT(((D39+G39)*O39/100)^2+(J39*(D39+G39)*0.03811)^2),0))</f>
        <v>41</v>
      </c>
      <c r="U39" s="32"/>
    </row>
    <row r="40" customFormat="false" ht="15" hidden="false" customHeight="false" outlineLevel="0" collapsed="false">
      <c r="A40" s="32" t="s">
        <v>219</v>
      </c>
      <c r="B40" s="32" t="s">
        <v>235</v>
      </c>
      <c r="C40" s="32" t="s">
        <v>191</v>
      </c>
      <c r="D40" s="66" t="n">
        <v>2850</v>
      </c>
      <c r="E40" s="66" t="n">
        <v>3255</v>
      </c>
      <c r="F40" s="77" t="n">
        <f aca="false">IF(E40="","",D40-E40)</f>
        <v>-405</v>
      </c>
      <c r="G40" s="66" t="n">
        <v>4168</v>
      </c>
      <c r="H40" s="66" t="n">
        <v>4462</v>
      </c>
      <c r="I40" s="77" t="n">
        <f aca="false">IF(H40="","",G40-H40)</f>
        <v>-294</v>
      </c>
      <c r="J40" s="47" t="n">
        <f aca="false">IF(OR(D40="",D40+G40=0),"",D40/(D40+G40))</f>
        <v>0.406098603590767</v>
      </c>
      <c r="K40" s="47" t="n">
        <f aca="false">IF(E40="","",E40/(E40+H40))</f>
        <v>0.421796034728521</v>
      </c>
      <c r="L40" s="78" t="n">
        <f aca="false">IF(OR(K40="",J40=""),"",(J40-K40)*100)</f>
        <v>-1.56974311377548</v>
      </c>
      <c r="M40" s="36" t="n">
        <v>1.24497174563071</v>
      </c>
      <c r="N40" s="36" t="n">
        <v>1.24848469443204</v>
      </c>
      <c r="O40" s="36" t="n">
        <f aca="false">SQRT(M40^2+N40^2)</f>
        <v>1.76314170719481</v>
      </c>
      <c r="P40" s="47" t="n">
        <f aca="false">IF(J40="","",MAX(0,J40-1.96*O40/100))</f>
        <v>0.371541026129748</v>
      </c>
      <c r="Q40" s="47" t="n">
        <f aca="false">IF(J40="","",MIN(1,J40+1.96*O40/100))</f>
        <v>0.440656181051785</v>
      </c>
      <c r="R40" s="32" t="str">
        <f aca="false">IF(L40="","",IF(ABS(L40)&lt;=O40,"Yes","No"))</f>
        <v>Yes</v>
      </c>
      <c r="S40" s="32" t="str">
        <f aca="false">IF(L40="","",IF(ABS(L40)&lt;=1.96*O40,"Yes","No"))</f>
        <v>Yes</v>
      </c>
      <c r="T40" s="66" t="n">
        <f aca="false">IF(D40="","",ROUND(SQRT(((D40+G40)*O40/100)^2+(J40*(D40+G40)*0.02225)^2),0))</f>
        <v>139</v>
      </c>
      <c r="U40" s="32"/>
    </row>
    <row r="41" customFormat="false" ht="15" hidden="false" customHeight="false" outlineLevel="0" collapsed="false">
      <c r="A41" s="32" t="s">
        <v>219</v>
      </c>
      <c r="B41" s="32" t="s">
        <v>236</v>
      </c>
      <c r="C41" s="32" t="s">
        <v>191</v>
      </c>
      <c r="D41" s="66" t="n">
        <v>3019</v>
      </c>
      <c r="E41" s="66" t="n">
        <v>3239</v>
      </c>
      <c r="F41" s="77" t="n">
        <f aca="false">IF(E41="","",D41-E41)</f>
        <v>-220</v>
      </c>
      <c r="G41" s="66" t="n">
        <v>3004</v>
      </c>
      <c r="H41" s="66" t="n">
        <v>3129</v>
      </c>
      <c r="I41" s="77" t="n">
        <f aca="false">IF(H41="","",G41-H41)</f>
        <v>-125</v>
      </c>
      <c r="J41" s="47" t="n">
        <f aca="false">IF(OR(D41="",D41+G41=0),"",D41/(D41+G41))</f>
        <v>0.501245226631247</v>
      </c>
      <c r="K41" s="47" t="n">
        <f aca="false">IF(E41="","",E41/(E41+H41))</f>
        <v>0.508636934673367</v>
      </c>
      <c r="L41" s="78" t="n">
        <f aca="false">IF(OR(K41="",J41=""),"",(J41-K41)*100)</f>
        <v>-0.739170804211986</v>
      </c>
      <c r="M41" s="36" t="n">
        <v>1.24497174563071</v>
      </c>
      <c r="N41" s="36" t="n">
        <v>1.24848469443204</v>
      </c>
      <c r="O41" s="36" t="n">
        <f aca="false">SQRT(M41^2+N41^2)</f>
        <v>1.76314170719481</v>
      </c>
      <c r="P41" s="47" t="n">
        <f aca="false">IF(J41="","",MAX(0,J41-1.96*O41/100))</f>
        <v>0.466687649170229</v>
      </c>
      <c r="Q41" s="47" t="n">
        <f aca="false">IF(J41="","",MIN(1,J41+1.96*O41/100))</f>
        <v>0.535802804092265</v>
      </c>
      <c r="R41" s="32" t="str">
        <f aca="false">IF(L41="","",IF(ABS(L41)&lt;=O41,"Yes","No"))</f>
        <v>Yes</v>
      </c>
      <c r="S41" s="32" t="str">
        <f aca="false">IF(L41="","",IF(ABS(L41)&lt;=1.96*O41,"Yes","No"))</f>
        <v>Yes</v>
      </c>
      <c r="T41" s="66" t="n">
        <f aca="false">IF(D41="","",ROUND(SQRT(((D41+G41)*O41/100)^2+(J41*(D41+G41)*0.02225)^2),0))</f>
        <v>126</v>
      </c>
      <c r="U41" s="32"/>
    </row>
    <row r="42" customFormat="false" ht="15" hidden="false" customHeight="false" outlineLevel="0" collapsed="false">
      <c r="A42" s="32" t="s">
        <v>219</v>
      </c>
      <c r="B42" s="32" t="s">
        <v>237</v>
      </c>
      <c r="C42" s="32" t="s">
        <v>191</v>
      </c>
      <c r="D42" s="66" t="n">
        <v>549</v>
      </c>
      <c r="E42" s="66" t="n">
        <v>611</v>
      </c>
      <c r="F42" s="77" t="n">
        <f aca="false">IF(E42="","",D42-E42)</f>
        <v>-62</v>
      </c>
      <c r="G42" s="66" t="n">
        <v>764</v>
      </c>
      <c r="H42" s="66" t="n">
        <v>740</v>
      </c>
      <c r="I42" s="77" t="n">
        <f aca="false">IF(H42="","",G42-H42)</f>
        <v>24</v>
      </c>
      <c r="J42" s="47" t="n">
        <f aca="false">IF(OR(D42="",D42+G42=0),"",D42/(D42+G42))</f>
        <v>0.418126428027418</v>
      </c>
      <c r="K42" s="47" t="n">
        <f aca="false">IF(E42="","",E42/(E42+H42))</f>
        <v>0.452257586972613</v>
      </c>
      <c r="L42" s="78" t="n">
        <f aca="false">IF(OR(K42="",J42=""),"",(J42-K42)*100)</f>
        <v>-3.41311589451948</v>
      </c>
      <c r="M42" s="36" t="n">
        <v>1.87176133364825</v>
      </c>
      <c r="N42" s="36" t="n">
        <v>1.24848469443204</v>
      </c>
      <c r="O42" s="36" t="n">
        <f aca="false">SQRT(M42^2+N42^2)</f>
        <v>2.2499343373467</v>
      </c>
      <c r="P42" s="47" t="n">
        <f aca="false">IF(J42="","",MAX(0,J42-1.96*O42/100))</f>
        <v>0.374027715015423</v>
      </c>
      <c r="Q42" s="47" t="n">
        <f aca="false">IF(J42="","",MIN(1,J42+1.96*O42/100))</f>
        <v>0.462225141039413</v>
      </c>
      <c r="R42" s="32" t="str">
        <f aca="false">IF(L42="","",IF(ABS(L42)&lt;=O42,"Yes","No"))</f>
        <v>No</v>
      </c>
      <c r="S42" s="32" t="str">
        <f aca="false">IF(L42="","",IF(ABS(L42)&lt;=1.96*O42,"Yes","No"))</f>
        <v>Yes</v>
      </c>
      <c r="T42" s="66" t="n">
        <f aca="false">IF(D42="","",ROUND(SQRT(((D42+G42)*O42/100)^2+(J42*(D42+G42)*0.03811)^2),0))</f>
        <v>36</v>
      </c>
      <c r="U42" s="32"/>
    </row>
    <row r="43" customFormat="false" ht="15" hidden="false" customHeight="false" outlineLevel="0" collapsed="false">
      <c r="A43" s="32" t="s">
        <v>219</v>
      </c>
      <c r="B43" s="32" t="s">
        <v>238</v>
      </c>
      <c r="C43" s="32" t="s">
        <v>191</v>
      </c>
      <c r="D43" s="66" t="n">
        <v>5159</v>
      </c>
      <c r="E43" s="66" t="n">
        <v>5699</v>
      </c>
      <c r="F43" s="77" t="n">
        <f aca="false">IF(E43="","",D43-E43)</f>
        <v>-540</v>
      </c>
      <c r="G43" s="66" t="n">
        <v>4500</v>
      </c>
      <c r="H43" s="66" t="n">
        <v>4420</v>
      </c>
      <c r="I43" s="77" t="n">
        <f aca="false">IF(H43="","",G43-H43)</f>
        <v>80</v>
      </c>
      <c r="J43" s="47" t="n">
        <f aca="false">IF(OR(D43="",D43+G43=0),"",D43/(D43+G43))</f>
        <v>0.534113262242468</v>
      </c>
      <c r="K43" s="47" t="n">
        <f aca="false">IF(E43="","",E43/(E43+H43))</f>
        <v>0.563197944460915</v>
      </c>
      <c r="L43" s="78" t="n">
        <f aca="false">IF(OR(K43="",J43=""),"",(J43-K43)*100)</f>
        <v>-2.9084682218447</v>
      </c>
      <c r="M43" s="36" t="n">
        <v>1.24497174563071</v>
      </c>
      <c r="N43" s="36" t="n">
        <v>1.24848469443204</v>
      </c>
      <c r="O43" s="36" t="n">
        <f aca="false">SQRT(M43^2+N43^2)</f>
        <v>1.76314170719481</v>
      </c>
      <c r="P43" s="47" t="n">
        <f aca="false">IF(J43="","",MAX(0,J43-1.96*O43/100))</f>
        <v>0.49955568478145</v>
      </c>
      <c r="Q43" s="47" t="n">
        <f aca="false">IF(J43="","",MIN(1,J43+1.96*O43/100))</f>
        <v>0.568670839703486</v>
      </c>
      <c r="R43" s="32" t="str">
        <f aca="false">IF(L43="","",IF(ABS(L43)&lt;=O43,"Yes","No"))</f>
        <v>No</v>
      </c>
      <c r="S43" s="32" t="str">
        <f aca="false">IF(L43="","",IF(ABS(L43)&lt;=1.96*O43,"Yes","No"))</f>
        <v>Yes</v>
      </c>
      <c r="T43" s="66" t="n">
        <f aca="false">IF(D43="","",ROUND(SQRT(((D43+G43)*O43/100)^2+(J43*(D43+G43)*0.02225)^2),0))</f>
        <v>205</v>
      </c>
      <c r="U43" s="32"/>
    </row>
    <row r="44" customFormat="false" ht="15" hidden="false" customHeight="false" outlineLevel="0" collapsed="false">
      <c r="A44" s="32" t="s">
        <v>219</v>
      </c>
      <c r="B44" s="32" t="s">
        <v>239</v>
      </c>
      <c r="C44" s="32" t="s">
        <v>191</v>
      </c>
      <c r="D44" s="66" t="n">
        <v>5701</v>
      </c>
      <c r="E44" s="66" t="n">
        <v>6009</v>
      </c>
      <c r="F44" s="77" t="n">
        <f aca="false">IF(E44="","",D44-E44)</f>
        <v>-308</v>
      </c>
      <c r="G44" s="66" t="n">
        <v>5100</v>
      </c>
      <c r="H44" s="66" t="n">
        <v>5257</v>
      </c>
      <c r="I44" s="77" t="n">
        <f aca="false">IF(H44="","",G44-H44)</f>
        <v>-157</v>
      </c>
      <c r="J44" s="47" t="n">
        <f aca="false">IF(OR(D44="",D44+G44=0),"",D44/(D44+G44))</f>
        <v>0.527821498009444</v>
      </c>
      <c r="K44" s="47" t="n">
        <f aca="false">IF(E44="","",E44/(E44+H44))</f>
        <v>0.533374755902716</v>
      </c>
      <c r="L44" s="78" t="n">
        <f aca="false">IF(OR(K44="",J44=""),"",(J44-K44)*100)</f>
        <v>-0.555325789327255</v>
      </c>
      <c r="M44" s="36" t="n">
        <v>1.24497174563071</v>
      </c>
      <c r="N44" s="36" t="n">
        <v>1.24848469443204</v>
      </c>
      <c r="O44" s="36" t="n">
        <f aca="false">SQRT(M44^2+N44^2)</f>
        <v>1.76314170719481</v>
      </c>
      <c r="P44" s="47" t="n">
        <f aca="false">IF(J44="","",MAX(0,J44-1.96*O44/100))</f>
        <v>0.493263920548425</v>
      </c>
      <c r="Q44" s="47" t="n">
        <f aca="false">IF(J44="","",MIN(1,J44+1.96*O44/100))</f>
        <v>0.562379075470462</v>
      </c>
      <c r="R44" s="32" t="str">
        <f aca="false">IF(L44="","",IF(ABS(L44)&lt;=O44,"Yes","No"))</f>
        <v>Yes</v>
      </c>
      <c r="S44" s="32" t="str">
        <f aca="false">IF(L44="","",IF(ABS(L44)&lt;=1.96*O44,"Yes","No"))</f>
        <v>Yes</v>
      </c>
      <c r="T44" s="66" t="n">
        <f aca="false">IF(D44="","",ROUND(SQRT(((D44+G44)*O44/100)^2+(J44*(D44+G44)*0.02225)^2),0))</f>
        <v>229</v>
      </c>
      <c r="U44" s="32"/>
    </row>
    <row r="45" customFormat="false" ht="15" hidden="false" customHeight="false" outlineLevel="0" collapsed="false">
      <c r="A45" s="32" t="s">
        <v>219</v>
      </c>
      <c r="B45" s="32" t="s">
        <v>240</v>
      </c>
      <c r="C45" s="32" t="s">
        <v>191</v>
      </c>
      <c r="D45" s="66" t="n">
        <v>1758</v>
      </c>
      <c r="E45" s="66" t="n">
        <v>2032</v>
      </c>
      <c r="F45" s="77" t="n">
        <f aca="false">IF(E45="","",D45-E45)</f>
        <v>-274</v>
      </c>
      <c r="G45" s="66" t="n">
        <v>2378</v>
      </c>
      <c r="H45" s="66" t="n">
        <v>2450</v>
      </c>
      <c r="I45" s="77" t="n">
        <f aca="false">IF(H45="","",G45-H45)</f>
        <v>-72</v>
      </c>
      <c r="J45" s="47" t="n">
        <f aca="false">IF(OR(D45="",D45+G45=0),"",D45/(D45+G45))</f>
        <v>0.42504835589942</v>
      </c>
      <c r="K45" s="47" t="n">
        <f aca="false">IF(E45="","",E45/(E45+H45))</f>
        <v>0.453369031682285</v>
      </c>
      <c r="L45" s="78" t="n">
        <f aca="false">IF(OR(K45="",J45=""),"",(J45-K45)*100)</f>
        <v>-2.8320675782865</v>
      </c>
      <c r="M45" s="36" t="n">
        <v>1.24497174563071</v>
      </c>
      <c r="N45" s="36" t="n">
        <v>1.24848469443204</v>
      </c>
      <c r="O45" s="36" t="n">
        <f aca="false">SQRT(M45^2+N45^2)</f>
        <v>1.76314170719481</v>
      </c>
      <c r="P45" s="47" t="n">
        <f aca="false">IF(J45="","",MAX(0,J45-1.96*O45/100))</f>
        <v>0.390490778438402</v>
      </c>
      <c r="Q45" s="47" t="n">
        <f aca="false">IF(J45="","",MIN(1,J45+1.96*O45/100))</f>
        <v>0.459605933360438</v>
      </c>
      <c r="R45" s="32" t="str">
        <f aca="false">IF(L45="","",IF(ABS(L45)&lt;=O45,"Yes","No"))</f>
        <v>No</v>
      </c>
      <c r="S45" s="32" t="str">
        <f aca="false">IF(L45="","",IF(ABS(L45)&lt;=1.96*O45,"Yes","No"))</f>
        <v>Yes</v>
      </c>
      <c r="T45" s="66" t="n">
        <f aca="false">IF(D45="","",ROUND(SQRT(((D45+G45)*O45/100)^2+(J45*(D45+G45)*0.02225)^2),0))</f>
        <v>83</v>
      </c>
      <c r="U45" s="32"/>
    </row>
    <row r="46" customFormat="false" ht="15" hidden="false" customHeight="false" outlineLevel="0" collapsed="false">
      <c r="A46" s="32" t="s">
        <v>219</v>
      </c>
      <c r="B46" s="32" t="s">
        <v>241</v>
      </c>
      <c r="C46" s="32" t="s">
        <v>191</v>
      </c>
      <c r="D46" s="66" t="n">
        <v>3864</v>
      </c>
      <c r="E46" s="66" t="n">
        <v>4406</v>
      </c>
      <c r="F46" s="77" t="n">
        <f aca="false">IF(E46="","",D46-E46)</f>
        <v>-542</v>
      </c>
      <c r="G46" s="66" t="n">
        <v>4225</v>
      </c>
      <c r="H46" s="66" t="n">
        <v>4369</v>
      </c>
      <c r="I46" s="77" t="n">
        <f aca="false">IF(H46="","",G46-H46)</f>
        <v>-144</v>
      </c>
      <c r="J46" s="47" t="n">
        <f aca="false">IF(OR(D46="",D46+G46=0),"",D46/(D46+G46))</f>
        <v>0.477685746074917</v>
      </c>
      <c r="K46" s="47" t="n">
        <f aca="false">IF(E46="","",E46/(E46+H46))</f>
        <v>0.502108262108262</v>
      </c>
      <c r="L46" s="78" t="n">
        <f aca="false">IF(OR(K46="",J46=""),"",(J46-K46)*100)</f>
        <v>-2.44225160333456</v>
      </c>
      <c r="M46" s="36" t="n">
        <v>1.24497174563071</v>
      </c>
      <c r="N46" s="36" t="n">
        <v>1.24848469443204</v>
      </c>
      <c r="O46" s="36" t="n">
        <f aca="false">SQRT(M46^2+N46^2)</f>
        <v>1.76314170719481</v>
      </c>
      <c r="P46" s="47" t="n">
        <f aca="false">IF(J46="","",MAX(0,J46-1.96*O46/100))</f>
        <v>0.443128168613898</v>
      </c>
      <c r="Q46" s="47" t="n">
        <f aca="false">IF(J46="","",MIN(1,J46+1.96*O46/100))</f>
        <v>0.512243323535935</v>
      </c>
      <c r="R46" s="32" t="str">
        <f aca="false">IF(L46="","",IF(ABS(L46)&lt;=O46,"Yes","No"))</f>
        <v>No</v>
      </c>
      <c r="S46" s="32" t="str">
        <f aca="false">IF(L46="","",IF(ABS(L46)&lt;=1.96*O46,"Yes","No"))</f>
        <v>Yes</v>
      </c>
      <c r="T46" s="66" t="n">
        <f aca="false">IF(D46="","",ROUND(SQRT(((D46+G46)*O46/100)^2+(J46*(D46+G46)*0.02225)^2),0))</f>
        <v>167</v>
      </c>
      <c r="U46" s="32"/>
    </row>
    <row r="47" customFormat="false" ht="15" hidden="false" customHeight="false" outlineLevel="0" collapsed="false">
      <c r="A47" s="32" t="s">
        <v>219</v>
      </c>
      <c r="B47" s="32" t="s">
        <v>242</v>
      </c>
      <c r="C47" s="32" t="s">
        <v>191</v>
      </c>
      <c r="D47" s="66" t="n">
        <v>850</v>
      </c>
      <c r="E47" s="66" t="n">
        <v>1054</v>
      </c>
      <c r="F47" s="77" t="n">
        <f aca="false">IF(E47="","",D47-E47)</f>
        <v>-204</v>
      </c>
      <c r="G47" s="66" t="n">
        <v>1803</v>
      </c>
      <c r="H47" s="66" t="n">
        <v>1952</v>
      </c>
      <c r="I47" s="77" t="n">
        <f aca="false">IF(H47="","",G47-H47)</f>
        <v>-149</v>
      </c>
      <c r="J47" s="47" t="n">
        <f aca="false">IF(OR(D47="",D47+G47=0),"",D47/(D47+G47))</f>
        <v>0.320392009046363</v>
      </c>
      <c r="K47" s="47" t="n">
        <f aca="false">IF(E47="","",E47/(E47+H47))</f>
        <v>0.350632069194943</v>
      </c>
      <c r="L47" s="78" t="n">
        <f aca="false">IF(OR(K47="",J47=""),"",(J47-K47)*100)</f>
        <v>-3.02400601485808</v>
      </c>
      <c r="M47" s="36" t="n">
        <v>1.24497174563071</v>
      </c>
      <c r="N47" s="36" t="n">
        <v>1.24848469443204</v>
      </c>
      <c r="O47" s="36" t="n">
        <f aca="false">SQRT(M47^2+N47^2)</f>
        <v>1.76314170719481</v>
      </c>
      <c r="P47" s="47" t="n">
        <f aca="false">IF(J47="","",MAX(0,J47-1.96*O47/100))</f>
        <v>0.285834431585344</v>
      </c>
      <c r="Q47" s="47" t="n">
        <f aca="false">IF(J47="","",MIN(1,J47+1.96*O47/100))</f>
        <v>0.354949586507381</v>
      </c>
      <c r="R47" s="32" t="str">
        <f aca="false">IF(L47="","",IF(ABS(L47)&lt;=O47,"Yes","No"))</f>
        <v>No</v>
      </c>
      <c r="S47" s="32" t="str">
        <f aca="false">IF(L47="","",IF(ABS(L47)&lt;=1.96*O47,"Yes","No"))</f>
        <v>Yes</v>
      </c>
      <c r="T47" s="66" t="n">
        <f aca="false">IF(D47="","",ROUND(SQRT(((D47+G47)*O47/100)^2+(J47*(D47+G47)*0.02225)^2),0))</f>
        <v>50</v>
      </c>
      <c r="U47" s="32"/>
    </row>
    <row r="48" customFormat="false" ht="15" hidden="false" customHeight="false" outlineLevel="0" collapsed="false">
      <c r="A48" s="32" t="s">
        <v>219</v>
      </c>
      <c r="B48" s="32" t="s">
        <v>243</v>
      </c>
      <c r="C48" s="32" t="s">
        <v>191</v>
      </c>
      <c r="D48" s="66" t="n">
        <v>841</v>
      </c>
      <c r="E48" s="66" t="n">
        <v>981</v>
      </c>
      <c r="F48" s="77" t="n">
        <f aca="false">IF(E48="","",D48-E48)</f>
        <v>-140</v>
      </c>
      <c r="G48" s="66" t="n">
        <v>1688</v>
      </c>
      <c r="H48" s="66" t="n">
        <v>1711</v>
      </c>
      <c r="I48" s="77" t="n">
        <f aca="false">IF(H48="","",G48-H48)</f>
        <v>-23</v>
      </c>
      <c r="J48" s="47" t="n">
        <f aca="false">IF(OR(D48="",D48+G48=0),"",D48/(D48+G48))</f>
        <v>0.332542506919731</v>
      </c>
      <c r="K48" s="47" t="n">
        <f aca="false">IF(E48="","",E48/(E48+H48))</f>
        <v>0.364413075780089</v>
      </c>
      <c r="L48" s="78" t="n">
        <f aca="false">IF(OR(K48="",J48=""),"",(J48-K48)*100)</f>
        <v>-3.1870568860358</v>
      </c>
      <c r="M48" s="36" t="n">
        <v>1.87176133364825</v>
      </c>
      <c r="N48" s="36" t="n">
        <v>1.24848469443204</v>
      </c>
      <c r="O48" s="36" t="n">
        <f aca="false">SQRT(M48^2+N48^2)</f>
        <v>2.2499343373467</v>
      </c>
      <c r="P48" s="47" t="n">
        <f aca="false">IF(J48="","",MAX(0,J48-1.96*O48/100))</f>
        <v>0.288443793907736</v>
      </c>
      <c r="Q48" s="47" t="n">
        <f aca="false">IF(J48="","",MIN(1,J48+1.96*O48/100))</f>
        <v>0.376641219931726</v>
      </c>
      <c r="R48" s="32" t="str">
        <f aca="false">IF(L48="","",IF(ABS(L48)&lt;=O48,"Yes","No"))</f>
        <v>No</v>
      </c>
      <c r="S48" s="32" t="str">
        <f aca="false">IF(L48="","",IF(ABS(L48)&lt;=1.96*O48,"Yes","No"))</f>
        <v>Yes</v>
      </c>
      <c r="T48" s="66" t="n">
        <f aca="false">IF(D48="","",ROUND(SQRT(((D48+G48)*O48/100)^2+(J48*(D48+G48)*0.03811)^2),0))</f>
        <v>65</v>
      </c>
      <c r="U48" s="32"/>
    </row>
    <row r="49" customFormat="false" ht="15" hidden="false" customHeight="false" outlineLevel="0" collapsed="false">
      <c r="A49" s="32" t="s">
        <v>219</v>
      </c>
      <c r="B49" s="32" t="s">
        <v>244</v>
      </c>
      <c r="C49" s="32" t="s">
        <v>191</v>
      </c>
      <c r="D49" s="66" t="n">
        <v>5293</v>
      </c>
      <c r="E49" s="66" t="n">
        <v>5508</v>
      </c>
      <c r="F49" s="77" t="n">
        <f aca="false">IF(E49="","",D49-E49)</f>
        <v>-215</v>
      </c>
      <c r="G49" s="66" t="n">
        <v>4567</v>
      </c>
      <c r="H49" s="66" t="n">
        <v>4784</v>
      </c>
      <c r="I49" s="77" t="n">
        <f aca="false">IF(H49="","",G49-H49)</f>
        <v>-217</v>
      </c>
      <c r="J49" s="47" t="n">
        <f aca="false">IF(OR(D49="",D49+G49=0),"",D49/(D49+G49))</f>
        <v>0.536815415821501</v>
      </c>
      <c r="K49" s="47" t="n">
        <f aca="false">IF(E49="","",E49/(E49+H49))</f>
        <v>0.535172949863972</v>
      </c>
      <c r="L49" s="78" t="n">
        <f aca="false">IF(OR(K49="",J49=""),"",(J49-K49)*100)</f>
        <v>0.164246595752904</v>
      </c>
      <c r="M49" s="36" t="n">
        <v>1.24497174563071</v>
      </c>
      <c r="N49" s="36" t="n">
        <v>1.24848469443204</v>
      </c>
      <c r="O49" s="36" t="n">
        <f aca="false">SQRT(M49^2+N49^2)</f>
        <v>1.76314170719481</v>
      </c>
      <c r="P49" s="47" t="n">
        <f aca="false">IF(J49="","",MAX(0,J49-1.96*O49/100))</f>
        <v>0.502257838360483</v>
      </c>
      <c r="Q49" s="47" t="n">
        <f aca="false">IF(J49="","",MIN(1,J49+1.96*O49/100))</f>
        <v>0.571372993282519</v>
      </c>
      <c r="R49" s="32" t="str">
        <f aca="false">IF(L49="","",IF(ABS(L49)&lt;=O49,"Yes","No"))</f>
        <v>Yes</v>
      </c>
      <c r="S49" s="32" t="str">
        <f aca="false">IF(L49="","",IF(ABS(L49)&lt;=1.96*O49,"Yes","No"))</f>
        <v>Yes</v>
      </c>
      <c r="T49" s="66" t="n">
        <f aca="false">IF(D49="","",ROUND(SQRT(((D49+G49)*O49/100)^2+(J49*(D49+G49)*0.02225)^2),0))</f>
        <v>210</v>
      </c>
      <c r="U49" s="32"/>
    </row>
    <row r="50" customFormat="false" ht="15" hidden="false" customHeight="false" outlineLevel="0" collapsed="false">
      <c r="A50" s="32" t="s">
        <v>245</v>
      </c>
      <c r="B50" s="32" t="s">
        <v>246</v>
      </c>
      <c r="C50" s="32" t="s">
        <v>191</v>
      </c>
      <c r="D50" s="66" t="n">
        <v>339</v>
      </c>
      <c r="E50" s="66" t="n">
        <v>361</v>
      </c>
      <c r="F50" s="77" t="n">
        <f aca="false">IF(E50="","",D50-E50)</f>
        <v>-22</v>
      </c>
      <c r="G50" s="66" t="n">
        <v>709</v>
      </c>
      <c r="H50" s="66" t="n">
        <v>824</v>
      </c>
      <c r="I50" s="77" t="n">
        <f aca="false">IF(H50="","",G50-H50)</f>
        <v>-115</v>
      </c>
      <c r="J50" s="47" t="n">
        <f aca="false">IF(OR(D50="",D50+G50=0),"",D50/(D50+G50))</f>
        <v>0.323473282442748</v>
      </c>
      <c r="K50" s="47" t="n">
        <f aca="false">IF(E50="","",E50/(E50+H50))</f>
        <v>0.30464135021097</v>
      </c>
      <c r="L50" s="78" t="n">
        <f aca="false">IF(OR(K50="",J50=""),"",(J50-K50)*100)</f>
        <v>1.88319322317776</v>
      </c>
      <c r="M50" s="36" t="n">
        <v>2.85482016247941</v>
      </c>
      <c r="N50" s="36" t="n">
        <v>1.24848469443204</v>
      </c>
      <c r="O50" s="36" t="n">
        <f aca="false">SQRT(M50^2+N50^2)</f>
        <v>3.11588064475038</v>
      </c>
      <c r="P50" s="47" t="n">
        <f aca="false">IF(J50="","",MAX(0,J50-1.96*O50/100))</f>
        <v>0.262402021805641</v>
      </c>
      <c r="Q50" s="47" t="n">
        <f aca="false">IF(J50="","",MIN(1,J50+1.96*O50/100))</f>
        <v>0.384544543079856</v>
      </c>
      <c r="R50" s="32" t="str">
        <f aca="false">IF(L50="","",IF(ABS(L50)&lt;=O50,"Yes","No"))</f>
        <v>Yes</v>
      </c>
      <c r="S50" s="32" t="str">
        <f aca="false">IF(L50="","",IF(ABS(L50)&lt;=1.96*O50,"Yes","No"))</f>
        <v>Yes</v>
      </c>
      <c r="T50" s="66" t="n">
        <f aca="false">IF(D50="","",ROUND(SQRT(((D50+G50)*O50/100)^2+(J50*(D50+G50)*0.0534)^2),0))</f>
        <v>37</v>
      </c>
      <c r="U50" s="32"/>
    </row>
    <row r="51" customFormat="false" ht="15" hidden="false" customHeight="false" outlineLevel="0" collapsed="false">
      <c r="A51" s="32" t="s">
        <v>245</v>
      </c>
      <c r="B51" s="32" t="s">
        <v>247</v>
      </c>
      <c r="C51" s="32" t="s">
        <v>191</v>
      </c>
      <c r="D51" s="66" t="n">
        <v>1022</v>
      </c>
      <c r="E51" s="66" t="n">
        <v>1021</v>
      </c>
      <c r="F51" s="77" t="n">
        <f aca="false">IF(E51="","",D51-E51)</f>
        <v>1</v>
      </c>
      <c r="G51" s="66" t="n">
        <v>1766</v>
      </c>
      <c r="H51" s="66" t="n">
        <v>1984</v>
      </c>
      <c r="I51" s="77" t="n">
        <f aca="false">IF(H51="","",G51-H51)</f>
        <v>-218</v>
      </c>
      <c r="J51" s="47" t="n">
        <f aca="false">IF(OR(D51="",D51+G51=0),"",D51/(D51+G51))</f>
        <v>0.366571018651363</v>
      </c>
      <c r="K51" s="47" t="n">
        <f aca="false">IF(E51="","",E51/(E51+H51))</f>
        <v>0.339767054908486</v>
      </c>
      <c r="L51" s="78" t="n">
        <f aca="false">IF(OR(K51="",J51=""),"",(J51-K51)*100)</f>
        <v>2.68039637428771</v>
      </c>
      <c r="M51" s="36" t="n">
        <v>1.24497174563071</v>
      </c>
      <c r="N51" s="36" t="n">
        <v>1.24848469443204</v>
      </c>
      <c r="O51" s="36" t="n">
        <f aca="false">SQRT(M51^2+N51^2)</f>
        <v>1.76314170719481</v>
      </c>
      <c r="P51" s="47" t="n">
        <f aca="false">IF(J51="","",MAX(0,J51-1.96*O51/100))</f>
        <v>0.332013441190345</v>
      </c>
      <c r="Q51" s="47" t="n">
        <f aca="false">IF(J51="","",MIN(1,J51+1.96*O51/100))</f>
        <v>0.401128596112381</v>
      </c>
      <c r="R51" s="32" t="str">
        <f aca="false">IF(L51="","",IF(ABS(L51)&lt;=O51,"Yes","No"))</f>
        <v>No</v>
      </c>
      <c r="S51" s="32" t="str">
        <f aca="false">IF(L51="","",IF(ABS(L51)&lt;=1.96*O51,"Yes","No"))</f>
        <v>Yes</v>
      </c>
      <c r="T51" s="66" t="n">
        <f aca="false">IF(D51="","",ROUND(SQRT(((D51+G51)*O51/100)^2+(J51*(D51+G51)*0.02225)^2),0))</f>
        <v>54</v>
      </c>
      <c r="U51" s="32"/>
    </row>
    <row r="52" customFormat="false" ht="15" hidden="false" customHeight="false" outlineLevel="0" collapsed="false">
      <c r="A52" s="32" t="s">
        <v>245</v>
      </c>
      <c r="B52" s="32" t="s">
        <v>248</v>
      </c>
      <c r="C52" s="32" t="s">
        <v>191</v>
      </c>
      <c r="D52" s="66" t="n">
        <v>331</v>
      </c>
      <c r="E52" s="66" t="n">
        <v>380</v>
      </c>
      <c r="F52" s="77" t="n">
        <f aca="false">IF(E52="","",D52-E52)</f>
        <v>-49</v>
      </c>
      <c r="G52" s="66" t="n">
        <v>533</v>
      </c>
      <c r="H52" s="66" t="n">
        <v>732</v>
      </c>
      <c r="I52" s="77" t="n">
        <f aca="false">IF(H52="","",G52-H52)</f>
        <v>-199</v>
      </c>
      <c r="J52" s="47" t="n">
        <f aca="false">IF(OR(D52="",D52+G52=0),"",D52/(D52+G52))</f>
        <v>0.383101851851852</v>
      </c>
      <c r="K52" s="47" t="n">
        <f aca="false">IF(E52="","",E52/(E52+H52))</f>
        <v>0.341726618705036</v>
      </c>
      <c r="L52" s="78" t="n">
        <f aca="false">IF(OR(K52="",J52=""),"",(J52-K52)*100)</f>
        <v>4.13752331468159</v>
      </c>
      <c r="M52" s="36" t="n">
        <v>2.85482016247941</v>
      </c>
      <c r="N52" s="36" t="n">
        <v>1.24848469443204</v>
      </c>
      <c r="O52" s="36" t="n">
        <f aca="false">SQRT(M52^2+N52^2)</f>
        <v>3.11588064475038</v>
      </c>
      <c r="P52" s="47" t="n">
        <f aca="false">IF(J52="","",MAX(0,J52-1.96*O52/100))</f>
        <v>0.322030591214744</v>
      </c>
      <c r="Q52" s="47" t="n">
        <f aca="false">IF(J52="","",MIN(1,J52+1.96*O52/100))</f>
        <v>0.444173112488959</v>
      </c>
      <c r="R52" s="32" t="str">
        <f aca="false">IF(L52="","",IF(ABS(L52)&lt;=O52,"Yes","No"))</f>
        <v>No</v>
      </c>
      <c r="S52" s="32" t="str">
        <f aca="false">IF(L52="","",IF(ABS(L52)&lt;=1.96*O52,"Yes","No"))</f>
        <v>Yes</v>
      </c>
      <c r="T52" s="66" t="n">
        <f aca="false">IF(D52="","",ROUND(SQRT(((D52+G52)*O52/100)^2+(J52*(D52+G52)*0.0534)^2),0))</f>
        <v>32</v>
      </c>
      <c r="U52" s="32"/>
    </row>
    <row r="53" customFormat="false" ht="15" hidden="false" customHeight="false" outlineLevel="0" collapsed="false">
      <c r="A53" s="32" t="s">
        <v>249</v>
      </c>
      <c r="B53" s="32" t="s">
        <v>250</v>
      </c>
      <c r="C53" s="32" t="s">
        <v>191</v>
      </c>
      <c r="D53" s="66" t="n">
        <v>1004</v>
      </c>
      <c r="E53" s="66" t="n">
        <v>1174</v>
      </c>
      <c r="F53" s="77" t="n">
        <f aca="false">IF(E53="","",D53-E53)</f>
        <v>-170</v>
      </c>
      <c r="G53" s="66" t="n">
        <v>1343</v>
      </c>
      <c r="H53" s="66" t="n">
        <v>1426</v>
      </c>
      <c r="I53" s="77" t="n">
        <f aca="false">IF(H53="","",G53-H53)</f>
        <v>-83</v>
      </c>
      <c r="J53" s="47" t="n">
        <f aca="false">IF(OR(D53="",D53+G53=0),"",D53/(D53+G53))</f>
        <v>0.427780144865786</v>
      </c>
      <c r="K53" s="47" t="n">
        <f aca="false">IF(E53="","",E53/(E53+H53))</f>
        <v>0.451538461538462</v>
      </c>
      <c r="L53" s="78" t="n">
        <f aca="false">IF(OR(K53="",J53=""),"",(J53-K53)*100)</f>
        <v>-2.37583166726755</v>
      </c>
      <c r="M53" s="36" t="n">
        <v>1.87176133364825</v>
      </c>
      <c r="N53" s="36" t="n">
        <v>1.24848469443204</v>
      </c>
      <c r="O53" s="36" t="n">
        <f aca="false">SQRT(M53^2+N53^2)</f>
        <v>2.2499343373467</v>
      </c>
      <c r="P53" s="47" t="n">
        <f aca="false">IF(J53="","",MAX(0,J53-1.96*O53/100))</f>
        <v>0.383681431853791</v>
      </c>
      <c r="Q53" s="47" t="n">
        <f aca="false">IF(J53="","",MIN(1,J53+1.96*O53/100))</f>
        <v>0.471878857877781</v>
      </c>
      <c r="R53" s="32" t="str">
        <f aca="false">IF(L53="","",IF(ABS(L53)&lt;=O53,"Yes","No"))</f>
        <v>No</v>
      </c>
      <c r="S53" s="32" t="str">
        <f aca="false">IF(L53="","",IF(ABS(L53)&lt;=1.96*O53,"Yes","No"))</f>
        <v>Yes</v>
      </c>
      <c r="T53" s="66" t="n">
        <f aca="false">IF(D53="","",ROUND(SQRT(((D53+G53)*O53/100)^2+(J53*(D53+G53)*0.03811)^2),0))</f>
        <v>65</v>
      </c>
      <c r="U53" s="32"/>
    </row>
    <row r="54" customFormat="false" ht="15" hidden="false" customHeight="false" outlineLevel="0" collapsed="false">
      <c r="A54" s="32" t="s">
        <v>249</v>
      </c>
      <c r="B54" s="32" t="s">
        <v>251</v>
      </c>
      <c r="C54" s="32" t="s">
        <v>191</v>
      </c>
      <c r="D54" s="66" t="n">
        <v>663</v>
      </c>
      <c r="E54" s="66" t="n">
        <v>729</v>
      </c>
      <c r="F54" s="77" t="n">
        <f aca="false">IF(E54="","",D54-E54)</f>
        <v>-66</v>
      </c>
      <c r="G54" s="66" t="n">
        <v>911</v>
      </c>
      <c r="H54" s="66" t="n">
        <v>928</v>
      </c>
      <c r="I54" s="77" t="n">
        <f aca="false">IF(H54="","",G54-H54)</f>
        <v>-17</v>
      </c>
      <c r="J54" s="47" t="n">
        <f aca="false">IF(OR(D54="",D54+G54=0),"",D54/(D54+G54))</f>
        <v>0.421219822109276</v>
      </c>
      <c r="K54" s="47" t="n">
        <f aca="false">IF(E54="","",E54/(E54+H54))</f>
        <v>0.43995171997586</v>
      </c>
      <c r="L54" s="78" t="n">
        <f aca="false">IF(OR(K54="",J54=""),"",(J54-K54)*100)</f>
        <v>-1.87318978665842</v>
      </c>
      <c r="M54" s="36" t="n">
        <v>1.87176133364825</v>
      </c>
      <c r="N54" s="36" t="n">
        <v>1.24848469443204</v>
      </c>
      <c r="O54" s="36" t="n">
        <f aca="false">SQRT(M54^2+N54^2)</f>
        <v>2.2499343373467</v>
      </c>
      <c r="P54" s="47" t="n">
        <f aca="false">IF(J54="","",MAX(0,J54-1.96*O54/100))</f>
        <v>0.37712110909728</v>
      </c>
      <c r="Q54" s="47" t="n">
        <f aca="false">IF(J54="","",MIN(1,J54+1.96*O54/100))</f>
        <v>0.465318535121271</v>
      </c>
      <c r="R54" s="32" t="str">
        <f aca="false">IF(L54="","",IF(ABS(L54)&lt;=O54,"Yes","No"))</f>
        <v>Yes</v>
      </c>
      <c r="S54" s="32" t="str">
        <f aca="false">IF(L54="","",IF(ABS(L54)&lt;=1.96*O54,"Yes","No"))</f>
        <v>Yes</v>
      </c>
      <c r="T54" s="66" t="n">
        <f aca="false">IF(D54="","",ROUND(SQRT(((D54+G54)*O54/100)^2+(J54*(D54+G54)*0.03811)^2),0))</f>
        <v>44</v>
      </c>
      <c r="U54" s="32"/>
    </row>
    <row r="55" customFormat="false" ht="15" hidden="false" customHeight="false" outlineLevel="0" collapsed="false">
      <c r="A55" s="32" t="s">
        <v>249</v>
      </c>
      <c r="B55" s="32" t="s">
        <v>252</v>
      </c>
      <c r="C55" s="32" t="s">
        <v>191</v>
      </c>
      <c r="D55" s="66" t="n">
        <v>402</v>
      </c>
      <c r="E55" s="66" t="n">
        <v>441</v>
      </c>
      <c r="F55" s="77" t="n">
        <f aca="false">IF(E55="","",D55-E55)</f>
        <v>-39</v>
      </c>
      <c r="G55" s="66" t="n">
        <v>472</v>
      </c>
      <c r="H55" s="66" t="n">
        <v>513</v>
      </c>
      <c r="I55" s="77" t="n">
        <f aca="false">IF(H55="","",G55-H55)</f>
        <v>-41</v>
      </c>
      <c r="J55" s="47" t="n">
        <f aca="false">IF(OR(D55="",D55+G55=0),"",D55/(D55+G55))</f>
        <v>0.459954233409611</v>
      </c>
      <c r="K55" s="47" t="n">
        <f aca="false">IF(E55="","",E55/(E55+H55))</f>
        <v>0.462264150943396</v>
      </c>
      <c r="L55" s="78" t="n">
        <f aca="false">IF(OR(K55="",J55=""),"",(J55-K55)*100)</f>
        <v>-0.230991753378523</v>
      </c>
      <c r="M55" s="36" t="n">
        <v>2.85482016247941</v>
      </c>
      <c r="N55" s="36" t="n">
        <v>1.24848469443204</v>
      </c>
      <c r="O55" s="36" t="n">
        <f aca="false">SQRT(M55^2+N55^2)</f>
        <v>3.11588064475038</v>
      </c>
      <c r="P55" s="47" t="n">
        <f aca="false">IF(J55="","",MAX(0,J55-1.96*O55/100))</f>
        <v>0.398882972772504</v>
      </c>
      <c r="Q55" s="47" t="n">
        <f aca="false">IF(J55="","",MIN(1,J55+1.96*O55/100))</f>
        <v>0.521025494046718</v>
      </c>
      <c r="R55" s="32" t="str">
        <f aca="false">IF(L55="","",IF(ABS(L55)&lt;=O55,"Yes","No"))</f>
        <v>Yes</v>
      </c>
      <c r="S55" s="32" t="str">
        <f aca="false">IF(L55="","",IF(ABS(L55)&lt;=1.96*O55,"Yes","No"))</f>
        <v>Yes</v>
      </c>
      <c r="T55" s="66" t="n">
        <f aca="false">IF(D55="","",ROUND(SQRT(((D55+G55)*O55/100)^2+(J55*(D55+G55)*0.0534)^2),0))</f>
        <v>35</v>
      </c>
      <c r="U55" s="32"/>
    </row>
    <row r="56" customFormat="false" ht="15" hidden="false" customHeight="false" outlineLevel="0" collapsed="false">
      <c r="A56" s="32" t="s">
        <v>249</v>
      </c>
      <c r="B56" s="32" t="s">
        <v>222</v>
      </c>
      <c r="C56" s="32" t="s">
        <v>191</v>
      </c>
      <c r="D56" s="66" t="n">
        <v>12351</v>
      </c>
      <c r="E56" s="66" t="n">
        <v>12402</v>
      </c>
      <c r="F56" s="77" t="n">
        <f aca="false">IF(E56="","",D56-E56)</f>
        <v>-51</v>
      </c>
      <c r="G56" s="66" t="n">
        <v>5317</v>
      </c>
      <c r="H56" s="66" t="n">
        <v>5692</v>
      </c>
      <c r="I56" s="77" t="n">
        <f aca="false">IF(H56="","",G56-H56)</f>
        <v>-375</v>
      </c>
      <c r="J56" s="47" t="n">
        <f aca="false">IF(OR(D56="",D56+G56=0),"",D56/(D56+G56))</f>
        <v>0.699060448268055</v>
      </c>
      <c r="K56" s="47" t="n">
        <f aca="false">IF(E56="","",E56/(E56+H56))</f>
        <v>0.685420581408202</v>
      </c>
      <c r="L56" s="78" t="n">
        <f aca="false">IF(OR(K56="",J56=""),"",(J56-K56)*100)</f>
        <v>1.36398668598536</v>
      </c>
      <c r="M56" s="36" t="n">
        <v>1.24497174563071</v>
      </c>
      <c r="N56" s="36" t="n">
        <v>1.24848469443204</v>
      </c>
      <c r="O56" s="36" t="n">
        <f aca="false">SQRT(M56^2+N56^2)</f>
        <v>1.76314170719481</v>
      </c>
      <c r="P56" s="47" t="n">
        <f aca="false">IF(J56="","",MAX(0,J56-1.96*O56/100))</f>
        <v>0.664502870807037</v>
      </c>
      <c r="Q56" s="47" t="n">
        <f aca="false">IF(J56="","",MIN(1,J56+1.96*O56/100))</f>
        <v>0.733618025729074</v>
      </c>
      <c r="R56" s="32" t="str">
        <f aca="false">IF(L56="","",IF(ABS(L56)&lt;=O56,"Yes","No"))</f>
        <v>Yes</v>
      </c>
      <c r="S56" s="32" t="str">
        <f aca="false">IF(L56="","",IF(ABS(L56)&lt;=1.96*O56,"Yes","No"))</f>
        <v>Yes</v>
      </c>
      <c r="T56" s="66" t="n">
        <f aca="false">IF(D56="","",ROUND(SQRT(((D56+G56)*O56/100)^2+(J56*(D56+G56)*0.02225)^2),0))</f>
        <v>415</v>
      </c>
      <c r="U56" s="32"/>
    </row>
    <row r="57" customFormat="false" ht="15" hidden="false" customHeight="false" outlineLevel="0" collapsed="false">
      <c r="A57" s="32" t="s">
        <v>249</v>
      </c>
      <c r="B57" s="32" t="s">
        <v>253</v>
      </c>
      <c r="C57" s="32" t="s">
        <v>191</v>
      </c>
      <c r="D57" s="66" t="n">
        <v>5941</v>
      </c>
      <c r="E57" s="66" t="n">
        <v>6681</v>
      </c>
      <c r="F57" s="77" t="n">
        <f aca="false">IF(E57="","",D57-E57)</f>
        <v>-740</v>
      </c>
      <c r="G57" s="66" t="n">
        <v>5260</v>
      </c>
      <c r="H57" s="66" t="n">
        <v>5562</v>
      </c>
      <c r="I57" s="77" t="n">
        <f aca="false">IF(H57="","",G57-H57)</f>
        <v>-302</v>
      </c>
      <c r="J57" s="47" t="n">
        <f aca="false">IF(OR(D57="",D57+G57=0),"",D57/(D57+G57))</f>
        <v>0.530399071511472</v>
      </c>
      <c r="K57" s="47" t="n">
        <f aca="false">IF(E57="","",E57/(E57+H57))</f>
        <v>0.545699583435433</v>
      </c>
      <c r="L57" s="78" t="n">
        <f aca="false">IF(OR(K57="",J57=""),"",(J57-K57)*100)</f>
        <v>-1.53005119239603</v>
      </c>
      <c r="M57" s="36" t="n">
        <v>1.24497174563071</v>
      </c>
      <c r="N57" s="36" t="n">
        <v>1.24848469443204</v>
      </c>
      <c r="O57" s="36" t="n">
        <f aca="false">SQRT(M57^2+N57^2)</f>
        <v>1.76314170719481</v>
      </c>
      <c r="P57" s="47" t="n">
        <f aca="false">IF(J57="","",MAX(0,J57-1.96*O57/100))</f>
        <v>0.495841494050454</v>
      </c>
      <c r="Q57" s="47" t="n">
        <f aca="false">IF(J57="","",MIN(1,J57+1.96*O57/100))</f>
        <v>0.56495664897249</v>
      </c>
      <c r="R57" s="32" t="str">
        <f aca="false">IF(L57="","",IF(ABS(L57)&lt;=O57,"Yes","No"))</f>
        <v>Yes</v>
      </c>
      <c r="S57" s="32" t="str">
        <f aca="false">IF(L57="","",IF(ABS(L57)&lt;=1.96*O57,"Yes","No"))</f>
        <v>Yes</v>
      </c>
      <c r="T57" s="66" t="n">
        <f aca="false">IF(D57="","",ROUND(SQRT(((D57+G57)*O57/100)^2+(J57*(D57+G57)*0.02225)^2),0))</f>
        <v>238</v>
      </c>
      <c r="U57" s="32"/>
    </row>
    <row r="58" customFormat="false" ht="15" hidden="false" customHeight="false" outlineLevel="0" collapsed="false">
      <c r="A58" s="32" t="s">
        <v>249</v>
      </c>
      <c r="B58" s="32" t="s">
        <v>254</v>
      </c>
      <c r="C58" s="32" t="s">
        <v>191</v>
      </c>
      <c r="D58" s="66" t="n">
        <v>1419</v>
      </c>
      <c r="E58" s="66" t="n">
        <v>1737</v>
      </c>
      <c r="F58" s="77" t="n">
        <f aca="false">IF(E58="","",D58-E58)</f>
        <v>-318</v>
      </c>
      <c r="G58" s="66" t="n">
        <v>2423</v>
      </c>
      <c r="H58" s="66" t="n">
        <v>2662</v>
      </c>
      <c r="I58" s="77" t="n">
        <f aca="false">IF(H58="","",G58-H58)</f>
        <v>-239</v>
      </c>
      <c r="J58" s="47" t="n">
        <f aca="false">IF(OR(D58="",D58+G58=0),"",D58/(D58+G58))</f>
        <v>0.369338885996877</v>
      </c>
      <c r="K58" s="47" t="n">
        <f aca="false">IF(E58="","",E58/(E58+H58))</f>
        <v>0.394862468742896</v>
      </c>
      <c r="L58" s="78" t="n">
        <f aca="false">IF(OR(K58="",J58=""),"",(J58-K58)*100)</f>
        <v>-2.55235827460195</v>
      </c>
      <c r="M58" s="36" t="n">
        <v>1.24497174563071</v>
      </c>
      <c r="N58" s="36" t="n">
        <v>1.24848469443204</v>
      </c>
      <c r="O58" s="36" t="n">
        <f aca="false">SQRT(M58^2+N58^2)</f>
        <v>1.76314170719481</v>
      </c>
      <c r="P58" s="47" t="n">
        <f aca="false">IF(J58="","",MAX(0,J58-1.96*O58/100))</f>
        <v>0.334781308535858</v>
      </c>
      <c r="Q58" s="47" t="n">
        <f aca="false">IF(J58="","",MIN(1,J58+1.96*O58/100))</f>
        <v>0.403896463457895</v>
      </c>
      <c r="R58" s="32" t="str">
        <f aca="false">IF(L58="","",IF(ABS(L58)&lt;=O58,"Yes","No"))</f>
        <v>No</v>
      </c>
      <c r="S58" s="32" t="str">
        <f aca="false">IF(L58="","",IF(ABS(L58)&lt;=1.96*O58,"Yes","No"))</f>
        <v>Yes</v>
      </c>
      <c r="T58" s="66" t="n">
        <f aca="false">IF(D58="","",ROUND(SQRT(((D58+G58)*O58/100)^2+(J58*(D58+G58)*0.02225)^2),0))</f>
        <v>75</v>
      </c>
      <c r="U58" s="32"/>
    </row>
    <row r="59" customFormat="false" ht="15" hidden="false" customHeight="false" outlineLevel="0" collapsed="false">
      <c r="A59" s="32" t="s">
        <v>249</v>
      </c>
      <c r="B59" s="32" t="s">
        <v>255</v>
      </c>
      <c r="C59" s="32" t="s">
        <v>191</v>
      </c>
      <c r="D59" s="66" t="n">
        <v>25</v>
      </c>
      <c r="E59" s="66" t="n">
        <v>31</v>
      </c>
      <c r="F59" s="77" t="n">
        <f aca="false">IF(E59="","",D59-E59)</f>
        <v>-6</v>
      </c>
      <c r="G59" s="66" t="n">
        <v>43</v>
      </c>
      <c r="H59" s="66" t="n">
        <v>55</v>
      </c>
      <c r="I59" s="77" t="n">
        <f aca="false">IF(H59="","",G59-H59)</f>
        <v>-12</v>
      </c>
      <c r="J59" s="47" t="n">
        <f aca="false">IF(OR(D59="",D59+G59=0),"",D59/(D59+G59))</f>
        <v>0.367647058823529</v>
      </c>
      <c r="K59" s="47" t="n">
        <f aca="false">IF(E59="","",E59/(E59+H59))</f>
        <v>0.36046511627907</v>
      </c>
      <c r="L59" s="78" t="n">
        <f aca="false">IF(OR(K59="",J59=""),"",(J59-K59)*100)</f>
        <v>0.71819425444597</v>
      </c>
      <c r="M59" s="36" t="n">
        <v>2.85482016247941</v>
      </c>
      <c r="N59" s="36" t="n">
        <v>1.24848469443204</v>
      </c>
      <c r="O59" s="36" t="n">
        <f aca="false">SQRT(M59^2+N59^2)</f>
        <v>3.11588064475038</v>
      </c>
      <c r="P59" s="47" t="n">
        <f aca="false">IF(J59="","",MAX(0,J59-1.96*O59/100))</f>
        <v>0.306575798186422</v>
      </c>
      <c r="Q59" s="47" t="n">
        <f aca="false">IF(J59="","",MIN(1,J59+1.96*O59/100))</f>
        <v>0.428718319460637</v>
      </c>
      <c r="R59" s="32" t="str">
        <f aca="false">IF(L59="","",IF(ABS(L59)&lt;=O59,"Yes","No"))</f>
        <v>Yes</v>
      </c>
      <c r="S59" s="32" t="str">
        <f aca="false">IF(L59="","",IF(ABS(L59)&lt;=1.96*O59,"Yes","No"))</f>
        <v>Yes</v>
      </c>
      <c r="T59" s="66" t="n">
        <f aca="false">IF(D59="","",ROUND(SQRT(((D59+G59)*O59/100)^2+(J59*(D59+G59)*0.0534)^2),0))</f>
        <v>3</v>
      </c>
      <c r="U59" s="32"/>
    </row>
    <row r="60" customFormat="false" ht="15" hidden="false" customHeight="false" outlineLevel="0" collapsed="false">
      <c r="A60" s="32" t="s">
        <v>249</v>
      </c>
      <c r="B60" s="32" t="s">
        <v>256</v>
      </c>
      <c r="C60" s="32" t="s">
        <v>191</v>
      </c>
      <c r="D60" s="66" t="n">
        <v>930</v>
      </c>
      <c r="E60" s="66" t="n">
        <v>1109</v>
      </c>
      <c r="F60" s="77" t="n">
        <f aca="false">IF(E60="","",D60-E60)</f>
        <v>-179</v>
      </c>
      <c r="G60" s="66" t="n">
        <v>1333</v>
      </c>
      <c r="H60" s="66" t="n">
        <v>1408</v>
      </c>
      <c r="I60" s="77" t="n">
        <f aca="false">IF(H60="","",G60-H60)</f>
        <v>-75</v>
      </c>
      <c r="J60" s="47" t="n">
        <f aca="false">IF(OR(D60="",D60+G60=0),"",D60/(D60+G60))</f>
        <v>0.410958904109589</v>
      </c>
      <c r="K60" s="47" t="n">
        <f aca="false">IF(E60="","",E60/(E60+H60))</f>
        <v>0.440603893524037</v>
      </c>
      <c r="L60" s="78" t="n">
        <f aca="false">IF(OR(K60="",J60=""),"",(J60-K60)*100)</f>
        <v>-2.96449894144475</v>
      </c>
      <c r="M60" s="36" t="n">
        <v>1.87176133364825</v>
      </c>
      <c r="N60" s="36" t="n">
        <v>1.24848469443204</v>
      </c>
      <c r="O60" s="36" t="n">
        <f aca="false">SQRT(M60^2+N60^2)</f>
        <v>2.2499343373467</v>
      </c>
      <c r="P60" s="47" t="n">
        <f aca="false">IF(J60="","",MAX(0,J60-1.96*O60/100))</f>
        <v>0.366860191097594</v>
      </c>
      <c r="Q60" s="47" t="n">
        <f aca="false">IF(J60="","",MIN(1,J60+1.96*O60/100))</f>
        <v>0.455057617121584</v>
      </c>
      <c r="R60" s="32" t="str">
        <f aca="false">IF(L60="","",IF(ABS(L60)&lt;=O60,"Yes","No"))</f>
        <v>No</v>
      </c>
      <c r="S60" s="32" t="str">
        <f aca="false">IF(L60="","",IF(ABS(L60)&lt;=1.96*O60,"Yes","No"))</f>
        <v>Yes</v>
      </c>
      <c r="T60" s="66" t="n">
        <f aca="false">IF(D60="","",ROUND(SQRT(((D60+G60)*O60/100)^2+(J60*(D60+G60)*0.03811)^2),0))</f>
        <v>62</v>
      </c>
      <c r="U60" s="32"/>
    </row>
    <row r="61" customFormat="false" ht="15" hidden="false" customHeight="false" outlineLevel="0" collapsed="false">
      <c r="A61" s="32" t="s">
        <v>249</v>
      </c>
      <c r="B61" s="32" t="s">
        <v>257</v>
      </c>
      <c r="C61" s="32" t="s">
        <v>191</v>
      </c>
      <c r="D61" s="66" t="n">
        <v>124</v>
      </c>
      <c r="E61" s="66" t="n">
        <v>137</v>
      </c>
      <c r="F61" s="77" t="n">
        <f aca="false">IF(E61="","",D61-E61)</f>
        <v>-13</v>
      </c>
      <c r="G61" s="66" t="n">
        <v>224</v>
      </c>
      <c r="H61" s="66" t="n">
        <v>214</v>
      </c>
      <c r="I61" s="77" t="n">
        <f aca="false">IF(H61="","",G61-H61)</f>
        <v>10</v>
      </c>
      <c r="J61" s="47" t="n">
        <f aca="false">IF(OR(D61="",D61+G61=0),"",D61/(D61+G61))</f>
        <v>0.35632183908046</v>
      </c>
      <c r="K61" s="47" t="n">
        <f aca="false">IF(E61="","",E61/(E61+H61))</f>
        <v>0.39031339031339</v>
      </c>
      <c r="L61" s="78" t="n">
        <f aca="false">IF(OR(K61="",J61=""),"",(J61-K61)*100)</f>
        <v>-3.39915512329305</v>
      </c>
      <c r="M61" s="36" t="n">
        <v>2.85482016247941</v>
      </c>
      <c r="N61" s="36" t="n">
        <v>1.24848469443204</v>
      </c>
      <c r="O61" s="36" t="n">
        <f aca="false">SQRT(M61^2+N61^2)</f>
        <v>3.11588064475038</v>
      </c>
      <c r="P61" s="47" t="n">
        <f aca="false">IF(J61="","",MAX(0,J61-1.96*O61/100))</f>
        <v>0.295250578443352</v>
      </c>
      <c r="Q61" s="47" t="n">
        <f aca="false">IF(J61="","",MIN(1,J61+1.96*O61/100))</f>
        <v>0.417393099717567</v>
      </c>
      <c r="R61" s="32" t="str">
        <f aca="false">IF(L61="","",IF(ABS(L61)&lt;=O61,"Yes","No"))</f>
        <v>No</v>
      </c>
      <c r="S61" s="32" t="str">
        <f aca="false">IF(L61="","",IF(ABS(L61)&lt;=1.96*O61,"Yes","No"))</f>
        <v>Yes</v>
      </c>
      <c r="T61" s="66" t="n">
        <f aca="false">IF(D61="","",ROUND(SQRT(((D61+G61)*O61/100)^2+(J61*(D61+G61)*0.0534)^2),0))</f>
        <v>13</v>
      </c>
      <c r="U61" s="32"/>
    </row>
    <row r="62" customFormat="false" ht="15" hidden="false" customHeight="false" outlineLevel="0" collapsed="false">
      <c r="A62" s="32" t="s">
        <v>249</v>
      </c>
      <c r="B62" s="32" t="s">
        <v>258</v>
      </c>
      <c r="C62" s="32" t="s">
        <v>191</v>
      </c>
      <c r="D62" s="66" t="n">
        <v>5093</v>
      </c>
      <c r="E62" s="66" t="n">
        <v>5210</v>
      </c>
      <c r="F62" s="77" t="n">
        <f aca="false">IF(E62="","",D62-E62)</f>
        <v>-117</v>
      </c>
      <c r="G62" s="66" t="n">
        <v>1857</v>
      </c>
      <c r="H62" s="66" t="n">
        <v>1883</v>
      </c>
      <c r="I62" s="77" t="n">
        <f aca="false">IF(H62="","",G62-H62)</f>
        <v>-26</v>
      </c>
      <c r="J62" s="47" t="n">
        <f aca="false">IF(OR(D62="",D62+G62=0),"",D62/(D62+G62))</f>
        <v>0.732805755395684</v>
      </c>
      <c r="K62" s="47" t="n">
        <f aca="false">IF(E62="","",E62/(E62+H62))</f>
        <v>0.734526998449175</v>
      </c>
      <c r="L62" s="78" t="n">
        <f aca="false">IF(OR(K62="",J62=""),"",(J62-K62)*100)</f>
        <v>-0.172124305349175</v>
      </c>
      <c r="M62" s="36" t="n">
        <v>1.24497174563071</v>
      </c>
      <c r="N62" s="36" t="n">
        <v>1.24848469443204</v>
      </c>
      <c r="O62" s="36" t="n">
        <f aca="false">SQRT(M62^2+N62^2)</f>
        <v>1.76314170719481</v>
      </c>
      <c r="P62" s="47" t="n">
        <f aca="false">IF(J62="","",MAX(0,J62-1.96*O62/100))</f>
        <v>0.698248177934665</v>
      </c>
      <c r="Q62" s="47" t="n">
        <f aca="false">IF(J62="","",MIN(1,J62+1.96*O62/100))</f>
        <v>0.767363332856702</v>
      </c>
      <c r="R62" s="32" t="str">
        <f aca="false">IF(L62="","",IF(ABS(L62)&lt;=O62,"Yes","No"))</f>
        <v>Yes</v>
      </c>
      <c r="S62" s="32" t="str">
        <f aca="false">IF(L62="","",IF(ABS(L62)&lt;=1.96*O62,"Yes","No"))</f>
        <v>Yes</v>
      </c>
      <c r="T62" s="66" t="n">
        <f aca="false">IF(D62="","",ROUND(SQRT(((D62+G62)*O62/100)^2+(J62*(D62+G62)*0.02225)^2),0))</f>
        <v>167</v>
      </c>
      <c r="U62" s="32"/>
    </row>
    <row r="63" customFormat="false" ht="15" hidden="false" customHeight="false" outlineLevel="0" collapsed="false">
      <c r="A63" s="32" t="s">
        <v>249</v>
      </c>
      <c r="B63" s="32" t="s">
        <v>259</v>
      </c>
      <c r="C63" s="32" t="s">
        <v>191</v>
      </c>
      <c r="D63" s="66" t="n">
        <v>3842</v>
      </c>
      <c r="E63" s="66" t="n">
        <v>4158</v>
      </c>
      <c r="F63" s="77" t="n">
        <f aca="false">IF(E63="","",D63-E63)</f>
        <v>-316</v>
      </c>
      <c r="G63" s="66" t="n">
        <v>3413</v>
      </c>
      <c r="H63" s="66" t="n">
        <v>3782</v>
      </c>
      <c r="I63" s="77" t="n">
        <f aca="false">IF(H63="","",G63-H63)</f>
        <v>-369</v>
      </c>
      <c r="J63" s="47" t="n">
        <f aca="false">IF(OR(D63="",D63+G63=0),"",D63/(D63+G63))</f>
        <v>0.529565816678153</v>
      </c>
      <c r="K63" s="47" t="n">
        <f aca="false">IF(E63="","",E63/(E63+H63))</f>
        <v>0.52367758186398</v>
      </c>
      <c r="L63" s="78" t="n">
        <f aca="false">IF(OR(K63="",J63=""),"",(J63-K63)*100)</f>
        <v>0.588823481417311</v>
      </c>
      <c r="M63" s="36" t="n">
        <v>1.24497174563071</v>
      </c>
      <c r="N63" s="36" t="n">
        <v>1.24848469443204</v>
      </c>
      <c r="O63" s="36" t="n">
        <f aca="false">SQRT(M63^2+N63^2)</f>
        <v>1.76314170719481</v>
      </c>
      <c r="P63" s="47" t="n">
        <f aca="false">IF(J63="","",MAX(0,J63-1.96*O63/100))</f>
        <v>0.495008239217135</v>
      </c>
      <c r="Q63" s="47" t="n">
        <f aca="false">IF(J63="","",MIN(1,J63+1.96*O63/100))</f>
        <v>0.564123394139171</v>
      </c>
      <c r="R63" s="32" t="str">
        <f aca="false">IF(L63="","",IF(ABS(L63)&lt;=O63,"Yes","No"))</f>
        <v>Yes</v>
      </c>
      <c r="S63" s="32" t="str">
        <f aca="false">IF(L63="","",IF(ABS(L63)&lt;=1.96*O63,"Yes","No"))</f>
        <v>Yes</v>
      </c>
      <c r="T63" s="66" t="n">
        <f aca="false">IF(D63="","",ROUND(SQRT(((D63+G63)*O63/100)^2+(J63*(D63+G63)*0.02225)^2),0))</f>
        <v>154</v>
      </c>
      <c r="U63" s="32"/>
    </row>
    <row r="64" customFormat="false" ht="15" hidden="false" customHeight="false" outlineLevel="0" collapsed="false">
      <c r="A64" s="32" t="s">
        <v>249</v>
      </c>
      <c r="B64" s="32" t="s">
        <v>260</v>
      </c>
      <c r="C64" s="32" t="s">
        <v>191</v>
      </c>
      <c r="D64" s="66" t="n">
        <v>544</v>
      </c>
      <c r="E64" s="66" t="n">
        <v>480</v>
      </c>
      <c r="F64" s="77" t="n">
        <f aca="false">IF(E64="","",D64-E64)</f>
        <v>64</v>
      </c>
      <c r="G64" s="66" t="n">
        <v>287</v>
      </c>
      <c r="H64" s="66" t="n">
        <v>330</v>
      </c>
      <c r="I64" s="77" t="n">
        <f aca="false">IF(H64="","",G64-H64)</f>
        <v>-43</v>
      </c>
      <c r="J64" s="47" t="n">
        <f aca="false">IF(OR(D64="",D64+G64=0),"",D64/(D64+G64))</f>
        <v>0.654632972322503</v>
      </c>
      <c r="K64" s="47" t="n">
        <f aca="false">IF(E64="","",E64/(E64+H64))</f>
        <v>0.592592592592593</v>
      </c>
      <c r="L64" s="78" t="n">
        <f aca="false">IF(OR(K64="",J64=""),"",(J64-K64)*100)</f>
        <v>6.20403797299105</v>
      </c>
      <c r="M64" s="36" t="n">
        <v>2.85482016247941</v>
      </c>
      <c r="N64" s="36" t="n">
        <v>1.24848469443204</v>
      </c>
      <c r="O64" s="36" t="n">
        <f aca="false">SQRT(M64^2+N64^2)</f>
        <v>3.11588064475038</v>
      </c>
      <c r="P64" s="47" t="n">
        <f aca="false">IF(J64="","",MAX(0,J64-1.96*O64/100))</f>
        <v>0.593561711685396</v>
      </c>
      <c r="Q64" s="47" t="n">
        <f aca="false">IF(J64="","",MIN(1,J64+1.96*O64/100))</f>
        <v>0.715704232959611</v>
      </c>
      <c r="R64" s="32" t="str">
        <f aca="false">IF(L64="","",IF(ABS(L64)&lt;=O64,"Yes","No"))</f>
        <v>No</v>
      </c>
      <c r="S64" s="32" t="str">
        <f aca="false">IF(L64="","",IF(ABS(L64)&lt;=1.96*O64,"Yes","No"))</f>
        <v>No</v>
      </c>
      <c r="T64" s="66" t="n">
        <f aca="false">IF(D64="","",ROUND(SQRT(((D64+G64)*O64/100)^2+(J64*(D64+G64)*0.0534)^2),0))</f>
        <v>39</v>
      </c>
      <c r="U64" s="32"/>
    </row>
    <row r="65" customFormat="false" ht="15" hidden="false" customHeight="false" outlineLevel="0" collapsed="false">
      <c r="A65" s="32" t="s">
        <v>249</v>
      </c>
      <c r="B65" s="32" t="s">
        <v>261</v>
      </c>
      <c r="C65" s="32" t="s">
        <v>191</v>
      </c>
      <c r="D65" s="66" t="n">
        <v>70</v>
      </c>
      <c r="E65" s="66" t="n">
        <v>72</v>
      </c>
      <c r="F65" s="77" t="n">
        <f aca="false">IF(E65="","",D65-E65)</f>
        <v>-2</v>
      </c>
      <c r="G65" s="66" t="n">
        <v>58</v>
      </c>
      <c r="H65" s="66" t="n">
        <v>69</v>
      </c>
      <c r="I65" s="77" t="n">
        <f aca="false">IF(H65="","",G65-H65)</f>
        <v>-11</v>
      </c>
      <c r="J65" s="47" t="n">
        <f aca="false">IF(OR(D65="",D65+G65=0),"",D65/(D65+G65))</f>
        <v>0.546875</v>
      </c>
      <c r="K65" s="47" t="n">
        <f aca="false">IF(E65="","",E65/(E65+H65))</f>
        <v>0.51063829787234</v>
      </c>
      <c r="L65" s="78" t="n">
        <f aca="false">IF(OR(K65="",J65=""),"",(J65-K65)*100)</f>
        <v>3.62367021276596</v>
      </c>
      <c r="M65" s="36" t="n">
        <v>2.85482016247941</v>
      </c>
      <c r="N65" s="36" t="n">
        <v>1.24848469443204</v>
      </c>
      <c r="O65" s="36" t="n">
        <f aca="false">SQRT(M65^2+N65^2)</f>
        <v>3.11588064475038</v>
      </c>
      <c r="P65" s="47" t="n">
        <f aca="false">IF(J65="","",MAX(0,J65-1.96*O65/100))</f>
        <v>0.485803739362893</v>
      </c>
      <c r="Q65" s="47" t="n">
        <f aca="false">IF(J65="","",MIN(1,J65+1.96*O65/100))</f>
        <v>0.607946260637107</v>
      </c>
      <c r="R65" s="32" t="str">
        <f aca="false">IF(L65="","",IF(ABS(L65)&lt;=O65,"Yes","No"))</f>
        <v>No</v>
      </c>
      <c r="S65" s="32" t="str">
        <f aca="false">IF(L65="","",IF(ABS(L65)&lt;=1.96*O65,"Yes","No"))</f>
        <v>Yes</v>
      </c>
      <c r="T65" s="66" t="n">
        <f aca="false">IF(D65="","",ROUND(SQRT(((D65+G65)*O65/100)^2+(J65*(D65+G65)*0.0534)^2),0))</f>
        <v>5</v>
      </c>
      <c r="U65" s="32"/>
    </row>
    <row r="66" customFormat="false" ht="15" hidden="false" customHeight="false" outlineLevel="0" collapsed="false">
      <c r="A66" s="32" t="s">
        <v>249</v>
      </c>
      <c r="B66" s="32" t="s">
        <v>228</v>
      </c>
      <c r="C66" s="32" t="s">
        <v>191</v>
      </c>
      <c r="D66" s="66" t="n">
        <v>3206</v>
      </c>
      <c r="E66" s="66" t="n">
        <v>3570</v>
      </c>
      <c r="F66" s="77" t="n">
        <f aca="false">IF(E66="","",D66-E66)</f>
        <v>-364</v>
      </c>
      <c r="G66" s="66" t="n">
        <v>2798</v>
      </c>
      <c r="H66" s="66" t="n">
        <v>2883</v>
      </c>
      <c r="I66" s="77" t="n">
        <f aca="false">IF(H66="","",G66-H66)</f>
        <v>-85</v>
      </c>
      <c r="J66" s="47" t="n">
        <f aca="false">IF(OR(D66="",D66+G66=0),"",D66/(D66+G66))</f>
        <v>0.533977348434377</v>
      </c>
      <c r="K66" s="47" t="n">
        <f aca="false">IF(E66="","",E66/(E66+H66))</f>
        <v>0.553231055323106</v>
      </c>
      <c r="L66" s="78" t="n">
        <f aca="false">IF(OR(K66="",J66=""),"",(J66-K66)*100)</f>
        <v>-1.92537068887285</v>
      </c>
      <c r="M66" s="36" t="n">
        <v>1.24497174563071</v>
      </c>
      <c r="N66" s="36" t="n">
        <v>1.24848469443204</v>
      </c>
      <c r="O66" s="36" t="n">
        <f aca="false">SQRT(M66^2+N66^2)</f>
        <v>1.76314170719481</v>
      </c>
      <c r="P66" s="47" t="n">
        <f aca="false">IF(J66="","",MAX(0,J66-1.96*O66/100))</f>
        <v>0.499419770973359</v>
      </c>
      <c r="Q66" s="47" t="n">
        <f aca="false">IF(J66="","",MIN(1,J66+1.96*O66/100))</f>
        <v>0.568534925895395</v>
      </c>
      <c r="R66" s="32" t="str">
        <f aca="false">IF(L66="","",IF(ABS(L66)&lt;=O66,"Yes","No"))</f>
        <v>No</v>
      </c>
      <c r="S66" s="32" t="str">
        <f aca="false">IF(L66="","",IF(ABS(L66)&lt;=1.96*O66,"Yes","No"))</f>
        <v>Yes</v>
      </c>
      <c r="T66" s="66" t="n">
        <f aca="false">IF(D66="","",ROUND(SQRT(((D66+G66)*O66/100)^2+(J66*(D66+G66)*0.02225)^2),0))</f>
        <v>128</v>
      </c>
      <c r="U66" s="32"/>
    </row>
    <row r="67" customFormat="false" ht="15" hidden="false" customHeight="false" outlineLevel="0" collapsed="false">
      <c r="A67" s="32" t="s">
        <v>249</v>
      </c>
      <c r="B67" s="32" t="s">
        <v>262</v>
      </c>
      <c r="C67" s="32" t="s">
        <v>191</v>
      </c>
      <c r="D67" s="66" t="n">
        <v>1273</v>
      </c>
      <c r="E67" s="66" t="n">
        <v>1372</v>
      </c>
      <c r="F67" s="77" t="n">
        <f aca="false">IF(E67="","",D67-E67)</f>
        <v>-99</v>
      </c>
      <c r="G67" s="66" t="n">
        <v>1150</v>
      </c>
      <c r="H67" s="66" t="n">
        <v>1201</v>
      </c>
      <c r="I67" s="77" t="n">
        <f aca="false">IF(H67="","",G67-H67)</f>
        <v>-51</v>
      </c>
      <c r="J67" s="47" t="n">
        <f aca="false">IF(OR(D67="",D67+G67=0),"",D67/(D67+G67))</f>
        <v>0.525381758151052</v>
      </c>
      <c r="K67" s="47" t="n">
        <f aca="false">IF(E67="","",E67/(E67+H67))</f>
        <v>0.53322969296541</v>
      </c>
      <c r="L67" s="78" t="n">
        <f aca="false">IF(OR(K67="",J67=""),"",(J67-K67)*100)</f>
        <v>-0.784793481435764</v>
      </c>
      <c r="M67" s="36" t="n">
        <v>1.87176133364825</v>
      </c>
      <c r="N67" s="36" t="n">
        <v>1.24848469443204</v>
      </c>
      <c r="O67" s="36" t="n">
        <f aca="false">SQRT(M67^2+N67^2)</f>
        <v>2.2499343373467</v>
      </c>
      <c r="P67" s="47" t="n">
        <f aca="false">IF(J67="","",MAX(0,J67-1.96*O67/100))</f>
        <v>0.481283045139057</v>
      </c>
      <c r="Q67" s="47" t="n">
        <f aca="false">IF(J67="","",MIN(1,J67+1.96*O67/100))</f>
        <v>0.569480471163048</v>
      </c>
      <c r="R67" s="32" t="str">
        <f aca="false">IF(L67="","",IF(ABS(L67)&lt;=O67,"Yes","No"))</f>
        <v>Yes</v>
      </c>
      <c r="S67" s="32" t="str">
        <f aca="false">IF(L67="","",IF(ABS(L67)&lt;=1.96*O67,"Yes","No"))</f>
        <v>Yes</v>
      </c>
      <c r="T67" s="66" t="n">
        <f aca="false">IF(D67="","",ROUND(SQRT(((D67+G67)*O67/100)^2+(J67*(D67+G67)*0.03811)^2),0))</f>
        <v>73</v>
      </c>
      <c r="U67" s="32"/>
    </row>
    <row r="68" customFormat="false" ht="15" hidden="false" customHeight="false" outlineLevel="0" collapsed="false">
      <c r="A68" s="32" t="s">
        <v>249</v>
      </c>
      <c r="B68" s="32" t="s">
        <v>263</v>
      </c>
      <c r="C68" s="32" t="s">
        <v>191</v>
      </c>
      <c r="D68" s="66" t="n">
        <v>1536</v>
      </c>
      <c r="E68" s="66" t="n">
        <v>1803</v>
      </c>
      <c r="F68" s="77" t="n">
        <f aca="false">IF(E68="","",D68-E68)</f>
        <v>-267</v>
      </c>
      <c r="G68" s="66" t="n">
        <v>3053</v>
      </c>
      <c r="H68" s="66" t="n">
        <v>3303</v>
      </c>
      <c r="I68" s="77" t="n">
        <f aca="false">IF(H68="","",G68-H68)</f>
        <v>-250</v>
      </c>
      <c r="J68" s="47" t="n">
        <f aca="false">IF(OR(D68="",D68+G68=0),"",D68/(D68+G68))</f>
        <v>0.334713445195032</v>
      </c>
      <c r="K68" s="47" t="n">
        <f aca="false">IF(E68="","",E68/(E68+H68))</f>
        <v>0.353113983548766</v>
      </c>
      <c r="L68" s="78" t="n">
        <f aca="false">IF(OR(K68="",J68=""),"",(J68-K68)*100)</f>
        <v>-1.84005383537346</v>
      </c>
      <c r="M68" s="36" t="n">
        <v>1.24497174563071</v>
      </c>
      <c r="N68" s="36" t="n">
        <v>1.24848469443204</v>
      </c>
      <c r="O68" s="36" t="n">
        <f aca="false">SQRT(M68^2+N68^2)</f>
        <v>1.76314170719481</v>
      </c>
      <c r="P68" s="47" t="n">
        <f aca="false">IF(J68="","",MAX(0,J68-1.96*O68/100))</f>
        <v>0.300155867734013</v>
      </c>
      <c r="Q68" s="47" t="n">
        <f aca="false">IF(J68="","",MIN(1,J68+1.96*O68/100))</f>
        <v>0.36927102265605</v>
      </c>
      <c r="R68" s="32" t="str">
        <f aca="false">IF(L68="","",IF(ABS(L68)&lt;=O68,"Yes","No"))</f>
        <v>No</v>
      </c>
      <c r="S68" s="32" t="str">
        <f aca="false">IF(L68="","",IF(ABS(L68)&lt;=1.96*O68,"Yes","No"))</f>
        <v>Yes</v>
      </c>
      <c r="T68" s="66" t="n">
        <f aca="false">IF(D68="","",ROUND(SQRT(((D68+G68)*O68/100)^2+(J68*(D68+G68)*0.02225)^2),0))</f>
        <v>88</v>
      </c>
      <c r="U68" s="32"/>
    </row>
    <row r="69" customFormat="false" ht="15" hidden="false" customHeight="false" outlineLevel="0" collapsed="false">
      <c r="A69" s="32" t="s">
        <v>249</v>
      </c>
      <c r="B69" s="32" t="s">
        <v>264</v>
      </c>
      <c r="C69" s="32" t="s">
        <v>191</v>
      </c>
      <c r="D69" s="66" t="n">
        <v>429</v>
      </c>
      <c r="E69" s="66" t="n">
        <v>511</v>
      </c>
      <c r="F69" s="77" t="n">
        <f aca="false">IF(E69="","",D69-E69)</f>
        <v>-82</v>
      </c>
      <c r="G69" s="66" t="n">
        <v>781</v>
      </c>
      <c r="H69" s="66" t="n">
        <v>889</v>
      </c>
      <c r="I69" s="77" t="n">
        <f aca="false">IF(H69="","",G69-H69)</f>
        <v>-108</v>
      </c>
      <c r="J69" s="47" t="n">
        <f aca="false">IF(OR(D69="",D69+G69=0),"",D69/(D69+G69))</f>
        <v>0.354545454545455</v>
      </c>
      <c r="K69" s="47" t="n">
        <f aca="false">IF(E69="","",E69/(E69+H69))</f>
        <v>0.365</v>
      </c>
      <c r="L69" s="78" t="n">
        <f aca="false">IF(OR(K69="",J69=""),"",(J69-K69)*100)</f>
        <v>-1.04545454545454</v>
      </c>
      <c r="M69" s="36" t="n">
        <v>1.87176133364825</v>
      </c>
      <c r="N69" s="36" t="n">
        <v>1.24848469443204</v>
      </c>
      <c r="O69" s="36" t="n">
        <f aca="false">SQRT(M69^2+N69^2)</f>
        <v>2.2499343373467</v>
      </c>
      <c r="P69" s="47" t="n">
        <f aca="false">IF(J69="","",MAX(0,J69-1.96*O69/100))</f>
        <v>0.310446741533459</v>
      </c>
      <c r="Q69" s="47" t="n">
        <f aca="false">IF(J69="","",MIN(1,J69+1.96*O69/100))</f>
        <v>0.39864416755745</v>
      </c>
      <c r="R69" s="32" t="str">
        <f aca="false">IF(L69="","",IF(ABS(L69)&lt;=O69,"Yes","No"))</f>
        <v>Yes</v>
      </c>
      <c r="S69" s="32" t="str">
        <f aca="false">IF(L69="","",IF(ABS(L69)&lt;=1.96*O69,"Yes","No"))</f>
        <v>Yes</v>
      </c>
      <c r="T69" s="66" t="n">
        <f aca="false">IF(D69="","",ROUND(SQRT(((D69+G69)*O69/100)^2+(J69*(D69+G69)*0.03811)^2),0))</f>
        <v>32</v>
      </c>
      <c r="U69" s="32"/>
    </row>
    <row r="70" customFormat="false" ht="15" hidden="false" customHeight="false" outlineLevel="0" collapsed="false">
      <c r="A70" s="32" t="s">
        <v>249</v>
      </c>
      <c r="B70" s="32" t="s">
        <v>265</v>
      </c>
      <c r="C70" s="32" t="s">
        <v>191</v>
      </c>
      <c r="D70" s="66" t="n">
        <v>1426</v>
      </c>
      <c r="E70" s="66" t="n">
        <v>1632</v>
      </c>
      <c r="F70" s="77" t="n">
        <f aca="false">IF(E70="","",D70-E70)</f>
        <v>-206</v>
      </c>
      <c r="G70" s="66" t="n">
        <v>1920</v>
      </c>
      <c r="H70" s="66" t="n">
        <v>2067</v>
      </c>
      <c r="I70" s="77" t="n">
        <f aca="false">IF(H70="","",G70-H70)</f>
        <v>-147</v>
      </c>
      <c r="J70" s="47" t="n">
        <f aca="false">IF(OR(D70="",D70+G70=0),"",D70/(D70+G70))</f>
        <v>0.426180514046623</v>
      </c>
      <c r="K70" s="47" t="n">
        <f aca="false">IF(E70="","",E70/(E70+H70))</f>
        <v>0.441200324412003</v>
      </c>
      <c r="L70" s="78" t="n">
        <f aca="false">IF(OR(K70="",J70=""),"",(J70-K70)*100)</f>
        <v>-1.50198103653804</v>
      </c>
      <c r="M70" s="36" t="n">
        <v>1.24497174563071</v>
      </c>
      <c r="N70" s="36" t="n">
        <v>1.24848469443204</v>
      </c>
      <c r="O70" s="36" t="n">
        <f aca="false">SQRT(M70^2+N70^2)</f>
        <v>1.76314170719481</v>
      </c>
      <c r="P70" s="47" t="n">
        <f aca="false">IF(J70="","",MAX(0,J70-1.96*O70/100))</f>
        <v>0.391622936585605</v>
      </c>
      <c r="Q70" s="47" t="n">
        <f aca="false">IF(J70="","",MIN(1,J70+1.96*O70/100))</f>
        <v>0.460738091507641</v>
      </c>
      <c r="R70" s="32" t="str">
        <f aca="false">IF(L70="","",IF(ABS(L70)&lt;=O70,"Yes","No"))</f>
        <v>Yes</v>
      </c>
      <c r="S70" s="32" t="str">
        <f aca="false">IF(L70="","",IF(ABS(L70)&lt;=1.96*O70,"Yes","No"))</f>
        <v>Yes</v>
      </c>
      <c r="T70" s="66" t="n">
        <f aca="false">IF(D70="","",ROUND(SQRT(((D70+G70)*O70/100)^2+(J70*(D70+G70)*0.02225)^2),0))</f>
        <v>67</v>
      </c>
      <c r="U70" s="32"/>
    </row>
    <row r="71" customFormat="false" ht="15" hidden="false" customHeight="false" outlineLevel="0" collapsed="false">
      <c r="A71" s="32" t="s">
        <v>249</v>
      </c>
      <c r="B71" s="32" t="s">
        <v>266</v>
      </c>
      <c r="C71" s="32" t="s">
        <v>191</v>
      </c>
      <c r="D71" s="66" t="n">
        <v>2582</v>
      </c>
      <c r="E71" s="66" t="n">
        <v>2919</v>
      </c>
      <c r="F71" s="77" t="n">
        <f aca="false">IF(E71="","",D71-E71)</f>
        <v>-337</v>
      </c>
      <c r="G71" s="66" t="n">
        <v>2872</v>
      </c>
      <c r="H71" s="66" t="n">
        <v>3008</v>
      </c>
      <c r="I71" s="77" t="n">
        <f aca="false">IF(H71="","",G71-H71)</f>
        <v>-136</v>
      </c>
      <c r="J71" s="47" t="n">
        <f aca="false">IF(OR(D71="",D71+G71=0),"",D71/(D71+G71))</f>
        <v>0.473414008067473</v>
      </c>
      <c r="K71" s="47" t="n">
        <f aca="false">IF(E71="","",E71/(E71+H71))</f>
        <v>0.492491985827569</v>
      </c>
      <c r="L71" s="78" t="n">
        <f aca="false">IF(OR(K71="",J71=""),"",(J71-K71)*100)</f>
        <v>-1.90779777600953</v>
      </c>
      <c r="M71" s="36" t="n">
        <v>1.24497174563071</v>
      </c>
      <c r="N71" s="36" t="n">
        <v>1.24848469443204</v>
      </c>
      <c r="O71" s="36" t="n">
        <f aca="false">SQRT(M71^2+N71^2)</f>
        <v>1.76314170719481</v>
      </c>
      <c r="P71" s="47" t="n">
        <f aca="false">IF(J71="","",MAX(0,J71-1.96*O71/100))</f>
        <v>0.438856430606455</v>
      </c>
      <c r="Q71" s="47" t="n">
        <f aca="false">IF(J71="","",MIN(1,J71+1.96*O71/100))</f>
        <v>0.507971585528492</v>
      </c>
      <c r="R71" s="32" t="str">
        <f aca="false">IF(L71="","",IF(ABS(L71)&lt;=O71,"Yes","No"))</f>
        <v>No</v>
      </c>
      <c r="S71" s="32" t="str">
        <f aca="false">IF(L71="","",IF(ABS(L71)&lt;=1.96*O71,"Yes","No"))</f>
        <v>Yes</v>
      </c>
      <c r="T71" s="66" t="n">
        <f aca="false">IF(D71="","",ROUND(SQRT(((D71+G71)*O71/100)^2+(J71*(D71+G71)*0.02225)^2),0))</f>
        <v>112</v>
      </c>
      <c r="U71" s="32"/>
    </row>
    <row r="72" customFormat="false" ht="15" hidden="false" customHeight="false" outlineLevel="0" collapsed="false">
      <c r="A72" s="32" t="s">
        <v>249</v>
      </c>
      <c r="B72" s="32" t="s">
        <v>267</v>
      </c>
      <c r="C72" s="32" t="s">
        <v>191</v>
      </c>
      <c r="D72" s="66" t="n">
        <v>1419</v>
      </c>
      <c r="E72" s="66" t="n">
        <v>1661</v>
      </c>
      <c r="F72" s="77" t="n">
        <f aca="false">IF(E72="","",D72-E72)</f>
        <v>-242</v>
      </c>
      <c r="G72" s="66" t="n">
        <v>2855</v>
      </c>
      <c r="H72" s="66" t="n">
        <v>3091</v>
      </c>
      <c r="I72" s="77" t="n">
        <f aca="false">IF(H72="","",G72-H72)</f>
        <v>-236</v>
      </c>
      <c r="J72" s="47" t="n">
        <f aca="false">IF(OR(D72="",D72+G72=0),"",D72/(D72+G72))</f>
        <v>0.332007487131493</v>
      </c>
      <c r="K72" s="47" t="n">
        <f aca="false">IF(E72="","",E72/(E72+H72))</f>
        <v>0.349537037037037</v>
      </c>
      <c r="L72" s="78" t="n">
        <f aca="false">IF(OR(K72="",J72=""),"",(J72-K72)*100)</f>
        <v>-1.75295499055443</v>
      </c>
      <c r="M72" s="36" t="n">
        <v>1.24497174563071</v>
      </c>
      <c r="N72" s="36" t="n">
        <v>1.24848469443204</v>
      </c>
      <c r="O72" s="36" t="n">
        <f aca="false">SQRT(M72^2+N72^2)</f>
        <v>1.76314170719481</v>
      </c>
      <c r="P72" s="47" t="n">
        <f aca="false">IF(J72="","",MAX(0,J72-1.96*O72/100))</f>
        <v>0.297449909670474</v>
      </c>
      <c r="Q72" s="47" t="n">
        <f aca="false">IF(J72="","",MIN(1,J72+1.96*O72/100))</f>
        <v>0.366565064592511</v>
      </c>
      <c r="R72" s="32" t="str">
        <f aca="false">IF(L72="","",IF(ABS(L72)&lt;=O72,"Yes","No"))</f>
        <v>Yes</v>
      </c>
      <c r="S72" s="32" t="str">
        <f aca="false">IF(L72="","",IF(ABS(L72)&lt;=1.96*O72,"Yes","No"))</f>
        <v>Yes</v>
      </c>
      <c r="T72" s="66" t="n">
        <f aca="false">IF(D72="","",ROUND(SQRT(((D72+G72)*O72/100)^2+(J72*(D72+G72)*0.02225)^2),0))</f>
        <v>82</v>
      </c>
      <c r="U72" s="32"/>
    </row>
    <row r="73" customFormat="false" ht="15" hidden="false" customHeight="false" outlineLevel="0" collapsed="false">
      <c r="A73" s="32" t="s">
        <v>249</v>
      </c>
      <c r="B73" s="32" t="s">
        <v>268</v>
      </c>
      <c r="C73" s="32" t="s">
        <v>191</v>
      </c>
      <c r="D73" s="66" t="n">
        <v>1082</v>
      </c>
      <c r="E73" s="66" t="n">
        <v>1272</v>
      </c>
      <c r="F73" s="77" t="n">
        <f aca="false">IF(E73="","",D73-E73)</f>
        <v>-190</v>
      </c>
      <c r="G73" s="66" t="n">
        <v>1144</v>
      </c>
      <c r="H73" s="66" t="n">
        <v>1188</v>
      </c>
      <c r="I73" s="77" t="n">
        <f aca="false">IF(H73="","",G73-H73)</f>
        <v>-44</v>
      </c>
      <c r="J73" s="47" t="n">
        <f aca="false">IF(OR(D73="",D73+G73=0),"",D73/(D73+G73))</f>
        <v>0.48607367475292</v>
      </c>
      <c r="K73" s="47" t="n">
        <f aca="false">IF(E73="","",E73/(E73+H73))</f>
        <v>0.517073170731707</v>
      </c>
      <c r="L73" s="78" t="n">
        <f aca="false">IF(OR(K73="",J73=""),"",(J73-K73)*100)</f>
        <v>-3.09994959787873</v>
      </c>
      <c r="M73" s="36" t="n">
        <v>1.87176133364825</v>
      </c>
      <c r="N73" s="36" t="n">
        <v>1.24848469443204</v>
      </c>
      <c r="O73" s="36" t="n">
        <f aca="false">SQRT(M73^2+N73^2)</f>
        <v>2.2499343373467</v>
      </c>
      <c r="P73" s="47" t="n">
        <f aca="false">IF(J73="","",MAX(0,J73-1.96*O73/100))</f>
        <v>0.441974961740925</v>
      </c>
      <c r="Q73" s="47" t="n">
        <f aca="false">IF(J73="","",MIN(1,J73+1.96*O73/100))</f>
        <v>0.530172387764915</v>
      </c>
      <c r="R73" s="32" t="str">
        <f aca="false">IF(L73="","",IF(ABS(L73)&lt;=O73,"Yes","No"))</f>
        <v>No</v>
      </c>
      <c r="S73" s="32" t="str">
        <f aca="false">IF(L73="","",IF(ABS(L73)&lt;=1.96*O73,"Yes","No"))</f>
        <v>Yes</v>
      </c>
      <c r="T73" s="66" t="n">
        <f aca="false">IF(D73="","",ROUND(SQRT(((D73+G73)*O73/100)^2+(J73*(D73+G73)*0.03811)^2),0))</f>
        <v>65</v>
      </c>
      <c r="U73" s="32"/>
    </row>
    <row r="74" customFormat="false" ht="15" hidden="false" customHeight="false" outlineLevel="0" collapsed="false">
      <c r="A74" s="32" t="s">
        <v>249</v>
      </c>
      <c r="B74" s="32" t="s">
        <v>269</v>
      </c>
      <c r="C74" s="32" t="s">
        <v>191</v>
      </c>
      <c r="D74" s="66" t="n">
        <v>557</v>
      </c>
      <c r="E74" s="66" t="n">
        <v>644</v>
      </c>
      <c r="F74" s="77" t="n">
        <f aca="false">IF(E74="","",D74-E74)</f>
        <v>-87</v>
      </c>
      <c r="G74" s="66" t="n">
        <v>620</v>
      </c>
      <c r="H74" s="66" t="n">
        <v>634</v>
      </c>
      <c r="I74" s="77" t="n">
        <f aca="false">IF(H74="","",G74-H74)</f>
        <v>-14</v>
      </c>
      <c r="J74" s="47" t="n">
        <f aca="false">IF(OR(D74="",D74+G74=0),"",D74/(D74+G74))</f>
        <v>0.473237043330501</v>
      </c>
      <c r="K74" s="47" t="n">
        <f aca="false">IF(E74="","",E74/(E74+H74))</f>
        <v>0.503912363067293</v>
      </c>
      <c r="L74" s="78" t="n">
        <f aca="false">IF(OR(K74="",J74=""),"",(J74-K74)*100)</f>
        <v>-3.06753197367913</v>
      </c>
      <c r="M74" s="36" t="n">
        <v>1.87176133364825</v>
      </c>
      <c r="N74" s="36" t="n">
        <v>1.24848469443204</v>
      </c>
      <c r="O74" s="36" t="n">
        <f aca="false">SQRT(M74^2+N74^2)</f>
        <v>2.2499343373467</v>
      </c>
      <c r="P74" s="47" t="n">
        <f aca="false">IF(J74="","",MAX(0,J74-1.96*O74/100))</f>
        <v>0.429138330318506</v>
      </c>
      <c r="Q74" s="47" t="n">
        <f aca="false">IF(J74="","",MIN(1,J74+1.96*O74/100))</f>
        <v>0.517335756342497</v>
      </c>
      <c r="R74" s="32" t="str">
        <f aca="false">IF(L74="","",IF(ABS(L74)&lt;=O74,"Yes","No"))</f>
        <v>No</v>
      </c>
      <c r="S74" s="32" t="str">
        <f aca="false">IF(L74="","",IF(ABS(L74)&lt;=1.96*O74,"Yes","No"))</f>
        <v>Yes</v>
      </c>
      <c r="T74" s="66" t="n">
        <f aca="false">IF(D74="","",ROUND(SQRT(((D74+G74)*O74/100)^2+(J74*(D74+G74)*0.03811)^2),0))</f>
        <v>34</v>
      </c>
      <c r="U74" s="32"/>
    </row>
    <row r="75" customFormat="false" ht="15" hidden="false" customHeight="false" outlineLevel="0" collapsed="false">
      <c r="A75" s="32" t="s">
        <v>249</v>
      </c>
      <c r="B75" s="32" t="s">
        <v>270</v>
      </c>
      <c r="C75" s="32" t="s">
        <v>191</v>
      </c>
      <c r="D75" s="66" t="n">
        <v>1700</v>
      </c>
      <c r="E75" s="66" t="n">
        <v>1957</v>
      </c>
      <c r="F75" s="77" t="n">
        <f aca="false">IF(E75="","",D75-E75)</f>
        <v>-257</v>
      </c>
      <c r="G75" s="66" t="n">
        <v>1929</v>
      </c>
      <c r="H75" s="66" t="n">
        <v>1970</v>
      </c>
      <c r="I75" s="77" t="n">
        <f aca="false">IF(H75="","",G75-H75)</f>
        <v>-41</v>
      </c>
      <c r="J75" s="47" t="n">
        <f aca="false">IF(OR(D75="",D75+G75=0),"",D75/(D75+G75))</f>
        <v>0.468448608432075</v>
      </c>
      <c r="K75" s="47" t="n">
        <f aca="false">IF(E75="","",E75/(E75+H75))</f>
        <v>0.49834479246244</v>
      </c>
      <c r="L75" s="78" t="n">
        <f aca="false">IF(OR(K75="",J75=""),"",(J75-K75)*100)</f>
        <v>-2.98961840303645</v>
      </c>
      <c r="M75" s="36" t="n">
        <v>1.24497174563071</v>
      </c>
      <c r="N75" s="36" t="n">
        <v>1.24848469443204</v>
      </c>
      <c r="O75" s="36" t="n">
        <f aca="false">SQRT(M75^2+N75^2)</f>
        <v>1.76314170719481</v>
      </c>
      <c r="P75" s="47" t="n">
        <f aca="false">IF(J75="","",MAX(0,J75-1.96*O75/100))</f>
        <v>0.433891030971057</v>
      </c>
      <c r="Q75" s="47" t="n">
        <f aca="false">IF(J75="","",MIN(1,J75+1.96*O75/100))</f>
        <v>0.503006185893093</v>
      </c>
      <c r="R75" s="32" t="str">
        <f aca="false">IF(L75="","",IF(ABS(L75)&lt;=O75,"Yes","No"))</f>
        <v>No</v>
      </c>
      <c r="S75" s="32" t="str">
        <f aca="false">IF(L75="","",IF(ABS(L75)&lt;=1.96*O75,"Yes","No"))</f>
        <v>Yes</v>
      </c>
      <c r="T75" s="66" t="n">
        <f aca="false">IF(D75="","",ROUND(SQRT(((D75+G75)*O75/100)^2+(J75*(D75+G75)*0.02225)^2),0))</f>
        <v>74</v>
      </c>
      <c r="U75" s="32"/>
    </row>
    <row r="76" customFormat="false" ht="15" hidden="false" customHeight="false" outlineLevel="0" collapsed="false">
      <c r="A76" s="32" t="s">
        <v>249</v>
      </c>
      <c r="B76" s="32" t="s">
        <v>271</v>
      </c>
      <c r="C76" s="32" t="s">
        <v>191</v>
      </c>
      <c r="D76" s="66" t="n">
        <v>5052</v>
      </c>
      <c r="E76" s="66" t="n">
        <v>5403</v>
      </c>
      <c r="F76" s="77" t="n">
        <f aca="false">IF(E76="","",D76-E76)</f>
        <v>-351</v>
      </c>
      <c r="G76" s="66" t="n">
        <v>4625</v>
      </c>
      <c r="H76" s="66" t="n">
        <v>4910</v>
      </c>
      <c r="I76" s="77" t="n">
        <f aca="false">IF(H76="","",G76-H76)</f>
        <v>-285</v>
      </c>
      <c r="J76" s="47" t="n">
        <f aca="false">IF(OR(D76="",D76+G76=0),"",D76/(D76+G76))</f>
        <v>0.522062622713651</v>
      </c>
      <c r="K76" s="47" t="n">
        <f aca="false">IF(E76="","",E76/(E76+H76))</f>
        <v>0.523901871424416</v>
      </c>
      <c r="L76" s="78" t="n">
        <f aca="false">IF(OR(K76="",J76=""),"",(J76-K76)*100)</f>
        <v>-0.183924871076491</v>
      </c>
      <c r="M76" s="36" t="n">
        <v>1.24497174563071</v>
      </c>
      <c r="N76" s="36" t="n">
        <v>1.24848469443204</v>
      </c>
      <c r="O76" s="36" t="n">
        <f aca="false">SQRT(M76^2+N76^2)</f>
        <v>1.76314170719481</v>
      </c>
      <c r="P76" s="47" t="n">
        <f aca="false">IF(J76="","",MAX(0,J76-1.96*O76/100))</f>
        <v>0.487505045252633</v>
      </c>
      <c r="Q76" s="47" t="n">
        <f aca="false">IF(J76="","",MIN(1,J76+1.96*O76/100))</f>
        <v>0.556620200174669</v>
      </c>
      <c r="R76" s="32" t="str">
        <f aca="false">IF(L76="","",IF(ABS(L76)&lt;=O76,"Yes","No"))</f>
        <v>Yes</v>
      </c>
      <c r="S76" s="32" t="str">
        <f aca="false">IF(L76="","",IF(ABS(L76)&lt;=1.96*O76,"Yes","No"))</f>
        <v>Yes</v>
      </c>
      <c r="T76" s="66" t="n">
        <f aca="false">IF(D76="","",ROUND(SQRT(((D76+G76)*O76/100)^2+(J76*(D76+G76)*0.02225)^2),0))</f>
        <v>204</v>
      </c>
      <c r="U76" s="32"/>
    </row>
    <row r="77" customFormat="false" ht="15" hidden="false" customHeight="false" outlineLevel="0" collapsed="false">
      <c r="A77" s="32" t="s">
        <v>249</v>
      </c>
      <c r="B77" s="32" t="s">
        <v>272</v>
      </c>
      <c r="C77" s="32" t="s">
        <v>191</v>
      </c>
      <c r="D77" s="66" t="n">
        <v>471</v>
      </c>
      <c r="E77" s="66" t="n">
        <v>511</v>
      </c>
      <c r="F77" s="77" t="n">
        <f aca="false">IF(E77="","",D77-E77)</f>
        <v>-40</v>
      </c>
      <c r="G77" s="66" t="n">
        <v>734</v>
      </c>
      <c r="H77" s="66" t="n">
        <v>778</v>
      </c>
      <c r="I77" s="77" t="n">
        <f aca="false">IF(H77="","",G77-H77)</f>
        <v>-44</v>
      </c>
      <c r="J77" s="47" t="n">
        <f aca="false">IF(OR(D77="",D77+G77=0),"",D77/(D77+G77))</f>
        <v>0.390871369294606</v>
      </c>
      <c r="K77" s="47" t="n">
        <f aca="false">IF(E77="","",E77/(E77+H77))</f>
        <v>0.396431342125679</v>
      </c>
      <c r="L77" s="78" t="n">
        <f aca="false">IF(OR(K77="",J77=""),"",(J77-K77)*100)</f>
        <v>-0.555997283107301</v>
      </c>
      <c r="M77" s="36" t="n">
        <v>1.87176133364825</v>
      </c>
      <c r="N77" s="36" t="n">
        <v>1.24848469443204</v>
      </c>
      <c r="O77" s="36" t="n">
        <f aca="false">SQRT(M77^2+N77^2)</f>
        <v>2.2499343373467</v>
      </c>
      <c r="P77" s="47" t="n">
        <f aca="false">IF(J77="","",MAX(0,J77-1.96*O77/100))</f>
        <v>0.346772656282611</v>
      </c>
      <c r="Q77" s="47" t="n">
        <f aca="false">IF(J77="","",MIN(1,J77+1.96*O77/100))</f>
        <v>0.434970082306601</v>
      </c>
      <c r="R77" s="32" t="str">
        <f aca="false">IF(L77="","",IF(ABS(L77)&lt;=O77,"Yes","No"))</f>
        <v>Yes</v>
      </c>
      <c r="S77" s="32" t="str">
        <f aca="false">IF(L77="","",IF(ABS(L77)&lt;=1.96*O77,"Yes","No"))</f>
        <v>Yes</v>
      </c>
      <c r="T77" s="66" t="n">
        <f aca="false">IF(D77="","",ROUND(SQRT(((D77+G77)*O77/100)^2+(J77*(D77+G77)*0.03811)^2),0))</f>
        <v>33</v>
      </c>
      <c r="U77" s="32"/>
    </row>
    <row r="78" customFormat="false" ht="15" hidden="false" customHeight="false" outlineLevel="0" collapsed="false">
      <c r="A78" s="32" t="s">
        <v>249</v>
      </c>
      <c r="B78" s="32" t="s">
        <v>273</v>
      </c>
      <c r="C78" s="32" t="s">
        <v>191</v>
      </c>
      <c r="D78" s="66" t="n">
        <v>985</v>
      </c>
      <c r="E78" s="66" t="n">
        <v>1076</v>
      </c>
      <c r="F78" s="77" t="n">
        <f aca="false">IF(E78="","",D78-E78)</f>
        <v>-91</v>
      </c>
      <c r="G78" s="66" t="n">
        <v>1765</v>
      </c>
      <c r="H78" s="66" t="n">
        <v>1998</v>
      </c>
      <c r="I78" s="77" t="n">
        <f aca="false">IF(H78="","",G78-H78)</f>
        <v>-233</v>
      </c>
      <c r="J78" s="47" t="n">
        <f aca="false">IF(OR(D78="",D78+G78=0),"",D78/(D78+G78))</f>
        <v>0.358181818181818</v>
      </c>
      <c r="K78" s="47" t="n">
        <f aca="false">IF(E78="","",E78/(E78+H78))</f>
        <v>0.350032530904359</v>
      </c>
      <c r="L78" s="78" t="n">
        <f aca="false">IF(OR(K78="",J78=""),"",(J78-K78)*100)</f>
        <v>0.814928727745901</v>
      </c>
      <c r="M78" s="36" t="n">
        <v>1.24497174563071</v>
      </c>
      <c r="N78" s="36" t="n">
        <v>1.24848469443204</v>
      </c>
      <c r="O78" s="36" t="n">
        <f aca="false">SQRT(M78^2+N78^2)</f>
        <v>1.76314170719481</v>
      </c>
      <c r="P78" s="47" t="n">
        <f aca="false">IF(J78="","",MAX(0,J78-1.96*O78/100))</f>
        <v>0.3236242407208</v>
      </c>
      <c r="Q78" s="47" t="n">
        <f aca="false">IF(J78="","",MIN(1,J78+1.96*O78/100))</f>
        <v>0.392739395642836</v>
      </c>
      <c r="R78" s="32" t="str">
        <f aca="false">IF(L78="","",IF(ABS(L78)&lt;=O78,"Yes","No"))</f>
        <v>Yes</v>
      </c>
      <c r="S78" s="32" t="str">
        <f aca="false">IF(L78="","",IF(ABS(L78)&lt;=1.96*O78,"Yes","No"))</f>
        <v>Yes</v>
      </c>
      <c r="T78" s="66" t="n">
        <f aca="false">IF(D78="","",ROUND(SQRT(((D78+G78)*O78/100)^2+(J78*(D78+G78)*0.02225)^2),0))</f>
        <v>53</v>
      </c>
      <c r="U78" s="32"/>
    </row>
    <row r="79" customFormat="false" ht="15" hidden="false" customHeight="false" outlineLevel="0" collapsed="false">
      <c r="A79" s="32" t="s">
        <v>249</v>
      </c>
      <c r="B79" s="32" t="s">
        <v>274</v>
      </c>
      <c r="C79" s="32" t="s">
        <v>191</v>
      </c>
      <c r="D79" s="66" t="n">
        <v>58</v>
      </c>
      <c r="E79" s="66" t="n">
        <v>65</v>
      </c>
      <c r="F79" s="77" t="n">
        <f aca="false">IF(E79="","",D79-E79)</f>
        <v>-7</v>
      </c>
      <c r="G79" s="66" t="n">
        <v>120</v>
      </c>
      <c r="H79" s="66" t="n">
        <v>129</v>
      </c>
      <c r="I79" s="77" t="n">
        <f aca="false">IF(H79="","",G79-H79)</f>
        <v>-9</v>
      </c>
      <c r="J79" s="47" t="n">
        <f aca="false">IF(OR(D79="",D79+G79=0),"",D79/(D79+G79))</f>
        <v>0.325842696629214</v>
      </c>
      <c r="K79" s="47" t="n">
        <f aca="false">IF(E79="","",E79/(E79+H79))</f>
        <v>0.335051546391753</v>
      </c>
      <c r="L79" s="78" t="n">
        <f aca="false">IF(OR(K79="",J79=""),"",(J79-K79)*100)</f>
        <v>-0.920884976253905</v>
      </c>
      <c r="M79" s="36" t="n">
        <v>2.85482016247941</v>
      </c>
      <c r="N79" s="36" t="n">
        <v>1.24848469443204</v>
      </c>
      <c r="O79" s="36" t="n">
        <f aca="false">SQRT(M79^2+N79^2)</f>
        <v>3.11588064475038</v>
      </c>
      <c r="P79" s="47" t="n">
        <f aca="false">IF(J79="","",MAX(0,J79-1.96*O79/100))</f>
        <v>0.264771435992106</v>
      </c>
      <c r="Q79" s="47" t="n">
        <f aca="false">IF(J79="","",MIN(1,J79+1.96*O79/100))</f>
        <v>0.386913957266321</v>
      </c>
      <c r="R79" s="32" t="str">
        <f aca="false">IF(L79="","",IF(ABS(L79)&lt;=O79,"Yes","No"))</f>
        <v>Yes</v>
      </c>
      <c r="S79" s="32" t="str">
        <f aca="false">IF(L79="","",IF(ABS(L79)&lt;=1.96*O79,"Yes","No"))</f>
        <v>Yes</v>
      </c>
      <c r="T79" s="66" t="n">
        <f aca="false">IF(D79="","",ROUND(SQRT(((D79+G79)*O79/100)^2+(J79*(D79+G79)*0.0534)^2),0))</f>
        <v>6</v>
      </c>
      <c r="U79" s="32"/>
    </row>
    <row r="80" customFormat="false" ht="15" hidden="false" customHeight="false" outlineLevel="0" collapsed="false">
      <c r="A80" s="32" t="s">
        <v>249</v>
      </c>
      <c r="B80" s="32" t="s">
        <v>275</v>
      </c>
      <c r="C80" s="32" t="s">
        <v>191</v>
      </c>
      <c r="D80" s="66" t="n">
        <v>247</v>
      </c>
      <c r="E80" s="66" t="n">
        <v>258</v>
      </c>
      <c r="F80" s="77" t="n">
        <f aca="false">IF(E80="","",D80-E80)</f>
        <v>-11</v>
      </c>
      <c r="G80" s="66" t="n">
        <v>408</v>
      </c>
      <c r="H80" s="66" t="n">
        <v>418</v>
      </c>
      <c r="I80" s="77" t="n">
        <f aca="false">IF(H80="","",G80-H80)</f>
        <v>-10</v>
      </c>
      <c r="J80" s="47" t="n">
        <f aca="false">IF(OR(D80="",D80+G80=0),"",D80/(D80+G80))</f>
        <v>0.377099236641221</v>
      </c>
      <c r="K80" s="47" t="n">
        <f aca="false">IF(E80="","",E80/(E80+H80))</f>
        <v>0.381656804733728</v>
      </c>
      <c r="L80" s="78" t="n">
        <f aca="false">IF(OR(K80="",J80=""),"",(J80-K80)*100)</f>
        <v>-0.455756809250646</v>
      </c>
      <c r="M80" s="36" t="n">
        <v>2.85482016247941</v>
      </c>
      <c r="N80" s="36" t="n">
        <v>1.24848469443204</v>
      </c>
      <c r="O80" s="36" t="n">
        <f aca="false">SQRT(M80^2+N80^2)</f>
        <v>3.11588064475038</v>
      </c>
      <c r="P80" s="47" t="n">
        <f aca="false">IF(J80="","",MAX(0,J80-1.96*O80/100))</f>
        <v>0.316027976004114</v>
      </c>
      <c r="Q80" s="47" t="n">
        <f aca="false">IF(J80="","",MIN(1,J80+1.96*O80/100))</f>
        <v>0.438170497278329</v>
      </c>
      <c r="R80" s="32" t="str">
        <f aca="false">IF(L80="","",IF(ABS(L80)&lt;=O80,"Yes","No"))</f>
        <v>Yes</v>
      </c>
      <c r="S80" s="32" t="str">
        <f aca="false">IF(L80="","",IF(ABS(L80)&lt;=1.96*O80,"Yes","No"))</f>
        <v>Yes</v>
      </c>
      <c r="T80" s="66" t="n">
        <f aca="false">IF(D80="","",ROUND(SQRT(((D80+G80)*O80/100)^2+(J80*(D80+G80)*0.0534)^2),0))</f>
        <v>24</v>
      </c>
      <c r="U80" s="32"/>
    </row>
    <row r="81" customFormat="false" ht="15" hidden="false" customHeight="false" outlineLevel="0" collapsed="false">
      <c r="A81" s="32" t="s">
        <v>249</v>
      </c>
      <c r="B81" s="32" t="s">
        <v>276</v>
      </c>
      <c r="C81" s="32" t="s">
        <v>191</v>
      </c>
      <c r="D81" s="66" t="n">
        <v>139</v>
      </c>
      <c r="E81" s="66" t="n">
        <v>160</v>
      </c>
      <c r="F81" s="77" t="n">
        <f aca="false">IF(E81="","",D81-E81)</f>
        <v>-21</v>
      </c>
      <c r="G81" s="66" t="n">
        <v>195</v>
      </c>
      <c r="H81" s="66" t="n">
        <v>227</v>
      </c>
      <c r="I81" s="77" t="n">
        <f aca="false">IF(H81="","",G81-H81)</f>
        <v>-32</v>
      </c>
      <c r="J81" s="47" t="n">
        <f aca="false">IF(OR(D81="",D81+G81=0),"",D81/(D81+G81))</f>
        <v>0.416167664670659</v>
      </c>
      <c r="K81" s="47" t="n">
        <f aca="false">IF(E81="","",E81/(E81+H81))</f>
        <v>0.41343669250646</v>
      </c>
      <c r="L81" s="78" t="n">
        <f aca="false">IF(OR(K81="",J81=""),"",(J81-K81)*100)</f>
        <v>0.273097216419876</v>
      </c>
      <c r="M81" s="36" t="n">
        <v>2.85482016247941</v>
      </c>
      <c r="N81" s="36" t="n">
        <v>1.24848469443204</v>
      </c>
      <c r="O81" s="36" t="n">
        <f aca="false">SQRT(M81^2+N81^2)</f>
        <v>3.11588064475038</v>
      </c>
      <c r="P81" s="47" t="n">
        <f aca="false">IF(J81="","",MAX(0,J81-1.96*O81/100))</f>
        <v>0.355096404033551</v>
      </c>
      <c r="Q81" s="47" t="n">
        <f aca="false">IF(J81="","",MIN(1,J81+1.96*O81/100))</f>
        <v>0.477238925307766</v>
      </c>
      <c r="R81" s="32" t="str">
        <f aca="false">IF(L81="","",IF(ABS(L81)&lt;=O81,"Yes","No"))</f>
        <v>Yes</v>
      </c>
      <c r="S81" s="32" t="str">
        <f aca="false">IF(L81="","",IF(ABS(L81)&lt;=1.96*O81,"Yes","No"))</f>
        <v>Yes</v>
      </c>
      <c r="T81" s="66" t="n">
        <f aca="false">IF(D81="","",ROUND(SQRT(((D81+G81)*O81/100)^2+(J81*(D81+G81)*0.0534)^2),0))</f>
        <v>13</v>
      </c>
      <c r="U81" s="32"/>
    </row>
    <row r="82" customFormat="false" ht="15" hidden="false" customHeight="false" outlineLevel="0" collapsed="false">
      <c r="A82" s="32" t="s">
        <v>249</v>
      </c>
      <c r="B82" s="32" t="s">
        <v>277</v>
      </c>
      <c r="C82" s="32" t="s">
        <v>191</v>
      </c>
      <c r="D82" s="66" t="n">
        <v>220</v>
      </c>
      <c r="E82" s="66" t="n">
        <v>243</v>
      </c>
      <c r="F82" s="77" t="n">
        <f aca="false">IF(E82="","",D82-E82)</f>
        <v>-23</v>
      </c>
      <c r="G82" s="66" t="n">
        <v>303</v>
      </c>
      <c r="H82" s="66" t="n">
        <v>318</v>
      </c>
      <c r="I82" s="77" t="n">
        <f aca="false">IF(H82="","",G82-H82)</f>
        <v>-15</v>
      </c>
      <c r="J82" s="47" t="n">
        <f aca="false">IF(OR(D82="",D82+G82=0),"",D82/(D82+G82))</f>
        <v>0.420650095602294</v>
      </c>
      <c r="K82" s="47" t="n">
        <f aca="false">IF(E82="","",E82/(E82+H82))</f>
        <v>0.433155080213904</v>
      </c>
      <c r="L82" s="78" t="n">
        <f aca="false">IF(OR(K82="",J82=""),"",(J82-K82)*100)</f>
        <v>-1.25049846116093</v>
      </c>
      <c r="M82" s="36" t="n">
        <v>2.85482016247941</v>
      </c>
      <c r="N82" s="36" t="n">
        <v>1.24848469443204</v>
      </c>
      <c r="O82" s="36" t="n">
        <f aca="false">SQRT(M82^2+N82^2)</f>
        <v>3.11588064475038</v>
      </c>
      <c r="P82" s="47" t="n">
        <f aca="false">IF(J82="","",MAX(0,J82-1.96*O82/100))</f>
        <v>0.359578834965187</v>
      </c>
      <c r="Q82" s="47" t="n">
        <f aca="false">IF(J82="","",MIN(1,J82+1.96*O82/100))</f>
        <v>0.481721356239402</v>
      </c>
      <c r="R82" s="32" t="str">
        <f aca="false">IF(L82="","",IF(ABS(L82)&lt;=O82,"Yes","No"))</f>
        <v>Yes</v>
      </c>
      <c r="S82" s="32" t="str">
        <f aca="false">IF(L82="","",IF(ABS(L82)&lt;=1.96*O82,"Yes","No"))</f>
        <v>Yes</v>
      </c>
      <c r="T82" s="66" t="n">
        <f aca="false">IF(D82="","",ROUND(SQRT(((D82+G82)*O82/100)^2+(J82*(D82+G82)*0.0534)^2),0))</f>
        <v>20</v>
      </c>
      <c r="U82" s="32"/>
    </row>
    <row r="83" customFormat="false" ht="15" hidden="false" customHeight="false" outlineLevel="0" collapsed="false">
      <c r="A83" s="32" t="s">
        <v>249</v>
      </c>
      <c r="B83" s="32" t="s">
        <v>278</v>
      </c>
      <c r="C83" s="32" t="s">
        <v>191</v>
      </c>
      <c r="D83" s="66" t="n">
        <v>916</v>
      </c>
      <c r="E83" s="66" t="n">
        <v>1030</v>
      </c>
      <c r="F83" s="77" t="n">
        <f aca="false">IF(E83="","",D83-E83)</f>
        <v>-114</v>
      </c>
      <c r="G83" s="66" t="n">
        <v>1931</v>
      </c>
      <c r="H83" s="66" t="n">
        <v>2095</v>
      </c>
      <c r="I83" s="77" t="n">
        <f aca="false">IF(H83="","",G83-H83)</f>
        <v>-164</v>
      </c>
      <c r="J83" s="47" t="n">
        <f aca="false">IF(OR(D83="",D83+G83=0),"",D83/(D83+G83))</f>
        <v>0.321742184755883</v>
      </c>
      <c r="K83" s="47" t="n">
        <f aca="false">IF(E83="","",E83/(E83+H83))</f>
        <v>0.3296</v>
      </c>
      <c r="L83" s="78" t="n">
        <f aca="false">IF(OR(K83="",J83=""),"",(J83-K83)*100)</f>
        <v>-0.785781524411661</v>
      </c>
      <c r="M83" s="36" t="n">
        <v>1.24497174563071</v>
      </c>
      <c r="N83" s="36" t="n">
        <v>1.24848469443204</v>
      </c>
      <c r="O83" s="36" t="n">
        <f aca="false">SQRT(M83^2+N83^2)</f>
        <v>1.76314170719481</v>
      </c>
      <c r="P83" s="47" t="n">
        <f aca="false">IF(J83="","",MAX(0,J83-1.96*O83/100))</f>
        <v>0.287184607294865</v>
      </c>
      <c r="Q83" s="47" t="n">
        <f aca="false">IF(J83="","",MIN(1,J83+1.96*O83/100))</f>
        <v>0.356299762216902</v>
      </c>
      <c r="R83" s="32" t="str">
        <f aca="false">IF(L83="","",IF(ABS(L83)&lt;=O83,"Yes","No"))</f>
        <v>Yes</v>
      </c>
      <c r="S83" s="32" t="str">
        <f aca="false">IF(L83="","",IF(ABS(L83)&lt;=1.96*O83,"Yes","No"))</f>
        <v>Yes</v>
      </c>
      <c r="T83" s="66" t="n">
        <f aca="false">IF(D83="","",ROUND(SQRT(((D83+G83)*O83/100)^2+(J83*(D83+G83)*0.02225)^2),0))</f>
        <v>54</v>
      </c>
      <c r="U83" s="32"/>
    </row>
    <row r="84" customFormat="false" ht="15" hidden="false" customHeight="false" outlineLevel="0" collapsed="false">
      <c r="A84" s="32" t="s">
        <v>249</v>
      </c>
      <c r="B84" s="32" t="s">
        <v>279</v>
      </c>
      <c r="C84" s="32" t="s">
        <v>191</v>
      </c>
      <c r="D84" s="66" t="n">
        <v>1316</v>
      </c>
      <c r="E84" s="66" t="n">
        <v>1575</v>
      </c>
      <c r="F84" s="77" t="n">
        <f aca="false">IF(E84="","",D84-E84)</f>
        <v>-259</v>
      </c>
      <c r="G84" s="66" t="n">
        <v>1471</v>
      </c>
      <c r="H84" s="66" t="n">
        <v>1588</v>
      </c>
      <c r="I84" s="77" t="n">
        <f aca="false">IF(H84="","",G84-H84)</f>
        <v>-117</v>
      </c>
      <c r="J84" s="47" t="n">
        <f aca="false">IF(OR(D84="",D84+G84=0),"",D84/(D84+G84))</f>
        <v>0.472192321492644</v>
      </c>
      <c r="K84" s="47" t="n">
        <f aca="false">IF(E84="","",E84/(E84+H84))</f>
        <v>0.497944988934556</v>
      </c>
      <c r="L84" s="78" t="n">
        <f aca="false">IF(OR(K84="",J84=""),"",(J84-K84)*100)</f>
        <v>-2.57526674419114</v>
      </c>
      <c r="M84" s="36" t="n">
        <v>1.24497174563071</v>
      </c>
      <c r="N84" s="36" t="n">
        <v>1.24848469443204</v>
      </c>
      <c r="O84" s="36" t="n">
        <f aca="false">SQRT(M84^2+N84^2)</f>
        <v>1.76314170719481</v>
      </c>
      <c r="P84" s="47" t="n">
        <f aca="false">IF(J84="","",MAX(0,J84-1.96*O84/100))</f>
        <v>0.437634744031626</v>
      </c>
      <c r="Q84" s="47" t="n">
        <f aca="false">IF(J84="","",MIN(1,J84+1.96*O84/100))</f>
        <v>0.506749898953663</v>
      </c>
      <c r="R84" s="32" t="str">
        <f aca="false">IF(L84="","",IF(ABS(L84)&lt;=O84,"Yes","No"))</f>
        <v>No</v>
      </c>
      <c r="S84" s="32" t="str">
        <f aca="false">IF(L84="","",IF(ABS(L84)&lt;=1.96*O84,"Yes","No"))</f>
        <v>Yes</v>
      </c>
      <c r="T84" s="66" t="n">
        <f aca="false">IF(D84="","",ROUND(SQRT(((D84+G84)*O84/100)^2+(J84*(D84+G84)*0.02225)^2),0))</f>
        <v>57</v>
      </c>
      <c r="U84" s="32"/>
    </row>
    <row r="85" customFormat="false" ht="15" hidden="false" customHeight="false" outlineLevel="0" collapsed="false">
      <c r="A85" s="32" t="s">
        <v>249</v>
      </c>
      <c r="B85" s="32" t="s">
        <v>280</v>
      </c>
      <c r="C85" s="32" t="s">
        <v>191</v>
      </c>
      <c r="D85" s="66" t="n">
        <v>261</v>
      </c>
      <c r="E85" s="66" t="n">
        <v>305</v>
      </c>
      <c r="F85" s="77" t="n">
        <f aca="false">IF(E85="","",D85-E85)</f>
        <v>-44</v>
      </c>
      <c r="G85" s="66" t="n">
        <v>405</v>
      </c>
      <c r="H85" s="66" t="n">
        <v>419</v>
      </c>
      <c r="I85" s="77" t="n">
        <f aca="false">IF(H85="","",G85-H85)</f>
        <v>-14</v>
      </c>
      <c r="J85" s="47" t="n">
        <f aca="false">IF(OR(D85="",D85+G85=0),"",D85/(D85+G85))</f>
        <v>0.391891891891892</v>
      </c>
      <c r="K85" s="47" t="n">
        <f aca="false">IF(E85="","",E85/(E85+H85))</f>
        <v>0.421270718232044</v>
      </c>
      <c r="L85" s="78" t="n">
        <f aca="false">IF(OR(K85="",J85=""),"",(J85-K85)*100)</f>
        <v>-2.93788263401523</v>
      </c>
      <c r="M85" s="36" t="n">
        <v>2.85482016247941</v>
      </c>
      <c r="N85" s="36" t="n">
        <v>1.24848469443204</v>
      </c>
      <c r="O85" s="36" t="n">
        <f aca="false">SQRT(M85^2+N85^2)</f>
        <v>3.11588064475038</v>
      </c>
      <c r="P85" s="47" t="n">
        <f aca="false">IF(J85="","",MAX(0,J85-1.96*O85/100))</f>
        <v>0.330820631254784</v>
      </c>
      <c r="Q85" s="47" t="n">
        <f aca="false">IF(J85="","",MIN(1,J85+1.96*O85/100))</f>
        <v>0.452963152528999</v>
      </c>
      <c r="R85" s="32" t="str">
        <f aca="false">IF(L85="","",IF(ABS(L85)&lt;=O85,"Yes","No"))</f>
        <v>Yes</v>
      </c>
      <c r="S85" s="32" t="str">
        <f aca="false">IF(L85="","",IF(ABS(L85)&lt;=1.96*O85,"Yes","No"))</f>
        <v>Yes</v>
      </c>
      <c r="T85" s="66" t="n">
        <f aca="false">IF(D85="","",ROUND(SQRT(((D85+G85)*O85/100)^2+(J85*(D85+G85)*0.0534)^2),0))</f>
        <v>25</v>
      </c>
      <c r="U85" s="32"/>
    </row>
    <row r="86" customFormat="false" ht="15" hidden="false" customHeight="false" outlineLevel="0" collapsed="false">
      <c r="A86" s="32" t="s">
        <v>249</v>
      </c>
      <c r="B86" s="32" t="s">
        <v>242</v>
      </c>
      <c r="C86" s="32" t="s">
        <v>191</v>
      </c>
      <c r="D86" s="66" t="n">
        <v>722</v>
      </c>
      <c r="E86" s="66" t="n">
        <v>840</v>
      </c>
      <c r="F86" s="77" t="n">
        <f aca="false">IF(E86="","",D86-E86)</f>
        <v>-118</v>
      </c>
      <c r="G86" s="66" t="n">
        <v>1317</v>
      </c>
      <c r="H86" s="66" t="n">
        <v>1533</v>
      </c>
      <c r="I86" s="77" t="n">
        <f aca="false">IF(H86="","",G86-H86)</f>
        <v>-216</v>
      </c>
      <c r="J86" s="47" t="n">
        <f aca="false">IF(OR(D86="",D86+G86=0),"",D86/(D86+G86))</f>
        <v>0.354095144678764</v>
      </c>
      <c r="K86" s="47" t="n">
        <f aca="false">IF(E86="","",E86/(E86+H86))</f>
        <v>0.353982300884956</v>
      </c>
      <c r="L86" s="78" t="n">
        <f aca="false">IF(OR(K86="",J86=""),"",(J86-K86)*100)</f>
        <v>0.0112843793808326</v>
      </c>
      <c r="M86" s="36" t="n">
        <v>1.87176133364825</v>
      </c>
      <c r="N86" s="36" t="n">
        <v>1.24848469443204</v>
      </c>
      <c r="O86" s="36" t="n">
        <f aca="false">SQRT(M86^2+N86^2)</f>
        <v>2.2499343373467</v>
      </c>
      <c r="P86" s="47" t="n">
        <f aca="false">IF(J86="","",MAX(0,J86-1.96*O86/100))</f>
        <v>0.309996431666769</v>
      </c>
      <c r="Q86" s="47" t="n">
        <f aca="false">IF(J86="","",MIN(1,J86+1.96*O86/100))</f>
        <v>0.398193857690759</v>
      </c>
      <c r="R86" s="32" t="str">
        <f aca="false">IF(L86="","",IF(ABS(L86)&lt;=O86,"Yes","No"))</f>
        <v>Yes</v>
      </c>
      <c r="S86" s="32" t="str">
        <f aca="false">IF(L86="","",IF(ABS(L86)&lt;=1.96*O86,"Yes","No"))</f>
        <v>Yes</v>
      </c>
      <c r="T86" s="66" t="n">
        <f aca="false">IF(D86="","",ROUND(SQRT(((D86+G86)*O86/100)^2+(J86*(D86+G86)*0.03811)^2),0))</f>
        <v>53</v>
      </c>
      <c r="U86" s="32"/>
    </row>
    <row r="87" customFormat="false" ht="15" hidden="false" customHeight="false" outlineLevel="0" collapsed="false">
      <c r="A87" s="32" t="s">
        <v>249</v>
      </c>
      <c r="B87" s="32" t="s">
        <v>281</v>
      </c>
      <c r="C87" s="32" t="s">
        <v>191</v>
      </c>
      <c r="D87" s="66" t="n">
        <v>173</v>
      </c>
      <c r="E87" s="66" t="n">
        <v>199</v>
      </c>
      <c r="F87" s="77" t="n">
        <f aca="false">IF(E87="","",D87-E87)</f>
        <v>-26</v>
      </c>
      <c r="G87" s="66" t="n">
        <v>195</v>
      </c>
      <c r="H87" s="66" t="n">
        <v>215</v>
      </c>
      <c r="I87" s="77" t="n">
        <f aca="false">IF(H87="","",G87-H87)</f>
        <v>-20</v>
      </c>
      <c r="J87" s="47" t="n">
        <f aca="false">IF(OR(D87="",D87+G87=0),"",D87/(D87+G87))</f>
        <v>0.470108695652174</v>
      </c>
      <c r="K87" s="47" t="n">
        <f aca="false">IF(E87="","",E87/(E87+H87))</f>
        <v>0.480676328502416</v>
      </c>
      <c r="L87" s="78" t="n">
        <f aca="false">IF(OR(K87="",J87=""),"",(J87-K87)*100)</f>
        <v>-1.05676328502416</v>
      </c>
      <c r="M87" s="36" t="n">
        <v>2.85482016247941</v>
      </c>
      <c r="N87" s="36" t="n">
        <v>1.24848469443204</v>
      </c>
      <c r="O87" s="36" t="n">
        <f aca="false">SQRT(M87^2+N87^2)</f>
        <v>3.11588064475038</v>
      </c>
      <c r="P87" s="47" t="n">
        <f aca="false">IF(J87="","",MAX(0,J87-1.96*O87/100))</f>
        <v>0.409037435015067</v>
      </c>
      <c r="Q87" s="47" t="n">
        <f aca="false">IF(J87="","",MIN(1,J87+1.96*O87/100))</f>
        <v>0.531179956289281</v>
      </c>
      <c r="R87" s="32" t="str">
        <f aca="false">IF(L87="","",IF(ABS(L87)&lt;=O87,"Yes","No"))</f>
        <v>Yes</v>
      </c>
      <c r="S87" s="32" t="str">
        <f aca="false">IF(L87="","",IF(ABS(L87)&lt;=1.96*O87,"Yes","No"))</f>
        <v>Yes</v>
      </c>
      <c r="T87" s="66" t="n">
        <f aca="false">IF(D87="","",ROUND(SQRT(((D87+G87)*O87/100)^2+(J87*(D87+G87)*0.0534)^2),0))</f>
        <v>15</v>
      </c>
      <c r="U87" s="32"/>
    </row>
    <row r="88" customFormat="false" ht="15" hidden="false" customHeight="false" outlineLevel="0" collapsed="false">
      <c r="A88" s="32" t="s">
        <v>249</v>
      </c>
      <c r="B88" s="32" t="s">
        <v>282</v>
      </c>
      <c r="C88" s="32" t="s">
        <v>191</v>
      </c>
      <c r="D88" s="66" t="n">
        <v>1313</v>
      </c>
      <c r="E88" s="66" t="n">
        <v>1456</v>
      </c>
      <c r="F88" s="77" t="n">
        <f aca="false">IF(E88="","",D88-E88)</f>
        <v>-143</v>
      </c>
      <c r="G88" s="66" t="n">
        <v>1738</v>
      </c>
      <c r="H88" s="66" t="n">
        <v>1860</v>
      </c>
      <c r="I88" s="77" t="n">
        <f aca="false">IF(H88="","",G88-H88)</f>
        <v>-122</v>
      </c>
      <c r="J88" s="47" t="n">
        <f aca="false">IF(OR(D88="",D88+G88=0),"",D88/(D88+G88))</f>
        <v>0.430350704686988</v>
      </c>
      <c r="K88" s="47" t="n">
        <f aca="false">IF(E88="","",E88/(E88+H88))</f>
        <v>0.439083232810615</v>
      </c>
      <c r="L88" s="78" t="n">
        <f aca="false">IF(OR(K88="",J88=""),"",(J88-K88)*100)</f>
        <v>-0.873252812362729</v>
      </c>
      <c r="M88" s="36" t="n">
        <v>1.24497174563071</v>
      </c>
      <c r="N88" s="36" t="n">
        <v>1.24848469443204</v>
      </c>
      <c r="O88" s="36" t="n">
        <f aca="false">SQRT(M88^2+N88^2)</f>
        <v>1.76314170719481</v>
      </c>
      <c r="P88" s="47" t="n">
        <f aca="false">IF(J88="","",MAX(0,J88-1.96*O88/100))</f>
        <v>0.39579312722597</v>
      </c>
      <c r="Q88" s="47" t="n">
        <f aca="false">IF(J88="","",MIN(1,J88+1.96*O88/100))</f>
        <v>0.464908282148006</v>
      </c>
      <c r="R88" s="32" t="str">
        <f aca="false">IF(L88="","",IF(ABS(L88)&lt;=O88,"Yes","No"))</f>
        <v>Yes</v>
      </c>
      <c r="S88" s="32" t="str">
        <f aca="false">IF(L88="","",IF(ABS(L88)&lt;=1.96*O88,"Yes","No"))</f>
        <v>Yes</v>
      </c>
      <c r="T88" s="66" t="n">
        <f aca="false">IF(D88="","",ROUND(SQRT(((D88+G88)*O88/100)^2+(J88*(D88+G88)*0.02225)^2),0))</f>
        <v>61</v>
      </c>
      <c r="U88" s="32"/>
    </row>
    <row r="89" customFormat="false" ht="15" hidden="false" customHeight="false" outlineLevel="0" collapsed="false">
      <c r="A89" s="32" t="s">
        <v>249</v>
      </c>
      <c r="B89" s="32" t="s">
        <v>283</v>
      </c>
      <c r="C89" s="32" t="s">
        <v>191</v>
      </c>
      <c r="D89" s="66" t="n">
        <v>1206</v>
      </c>
      <c r="E89" s="66" t="n">
        <v>1340</v>
      </c>
      <c r="F89" s="77" t="n">
        <f aca="false">IF(E89="","",D89-E89)</f>
        <v>-134</v>
      </c>
      <c r="G89" s="66" t="n">
        <v>922</v>
      </c>
      <c r="H89" s="66" t="n">
        <v>953</v>
      </c>
      <c r="I89" s="77" t="n">
        <f aca="false">IF(H89="","",G89-H89)</f>
        <v>-31</v>
      </c>
      <c r="J89" s="47" t="n">
        <f aca="false">IF(OR(D89="",D89+G89=0),"",D89/(D89+G89))</f>
        <v>0.566729323308271</v>
      </c>
      <c r="K89" s="47" t="n">
        <f aca="false">IF(E89="","",E89/(E89+H89))</f>
        <v>0.584387265590929</v>
      </c>
      <c r="L89" s="78" t="n">
        <f aca="false">IF(OR(K89="",J89=""),"",(J89-K89)*100)</f>
        <v>-1.76579422826583</v>
      </c>
      <c r="M89" s="36" t="n">
        <v>1.87176133364825</v>
      </c>
      <c r="N89" s="36" t="n">
        <v>1.24848469443204</v>
      </c>
      <c r="O89" s="36" t="n">
        <f aca="false">SQRT(M89^2+N89^2)</f>
        <v>2.2499343373467</v>
      </c>
      <c r="P89" s="47" t="n">
        <f aca="false">IF(J89="","",MAX(0,J89-1.96*O89/100))</f>
        <v>0.522630610296275</v>
      </c>
      <c r="Q89" s="47" t="n">
        <f aca="false">IF(J89="","",MIN(1,J89+1.96*O89/100))</f>
        <v>0.610828036320266</v>
      </c>
      <c r="R89" s="32" t="str">
        <f aca="false">IF(L89="","",IF(ABS(L89)&lt;=O89,"Yes","No"))</f>
        <v>Yes</v>
      </c>
      <c r="S89" s="32" t="str">
        <f aca="false">IF(L89="","",IF(ABS(L89)&lt;=1.96*O89,"Yes","No"))</f>
        <v>Yes</v>
      </c>
      <c r="T89" s="66" t="n">
        <f aca="false">IF(D89="","",ROUND(SQRT(((D89+G89)*O89/100)^2+(J89*(D89+G89)*0.03811)^2),0))</f>
        <v>66</v>
      </c>
      <c r="U89" s="32"/>
    </row>
    <row r="90" customFormat="false" ht="15" hidden="false" customHeight="false" outlineLevel="0" collapsed="false">
      <c r="A90" s="32" t="s">
        <v>249</v>
      </c>
      <c r="B90" s="32" t="s">
        <v>284</v>
      </c>
      <c r="C90" s="32" t="s">
        <v>191</v>
      </c>
      <c r="D90" s="66" t="n">
        <v>392</v>
      </c>
      <c r="E90" s="66" t="n">
        <v>494</v>
      </c>
      <c r="F90" s="77" t="n">
        <f aca="false">IF(E90="","",D90-E90)</f>
        <v>-102</v>
      </c>
      <c r="G90" s="66" t="n">
        <v>575</v>
      </c>
      <c r="H90" s="66" t="n">
        <v>601</v>
      </c>
      <c r="I90" s="77" t="n">
        <f aca="false">IF(H90="","",G90-H90)</f>
        <v>-26</v>
      </c>
      <c r="J90" s="47" t="n">
        <f aca="false">IF(OR(D90="",D90+G90=0),"",D90/(D90+G90))</f>
        <v>0.405377456049638</v>
      </c>
      <c r="K90" s="47" t="n">
        <f aca="false">IF(E90="","",E90/(E90+H90))</f>
        <v>0.451141552511416</v>
      </c>
      <c r="L90" s="78" t="n">
        <f aca="false">IF(OR(K90="",J90=""),"",(J90-K90)*100)</f>
        <v>-4.57640964617775</v>
      </c>
      <c r="M90" s="36" t="n">
        <v>2.85482016247941</v>
      </c>
      <c r="N90" s="36" t="n">
        <v>1.24848469443204</v>
      </c>
      <c r="O90" s="36" t="n">
        <f aca="false">SQRT(M90^2+N90^2)</f>
        <v>3.11588064475038</v>
      </c>
      <c r="P90" s="47" t="n">
        <f aca="false">IF(J90="","",MAX(0,J90-1.96*O90/100))</f>
        <v>0.344306195412531</v>
      </c>
      <c r="Q90" s="47" t="n">
        <f aca="false">IF(J90="","",MIN(1,J90+1.96*O90/100))</f>
        <v>0.466448716686746</v>
      </c>
      <c r="R90" s="32" t="str">
        <f aca="false">IF(L90="","",IF(ABS(L90)&lt;=O90,"Yes","No"))</f>
        <v>No</v>
      </c>
      <c r="S90" s="32" t="str">
        <f aca="false">IF(L90="","",IF(ABS(L90)&lt;=1.96*O90,"Yes","No"))</f>
        <v>Yes</v>
      </c>
      <c r="T90" s="66" t="n">
        <f aca="false">IF(D90="","",ROUND(SQRT(((D90+G90)*O90/100)^2+(J90*(D90+G90)*0.0534)^2),0))</f>
        <v>37</v>
      </c>
      <c r="U90" s="32"/>
    </row>
    <row r="92" customFormat="false" ht="15" hidden="false" customHeight="false" outlineLevel="0" collapsed="false">
      <c r="A92" s="20" t="s">
        <v>419</v>
      </c>
      <c r="B92" s="44"/>
      <c r="C92" s="44"/>
      <c r="D92" s="79" t="n">
        <f aca="false">SUMIF(E2:E90,"&lt;&gt;",D2:D90)</f>
        <v>141739</v>
      </c>
      <c r="E92" s="79" t="n">
        <f aca="false">SUM(E2:E90)</f>
        <v>151364</v>
      </c>
      <c r="F92" s="80" t="n">
        <f aca="false">D92-E92</f>
        <v>-9625</v>
      </c>
      <c r="G92" s="79" t="n">
        <f aca="false">SUMIF(H2:H90,"&lt;&gt;",G2:G90)</f>
        <v>137308</v>
      </c>
      <c r="H92" s="79" t="n">
        <f aca="false">SUM(H2:H90)</f>
        <v>145527</v>
      </c>
      <c r="I92" s="80" t="n">
        <f aca="false">G92-H92</f>
        <v>-8219</v>
      </c>
      <c r="J92" s="46" t="n">
        <f aca="false">D92/(D92+G92)</f>
        <v>0.50793952273273</v>
      </c>
      <c r="K92" s="46" t="n">
        <f aca="false">E92/(E92+H92)</f>
        <v>0.509830207045683</v>
      </c>
      <c r="L92" s="81" t="n">
        <f aca="false">(J92-K92)*100</f>
        <v>-0.189068431295381</v>
      </c>
      <c r="M92" s="45" t="n">
        <v>0</v>
      </c>
      <c r="N92" s="45" t="n">
        <v>1.24848469443204</v>
      </c>
      <c r="O92" s="45" t="n">
        <f aca="false">SQRT(M92^2+N92^2)</f>
        <v>1.24848469443204</v>
      </c>
      <c r="P92" s="46" t="n">
        <f aca="false">J92-1.96*O92/100</f>
        <v>0.483469222721862</v>
      </c>
      <c r="Q92" s="46" t="n">
        <f aca="false">J92+1.96*O92/100</f>
        <v>0.532409822743598</v>
      </c>
      <c r="R92" s="44" t="str">
        <f aca="false">IF(ABS(L92)&lt;=O92,"Yes","No")</f>
        <v>Yes</v>
      </c>
      <c r="S92" s="44" t="str">
        <f aca="false">IF(ABS(L92)&lt;=1.96*O92,"Yes","No")</f>
        <v>Yes</v>
      </c>
      <c r="T92" s="79" t="n">
        <f aca="false">ROUND(SQRT(((D92+G92)*O92/100)^2+(J92*(D92+G92)*0.00561)^2),0)</f>
        <v>3573</v>
      </c>
    </row>
    <row r="93" customFormat="false" ht="15" hidden="false" customHeight="false" outlineLevel="0" collapsed="false">
      <c r="A93" s="20" t="s">
        <v>420</v>
      </c>
      <c r="B93" s="44"/>
      <c r="C93" s="44"/>
      <c r="D93" s="79" t="n">
        <f aca="false">SUM(D2:D90)</f>
        <v>141739</v>
      </c>
      <c r="E93" s="79"/>
      <c r="F93" s="80"/>
      <c r="G93" s="79" t="n">
        <f aca="false">SUM(G2:G90)</f>
        <v>137308</v>
      </c>
      <c r="H93" s="79"/>
      <c r="I93" s="80"/>
      <c r="J93" s="46" t="n">
        <f aca="false">D93/(D93+G93)</f>
        <v>0.50793952273273</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161.966292134831</v>
      </c>
    </row>
    <row r="96" customFormat="false" ht="15" hidden="false" customHeight="false" outlineLevel="0" collapsed="false">
      <c r="A96" s="2" t="s">
        <v>422</v>
      </c>
      <c r="F96" s="82" t="n">
        <f aca="false">(SUMIF(I2:I90,"&gt;0")-SUMIF(I2:I90,"&lt;0"))/COUNT(I2:I90)</f>
        <v>95.3820224719101</v>
      </c>
    </row>
    <row r="97" customFormat="false" ht="15" hidden="false" customHeight="false" outlineLevel="0" collapsed="false">
      <c r="A97" s="2" t="s">
        <v>423</v>
      </c>
      <c r="F97" s="83" t="n">
        <f aca="false">(SUMIF(L2:L90,"&gt;0")-SUMIF(L2:L90,"&lt;0"))/COUNT(L2:L90)</f>
        <v>1.92620181556888</v>
      </c>
    </row>
    <row r="98" customFormat="false" ht="15" hidden="false" customHeight="false" outlineLevel="0" collapsed="false">
      <c r="A98" s="5" t="s">
        <v>424</v>
      </c>
      <c r="F98" s="84" t="n">
        <f aca="false">SQRT(SUMSQ(L2:L90)/COUNT(L2:L90))</f>
        <v>2.37732767762669</v>
      </c>
    </row>
    <row r="99" customFormat="false" ht="15" hidden="false" customHeight="false" outlineLevel="0" collapsed="false">
      <c r="A99" s="5" t="s">
        <v>425</v>
      </c>
      <c r="F99" s="85" t="n">
        <f aca="false">L92</f>
        <v>-0.189068431295381</v>
      </c>
    </row>
    <row r="100" customFormat="false" ht="15" hidden="false" customHeight="false" outlineLevel="0" collapsed="false">
      <c r="A100" s="5" t="s">
        <v>426</v>
      </c>
      <c r="F100" s="84" t="n">
        <f aca="false">SQRT((SUMSQ(L2:L90)-2*L92*SUM(L2:L90)+COUNT(L2:L90)*L92^2)/COUNT(L2:L90))</f>
        <v>2.29589886930149</v>
      </c>
    </row>
    <row r="101" customFormat="false" ht="15" hidden="false" customHeight="false" outlineLevel="0" collapsed="false">
      <c r="A101" s="2" t="s">
        <v>427</v>
      </c>
      <c r="F101" s="86" t="n">
        <f aca="false">D92/E92-1</f>
        <v>-0.0635884358235777</v>
      </c>
    </row>
    <row r="102" customFormat="false" ht="15" hidden="false" customHeight="false" outlineLevel="0" collapsed="false">
      <c r="A102" s="5" t="s">
        <v>428</v>
      </c>
      <c r="F102" s="87" t="n">
        <f aca="false">G92/H92-1</f>
        <v>-0.0564774921492232</v>
      </c>
    </row>
    <row r="103" customFormat="false" ht="15" hidden="false" customHeight="false" outlineLevel="0" collapsed="false">
      <c r="A103" s="2" t="s">
        <v>429</v>
      </c>
      <c r="F103" s="86" t="n">
        <f aca="false">(D92+G92)/(E92+H92)-1</f>
        <v>-0.0601028660350095</v>
      </c>
    </row>
    <row r="104" customFormat="false" ht="15" hidden="false" customHeight="false" outlineLevel="0" collapsed="false">
      <c r="A104" s="2" t="s">
        <v>430</v>
      </c>
      <c r="F104" s="83" t="n">
        <f aca="false">AVERAGE(O2:O90)</f>
        <v>2.37773894765629</v>
      </c>
    </row>
    <row r="105" customFormat="false" ht="15" hidden="false" customHeight="false" outlineLevel="0" collapsed="false">
      <c r="A105" s="5" t="s">
        <v>431</v>
      </c>
      <c r="F105" s="88" t="n">
        <f aca="false">COUNTIF(R2:R90,"Yes")/(COUNTIF(R2:R90,"Yes")+COUNTIF(R2:R90,"No"))</f>
        <v>0.595505617977528</v>
      </c>
    </row>
    <row r="106" customFormat="false" ht="15" hidden="false" customHeight="false" outlineLevel="0" collapsed="false">
      <c r="A106" s="5" t="s">
        <v>432</v>
      </c>
      <c r="F106" s="88" t="n">
        <f aca="false">COUNTIF(S2:S90,"Yes")/(COUNTIF(S2:S90,"Yes")+COUNTIF(S2:S90,"No"))</f>
        <v>0.97752808988764</v>
      </c>
    </row>
    <row r="107" customFormat="false" ht="15" hidden="false" customHeight="false" outlineLevel="0" collapsed="false">
      <c r="A107" s="2" t="s">
        <v>433</v>
      </c>
      <c r="F107" s="89" t="n">
        <f aca="false">COUNTIFS(L2:L90,"&gt;=-3",L2:L90,"&lt;=3")/COUNT(L2:L90)</f>
        <v>0.786516853932584</v>
      </c>
    </row>
    <row r="108" customFormat="false" ht="15" hidden="false" customHeight="false" outlineLevel="0" collapsed="false">
      <c r="A108" s="2" t="s">
        <v>457</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-9097.41021452317</v>
      </c>
    </row>
    <row r="112" customFormat="false" ht="15" hidden="false" customHeight="false" outlineLevel="0" collapsed="false">
      <c r="A112" s="2" t="s">
        <v>438</v>
      </c>
      <c r="F112" s="91" t="n">
        <f aca="false">F92-((D92+G92)-(E92+H92))*K92</f>
        <v>-527.589785476826</v>
      </c>
    </row>
    <row r="113" customFormat="false" ht="15" hidden="false" customHeight="false" outlineLevel="0" collapsed="false">
      <c r="A113" s="2" t="s">
        <v>439</v>
      </c>
      <c r="F113" s="91" t="n">
        <f aca="false">((D92+G92)-(E92+H92))*(1-K92)</f>
        <v>-8746.58978547683</v>
      </c>
    </row>
    <row r="114" customFormat="false" ht="15" hidden="false" customHeight="false" outlineLevel="0" collapsed="false">
      <c r="A114" s="2" t="s">
        <v>440</v>
      </c>
      <c r="F114" s="91" t="n">
        <f aca="false">I92-((D92+G92)-(E92+H92))*(1-K92)</f>
        <v>527.589785476826</v>
      </c>
    </row>
    <row r="115" customFormat="false" ht="15" hidden="false" customHeight="false" outlineLevel="0" collapsed="false">
      <c r="A115" s="2" t="s">
        <v>441</v>
      </c>
      <c r="F115" s="86" t="n">
        <f aca="false">(F92-((D92+G92)-(E92+H92))*K92)/E92</f>
        <v>-0.00348556978856813</v>
      </c>
    </row>
    <row r="116" customFormat="false" ht="15" hidden="false" customHeight="false" outlineLevel="0" collapsed="false">
      <c r="A116" s="2" t="s">
        <v>442</v>
      </c>
      <c r="F116" s="86" t="n">
        <f aca="false">(I92-((D92+G92)-(E92+H92))*(1-K92))/H92</f>
        <v>0.00362537388578632</v>
      </c>
    </row>
    <row r="118" customFormat="false" ht="15" hidden="false" customHeight="false" outlineLevel="0" collapsed="false">
      <c r="U118" s="5" t="s">
        <v>166</v>
      </c>
    </row>
    <row r="119" customFormat="false" ht="28.35" hidden="false" customHeight="false" outlineLevel="0" collapsed="false">
      <c r="U119" s="76" t="s">
        <v>458</v>
      </c>
    </row>
    <row r="120" customFormat="false" ht="15" hidden="false" customHeight="false" outlineLevel="0" collapsed="false">
      <c r="U120" s="76" t="s">
        <v>444</v>
      </c>
    </row>
    <row r="121" customFormat="false" ht="55.2" hidden="false" customHeight="false" outlineLevel="0" collapsed="false">
      <c r="U121" s="76" t="s">
        <v>465</v>
      </c>
    </row>
    <row r="122" customFormat="false" ht="15" hidden="false" customHeight="false" outlineLevel="0" collapsed="false">
      <c r="U122" s="76" t="s">
        <v>459</v>
      </c>
    </row>
    <row r="123" customFormat="false" ht="41.75" hidden="false" customHeight="false" outlineLevel="0" collapsed="false">
      <c r="U123" s="76" t="s">
        <v>460</v>
      </c>
    </row>
    <row r="124" customFormat="false" ht="28.35" hidden="false" customHeight="false" outlineLevel="0" collapsed="false">
      <c r="U124" s="76" t="s">
        <v>461</v>
      </c>
    </row>
    <row r="125" customFormat="false" ht="28.35" hidden="false" customHeight="false" outlineLevel="0" collapsed="false">
      <c r="U125" s="76" t="s">
        <v>449</v>
      </c>
    </row>
    <row r="126" customFormat="false" ht="41.75" hidden="false" customHeight="false" outlineLevel="0" collapsed="false">
      <c r="U126" s="76" t="s">
        <v>462</v>
      </c>
    </row>
    <row r="127" customFormat="false" ht="15" hidden="false" customHeight="false" outlineLevel="0" collapsed="false">
      <c r="U127" s="76" t="s">
        <v>463</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466</v>
      </c>
      <c r="N1" s="8" t="s">
        <v>467</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203</v>
      </c>
      <c r="E2" s="66" t="n">
        <v>171</v>
      </c>
      <c r="F2" s="77" t="n">
        <f aca="false">IF(E2="","",D2-E2)</f>
        <v>32</v>
      </c>
      <c r="G2" s="66" t="n">
        <v>333</v>
      </c>
      <c r="H2" s="66" t="n">
        <v>332</v>
      </c>
      <c r="I2" s="77" t="n">
        <f aca="false">IF(H2="","",G2-H2)</f>
        <v>1</v>
      </c>
      <c r="J2" s="47" t="n">
        <f aca="false">IF(OR(D2="",D2+G2=0),"",D2/(D2+G2))</f>
        <v>0.378731343283582</v>
      </c>
      <c r="K2" s="47" t="n">
        <f aca="false">IF(E2="","",E2/(E2+H2))</f>
        <v>0.339960238568589</v>
      </c>
      <c r="L2" s="78" t="n">
        <f aca="false">IF(OR(K2="",J2=""),"",(J2-K2)*100)</f>
        <v>3.87711047149936</v>
      </c>
      <c r="M2" s="36" t="n">
        <v>2.6727769877146</v>
      </c>
      <c r="N2" s="36" t="n">
        <v>0.321380629327618</v>
      </c>
      <c r="O2" s="36" t="n">
        <f aca="false">SQRT(M2^2+N2^2)</f>
        <v>2.69202940826503</v>
      </c>
      <c r="P2" s="47" t="n">
        <f aca="false">IF(J2="","",MAX(0,J2-1.96*O2/100))</f>
        <v>0.325967566881588</v>
      </c>
      <c r="Q2" s="47" t="n">
        <f aca="false">IF(J2="","",MIN(1,J2+1.96*O2/100))</f>
        <v>0.431495119685577</v>
      </c>
      <c r="R2" s="32" t="str">
        <f aca="false">IF(L2="","",IF(ABS(L2)&lt;=O2,"Yes","No"))</f>
        <v>No</v>
      </c>
      <c r="S2" s="32" t="str">
        <f aca="false">IF(L2="","",IF(ABS(L2)&lt;=1.96*O2,"Yes","No"))</f>
        <v>Yes</v>
      </c>
      <c r="T2" s="66" t="n">
        <f aca="false">IF(D2="","",ROUND(SQRT(((D2+G2)*O2/100)^2+(J2*(D2+G2)*0.07717)^2),0))</f>
        <v>21</v>
      </c>
      <c r="U2" s="32" t="s">
        <v>468</v>
      </c>
    </row>
    <row r="3" customFormat="false" ht="15" hidden="false" customHeight="false" outlineLevel="0" collapsed="false">
      <c r="A3" s="32" t="s">
        <v>189</v>
      </c>
      <c r="B3" s="32" t="s">
        <v>195</v>
      </c>
      <c r="C3" s="32" t="s">
        <v>191</v>
      </c>
      <c r="D3" s="66" t="n">
        <v>126</v>
      </c>
      <c r="E3" s="66" t="n">
        <v>100</v>
      </c>
      <c r="F3" s="77" t="n">
        <f aca="false">IF(E3="","",D3-E3)</f>
        <v>26</v>
      </c>
      <c r="G3" s="66" t="n">
        <v>291</v>
      </c>
      <c r="H3" s="66" t="n">
        <v>303</v>
      </c>
      <c r="I3" s="77" t="n">
        <f aca="false">IF(H3="","",G3-H3)</f>
        <v>-12</v>
      </c>
      <c r="J3" s="47" t="n">
        <f aca="false">IF(OR(D3="",D3+G3=0),"",D3/(D3+G3))</f>
        <v>0.302158273381295</v>
      </c>
      <c r="K3" s="47" t="n">
        <f aca="false">IF(E3="","",E3/(E3+H3))</f>
        <v>0.248138957816377</v>
      </c>
      <c r="L3" s="78" t="n">
        <f aca="false">IF(OR(K3="",J3=""),"",(J3-K3)*100)</f>
        <v>5.40193155649178</v>
      </c>
      <c r="M3" s="36" t="n">
        <v>2.6727769877146</v>
      </c>
      <c r="N3" s="36" t="n">
        <v>0.321380629327618</v>
      </c>
      <c r="O3" s="36" t="n">
        <f aca="false">SQRT(M3^2+N3^2)</f>
        <v>2.69202940826503</v>
      </c>
      <c r="P3" s="47" t="n">
        <f aca="false">IF(J3="","",MAX(0,J3-1.96*O3/100))</f>
        <v>0.2493944969793</v>
      </c>
      <c r="Q3" s="47" t="n">
        <f aca="false">IF(J3="","",MIN(1,J3+1.96*O3/100))</f>
        <v>0.35492204978329</v>
      </c>
      <c r="R3" s="32" t="str">
        <f aca="false">IF(L3="","",IF(ABS(L3)&lt;=O3,"Yes","No"))</f>
        <v>No</v>
      </c>
      <c r="S3" s="32" t="str">
        <f aca="false">IF(L3="","",IF(ABS(L3)&lt;=1.96*O3,"Yes","No"))</f>
        <v>No</v>
      </c>
      <c r="T3" s="66" t="n">
        <f aca="false">IF(D3="","",ROUND(SQRT(((D3+G3)*O3/100)^2+(J3*(D3+G3)*0.07717)^2),0))</f>
        <v>15</v>
      </c>
      <c r="U3" s="32" t="s">
        <v>468</v>
      </c>
    </row>
    <row r="4" customFormat="false" ht="15" hidden="false" customHeight="false" outlineLevel="0" collapsed="false">
      <c r="A4" s="32" t="s">
        <v>189</v>
      </c>
      <c r="B4" s="32" t="s">
        <v>196</v>
      </c>
      <c r="C4" s="32" t="s">
        <v>191</v>
      </c>
      <c r="D4" s="66" t="n">
        <v>173</v>
      </c>
      <c r="E4" s="66" t="n">
        <v>111</v>
      </c>
      <c r="F4" s="77" t="n">
        <f aca="false">IF(E4="","",D4-E4)</f>
        <v>62</v>
      </c>
      <c r="G4" s="66" t="n">
        <v>309</v>
      </c>
      <c r="H4" s="66" t="n">
        <v>317</v>
      </c>
      <c r="I4" s="77" t="n">
        <f aca="false">IF(H4="","",G4-H4)</f>
        <v>-8</v>
      </c>
      <c r="J4" s="47" t="n">
        <f aca="false">IF(OR(D4="",D4+G4=0),"",D4/(D4+G4))</f>
        <v>0.358921161825726</v>
      </c>
      <c r="K4" s="47" t="n">
        <f aca="false">IF(E4="","",E4/(E4+H4))</f>
        <v>0.259345794392523</v>
      </c>
      <c r="L4" s="78" t="n">
        <f aca="false">IF(OR(K4="",J4=""),"",(J4-K4)*100)</f>
        <v>9.95753674332028</v>
      </c>
      <c r="M4" s="36" t="n">
        <v>2.6727769877146</v>
      </c>
      <c r="N4" s="36" t="n">
        <v>0.321380629327618</v>
      </c>
      <c r="O4" s="36" t="n">
        <f aca="false">SQRT(M4^2+N4^2)</f>
        <v>2.69202940826503</v>
      </c>
      <c r="P4" s="47" t="n">
        <f aca="false">IF(J4="","",MAX(0,J4-1.96*O4/100))</f>
        <v>0.306157385423732</v>
      </c>
      <c r="Q4" s="47" t="n">
        <f aca="false">IF(J4="","",MIN(1,J4+1.96*O4/100))</f>
        <v>0.411684938227721</v>
      </c>
      <c r="R4" s="32" t="str">
        <f aca="false">IF(L4="","",IF(ABS(L4)&lt;=O4,"Yes","No"))</f>
        <v>No</v>
      </c>
      <c r="S4" s="32" t="str">
        <f aca="false">IF(L4="","",IF(ABS(L4)&lt;=1.96*O4,"Yes","No"))</f>
        <v>No</v>
      </c>
      <c r="T4" s="66" t="n">
        <f aca="false">IF(D4="","",ROUND(SQRT(((D4+G4)*O4/100)^2+(J4*(D4+G4)*0.07717)^2),0))</f>
        <v>19</v>
      </c>
      <c r="U4" s="32" t="s">
        <v>468</v>
      </c>
    </row>
    <row r="5" customFormat="false" ht="15" hidden="false" customHeight="false" outlineLevel="0" collapsed="false">
      <c r="A5" s="32" t="s">
        <v>189</v>
      </c>
      <c r="B5" s="32" t="s">
        <v>197</v>
      </c>
      <c r="C5" s="32" t="s">
        <v>191</v>
      </c>
      <c r="D5" s="66" t="n">
        <v>515</v>
      </c>
      <c r="E5" s="66" t="n">
        <v>390</v>
      </c>
      <c r="F5" s="77" t="n">
        <f aca="false">IF(E5="","",D5-E5)</f>
        <v>125</v>
      </c>
      <c r="G5" s="66" t="n">
        <v>1170</v>
      </c>
      <c r="H5" s="66" t="n">
        <v>1180</v>
      </c>
      <c r="I5" s="77" t="n">
        <f aca="false">IF(H5="","",G5-H5)</f>
        <v>-10</v>
      </c>
      <c r="J5" s="47" t="n">
        <f aca="false">IF(OR(D5="",D5+G5=0),"",D5/(D5+G5))</f>
        <v>0.305637982195846</v>
      </c>
      <c r="K5" s="47" t="n">
        <f aca="false">IF(E5="","",E5/(E5+H5))</f>
        <v>0.248407643312102</v>
      </c>
      <c r="L5" s="78" t="n">
        <f aca="false">IF(OR(K5="",J5=""),"",(J5-K5)*100)</f>
        <v>5.72303388837438</v>
      </c>
      <c r="M5" s="36" t="n">
        <v>1.3830443510296</v>
      </c>
      <c r="N5" s="36" t="n">
        <v>0.321380629327618</v>
      </c>
      <c r="O5" s="36" t="n">
        <f aca="false">SQRT(M5^2+N5^2)</f>
        <v>1.41989337128599</v>
      </c>
      <c r="P5" s="47" t="n">
        <f aca="false">IF(J5="","",MAX(0,J5-1.96*O5/100))</f>
        <v>0.27780807211864</v>
      </c>
      <c r="Q5" s="47" t="n">
        <f aca="false">IF(J5="","",MIN(1,J5+1.96*O5/100))</f>
        <v>0.333467892273051</v>
      </c>
      <c r="R5" s="32" t="str">
        <f aca="false">IF(L5="","",IF(ABS(L5)&lt;=O5,"Yes","No"))</f>
        <v>No</v>
      </c>
      <c r="S5" s="32" t="str">
        <f aca="false">IF(L5="","",IF(ABS(L5)&lt;=1.96*O5,"Yes","No"))</f>
        <v>No</v>
      </c>
      <c r="T5" s="66" t="n">
        <f aca="false">IF(D5="","",ROUND(SQRT(((D5+G5)*O5/100)^2+(J5*(D5+G5)*0.05992)^2),0))</f>
        <v>39</v>
      </c>
      <c r="U5" s="32" t="s">
        <v>468</v>
      </c>
    </row>
    <row r="6" customFormat="false" ht="15" hidden="false" customHeight="false" outlineLevel="0" collapsed="false">
      <c r="A6" s="32" t="s">
        <v>189</v>
      </c>
      <c r="B6" s="32" t="s">
        <v>199</v>
      </c>
      <c r="C6" s="32" t="s">
        <v>191</v>
      </c>
      <c r="D6" s="66" t="n">
        <v>48</v>
      </c>
      <c r="E6" s="66" t="n">
        <v>47</v>
      </c>
      <c r="F6" s="77" t="n">
        <f aca="false">IF(E6="","",D6-E6)</f>
        <v>1</v>
      </c>
      <c r="G6" s="66" t="n">
        <v>78</v>
      </c>
      <c r="H6" s="66" t="n">
        <v>74</v>
      </c>
      <c r="I6" s="77" t="n">
        <f aca="false">IF(H6="","",G6-H6)</f>
        <v>4</v>
      </c>
      <c r="J6" s="47" t="n">
        <f aca="false">IF(OR(D6="",D6+G6=0),"",D6/(D6+G6))</f>
        <v>0.380952380952381</v>
      </c>
      <c r="K6" s="47" t="n">
        <f aca="false">IF(E6="","",E6/(E6+H6))</f>
        <v>0.388429752066116</v>
      </c>
      <c r="L6" s="78" t="n">
        <f aca="false">IF(OR(K6="",J6=""),"",(J6-K6)*100)</f>
        <v>-0.747737111373475</v>
      </c>
      <c r="M6" s="36" t="n">
        <v>2.6727769877146</v>
      </c>
      <c r="N6" s="36" t="n">
        <v>0.321380629327618</v>
      </c>
      <c r="O6" s="36" t="n">
        <f aca="false">SQRT(M6^2+N6^2)</f>
        <v>2.69202940826503</v>
      </c>
      <c r="P6" s="47" t="n">
        <f aca="false">IF(J6="","",MAX(0,J6-1.96*O6/100))</f>
        <v>0.328188604550386</v>
      </c>
      <c r="Q6" s="47" t="n">
        <f aca="false">IF(J6="","",MIN(1,J6+1.96*O6/100))</f>
        <v>0.433716157354375</v>
      </c>
      <c r="R6" s="32" t="str">
        <f aca="false">IF(L6="","",IF(ABS(L6)&lt;=O6,"Yes","No"))</f>
        <v>Yes</v>
      </c>
      <c r="S6" s="32" t="str">
        <f aca="false">IF(L6="","",IF(ABS(L6)&lt;=1.96*O6,"Yes","No"))</f>
        <v>Yes</v>
      </c>
      <c r="T6" s="66" t="n">
        <f aca="false">IF(D6="","",ROUND(SQRT(((D6+G6)*O6/100)^2+(J6*(D6+G6)*0.07717)^2),0))</f>
        <v>5</v>
      </c>
      <c r="U6" s="32" t="s">
        <v>468</v>
      </c>
    </row>
    <row r="7" customFormat="false" ht="15" hidden="false" customHeight="false" outlineLevel="0" collapsed="false">
      <c r="A7" s="32" t="s">
        <v>189</v>
      </c>
      <c r="B7" s="32" t="s">
        <v>200</v>
      </c>
      <c r="C7" s="32" t="s">
        <v>191</v>
      </c>
      <c r="D7" s="66" t="n">
        <v>791</v>
      </c>
      <c r="E7" s="66" t="n">
        <v>631</v>
      </c>
      <c r="F7" s="77" t="n">
        <f aca="false">IF(E7="","",D7-E7)</f>
        <v>160</v>
      </c>
      <c r="G7" s="66" t="n">
        <v>1791</v>
      </c>
      <c r="H7" s="66" t="n">
        <v>1828</v>
      </c>
      <c r="I7" s="77" t="n">
        <f aca="false">IF(H7="","",G7-H7)</f>
        <v>-37</v>
      </c>
      <c r="J7" s="47" t="n">
        <f aca="false">IF(OR(D7="",D7+G7=0),"",D7/(D7+G7))</f>
        <v>0.306351665375678</v>
      </c>
      <c r="K7" s="47" t="n">
        <f aca="false">IF(E7="","",E7/(E7+H7))</f>
        <v>0.256608377389183</v>
      </c>
      <c r="L7" s="78" t="n">
        <f aca="false">IF(OR(K7="",J7=""),"",(J7-K7)*100)</f>
        <v>4.97432879864952</v>
      </c>
      <c r="M7" s="36" t="n">
        <v>1.3830443510296</v>
      </c>
      <c r="N7" s="36" t="n">
        <v>0.321380629327618</v>
      </c>
      <c r="O7" s="36" t="n">
        <f aca="false">SQRT(M7^2+N7^2)</f>
        <v>1.41989337128599</v>
      </c>
      <c r="P7" s="47" t="n">
        <f aca="false">IF(J7="","",MAX(0,J7-1.96*O7/100))</f>
        <v>0.278521755298472</v>
      </c>
      <c r="Q7" s="47" t="n">
        <f aca="false">IF(J7="","",MIN(1,J7+1.96*O7/100))</f>
        <v>0.334181575452883</v>
      </c>
      <c r="R7" s="32" t="str">
        <f aca="false">IF(L7="","",IF(ABS(L7)&lt;=O7,"Yes","No"))</f>
        <v>No</v>
      </c>
      <c r="S7" s="32" t="str">
        <f aca="false">IF(L7="","",IF(ABS(L7)&lt;=1.96*O7,"Yes","No"))</f>
        <v>No</v>
      </c>
      <c r="T7" s="66" t="n">
        <f aca="false">IF(D7="","",ROUND(SQRT(((D7+G7)*O7/100)^2+(J7*(D7+G7)*0.05992)^2),0))</f>
        <v>60</v>
      </c>
      <c r="U7" s="32" t="s">
        <v>468</v>
      </c>
    </row>
    <row r="8" customFormat="false" ht="15" hidden="false" customHeight="false" outlineLevel="0" collapsed="false">
      <c r="A8" s="32" t="s">
        <v>189</v>
      </c>
      <c r="B8" s="32" t="s">
        <v>201</v>
      </c>
      <c r="C8" s="32" t="s">
        <v>191</v>
      </c>
      <c r="D8" s="66" t="n">
        <v>1245</v>
      </c>
      <c r="E8" s="66" t="n">
        <v>1060</v>
      </c>
      <c r="F8" s="77" t="n">
        <f aca="false">IF(E8="","",D8-E8)</f>
        <v>185</v>
      </c>
      <c r="G8" s="66" t="n">
        <v>1502</v>
      </c>
      <c r="H8" s="66" t="n">
        <v>1517</v>
      </c>
      <c r="I8" s="77" t="n">
        <f aca="false">IF(H8="","",G8-H8)</f>
        <v>-15</v>
      </c>
      <c r="J8" s="47" t="n">
        <f aca="false">IF(OR(D8="",D8+G8=0),"",D8/(D8+G8))</f>
        <v>0.453221696396068</v>
      </c>
      <c r="K8" s="47" t="n">
        <f aca="false">IF(E8="","",E8/(E8+H8))</f>
        <v>0.411331005044626</v>
      </c>
      <c r="L8" s="78" t="n">
        <f aca="false">IF(OR(K8="",J8=""),"",(J8-K8)*100)</f>
        <v>4.18906913514429</v>
      </c>
      <c r="M8" s="36" t="n">
        <v>1.3830443510296</v>
      </c>
      <c r="N8" s="36" t="n">
        <v>0.321380629327618</v>
      </c>
      <c r="O8" s="36" t="n">
        <f aca="false">SQRT(M8^2+N8^2)</f>
        <v>1.41989337128599</v>
      </c>
      <c r="P8" s="47" t="n">
        <f aca="false">IF(J8="","",MAX(0,J8-1.96*O8/100))</f>
        <v>0.425391786318863</v>
      </c>
      <c r="Q8" s="47" t="n">
        <f aca="false">IF(J8="","",MIN(1,J8+1.96*O8/100))</f>
        <v>0.481051606473274</v>
      </c>
      <c r="R8" s="32" t="str">
        <f aca="false">IF(L8="","",IF(ABS(L8)&lt;=O8,"Yes","No"))</f>
        <v>No</v>
      </c>
      <c r="S8" s="32" t="str">
        <f aca="false">IF(L8="","",IF(ABS(L8)&lt;=1.96*O8,"Yes","No"))</f>
        <v>No</v>
      </c>
      <c r="T8" s="66" t="n">
        <f aca="false">IF(D8="","",ROUND(SQRT(((D8+G8)*O8/100)^2+(J8*(D8+G8)*0.05992)^2),0))</f>
        <v>84</v>
      </c>
      <c r="U8" s="32" t="s">
        <v>468</v>
      </c>
    </row>
    <row r="9" customFormat="false" ht="15" hidden="false" customHeight="false" outlineLevel="0" collapsed="false">
      <c r="A9" s="32" t="s">
        <v>189</v>
      </c>
      <c r="B9" s="32" t="s">
        <v>202</v>
      </c>
      <c r="C9" s="32" t="s">
        <v>191</v>
      </c>
      <c r="D9" s="66" t="n">
        <v>390</v>
      </c>
      <c r="E9" s="66" t="n">
        <v>335</v>
      </c>
      <c r="F9" s="77" t="n">
        <f aca="false">IF(E9="","",D9-E9)</f>
        <v>55</v>
      </c>
      <c r="G9" s="66" t="n">
        <v>724</v>
      </c>
      <c r="H9" s="66" t="n">
        <v>766</v>
      </c>
      <c r="I9" s="77" t="n">
        <f aca="false">IF(H9="","",G9-H9)</f>
        <v>-42</v>
      </c>
      <c r="J9" s="47" t="n">
        <f aca="false">IF(OR(D9="",D9+G9=0),"",D9/(D9+G9))</f>
        <v>0.350089766606822</v>
      </c>
      <c r="K9" s="47" t="n">
        <f aca="false">IF(E9="","",E9/(E9+H9))</f>
        <v>0.304268846503179</v>
      </c>
      <c r="L9" s="78" t="n">
        <f aca="false">IF(OR(K9="",J9=""),"",(J9-K9)*100)</f>
        <v>4.58209201036434</v>
      </c>
      <c r="M9" s="36" t="n">
        <v>2.6727769877146</v>
      </c>
      <c r="N9" s="36" t="n">
        <v>0.321380629327618</v>
      </c>
      <c r="O9" s="36" t="n">
        <f aca="false">SQRT(M9^2+N9^2)</f>
        <v>2.69202940826503</v>
      </c>
      <c r="P9" s="47" t="n">
        <f aca="false">IF(J9="","",MAX(0,J9-1.96*O9/100))</f>
        <v>0.297325990204828</v>
      </c>
      <c r="Q9" s="47" t="n">
        <f aca="false">IF(J9="","",MIN(1,J9+1.96*O9/100))</f>
        <v>0.402853543008817</v>
      </c>
      <c r="R9" s="32" t="str">
        <f aca="false">IF(L9="","",IF(ABS(L9)&lt;=O9,"Yes","No"))</f>
        <v>No</v>
      </c>
      <c r="S9" s="32" t="str">
        <f aca="false">IF(L9="","",IF(ABS(L9)&lt;=1.96*O9,"Yes","No"))</f>
        <v>Yes</v>
      </c>
      <c r="T9" s="66" t="n">
        <f aca="false">IF(D9="","",ROUND(SQRT(((D9+G9)*O9/100)^2+(J9*(D9+G9)*0.07717)^2),0))</f>
        <v>42</v>
      </c>
      <c r="U9" s="32" t="s">
        <v>468</v>
      </c>
    </row>
    <row r="10" customFormat="false" ht="15" hidden="false" customHeight="false" outlineLevel="0" collapsed="false">
      <c r="A10" s="32" t="s">
        <v>189</v>
      </c>
      <c r="B10" s="32" t="s">
        <v>203</v>
      </c>
      <c r="C10" s="32" t="s">
        <v>191</v>
      </c>
      <c r="D10" s="66" t="n">
        <v>673</v>
      </c>
      <c r="E10" s="66" t="n">
        <v>614</v>
      </c>
      <c r="F10" s="77" t="n">
        <f aca="false">IF(E10="","",D10-E10)</f>
        <v>59</v>
      </c>
      <c r="G10" s="66" t="n">
        <v>835</v>
      </c>
      <c r="H10" s="66" t="n">
        <v>846</v>
      </c>
      <c r="I10" s="77" t="n">
        <f aca="false">IF(H10="","",G10-H10)</f>
        <v>-11</v>
      </c>
      <c r="J10" s="47" t="n">
        <f aca="false">IF(OR(D10="",D10+G10=0),"",D10/(D10+G10))</f>
        <v>0.446286472148541</v>
      </c>
      <c r="K10" s="47" t="n">
        <f aca="false">IF(E10="","",E10/(E10+H10))</f>
        <v>0.420547945205479</v>
      </c>
      <c r="L10" s="78" t="n">
        <f aca="false">IF(OR(K10="",J10=""),"",(J10-K10)*100)</f>
        <v>2.57385269430617</v>
      </c>
      <c r="M10" s="36" t="n">
        <v>2.6727769877146</v>
      </c>
      <c r="N10" s="36" t="n">
        <v>0.321380629327618</v>
      </c>
      <c r="O10" s="36" t="n">
        <f aca="false">SQRT(M10^2+N10^2)</f>
        <v>2.69202940826503</v>
      </c>
      <c r="P10" s="47" t="n">
        <f aca="false">IF(J10="","",MAX(0,J10-1.96*O10/100))</f>
        <v>0.393522695746547</v>
      </c>
      <c r="Q10" s="47" t="n">
        <f aca="false">IF(J10="","",MIN(1,J10+1.96*O10/100))</f>
        <v>0.499050248550536</v>
      </c>
      <c r="R10" s="32" t="str">
        <f aca="false">IF(L10="","",IF(ABS(L10)&lt;=O10,"Yes","No"))</f>
        <v>Yes</v>
      </c>
      <c r="S10" s="32" t="str">
        <f aca="false">IF(L10="","",IF(ABS(L10)&lt;=1.96*O10,"Yes","No"))</f>
        <v>Yes</v>
      </c>
      <c r="T10" s="66" t="n">
        <f aca="false">IF(D10="","",ROUND(SQRT(((D10+G10)*O10/100)^2+(J10*(D10+G10)*0.07717)^2),0))</f>
        <v>66</v>
      </c>
      <c r="U10" s="32" t="s">
        <v>468</v>
      </c>
    </row>
    <row r="11" customFormat="false" ht="15" hidden="false" customHeight="false" outlineLevel="0" collapsed="false">
      <c r="A11" s="32" t="s">
        <v>189</v>
      </c>
      <c r="B11" s="32" t="s">
        <v>204</v>
      </c>
      <c r="C11" s="32" t="s">
        <v>191</v>
      </c>
      <c r="D11" s="66" t="n">
        <v>45</v>
      </c>
      <c r="E11" s="66" t="n">
        <v>42</v>
      </c>
      <c r="F11" s="77" t="n">
        <f aca="false">IF(E11="","",D11-E11)</f>
        <v>3</v>
      </c>
      <c r="G11" s="66" t="n">
        <v>102</v>
      </c>
      <c r="H11" s="66" t="n">
        <v>99</v>
      </c>
      <c r="I11" s="77" t="n">
        <f aca="false">IF(H11="","",G11-H11)</f>
        <v>3</v>
      </c>
      <c r="J11" s="47" t="n">
        <f aca="false">IF(OR(D11="",D11+G11=0),"",D11/(D11+G11))</f>
        <v>0.306122448979592</v>
      </c>
      <c r="K11" s="47" t="n">
        <f aca="false">IF(E11="","",E11/(E11+H11))</f>
        <v>0.297872340425532</v>
      </c>
      <c r="L11" s="78" t="n">
        <f aca="false">IF(OR(K11="",J11=""),"",(J11-K11)*100)</f>
        <v>0.825010855405994</v>
      </c>
      <c r="M11" s="36" t="n">
        <v>2.6727769877146</v>
      </c>
      <c r="N11" s="36" t="n">
        <v>0.321380629327618</v>
      </c>
      <c r="O11" s="36" t="n">
        <f aca="false">SQRT(M11^2+N11^2)</f>
        <v>2.69202940826503</v>
      </c>
      <c r="P11" s="47" t="n">
        <f aca="false">IF(J11="","",MAX(0,J11-1.96*O11/100))</f>
        <v>0.253358672577597</v>
      </c>
      <c r="Q11" s="47" t="n">
        <f aca="false">IF(J11="","",MIN(1,J11+1.96*O11/100))</f>
        <v>0.358886225381586</v>
      </c>
      <c r="R11" s="32" t="str">
        <f aca="false">IF(L11="","",IF(ABS(L11)&lt;=O11,"Yes","No"))</f>
        <v>Yes</v>
      </c>
      <c r="S11" s="32" t="str">
        <f aca="false">IF(L11="","",IF(ABS(L11)&lt;=1.96*O11,"Yes","No"))</f>
        <v>Yes</v>
      </c>
      <c r="T11" s="66" t="n">
        <f aca="false">IF(D11="","",ROUND(SQRT(((D11+G11)*O11/100)^2+(J11*(D11+G11)*0.07717)^2),0))</f>
        <v>5</v>
      </c>
      <c r="U11" s="32" t="s">
        <v>468</v>
      </c>
    </row>
    <row r="12" customFormat="false" ht="15" hidden="false" customHeight="false" outlineLevel="0" collapsed="false">
      <c r="A12" s="32" t="s">
        <v>189</v>
      </c>
      <c r="B12" s="32" t="s">
        <v>205</v>
      </c>
      <c r="C12" s="32" t="s">
        <v>191</v>
      </c>
      <c r="D12" s="66" t="n">
        <v>57</v>
      </c>
      <c r="E12" s="66" t="n">
        <v>51</v>
      </c>
      <c r="F12" s="77" t="n">
        <f aca="false">IF(E12="","",D12-E12)</f>
        <v>6</v>
      </c>
      <c r="G12" s="66" t="n">
        <v>227</v>
      </c>
      <c r="H12" s="66" t="n">
        <v>223</v>
      </c>
      <c r="I12" s="77" t="n">
        <f aca="false">IF(H12="","",G12-H12)</f>
        <v>4</v>
      </c>
      <c r="J12" s="47" t="n">
        <f aca="false">IF(OR(D12="",D12+G12=0),"",D12/(D12+G12))</f>
        <v>0.200704225352113</v>
      </c>
      <c r="K12" s="47" t="n">
        <f aca="false">IF(E12="","",E12/(E12+H12))</f>
        <v>0.186131386861314</v>
      </c>
      <c r="L12" s="78" t="n">
        <f aca="false">IF(OR(K12="",J12=""),"",(J12-K12)*100)</f>
        <v>1.45728384907988</v>
      </c>
      <c r="M12" s="36" t="n">
        <v>2.6727769877146</v>
      </c>
      <c r="N12" s="36" t="n">
        <v>0.321380629327618</v>
      </c>
      <c r="O12" s="36" t="n">
        <f aca="false">SQRT(M12^2+N12^2)</f>
        <v>2.69202940826503</v>
      </c>
      <c r="P12" s="47" t="n">
        <f aca="false">IF(J12="","",MAX(0,J12-1.96*O12/100))</f>
        <v>0.147940448950118</v>
      </c>
      <c r="Q12" s="47" t="n">
        <f aca="false">IF(J12="","",MIN(1,J12+1.96*O12/100))</f>
        <v>0.253468001754107</v>
      </c>
      <c r="R12" s="32" t="str">
        <f aca="false">IF(L12="","",IF(ABS(L12)&lt;=O12,"Yes","No"))</f>
        <v>Yes</v>
      </c>
      <c r="S12" s="32" t="str">
        <f aca="false">IF(L12="","",IF(ABS(L12)&lt;=1.96*O12,"Yes","No"))</f>
        <v>Yes</v>
      </c>
      <c r="T12" s="66" t="n">
        <f aca="false">IF(D12="","",ROUND(SQRT(((D12+G12)*O12/100)^2+(J12*(D12+G12)*0.07717)^2),0))</f>
        <v>9</v>
      </c>
      <c r="U12" s="32" t="s">
        <v>468</v>
      </c>
    </row>
    <row r="13" customFormat="false" ht="15" hidden="false" customHeight="false" outlineLevel="0" collapsed="false">
      <c r="A13" s="32" t="s">
        <v>189</v>
      </c>
      <c r="B13" s="32" t="s">
        <v>206</v>
      </c>
      <c r="C13" s="32" t="s">
        <v>191</v>
      </c>
      <c r="D13" s="66" t="n">
        <v>1050</v>
      </c>
      <c r="E13" s="66" t="n">
        <v>841</v>
      </c>
      <c r="F13" s="77" t="n">
        <f aca="false">IF(E13="","",D13-E13)</f>
        <v>209</v>
      </c>
      <c r="G13" s="66" t="n">
        <v>1366</v>
      </c>
      <c r="H13" s="66" t="n">
        <v>1410</v>
      </c>
      <c r="I13" s="77" t="n">
        <f aca="false">IF(H13="","",G13-H13)</f>
        <v>-44</v>
      </c>
      <c r="J13" s="47" t="n">
        <f aca="false">IF(OR(D13="",D13+G13=0),"",D13/(D13+G13))</f>
        <v>0.434602649006623</v>
      </c>
      <c r="K13" s="47" t="n">
        <f aca="false">IF(E13="","",E13/(E13+H13))</f>
        <v>0.373611728120835</v>
      </c>
      <c r="L13" s="78" t="n">
        <f aca="false">IF(OR(K13="",J13=""),"",(J13-K13)*100)</f>
        <v>6.09909208857873</v>
      </c>
      <c r="M13" s="36" t="n">
        <v>1.3830443510296</v>
      </c>
      <c r="N13" s="36" t="n">
        <v>0.321380629327618</v>
      </c>
      <c r="O13" s="36" t="n">
        <f aca="false">SQRT(M13^2+N13^2)</f>
        <v>1.41989337128599</v>
      </c>
      <c r="P13" s="47" t="n">
        <f aca="false">IF(J13="","",MAX(0,J13-1.96*O13/100))</f>
        <v>0.406772738929417</v>
      </c>
      <c r="Q13" s="47" t="n">
        <f aca="false">IF(J13="","",MIN(1,J13+1.96*O13/100))</f>
        <v>0.462432559083828</v>
      </c>
      <c r="R13" s="32" t="str">
        <f aca="false">IF(L13="","",IF(ABS(L13)&lt;=O13,"Yes","No"))</f>
        <v>No</v>
      </c>
      <c r="S13" s="32" t="str">
        <f aca="false">IF(L13="","",IF(ABS(L13)&lt;=1.96*O13,"Yes","No"))</f>
        <v>No</v>
      </c>
      <c r="T13" s="66" t="n">
        <f aca="false">IF(D13="","",ROUND(SQRT(((D13+G13)*O13/100)^2+(J13*(D13+G13)*0.05992)^2),0))</f>
        <v>72</v>
      </c>
      <c r="U13" s="32" t="s">
        <v>468</v>
      </c>
    </row>
    <row r="14" customFormat="false" ht="15" hidden="false" customHeight="false" outlineLevel="0" collapsed="false">
      <c r="A14" s="32" t="s">
        <v>189</v>
      </c>
      <c r="B14" s="32" t="s">
        <v>207</v>
      </c>
      <c r="C14" s="32" t="s">
        <v>191</v>
      </c>
      <c r="D14" s="66" t="n">
        <v>564</v>
      </c>
      <c r="E14" s="66" t="n">
        <v>489</v>
      </c>
      <c r="F14" s="77" t="n">
        <f aca="false">IF(E14="","",D14-E14)</f>
        <v>75</v>
      </c>
      <c r="G14" s="66" t="n">
        <v>1214</v>
      </c>
      <c r="H14" s="66" t="n">
        <v>1164</v>
      </c>
      <c r="I14" s="77" t="n">
        <f aca="false">IF(H14="","",G14-H14)</f>
        <v>50</v>
      </c>
      <c r="J14" s="47" t="n">
        <f aca="false">IF(OR(D14="",D14+G14=0),"",D14/(D14+G14))</f>
        <v>0.317210348706412</v>
      </c>
      <c r="K14" s="47" t="n">
        <f aca="false">IF(E14="","",E14/(E14+H14))</f>
        <v>0.295825771324864</v>
      </c>
      <c r="L14" s="78" t="n">
        <f aca="false">IF(OR(K14="",J14=""),"",(J14-K14)*100)</f>
        <v>2.13845773815478</v>
      </c>
      <c r="M14" s="36" t="n">
        <v>1.3830443510296</v>
      </c>
      <c r="N14" s="36" t="n">
        <v>0.321380629327618</v>
      </c>
      <c r="O14" s="36" t="n">
        <f aca="false">SQRT(M14^2+N14^2)</f>
        <v>1.41989337128599</v>
      </c>
      <c r="P14" s="47" t="n">
        <f aca="false">IF(J14="","",MAX(0,J14-1.96*O14/100))</f>
        <v>0.289380438629206</v>
      </c>
      <c r="Q14" s="47" t="n">
        <f aca="false">IF(J14="","",MIN(1,J14+1.96*O14/100))</f>
        <v>0.345040258783617</v>
      </c>
      <c r="R14" s="32" t="str">
        <f aca="false">IF(L14="","",IF(ABS(L14)&lt;=O14,"Yes","No"))</f>
        <v>No</v>
      </c>
      <c r="S14" s="32" t="str">
        <f aca="false">IF(L14="","",IF(ABS(L14)&lt;=1.96*O14,"Yes","No"))</f>
        <v>Yes</v>
      </c>
      <c r="T14" s="66" t="n">
        <f aca="false">IF(D14="","",ROUND(SQRT(((D14+G14)*O14/100)^2+(J14*(D14+G14)*0.05992)^2),0))</f>
        <v>42</v>
      </c>
      <c r="U14" s="32" t="s">
        <v>468</v>
      </c>
    </row>
    <row r="15" customFormat="false" ht="15" hidden="false" customHeight="false" outlineLevel="0" collapsed="false">
      <c r="A15" s="32" t="s">
        <v>189</v>
      </c>
      <c r="B15" s="32" t="s">
        <v>208</v>
      </c>
      <c r="C15" s="32" t="s">
        <v>191</v>
      </c>
      <c r="D15" s="66" t="n">
        <v>716</v>
      </c>
      <c r="E15" s="66" t="n">
        <v>563</v>
      </c>
      <c r="F15" s="77" t="n">
        <f aca="false">IF(E15="","",D15-E15)</f>
        <v>153</v>
      </c>
      <c r="G15" s="66" t="n">
        <v>1600</v>
      </c>
      <c r="H15" s="66" t="n">
        <v>1559</v>
      </c>
      <c r="I15" s="77" t="n">
        <f aca="false">IF(H15="","",G15-H15)</f>
        <v>41</v>
      </c>
      <c r="J15" s="47" t="n">
        <f aca="false">IF(OR(D15="",D15+G15=0),"",D15/(D15+G15))</f>
        <v>0.309153713298791</v>
      </c>
      <c r="K15" s="47" t="n">
        <f aca="false">IF(E15="","",E15/(E15+H15))</f>
        <v>0.265315739868049</v>
      </c>
      <c r="L15" s="78" t="n">
        <f aca="false">IF(OR(K15="",J15=""),"",(J15-K15)*100)</f>
        <v>4.3837973430742</v>
      </c>
      <c r="M15" s="36" t="n">
        <v>1.3830443510296</v>
      </c>
      <c r="N15" s="36" t="n">
        <v>0.321380629327618</v>
      </c>
      <c r="O15" s="36" t="n">
        <f aca="false">SQRT(M15^2+N15^2)</f>
        <v>1.41989337128599</v>
      </c>
      <c r="P15" s="47" t="n">
        <f aca="false">IF(J15="","",MAX(0,J15-1.96*O15/100))</f>
        <v>0.281323803221586</v>
      </c>
      <c r="Q15" s="47" t="n">
        <f aca="false">IF(J15="","",MIN(1,J15+1.96*O15/100))</f>
        <v>0.336983623375996</v>
      </c>
      <c r="R15" s="32" t="str">
        <f aca="false">IF(L15="","",IF(ABS(L15)&lt;=O15,"Yes","No"))</f>
        <v>No</v>
      </c>
      <c r="S15" s="32" t="str">
        <f aca="false">IF(L15="","",IF(ABS(L15)&lt;=1.96*O15,"Yes","No"))</f>
        <v>No</v>
      </c>
      <c r="T15" s="66" t="n">
        <f aca="false">IF(D15="","",ROUND(SQRT(((D15+G15)*O15/100)^2+(J15*(D15+G15)*0.05992)^2),0))</f>
        <v>54</v>
      </c>
      <c r="U15" s="32" t="s">
        <v>468</v>
      </c>
    </row>
    <row r="16" customFormat="false" ht="15" hidden="false" customHeight="false" outlineLevel="0" collapsed="false">
      <c r="A16" s="32" t="s">
        <v>189</v>
      </c>
      <c r="B16" s="32" t="s">
        <v>209</v>
      </c>
      <c r="C16" s="32" t="s">
        <v>191</v>
      </c>
      <c r="D16" s="66" t="n">
        <v>702</v>
      </c>
      <c r="E16" s="66" t="n">
        <v>574</v>
      </c>
      <c r="F16" s="77" t="n">
        <f aca="false">IF(E16="","",D16-E16)</f>
        <v>128</v>
      </c>
      <c r="G16" s="66" t="n">
        <v>941</v>
      </c>
      <c r="H16" s="66" t="n">
        <v>963</v>
      </c>
      <c r="I16" s="77" t="n">
        <f aca="false">IF(H16="","",G16-H16)</f>
        <v>-22</v>
      </c>
      <c r="J16" s="47" t="n">
        <f aca="false">IF(OR(D16="",D16+G16=0),"",D16/(D16+G16))</f>
        <v>0.42726719415703</v>
      </c>
      <c r="K16" s="47" t="n">
        <f aca="false">IF(E16="","",E16/(E16+H16))</f>
        <v>0.373454782042941</v>
      </c>
      <c r="L16" s="78" t="n">
        <f aca="false">IF(OR(K16="",J16=""),"",(J16-K16)*100)</f>
        <v>5.38124121140891</v>
      </c>
      <c r="M16" s="36" t="n">
        <v>1.3830443510296</v>
      </c>
      <c r="N16" s="36" t="n">
        <v>0.321380629327618</v>
      </c>
      <c r="O16" s="36" t="n">
        <f aca="false">SQRT(M16^2+N16^2)</f>
        <v>1.41989337128599</v>
      </c>
      <c r="P16" s="47" t="n">
        <f aca="false">IF(J16="","",MAX(0,J16-1.96*O16/100))</f>
        <v>0.399437284079824</v>
      </c>
      <c r="Q16" s="47" t="n">
        <f aca="false">IF(J16="","",MIN(1,J16+1.96*O16/100))</f>
        <v>0.455097104234235</v>
      </c>
      <c r="R16" s="32" t="str">
        <f aca="false">IF(L16="","",IF(ABS(L16)&lt;=O16,"Yes","No"))</f>
        <v>No</v>
      </c>
      <c r="S16" s="32" t="str">
        <f aca="false">IF(L16="","",IF(ABS(L16)&lt;=1.96*O16,"Yes","No"))</f>
        <v>No</v>
      </c>
      <c r="T16" s="66" t="n">
        <f aca="false">IF(D16="","",ROUND(SQRT(((D16+G16)*O16/100)^2+(J16*(D16+G16)*0.05992)^2),0))</f>
        <v>48</v>
      </c>
      <c r="U16" s="32" t="s">
        <v>468</v>
      </c>
    </row>
    <row r="17" customFormat="false" ht="15" hidden="false" customHeight="false" outlineLevel="0" collapsed="false">
      <c r="A17" s="32" t="s">
        <v>189</v>
      </c>
      <c r="B17" s="32" t="s">
        <v>210</v>
      </c>
      <c r="C17" s="32" t="s">
        <v>191</v>
      </c>
      <c r="D17" s="66" t="n">
        <v>136</v>
      </c>
      <c r="E17" s="66" t="n">
        <v>109</v>
      </c>
      <c r="F17" s="77" t="n">
        <f aca="false">IF(E17="","",D17-E17)</f>
        <v>27</v>
      </c>
      <c r="G17" s="66" t="n">
        <v>552</v>
      </c>
      <c r="H17" s="66" t="n">
        <v>531</v>
      </c>
      <c r="I17" s="77" t="n">
        <f aca="false">IF(H17="","",G17-H17)</f>
        <v>21</v>
      </c>
      <c r="J17" s="47" t="n">
        <f aca="false">IF(OR(D17="",D17+G17=0),"",D17/(D17+G17))</f>
        <v>0.197674418604651</v>
      </c>
      <c r="K17" s="47" t="n">
        <f aca="false">IF(E17="","",E17/(E17+H17))</f>
        <v>0.1703125</v>
      </c>
      <c r="L17" s="78" t="n">
        <f aca="false">IF(OR(K17="",J17=""),"",(J17-K17)*100)</f>
        <v>2.73619186046512</v>
      </c>
      <c r="M17" s="36" t="n">
        <v>2.6727769877146</v>
      </c>
      <c r="N17" s="36" t="n">
        <v>0.321380629327618</v>
      </c>
      <c r="O17" s="36" t="n">
        <f aca="false">SQRT(M17^2+N17^2)</f>
        <v>2.69202940826503</v>
      </c>
      <c r="P17" s="47" t="n">
        <f aca="false">IF(J17="","",MAX(0,J17-1.96*O17/100))</f>
        <v>0.144910642202657</v>
      </c>
      <c r="Q17" s="47" t="n">
        <f aca="false">IF(J17="","",MIN(1,J17+1.96*O17/100))</f>
        <v>0.250438195006646</v>
      </c>
      <c r="R17" s="32" t="str">
        <f aca="false">IF(L17="","",IF(ABS(L17)&lt;=O17,"Yes","No"))</f>
        <v>No</v>
      </c>
      <c r="S17" s="32" t="str">
        <f aca="false">IF(L17="","",IF(ABS(L17)&lt;=1.96*O17,"Yes","No"))</f>
        <v>Yes</v>
      </c>
      <c r="T17" s="66" t="n">
        <f aca="false">IF(D17="","",ROUND(SQRT(((D17+G17)*O17/100)^2+(J17*(D17+G17)*0.07717)^2),0))</f>
        <v>21</v>
      </c>
      <c r="U17" s="32" t="s">
        <v>468</v>
      </c>
    </row>
    <row r="18" customFormat="false" ht="15" hidden="false" customHeight="false" outlineLevel="0" collapsed="false">
      <c r="A18" s="32" t="s">
        <v>189</v>
      </c>
      <c r="B18" s="32" t="s">
        <v>211</v>
      </c>
      <c r="C18" s="32" t="s">
        <v>191</v>
      </c>
      <c r="D18" s="66" t="n">
        <v>1054</v>
      </c>
      <c r="E18" s="66" t="n">
        <v>863</v>
      </c>
      <c r="F18" s="77" t="n">
        <f aca="false">IF(E18="","",D18-E18)</f>
        <v>191</v>
      </c>
      <c r="G18" s="66" t="n">
        <v>1644</v>
      </c>
      <c r="H18" s="66" t="n">
        <v>1676</v>
      </c>
      <c r="I18" s="77" t="n">
        <f aca="false">IF(H18="","",G18-H18)</f>
        <v>-32</v>
      </c>
      <c r="J18" s="47" t="n">
        <f aca="false">IF(OR(D18="",D18+G18=0),"",D18/(D18+G18))</f>
        <v>0.390659747961453</v>
      </c>
      <c r="K18" s="47" t="n">
        <f aca="false">IF(E18="","",E18/(E18+H18))</f>
        <v>0.339897597479323</v>
      </c>
      <c r="L18" s="78" t="n">
        <f aca="false">IF(OR(K18="",J18=""),"",(J18-K18)*100)</f>
        <v>5.07621504821303</v>
      </c>
      <c r="M18" s="36" t="n">
        <v>1.3830443510296</v>
      </c>
      <c r="N18" s="36" t="n">
        <v>0.321380629327618</v>
      </c>
      <c r="O18" s="36" t="n">
        <f aca="false">SQRT(M18^2+N18^2)</f>
        <v>1.41989337128599</v>
      </c>
      <c r="P18" s="47" t="n">
        <f aca="false">IF(J18="","",MAX(0,J18-1.96*O18/100))</f>
        <v>0.362829837884248</v>
      </c>
      <c r="Q18" s="47" t="n">
        <f aca="false">IF(J18="","",MIN(1,J18+1.96*O18/100))</f>
        <v>0.418489658038658</v>
      </c>
      <c r="R18" s="32" t="str">
        <f aca="false">IF(L18="","",IF(ABS(L18)&lt;=O18,"Yes","No"))</f>
        <v>No</v>
      </c>
      <c r="S18" s="32" t="str">
        <f aca="false">IF(L18="","",IF(ABS(L18)&lt;=1.96*O18,"Yes","No"))</f>
        <v>No</v>
      </c>
      <c r="T18" s="66" t="n">
        <f aca="false">IF(D18="","",ROUND(SQRT(((D18+G18)*O18/100)^2+(J18*(D18+G18)*0.05992)^2),0))</f>
        <v>74</v>
      </c>
      <c r="U18" s="32" t="s">
        <v>468</v>
      </c>
    </row>
    <row r="19" customFormat="false" ht="15" hidden="false" customHeight="false" outlineLevel="0" collapsed="false">
      <c r="A19" s="32" t="s">
        <v>189</v>
      </c>
      <c r="B19" s="32" t="s">
        <v>212</v>
      </c>
      <c r="C19" s="32" t="s">
        <v>191</v>
      </c>
      <c r="D19" s="66" t="n">
        <v>76</v>
      </c>
      <c r="E19" s="66" t="n">
        <v>52</v>
      </c>
      <c r="F19" s="77" t="n">
        <f aca="false">IF(E19="","",D19-E19)</f>
        <v>24</v>
      </c>
      <c r="G19" s="66" t="n">
        <v>165</v>
      </c>
      <c r="H19" s="66" t="n">
        <v>167</v>
      </c>
      <c r="I19" s="77" t="n">
        <f aca="false">IF(H19="","",G19-H19)</f>
        <v>-2</v>
      </c>
      <c r="J19" s="47" t="n">
        <f aca="false">IF(OR(D19="",D19+G19=0),"",D19/(D19+G19))</f>
        <v>0.315352697095436</v>
      </c>
      <c r="K19" s="47" t="n">
        <f aca="false">IF(E19="","",E19/(E19+H19))</f>
        <v>0.237442922374429</v>
      </c>
      <c r="L19" s="78" t="n">
        <f aca="false">IF(OR(K19="",J19=""),"",(J19-K19)*100)</f>
        <v>7.79097747210065</v>
      </c>
      <c r="M19" s="36" t="n">
        <v>2.6727769877146</v>
      </c>
      <c r="N19" s="36" t="n">
        <v>0.321380629327618</v>
      </c>
      <c r="O19" s="36" t="n">
        <f aca="false">SQRT(M19^2+N19^2)</f>
        <v>2.69202940826503</v>
      </c>
      <c r="P19" s="47" t="n">
        <f aca="false">IF(J19="","",MAX(0,J19-1.96*O19/100))</f>
        <v>0.262588920693441</v>
      </c>
      <c r="Q19" s="47" t="n">
        <f aca="false">IF(J19="","",MIN(1,J19+1.96*O19/100))</f>
        <v>0.36811647349743</v>
      </c>
      <c r="R19" s="32" t="str">
        <f aca="false">IF(L19="","",IF(ABS(L19)&lt;=O19,"Yes","No"))</f>
        <v>No</v>
      </c>
      <c r="S19" s="32" t="str">
        <f aca="false">IF(L19="","",IF(ABS(L19)&lt;=1.96*O19,"Yes","No"))</f>
        <v>No</v>
      </c>
      <c r="T19" s="66" t="n">
        <f aca="false">IF(D19="","",ROUND(SQRT(((D19+G19)*O19/100)^2+(J19*(D19+G19)*0.07717)^2),0))</f>
        <v>9</v>
      </c>
      <c r="U19" s="32" t="s">
        <v>468</v>
      </c>
    </row>
    <row r="20" customFormat="false" ht="15" hidden="false" customHeight="false" outlineLevel="0" collapsed="false">
      <c r="A20" s="32" t="s">
        <v>189</v>
      </c>
      <c r="B20" s="32" t="s">
        <v>213</v>
      </c>
      <c r="C20" s="32" t="s">
        <v>191</v>
      </c>
      <c r="D20" s="66" t="n">
        <v>2279</v>
      </c>
      <c r="E20" s="66" t="n">
        <v>1997</v>
      </c>
      <c r="F20" s="77" t="n">
        <f aca="false">IF(E20="","",D20-E20)</f>
        <v>282</v>
      </c>
      <c r="G20" s="66" t="n">
        <v>3732</v>
      </c>
      <c r="H20" s="66" t="n">
        <v>3474</v>
      </c>
      <c r="I20" s="77" t="n">
        <f aca="false">IF(H20="","",G20-H20)</f>
        <v>258</v>
      </c>
      <c r="J20" s="47" t="n">
        <f aca="false">IF(OR(D20="",D20+G20=0),"",D20/(D20+G20))</f>
        <v>0.379138246547995</v>
      </c>
      <c r="K20" s="47" t="n">
        <f aca="false">IF(E20="","",E20/(E20+H20))</f>
        <v>0.365015536464997</v>
      </c>
      <c r="L20" s="78" t="n">
        <f aca="false">IF(OR(K20="",J20=""),"",(J20-K20)*100)</f>
        <v>1.41227100829981</v>
      </c>
      <c r="M20" s="36" t="n">
        <v>1.44439089223214</v>
      </c>
      <c r="N20" s="36" t="n">
        <v>0.321380629327618</v>
      </c>
      <c r="O20" s="36" t="n">
        <f aca="false">SQRT(M20^2+N20^2)</f>
        <v>1.47971299868257</v>
      </c>
      <c r="P20" s="47" t="n">
        <f aca="false">IF(J20="","",MAX(0,J20-1.96*O20/100))</f>
        <v>0.350135871773817</v>
      </c>
      <c r="Q20" s="47" t="n">
        <f aca="false">IF(J20="","",MIN(1,J20+1.96*O20/100))</f>
        <v>0.408140621322174</v>
      </c>
      <c r="R20" s="32" t="str">
        <f aca="false">IF(L20="","",IF(ABS(L20)&lt;=O20,"Yes","No"))</f>
        <v>Yes</v>
      </c>
      <c r="S20" s="32" t="str">
        <f aca="false">IF(L20="","",IF(ABS(L20)&lt;=1.96*O20,"Yes","No"))</f>
        <v>Yes</v>
      </c>
      <c r="T20" s="66" t="n">
        <f aca="false">IF(D20="","",ROUND(SQRT(((D20+G20)*O20/100)^2+(J20*(D20+G20)*0.05437)^2),0))</f>
        <v>153</v>
      </c>
      <c r="U20" s="32" t="s">
        <v>468</v>
      </c>
    </row>
    <row r="21" customFormat="false" ht="15" hidden="false" customHeight="false" outlineLevel="0" collapsed="false">
      <c r="A21" s="32" t="s">
        <v>189</v>
      </c>
      <c r="B21" s="32" t="s">
        <v>215</v>
      </c>
      <c r="C21" s="32" t="s">
        <v>191</v>
      </c>
      <c r="D21" s="66" t="n">
        <v>715</v>
      </c>
      <c r="E21" s="66" t="n">
        <v>620</v>
      </c>
      <c r="F21" s="77" t="n">
        <f aca="false">IF(E21="","",D21-E21)</f>
        <v>95</v>
      </c>
      <c r="G21" s="66" t="n">
        <v>857</v>
      </c>
      <c r="H21" s="66" t="n">
        <v>917</v>
      </c>
      <c r="I21" s="77" t="n">
        <f aca="false">IF(H21="","",G21-H21)</f>
        <v>-60</v>
      </c>
      <c r="J21" s="47" t="n">
        <f aca="false">IF(OR(D21="",D21+G21=0),"",D21/(D21+G21))</f>
        <v>0.454834605597964</v>
      </c>
      <c r="K21" s="47" t="n">
        <f aca="false">IF(E21="","",E21/(E21+H21))</f>
        <v>0.403383214053351</v>
      </c>
      <c r="L21" s="78" t="n">
        <f aca="false">IF(OR(K21="",J21=""),"",(J21-K21)*100)</f>
        <v>5.14513915446137</v>
      </c>
      <c r="M21" s="36" t="n">
        <v>1.3830443510296</v>
      </c>
      <c r="N21" s="36" t="n">
        <v>0.321380629327618</v>
      </c>
      <c r="O21" s="36" t="n">
        <f aca="false">SQRT(M21^2+N21^2)</f>
        <v>1.41989337128599</v>
      </c>
      <c r="P21" s="47" t="n">
        <f aca="false">IF(J21="","",MAX(0,J21-1.96*O21/100))</f>
        <v>0.427004695520759</v>
      </c>
      <c r="Q21" s="47" t="n">
        <f aca="false">IF(J21="","",MIN(1,J21+1.96*O21/100))</f>
        <v>0.48266451567517</v>
      </c>
      <c r="R21" s="32" t="str">
        <f aca="false">IF(L21="","",IF(ABS(L21)&lt;=O21,"Yes","No"))</f>
        <v>No</v>
      </c>
      <c r="S21" s="32" t="str">
        <f aca="false">IF(L21="","",IF(ABS(L21)&lt;=1.96*O21,"Yes","No"))</f>
        <v>No</v>
      </c>
      <c r="T21" s="66" t="n">
        <f aca="false">IF(D21="","",ROUND(SQRT(((D21+G21)*O21/100)^2+(J21*(D21+G21)*0.05992)^2),0))</f>
        <v>48</v>
      </c>
      <c r="U21" s="32" t="s">
        <v>468</v>
      </c>
    </row>
    <row r="22" customFormat="false" ht="15" hidden="false" customHeight="false" outlineLevel="0" collapsed="false">
      <c r="A22" s="32" t="s">
        <v>189</v>
      </c>
      <c r="B22" s="32" t="s">
        <v>216</v>
      </c>
      <c r="C22" s="32" t="s">
        <v>191</v>
      </c>
      <c r="D22" s="66" t="n">
        <v>849</v>
      </c>
      <c r="E22" s="66" t="n">
        <v>723</v>
      </c>
      <c r="F22" s="77" t="n">
        <f aca="false">IF(E22="","",D22-E22)</f>
        <v>126</v>
      </c>
      <c r="G22" s="66" t="n">
        <v>1877</v>
      </c>
      <c r="H22" s="66" t="n">
        <v>1892</v>
      </c>
      <c r="I22" s="77" t="n">
        <f aca="false">IF(H22="","",G22-H22)</f>
        <v>-15</v>
      </c>
      <c r="J22" s="47" t="n">
        <f aca="false">IF(OR(D22="",D22+G22=0),"",D22/(D22+G22))</f>
        <v>0.311445341159208</v>
      </c>
      <c r="K22" s="47" t="n">
        <f aca="false">IF(E22="","",E22/(E22+H22))</f>
        <v>0.276481835564054</v>
      </c>
      <c r="L22" s="78" t="n">
        <f aca="false">IF(OR(K22="",J22=""),"",(J22-K22)*100)</f>
        <v>3.49635055951541</v>
      </c>
      <c r="M22" s="36" t="n">
        <v>1.3830443510296</v>
      </c>
      <c r="N22" s="36" t="n">
        <v>0.321380629327618</v>
      </c>
      <c r="O22" s="36" t="n">
        <f aca="false">SQRT(M22^2+N22^2)</f>
        <v>1.41989337128599</v>
      </c>
      <c r="P22" s="47" t="n">
        <f aca="false">IF(J22="","",MAX(0,J22-1.96*O22/100))</f>
        <v>0.283615431082002</v>
      </c>
      <c r="Q22" s="47" t="n">
        <f aca="false">IF(J22="","",MIN(1,J22+1.96*O22/100))</f>
        <v>0.339275251236413</v>
      </c>
      <c r="R22" s="32" t="str">
        <f aca="false">IF(L22="","",IF(ABS(L22)&lt;=O22,"Yes","No"))</f>
        <v>No</v>
      </c>
      <c r="S22" s="32" t="str">
        <f aca="false">IF(L22="","",IF(ABS(L22)&lt;=1.96*O22,"Yes","No"))</f>
        <v>No</v>
      </c>
      <c r="T22" s="66" t="n">
        <f aca="false">IF(D22="","",ROUND(SQRT(((D22+G22)*O22/100)^2+(J22*(D22+G22)*0.05992)^2),0))</f>
        <v>64</v>
      </c>
      <c r="U22" s="32" t="s">
        <v>468</v>
      </c>
    </row>
    <row r="23" customFormat="false" ht="15" hidden="false" customHeight="false" outlineLevel="0" collapsed="false">
      <c r="A23" s="32" t="s">
        <v>189</v>
      </c>
      <c r="B23" s="32" t="s">
        <v>217</v>
      </c>
      <c r="C23" s="32" t="s">
        <v>191</v>
      </c>
      <c r="D23" s="66" t="n">
        <v>379</v>
      </c>
      <c r="E23" s="66" t="n">
        <v>323</v>
      </c>
      <c r="F23" s="77" t="n">
        <f aca="false">IF(E23="","",D23-E23)</f>
        <v>56</v>
      </c>
      <c r="G23" s="66" t="n">
        <v>854</v>
      </c>
      <c r="H23" s="66" t="n">
        <v>898</v>
      </c>
      <c r="I23" s="77" t="n">
        <f aca="false">IF(H23="","",G23-H23)</f>
        <v>-44</v>
      </c>
      <c r="J23" s="47" t="n">
        <f aca="false">IF(OR(D23="",D23+G23=0),"",D23/(D23+G23))</f>
        <v>0.307380373073804</v>
      </c>
      <c r="K23" s="47" t="n">
        <f aca="false">IF(E23="","",E23/(E23+H23))</f>
        <v>0.264537264537265</v>
      </c>
      <c r="L23" s="78" t="n">
        <f aca="false">IF(OR(K23="",J23=""),"",(J23-K23)*100)</f>
        <v>4.28431085365392</v>
      </c>
      <c r="M23" s="36" t="n">
        <v>2.6727769877146</v>
      </c>
      <c r="N23" s="36" t="n">
        <v>0.321380629327618</v>
      </c>
      <c r="O23" s="36" t="n">
        <f aca="false">SQRT(M23^2+N23^2)</f>
        <v>2.69202940826503</v>
      </c>
      <c r="P23" s="47" t="n">
        <f aca="false">IF(J23="","",MAX(0,J23-1.96*O23/100))</f>
        <v>0.254616596671809</v>
      </c>
      <c r="Q23" s="47" t="n">
        <f aca="false">IF(J23="","",MIN(1,J23+1.96*O23/100))</f>
        <v>0.360144149475798</v>
      </c>
      <c r="R23" s="32" t="str">
        <f aca="false">IF(L23="","",IF(ABS(L23)&lt;=O23,"Yes","No"))</f>
        <v>No</v>
      </c>
      <c r="S23" s="32" t="str">
        <f aca="false">IF(L23="","",IF(ABS(L23)&lt;=1.96*O23,"Yes","No"))</f>
        <v>Yes</v>
      </c>
      <c r="T23" s="66" t="n">
        <f aca="false">IF(D23="","",ROUND(SQRT(((D23+G23)*O23/100)^2+(J23*(D23+G23)*0.07717)^2),0))</f>
        <v>44</v>
      </c>
      <c r="U23" s="32" t="s">
        <v>468</v>
      </c>
    </row>
    <row r="24" customFormat="false" ht="15" hidden="false" customHeight="false" outlineLevel="0" collapsed="false">
      <c r="A24" s="32" t="s">
        <v>189</v>
      </c>
      <c r="B24" s="32" t="s">
        <v>218</v>
      </c>
      <c r="C24" s="32" t="s">
        <v>191</v>
      </c>
      <c r="D24" s="66" t="n">
        <v>74</v>
      </c>
      <c r="E24" s="66" t="n">
        <v>62</v>
      </c>
      <c r="F24" s="77" t="n">
        <f aca="false">IF(E24="","",D24-E24)</f>
        <v>12</v>
      </c>
      <c r="G24" s="66" t="n">
        <v>100</v>
      </c>
      <c r="H24" s="66" t="n">
        <v>91</v>
      </c>
      <c r="I24" s="77" t="n">
        <f aca="false">IF(H24="","",G24-H24)</f>
        <v>9</v>
      </c>
      <c r="J24" s="47" t="n">
        <f aca="false">IF(OR(D24="",D24+G24=0),"",D24/(D24+G24))</f>
        <v>0.425287356321839</v>
      </c>
      <c r="K24" s="47" t="n">
        <f aca="false">IF(E24="","",E24/(E24+H24))</f>
        <v>0.405228758169935</v>
      </c>
      <c r="L24" s="78" t="n">
        <f aca="false">IF(OR(K24="",J24=""),"",(J24-K24)*100)</f>
        <v>2.00585981519044</v>
      </c>
      <c r="M24" s="36" t="n">
        <v>2.6727769877146</v>
      </c>
      <c r="N24" s="36" t="n">
        <v>0.321380629327618</v>
      </c>
      <c r="O24" s="36" t="n">
        <f aca="false">SQRT(M24^2+N24^2)</f>
        <v>2.69202940826503</v>
      </c>
      <c r="P24" s="47" t="n">
        <f aca="false">IF(J24="","",MAX(0,J24-1.96*O24/100))</f>
        <v>0.372523579919845</v>
      </c>
      <c r="Q24" s="47" t="n">
        <f aca="false">IF(J24="","",MIN(1,J24+1.96*O24/100))</f>
        <v>0.478051132723834</v>
      </c>
      <c r="R24" s="32" t="str">
        <f aca="false">IF(L24="","",IF(ABS(L24)&lt;=O24,"Yes","No"))</f>
        <v>Yes</v>
      </c>
      <c r="S24" s="32" t="str">
        <f aca="false">IF(L24="","",IF(ABS(L24)&lt;=1.96*O24,"Yes","No"))</f>
        <v>Yes</v>
      </c>
      <c r="T24" s="66" t="n">
        <f aca="false">IF(D24="","",ROUND(SQRT(((D24+G24)*O24/100)^2+(J24*(D24+G24)*0.07717)^2),0))</f>
        <v>7</v>
      </c>
      <c r="U24" s="32" t="s">
        <v>468</v>
      </c>
    </row>
    <row r="25" customFormat="false" ht="15" hidden="false" customHeight="false" outlineLevel="0" collapsed="false">
      <c r="A25" s="32" t="s">
        <v>219</v>
      </c>
      <c r="B25" s="32" t="s">
        <v>220</v>
      </c>
      <c r="C25" s="32" t="s">
        <v>191</v>
      </c>
      <c r="D25" s="66" t="n">
        <v>655</v>
      </c>
      <c r="E25" s="66" t="n">
        <v>644</v>
      </c>
      <c r="F25" s="77" t="n">
        <f aca="false">IF(E25="","",D25-E25)</f>
        <v>11</v>
      </c>
      <c r="G25" s="66" t="n">
        <v>678</v>
      </c>
      <c r="H25" s="66" t="n">
        <v>735</v>
      </c>
      <c r="I25" s="77" t="n">
        <f aca="false">IF(H25="","",G25-H25)</f>
        <v>-57</v>
      </c>
      <c r="J25" s="47" t="n">
        <f aca="false">IF(OR(D25="",D25+G25=0),"",D25/(D25+G25))</f>
        <v>0.491372843210803</v>
      </c>
      <c r="K25" s="47" t="n">
        <f aca="false">IF(E25="","",E25/(E25+H25))</f>
        <v>0.467005076142132</v>
      </c>
      <c r="L25" s="78" t="n">
        <f aca="false">IF(OR(K25="",J25=""),"",(J25-K25)*100)</f>
        <v>2.43677670686707</v>
      </c>
      <c r="M25" s="36" t="n">
        <v>2.6727769877146</v>
      </c>
      <c r="N25" s="36" t="n">
        <v>0.321380629327618</v>
      </c>
      <c r="O25" s="36" t="n">
        <f aca="false">SQRT(M25^2+N25^2)</f>
        <v>2.69202940826503</v>
      </c>
      <c r="P25" s="47" t="n">
        <f aca="false">IF(J25="","",MAX(0,J25-1.96*O25/100))</f>
        <v>0.438609066808808</v>
      </c>
      <c r="Q25" s="47" t="n">
        <f aca="false">IF(J25="","",MIN(1,J25+1.96*O25/100))</f>
        <v>0.544136619612797</v>
      </c>
      <c r="R25" s="32" t="str">
        <f aca="false">IF(L25="","",IF(ABS(L25)&lt;=O25,"Yes","No"))</f>
        <v>Yes</v>
      </c>
      <c r="S25" s="32" t="str">
        <f aca="false">IF(L25="","",IF(ABS(L25)&lt;=1.96*O25,"Yes","No"))</f>
        <v>Yes</v>
      </c>
      <c r="T25" s="66" t="n">
        <f aca="false">IF(D25="","",ROUND(SQRT(((D25+G25)*O25/100)^2+(J25*(D25+G25)*0.07717)^2),0))</f>
        <v>62</v>
      </c>
      <c r="U25" s="32"/>
    </row>
    <row r="26" customFormat="false" ht="15" hidden="false" customHeight="false" outlineLevel="0" collapsed="false">
      <c r="A26" s="32" t="s">
        <v>219</v>
      </c>
      <c r="B26" s="32" t="s">
        <v>221</v>
      </c>
      <c r="C26" s="32" t="s">
        <v>191</v>
      </c>
      <c r="D26" s="66" t="n">
        <v>27708</v>
      </c>
      <c r="E26" s="66" t="n">
        <v>27952</v>
      </c>
      <c r="F26" s="77" t="n">
        <f aca="false">IF(E26="","",D26-E26)</f>
        <v>-244</v>
      </c>
      <c r="G26" s="66" t="n">
        <v>12658</v>
      </c>
      <c r="H26" s="66" t="n">
        <v>12938</v>
      </c>
      <c r="I26" s="77" t="n">
        <f aca="false">IF(H26="","",G26-H26)</f>
        <v>-280</v>
      </c>
      <c r="J26" s="47" t="n">
        <f aca="false">IF(OR(D26="",D26+G26=0),"",D26/(D26+G26))</f>
        <v>0.686419263736808</v>
      </c>
      <c r="K26" s="47" t="n">
        <f aca="false">IF(E26="","",E26/(E26+H26))</f>
        <v>0.6835901198337</v>
      </c>
      <c r="L26" s="78" t="n">
        <f aca="false">IF(OR(K26="",J26=""),"",(J26-K26)*100)</f>
        <v>0.282914390310796</v>
      </c>
      <c r="M26" s="36" t="n">
        <v>1.44439089223214</v>
      </c>
      <c r="N26" s="36" t="n">
        <v>0.321380629327618</v>
      </c>
      <c r="O26" s="36" t="n">
        <f aca="false">SQRT(M26^2+N26^2)</f>
        <v>1.47971299868257</v>
      </c>
      <c r="P26" s="47" t="n">
        <f aca="false">IF(J26="","",MAX(0,J26-1.96*O26/100))</f>
        <v>0.65741688896263</v>
      </c>
      <c r="Q26" s="47" t="n">
        <f aca="false">IF(J26="","",MIN(1,J26+1.96*O26/100))</f>
        <v>0.715421638510987</v>
      </c>
      <c r="R26" s="32" t="str">
        <f aca="false">IF(L26="","",IF(ABS(L26)&lt;=O26,"Yes","No"))</f>
        <v>Yes</v>
      </c>
      <c r="S26" s="32" t="str">
        <f aca="false">IF(L26="","",IF(ABS(L26)&lt;=1.96*O26,"Yes","No"))</f>
        <v>Yes</v>
      </c>
      <c r="T26" s="66" t="n">
        <f aca="false">IF(D26="","",ROUND(SQRT(((D26+G26)*O26/100)^2+(J26*(D26+G26)*0.05437)^2),0))</f>
        <v>1621</v>
      </c>
      <c r="U26" s="32"/>
    </row>
    <row r="27" customFormat="false" ht="15" hidden="false" customHeight="false" outlineLevel="0" collapsed="false">
      <c r="A27" s="32" t="s">
        <v>219</v>
      </c>
      <c r="B27" s="32" t="s">
        <v>222</v>
      </c>
      <c r="C27" s="32" t="s">
        <v>191</v>
      </c>
      <c r="D27" s="66" t="n">
        <v>6591</v>
      </c>
      <c r="E27" s="66" t="n">
        <v>6475</v>
      </c>
      <c r="F27" s="77" t="n">
        <f aca="false">IF(E27="","",D27-E27)</f>
        <v>116</v>
      </c>
      <c r="G27" s="66" t="n">
        <v>3481</v>
      </c>
      <c r="H27" s="66" t="n">
        <v>3784</v>
      </c>
      <c r="I27" s="77" t="n">
        <f aca="false">IF(H27="","",G27-H27)</f>
        <v>-303</v>
      </c>
      <c r="J27" s="47" t="n">
        <f aca="false">IF(OR(D27="",D27+G27=0),"",D27/(D27+G27))</f>
        <v>0.654388403494837</v>
      </c>
      <c r="K27" s="47" t="n">
        <f aca="false">IF(E27="","",E27/(E27+H27))</f>
        <v>0.631153133833707</v>
      </c>
      <c r="L27" s="78" t="n">
        <f aca="false">IF(OR(K27="",J27=""),"",(J27-K27)*100)</f>
        <v>2.32352696611302</v>
      </c>
      <c r="M27" s="36" t="n">
        <v>1.44439089223214</v>
      </c>
      <c r="N27" s="36" t="n">
        <v>0.321380629327618</v>
      </c>
      <c r="O27" s="36" t="n">
        <f aca="false">SQRT(M27^2+N27^2)</f>
        <v>1.47971299868257</v>
      </c>
      <c r="P27" s="47" t="n">
        <f aca="false">IF(J27="","",MAX(0,J27-1.96*O27/100))</f>
        <v>0.625386028720659</v>
      </c>
      <c r="Q27" s="47" t="n">
        <f aca="false">IF(J27="","",MIN(1,J27+1.96*O27/100))</f>
        <v>0.683390778269016</v>
      </c>
      <c r="R27" s="32" t="str">
        <f aca="false">IF(L27="","",IF(ABS(L27)&lt;=O27,"Yes","No"))</f>
        <v>No</v>
      </c>
      <c r="S27" s="32" t="str">
        <f aca="false">IF(L27="","",IF(ABS(L27)&lt;=1.96*O27,"Yes","No"))</f>
        <v>Yes</v>
      </c>
      <c r="T27" s="66" t="n">
        <f aca="false">IF(D27="","",ROUND(SQRT(((D27+G27)*O27/100)^2+(J27*(D27+G27)*0.05437)^2),0))</f>
        <v>388</v>
      </c>
      <c r="U27" s="32"/>
    </row>
    <row r="28" customFormat="false" ht="15" hidden="false" customHeight="false" outlineLevel="0" collapsed="false">
      <c r="A28" s="32" t="s">
        <v>219</v>
      </c>
      <c r="B28" s="32" t="s">
        <v>223</v>
      </c>
      <c r="C28" s="32" t="s">
        <v>191</v>
      </c>
      <c r="D28" s="66" t="n">
        <v>1681</v>
      </c>
      <c r="E28" s="66" t="n">
        <v>1582</v>
      </c>
      <c r="F28" s="77" t="n">
        <f aca="false">IF(E28="","",D28-E28)</f>
        <v>99</v>
      </c>
      <c r="G28" s="66" t="n">
        <v>1362</v>
      </c>
      <c r="H28" s="66" t="n">
        <v>1496</v>
      </c>
      <c r="I28" s="77" t="n">
        <f aca="false">IF(H28="","",G28-H28)</f>
        <v>-134</v>
      </c>
      <c r="J28" s="47" t="n">
        <f aca="false">IF(OR(D28="",D28+G28=0),"",D28/(D28+G28))</f>
        <v>0.552415379559645</v>
      </c>
      <c r="K28" s="47" t="n">
        <f aca="false">IF(E28="","",E28/(E28+H28))</f>
        <v>0.513970110461339</v>
      </c>
      <c r="L28" s="78" t="n">
        <f aca="false">IF(OR(K28="",J28=""),"",(J28-K28)*100)</f>
        <v>3.84452690983065</v>
      </c>
      <c r="M28" s="36" t="n">
        <v>1.3830443510296</v>
      </c>
      <c r="N28" s="36" t="n">
        <v>0.321380629327618</v>
      </c>
      <c r="O28" s="36" t="n">
        <f aca="false">SQRT(M28^2+N28^2)</f>
        <v>1.41989337128599</v>
      </c>
      <c r="P28" s="47" t="n">
        <f aca="false">IF(J28="","",MAX(0,J28-1.96*O28/100))</f>
        <v>0.52458546948244</v>
      </c>
      <c r="Q28" s="47" t="n">
        <f aca="false">IF(J28="","",MIN(1,J28+1.96*O28/100))</f>
        <v>0.580245289636851</v>
      </c>
      <c r="R28" s="32" t="str">
        <f aca="false">IF(L28="","",IF(ABS(L28)&lt;=O28,"Yes","No"))</f>
        <v>No</v>
      </c>
      <c r="S28" s="32" t="str">
        <f aca="false">IF(L28="","",IF(ABS(L28)&lt;=1.96*O28,"Yes","No"))</f>
        <v>No</v>
      </c>
      <c r="T28" s="66" t="n">
        <f aca="false">IF(D28="","",ROUND(SQRT(((D28+G28)*O28/100)^2+(J28*(D28+G28)*0.05992)^2),0))</f>
        <v>110</v>
      </c>
      <c r="U28" s="32"/>
    </row>
    <row r="29" customFormat="false" ht="15" hidden="false" customHeight="false" outlineLevel="0" collapsed="false">
      <c r="A29" s="32" t="s">
        <v>219</v>
      </c>
      <c r="B29" s="32" t="s">
        <v>224</v>
      </c>
      <c r="C29" s="32" t="s">
        <v>191</v>
      </c>
      <c r="D29" s="66" t="n">
        <v>735</v>
      </c>
      <c r="E29" s="66" t="n">
        <v>704</v>
      </c>
      <c r="F29" s="77" t="n">
        <f aca="false">IF(E29="","",D29-E29)</f>
        <v>31</v>
      </c>
      <c r="G29" s="66" t="n">
        <v>730</v>
      </c>
      <c r="H29" s="66" t="n">
        <v>791</v>
      </c>
      <c r="I29" s="77" t="n">
        <f aca="false">IF(H29="","",G29-H29)</f>
        <v>-61</v>
      </c>
      <c r="J29" s="47" t="n">
        <f aca="false">IF(OR(D29="",D29+G29=0),"",D29/(D29+G29))</f>
        <v>0.501706484641638</v>
      </c>
      <c r="K29" s="47" t="n">
        <f aca="false">IF(E29="","",E29/(E29+H29))</f>
        <v>0.470903010033445</v>
      </c>
      <c r="L29" s="78" t="n">
        <f aca="false">IF(OR(K29="",J29=""),"",(J29-K29)*100)</f>
        <v>3.08034746081934</v>
      </c>
      <c r="M29" s="36" t="n">
        <v>2.6727769877146</v>
      </c>
      <c r="N29" s="36" t="n">
        <v>0.321380629327618</v>
      </c>
      <c r="O29" s="36" t="n">
        <f aca="false">SQRT(M29^2+N29^2)</f>
        <v>2.69202940826503</v>
      </c>
      <c r="P29" s="47" t="n">
        <f aca="false">IF(J29="","",MAX(0,J29-1.96*O29/100))</f>
        <v>0.448942708239644</v>
      </c>
      <c r="Q29" s="47" t="n">
        <f aca="false">IF(J29="","",MIN(1,J29+1.96*O29/100))</f>
        <v>0.554470261043633</v>
      </c>
      <c r="R29" s="32" t="str">
        <f aca="false">IF(L29="","",IF(ABS(L29)&lt;=O29,"Yes","No"))</f>
        <v>No</v>
      </c>
      <c r="S29" s="32" t="str">
        <f aca="false">IF(L29="","",IF(ABS(L29)&lt;=1.96*O29,"Yes","No"))</f>
        <v>Yes</v>
      </c>
      <c r="T29" s="66" t="n">
        <f aca="false">IF(D29="","",ROUND(SQRT(((D29+G29)*O29/100)^2+(J29*(D29+G29)*0.07717)^2),0))</f>
        <v>69</v>
      </c>
      <c r="U29" s="32"/>
    </row>
    <row r="30" customFormat="false" ht="15" hidden="false" customHeight="false" outlineLevel="0" collapsed="false">
      <c r="A30" s="32" t="s">
        <v>219</v>
      </c>
      <c r="B30" s="32" t="s">
        <v>225</v>
      </c>
      <c r="C30" s="32" t="s">
        <v>191</v>
      </c>
      <c r="D30" s="66" t="n">
        <v>930</v>
      </c>
      <c r="E30" s="66" t="n">
        <v>878</v>
      </c>
      <c r="F30" s="77" t="n">
        <f aca="false">IF(E30="","",D30-E30)</f>
        <v>52</v>
      </c>
      <c r="G30" s="66" t="n">
        <v>780</v>
      </c>
      <c r="H30" s="66" t="n">
        <v>870</v>
      </c>
      <c r="I30" s="77" t="n">
        <f aca="false">IF(H30="","",G30-H30)</f>
        <v>-90</v>
      </c>
      <c r="J30" s="47" t="n">
        <f aca="false">IF(OR(D30="",D30+G30=0),"",D30/(D30+G30))</f>
        <v>0.543859649122807</v>
      </c>
      <c r="K30" s="47" t="n">
        <f aca="false">IF(E30="","",E30/(E30+H30))</f>
        <v>0.502288329519451</v>
      </c>
      <c r="L30" s="78" t="n">
        <f aca="false">IF(OR(K30="",J30=""),"",(J30-K30)*100)</f>
        <v>4.15713196033563</v>
      </c>
      <c r="M30" s="36" t="n">
        <v>1.3830443510296</v>
      </c>
      <c r="N30" s="36" t="n">
        <v>0.321380629327618</v>
      </c>
      <c r="O30" s="36" t="n">
        <f aca="false">SQRT(M30^2+N30^2)</f>
        <v>1.41989337128599</v>
      </c>
      <c r="P30" s="47" t="n">
        <f aca="false">IF(J30="","",MAX(0,J30-1.96*O30/100))</f>
        <v>0.516029739045602</v>
      </c>
      <c r="Q30" s="47" t="n">
        <f aca="false">IF(J30="","",MIN(1,J30+1.96*O30/100))</f>
        <v>0.571689559200013</v>
      </c>
      <c r="R30" s="32" t="str">
        <f aca="false">IF(L30="","",IF(ABS(L30)&lt;=O30,"Yes","No"))</f>
        <v>No</v>
      </c>
      <c r="S30" s="32" t="str">
        <f aca="false">IF(L30="","",IF(ABS(L30)&lt;=1.96*O30,"Yes","No"))</f>
        <v>No</v>
      </c>
      <c r="T30" s="66" t="n">
        <f aca="false">IF(D30="","",ROUND(SQRT(((D30+G30)*O30/100)^2+(J30*(D30+G30)*0.05992)^2),0))</f>
        <v>61</v>
      </c>
      <c r="U30" s="32"/>
    </row>
    <row r="31" customFormat="false" ht="15" hidden="false" customHeight="false" outlineLevel="0" collapsed="false">
      <c r="A31" s="32" t="s">
        <v>219</v>
      </c>
      <c r="B31" s="32" t="s">
        <v>226</v>
      </c>
      <c r="C31" s="32" t="s">
        <v>191</v>
      </c>
      <c r="D31" s="66" t="n">
        <v>3536</v>
      </c>
      <c r="E31" s="66" t="n">
        <v>3393</v>
      </c>
      <c r="F31" s="77" t="n">
        <f aca="false">IF(E31="","",D31-E31)</f>
        <v>143</v>
      </c>
      <c r="G31" s="66" t="n">
        <v>2973</v>
      </c>
      <c r="H31" s="66" t="n">
        <v>3078</v>
      </c>
      <c r="I31" s="77" t="n">
        <f aca="false">IF(H31="","",G31-H31)</f>
        <v>-105</v>
      </c>
      <c r="J31" s="47" t="n">
        <f aca="false">IF(OR(D31="",D31+G31=0),"",D31/(D31+G31))</f>
        <v>0.543247810723614</v>
      </c>
      <c r="K31" s="47" t="n">
        <f aca="false">IF(E31="","",E31/(E31+H31))</f>
        <v>0.524339360222531</v>
      </c>
      <c r="L31" s="78" t="n">
        <f aca="false">IF(OR(K31="",J31=""),"",(J31-K31)*100)</f>
        <v>1.89084505010823</v>
      </c>
      <c r="M31" s="36" t="n">
        <v>1.44439089223214</v>
      </c>
      <c r="N31" s="36" t="n">
        <v>0.321380629327618</v>
      </c>
      <c r="O31" s="36" t="n">
        <f aca="false">SQRT(M31^2+N31^2)</f>
        <v>1.47971299868257</v>
      </c>
      <c r="P31" s="47" t="n">
        <f aca="false">IF(J31="","",MAX(0,J31-1.96*O31/100))</f>
        <v>0.514245435949435</v>
      </c>
      <c r="Q31" s="47" t="n">
        <f aca="false">IF(J31="","",MIN(1,J31+1.96*O31/100))</f>
        <v>0.572250185497792</v>
      </c>
      <c r="R31" s="32" t="str">
        <f aca="false">IF(L31="","",IF(ABS(L31)&lt;=O31,"Yes","No"))</f>
        <v>No</v>
      </c>
      <c r="S31" s="32" t="str">
        <f aca="false">IF(L31="","",IF(ABS(L31)&lt;=1.96*O31,"Yes","No"))</f>
        <v>Yes</v>
      </c>
      <c r="T31" s="66" t="n">
        <f aca="false">IF(D31="","",ROUND(SQRT(((D31+G31)*O31/100)^2+(J31*(D31+G31)*0.05437)^2),0))</f>
        <v>215</v>
      </c>
      <c r="U31" s="32"/>
    </row>
    <row r="32" customFormat="false" ht="15" hidden="false" customHeight="false" outlineLevel="0" collapsed="false">
      <c r="A32" s="32" t="s">
        <v>219</v>
      </c>
      <c r="B32" s="32" t="s">
        <v>227</v>
      </c>
      <c r="C32" s="32" t="s">
        <v>191</v>
      </c>
      <c r="D32" s="66" t="n">
        <v>1442</v>
      </c>
      <c r="E32" s="66" t="n">
        <v>1481</v>
      </c>
      <c r="F32" s="77" t="n">
        <f aca="false">IF(E32="","",D32-E32)</f>
        <v>-39</v>
      </c>
      <c r="G32" s="66" t="n">
        <v>667</v>
      </c>
      <c r="H32" s="66" t="n">
        <v>737</v>
      </c>
      <c r="I32" s="77" t="n">
        <f aca="false">IF(H32="","",G32-H32)</f>
        <v>-70</v>
      </c>
      <c r="J32" s="47" t="n">
        <f aca="false">IF(OR(D32="",D32+G32=0),"",D32/(D32+G32))</f>
        <v>0.683736367946894</v>
      </c>
      <c r="K32" s="47" t="n">
        <f aca="false">IF(E32="","",E32/(E32+H32))</f>
        <v>0.667718665464382</v>
      </c>
      <c r="L32" s="78" t="n">
        <f aca="false">IF(OR(K32="",J32=""),"",(J32-K32)*100)</f>
        <v>1.6017702482512</v>
      </c>
      <c r="M32" s="36" t="n">
        <v>1.3830443510296</v>
      </c>
      <c r="N32" s="36" t="n">
        <v>0.321380629327618</v>
      </c>
      <c r="O32" s="36" t="n">
        <f aca="false">SQRT(M32^2+N32^2)</f>
        <v>1.41989337128599</v>
      </c>
      <c r="P32" s="47" t="n">
        <f aca="false">IF(J32="","",MAX(0,J32-1.96*O32/100))</f>
        <v>0.655906457869689</v>
      </c>
      <c r="Q32" s="47" t="n">
        <f aca="false">IF(J32="","",MIN(1,J32+1.96*O32/100))</f>
        <v>0.7115662780241</v>
      </c>
      <c r="R32" s="32" t="str">
        <f aca="false">IF(L32="","",IF(ABS(L32)&lt;=O32,"Yes","No"))</f>
        <v>No</v>
      </c>
      <c r="S32" s="32" t="str">
        <f aca="false">IF(L32="","",IF(ABS(L32)&lt;=1.96*O32,"Yes","No"))</f>
        <v>Yes</v>
      </c>
      <c r="T32" s="66" t="n">
        <f aca="false">IF(D32="","",ROUND(SQRT(((D32+G32)*O32/100)^2+(J32*(D32+G32)*0.05992)^2),0))</f>
        <v>91</v>
      </c>
      <c r="U32" s="32"/>
    </row>
    <row r="33" customFormat="false" ht="15" hidden="false" customHeight="false" outlineLevel="0" collapsed="false">
      <c r="A33" s="32" t="s">
        <v>219</v>
      </c>
      <c r="B33" s="32" t="s">
        <v>228</v>
      </c>
      <c r="C33" s="32" t="s">
        <v>191</v>
      </c>
      <c r="D33" s="66" t="n">
        <v>390</v>
      </c>
      <c r="E33" s="66" t="n">
        <v>405</v>
      </c>
      <c r="F33" s="77" t="n">
        <f aca="false">IF(E33="","",D33-E33)</f>
        <v>-15</v>
      </c>
      <c r="G33" s="66" t="n">
        <v>290</v>
      </c>
      <c r="H33" s="66" t="n">
        <v>304</v>
      </c>
      <c r="I33" s="77" t="n">
        <f aca="false">IF(H33="","",G33-H33)</f>
        <v>-14</v>
      </c>
      <c r="J33" s="47" t="n">
        <f aca="false">IF(OR(D33="",D33+G33=0),"",D33/(D33+G33))</f>
        <v>0.573529411764706</v>
      </c>
      <c r="K33" s="47" t="n">
        <f aca="false">IF(E33="","",E33/(E33+H33))</f>
        <v>0.571227080394922</v>
      </c>
      <c r="L33" s="78" t="n">
        <f aca="false">IF(OR(K33="",J33=""),"",(J33-K33)*100)</f>
        <v>0.230233136978342</v>
      </c>
      <c r="M33" s="36" t="n">
        <v>2.6727769877146</v>
      </c>
      <c r="N33" s="36" t="n">
        <v>0.321380629327618</v>
      </c>
      <c r="O33" s="36" t="n">
        <f aca="false">SQRT(M33^2+N33^2)</f>
        <v>2.69202940826503</v>
      </c>
      <c r="P33" s="47" t="n">
        <f aca="false">IF(J33="","",MAX(0,J33-1.96*O33/100))</f>
        <v>0.520765635362711</v>
      </c>
      <c r="Q33" s="47" t="n">
        <f aca="false">IF(J33="","",MIN(1,J33+1.96*O33/100))</f>
        <v>0.6262931881667</v>
      </c>
      <c r="R33" s="32" t="str">
        <f aca="false">IF(L33="","",IF(ABS(L33)&lt;=O33,"Yes","No"))</f>
        <v>Yes</v>
      </c>
      <c r="S33" s="32" t="str">
        <f aca="false">IF(L33="","",IF(ABS(L33)&lt;=1.96*O33,"Yes","No"))</f>
        <v>Yes</v>
      </c>
      <c r="T33" s="66" t="n">
        <f aca="false">IF(D33="","",ROUND(SQRT(((D33+G33)*O33/100)^2+(J33*(D33+G33)*0.07717)^2),0))</f>
        <v>35</v>
      </c>
      <c r="U33" s="32"/>
    </row>
    <row r="34" customFormat="false" ht="15" hidden="false" customHeight="false" outlineLevel="0" collapsed="false">
      <c r="A34" s="32" t="s">
        <v>219</v>
      </c>
      <c r="B34" s="32" t="s">
        <v>229</v>
      </c>
      <c r="C34" s="32" t="s">
        <v>191</v>
      </c>
      <c r="D34" s="66" t="n">
        <v>668</v>
      </c>
      <c r="E34" s="66" t="n">
        <v>602</v>
      </c>
      <c r="F34" s="77" t="n">
        <f aca="false">IF(E34="","",D34-E34)</f>
        <v>66</v>
      </c>
      <c r="G34" s="66" t="n">
        <v>1310</v>
      </c>
      <c r="H34" s="66" t="n">
        <v>1339</v>
      </c>
      <c r="I34" s="77" t="n">
        <f aca="false">IF(H34="","",G34-H34)</f>
        <v>-29</v>
      </c>
      <c r="J34" s="47" t="n">
        <f aca="false">IF(OR(D34="",D34+G34=0),"",D34/(D34+G34))</f>
        <v>0.337714863498483</v>
      </c>
      <c r="K34" s="47" t="n">
        <f aca="false">IF(E34="","",E34/(E34+H34))</f>
        <v>0.310149407521896</v>
      </c>
      <c r="L34" s="78" t="n">
        <f aca="false">IF(OR(K34="",J34=""),"",(J34-K34)*100)</f>
        <v>2.75654559765874</v>
      </c>
      <c r="M34" s="36" t="n">
        <v>1.3830443510296</v>
      </c>
      <c r="N34" s="36" t="n">
        <v>0.321380629327618</v>
      </c>
      <c r="O34" s="36" t="n">
        <f aca="false">SQRT(M34^2+N34^2)</f>
        <v>1.41989337128599</v>
      </c>
      <c r="P34" s="47" t="n">
        <f aca="false">IF(J34="","",MAX(0,J34-1.96*O34/100))</f>
        <v>0.309884953421278</v>
      </c>
      <c r="Q34" s="47" t="n">
        <f aca="false">IF(J34="","",MIN(1,J34+1.96*O34/100))</f>
        <v>0.365544773575689</v>
      </c>
      <c r="R34" s="32" t="str">
        <f aca="false">IF(L34="","",IF(ABS(L34)&lt;=O34,"Yes","No"))</f>
        <v>No</v>
      </c>
      <c r="S34" s="32" t="str">
        <f aca="false">IF(L34="","",IF(ABS(L34)&lt;=1.96*O34,"Yes","No"))</f>
        <v>Yes</v>
      </c>
      <c r="T34" s="66" t="n">
        <f aca="false">IF(D34="","",ROUND(SQRT(((D34+G34)*O34/100)^2+(J34*(D34+G34)*0.05992)^2),0))</f>
        <v>49</v>
      </c>
      <c r="U34" s="32"/>
    </row>
    <row r="35" customFormat="false" ht="15" hidden="false" customHeight="false" outlineLevel="0" collapsed="false">
      <c r="A35" s="32" t="s">
        <v>219</v>
      </c>
      <c r="B35" s="32" t="s">
        <v>230</v>
      </c>
      <c r="C35" s="32" t="s">
        <v>191</v>
      </c>
      <c r="D35" s="66" t="n">
        <v>9856</v>
      </c>
      <c r="E35" s="66" t="n">
        <v>9782</v>
      </c>
      <c r="F35" s="77" t="n">
        <f aca="false">IF(E35="","",D35-E35)</f>
        <v>74</v>
      </c>
      <c r="G35" s="66" t="n">
        <v>9731</v>
      </c>
      <c r="H35" s="66" t="n">
        <v>10014</v>
      </c>
      <c r="I35" s="77" t="n">
        <f aca="false">IF(H35="","",G35-H35)</f>
        <v>-283</v>
      </c>
      <c r="J35" s="47" t="n">
        <f aca="false">IF(OR(D35="",D35+G35=0),"",D35/(D35+G35))</f>
        <v>0.503190891918109</v>
      </c>
      <c r="K35" s="47" t="n">
        <f aca="false">IF(E35="","",E35/(E35+H35))</f>
        <v>0.494140230349566</v>
      </c>
      <c r="L35" s="78" t="n">
        <f aca="false">IF(OR(K35="",J35=""),"",(J35-K35)*100)</f>
        <v>0.905066156854339</v>
      </c>
      <c r="M35" s="36" t="n">
        <v>1.44439089223214</v>
      </c>
      <c r="N35" s="36" t="n">
        <v>0.321380629327618</v>
      </c>
      <c r="O35" s="36" t="n">
        <f aca="false">SQRT(M35^2+N35^2)</f>
        <v>1.47971299868257</v>
      </c>
      <c r="P35" s="47" t="n">
        <f aca="false">IF(J35="","",MAX(0,J35-1.96*O35/100))</f>
        <v>0.474188517143931</v>
      </c>
      <c r="Q35" s="47" t="n">
        <f aca="false">IF(J35="","",MIN(1,J35+1.96*O35/100))</f>
        <v>0.532193266692287</v>
      </c>
      <c r="R35" s="32" t="str">
        <f aca="false">IF(L35="","",IF(ABS(L35)&lt;=O35,"Yes","No"))</f>
        <v>Yes</v>
      </c>
      <c r="S35" s="32" t="str">
        <f aca="false">IF(L35="","",IF(ABS(L35)&lt;=1.96*O35,"Yes","No"))</f>
        <v>Yes</v>
      </c>
      <c r="T35" s="66" t="n">
        <f aca="false">IF(D35="","",ROUND(SQRT(((D35+G35)*O35/100)^2+(J35*(D35+G35)*0.05437)^2),0))</f>
        <v>609</v>
      </c>
      <c r="U35" s="32"/>
    </row>
    <row r="36" customFormat="false" ht="15" hidden="false" customHeight="false" outlineLevel="0" collapsed="false">
      <c r="A36" s="32" t="s">
        <v>219</v>
      </c>
      <c r="B36" s="32" t="s">
        <v>231</v>
      </c>
      <c r="C36" s="32" t="s">
        <v>191</v>
      </c>
      <c r="D36" s="66" t="n">
        <v>951</v>
      </c>
      <c r="E36" s="66" t="n">
        <v>920</v>
      </c>
      <c r="F36" s="77" t="n">
        <f aca="false">IF(E36="","",D36-E36)</f>
        <v>31</v>
      </c>
      <c r="G36" s="66" t="n">
        <v>1536</v>
      </c>
      <c r="H36" s="66" t="n">
        <v>1596</v>
      </c>
      <c r="I36" s="77" t="n">
        <f aca="false">IF(H36="","",G36-H36)</f>
        <v>-60</v>
      </c>
      <c r="J36" s="47" t="n">
        <f aca="false">IF(OR(D36="",D36+G36=0),"",D36/(D36+G36))</f>
        <v>0.382388419782871</v>
      </c>
      <c r="K36" s="47" t="n">
        <f aca="false">IF(E36="","",E36/(E36+H36))</f>
        <v>0.365659777424483</v>
      </c>
      <c r="L36" s="78" t="n">
        <f aca="false">IF(OR(K36="",J36=""),"",(J36-K36)*100)</f>
        <v>1.67286423583876</v>
      </c>
      <c r="M36" s="36" t="n">
        <v>1.3830443510296</v>
      </c>
      <c r="N36" s="36" t="n">
        <v>0.321380629327618</v>
      </c>
      <c r="O36" s="36" t="n">
        <f aca="false">SQRT(M36^2+N36^2)</f>
        <v>1.41989337128599</v>
      </c>
      <c r="P36" s="47" t="n">
        <f aca="false">IF(J36="","",MAX(0,J36-1.96*O36/100))</f>
        <v>0.354558509705666</v>
      </c>
      <c r="Q36" s="47" t="n">
        <f aca="false">IF(J36="","",MIN(1,J36+1.96*O36/100))</f>
        <v>0.410218329860076</v>
      </c>
      <c r="R36" s="32" t="str">
        <f aca="false">IF(L36="","",IF(ABS(L36)&lt;=O36,"Yes","No"))</f>
        <v>No</v>
      </c>
      <c r="S36" s="32" t="str">
        <f aca="false">IF(L36="","",IF(ABS(L36)&lt;=1.96*O36,"Yes","No"))</f>
        <v>Yes</v>
      </c>
      <c r="T36" s="66" t="n">
        <f aca="false">IF(D36="","",ROUND(SQRT(((D36+G36)*O36/100)^2+(J36*(D36+G36)*0.05992)^2),0))</f>
        <v>67</v>
      </c>
      <c r="U36" s="32"/>
    </row>
    <row r="37" customFormat="false" ht="15" hidden="false" customHeight="false" outlineLevel="0" collapsed="false">
      <c r="A37" s="32" t="s">
        <v>219</v>
      </c>
      <c r="B37" s="32" t="s">
        <v>232</v>
      </c>
      <c r="C37" s="32" t="s">
        <v>191</v>
      </c>
      <c r="D37" s="66" t="n">
        <v>526</v>
      </c>
      <c r="E37" s="66" t="n">
        <v>533</v>
      </c>
      <c r="F37" s="77" t="n">
        <f aca="false">IF(E37="","",D37-E37)</f>
        <v>-7</v>
      </c>
      <c r="G37" s="66" t="n">
        <v>933</v>
      </c>
      <c r="H37" s="66" t="n">
        <v>955</v>
      </c>
      <c r="I37" s="77" t="n">
        <f aca="false">IF(H37="","",G37-H37)</f>
        <v>-22</v>
      </c>
      <c r="J37" s="47" t="n">
        <f aca="false">IF(OR(D37="",D37+G37=0),"",D37/(D37+G37))</f>
        <v>0.360520904729267</v>
      </c>
      <c r="K37" s="47" t="n">
        <f aca="false">IF(E37="","",E37/(E37+H37))</f>
        <v>0.358198924731183</v>
      </c>
      <c r="L37" s="78" t="n">
        <f aca="false">IF(OR(K37="",J37=""),"",(J37-K37)*100)</f>
        <v>0.232197999808381</v>
      </c>
      <c r="M37" s="36" t="n">
        <v>2.6727769877146</v>
      </c>
      <c r="N37" s="36" t="n">
        <v>0.321380629327618</v>
      </c>
      <c r="O37" s="36" t="n">
        <f aca="false">SQRT(M37^2+N37^2)</f>
        <v>2.69202940826503</v>
      </c>
      <c r="P37" s="47" t="n">
        <f aca="false">IF(J37="","",MAX(0,J37-1.96*O37/100))</f>
        <v>0.307757128327272</v>
      </c>
      <c r="Q37" s="47" t="n">
        <f aca="false">IF(J37="","",MIN(1,J37+1.96*O37/100))</f>
        <v>0.413284681131261</v>
      </c>
      <c r="R37" s="32" t="str">
        <f aca="false">IF(L37="","",IF(ABS(L37)&lt;=O37,"Yes","No"))</f>
        <v>Yes</v>
      </c>
      <c r="S37" s="32" t="str">
        <f aca="false">IF(L37="","",IF(ABS(L37)&lt;=1.96*O37,"Yes","No"))</f>
        <v>Yes</v>
      </c>
      <c r="T37" s="66" t="n">
        <f aca="false">IF(D37="","",ROUND(SQRT(((D37+G37)*O37/100)^2+(J37*(D37+G37)*0.07717)^2),0))</f>
        <v>56</v>
      </c>
      <c r="U37" s="32"/>
    </row>
    <row r="38" customFormat="false" ht="15" hidden="false" customHeight="false" outlineLevel="0" collapsed="false">
      <c r="A38" s="32" t="s">
        <v>219</v>
      </c>
      <c r="B38" s="32" t="s">
        <v>233</v>
      </c>
      <c r="C38" s="32" t="s">
        <v>191</v>
      </c>
      <c r="D38" s="66" t="n">
        <v>873</v>
      </c>
      <c r="E38" s="66" t="n">
        <v>846</v>
      </c>
      <c r="F38" s="77" t="n">
        <f aca="false">IF(E38="","",D38-E38)</f>
        <v>27</v>
      </c>
      <c r="G38" s="66" t="n">
        <v>1763</v>
      </c>
      <c r="H38" s="66" t="n">
        <v>1783</v>
      </c>
      <c r="I38" s="77" t="n">
        <f aca="false">IF(H38="","",G38-H38)</f>
        <v>-20</v>
      </c>
      <c r="J38" s="47" t="n">
        <f aca="false">IF(OR(D38="",D38+G38=0),"",D38/(D38+G38))</f>
        <v>0.331183611532625</v>
      </c>
      <c r="K38" s="47" t="n">
        <f aca="false">IF(E38="","",E38/(E38+H38))</f>
        <v>0.321795359452263</v>
      </c>
      <c r="L38" s="78" t="n">
        <f aca="false">IF(OR(K38="",J38=""),"",(J38-K38)*100)</f>
        <v>0.938825208036198</v>
      </c>
      <c r="M38" s="36" t="n">
        <v>1.3830443510296</v>
      </c>
      <c r="N38" s="36" t="n">
        <v>0.321380629327618</v>
      </c>
      <c r="O38" s="36" t="n">
        <f aca="false">SQRT(M38^2+N38^2)</f>
        <v>1.41989337128599</v>
      </c>
      <c r="P38" s="47" t="n">
        <f aca="false">IF(J38="","",MAX(0,J38-1.96*O38/100))</f>
        <v>0.30335370145542</v>
      </c>
      <c r="Q38" s="47" t="n">
        <f aca="false">IF(J38="","",MIN(1,J38+1.96*O38/100))</f>
        <v>0.359013521609831</v>
      </c>
      <c r="R38" s="32" t="str">
        <f aca="false">IF(L38="","",IF(ABS(L38)&lt;=O38,"Yes","No"))</f>
        <v>Yes</v>
      </c>
      <c r="S38" s="32" t="str">
        <f aca="false">IF(L38="","",IF(ABS(L38)&lt;=1.96*O38,"Yes","No"))</f>
        <v>Yes</v>
      </c>
      <c r="T38" s="66" t="n">
        <f aca="false">IF(D38="","",ROUND(SQRT(((D38+G38)*O38/100)^2+(J38*(D38+G38)*0.05992)^2),0))</f>
        <v>64</v>
      </c>
      <c r="U38" s="32"/>
    </row>
    <row r="39" customFormat="false" ht="15" hidden="false" customHeight="false" outlineLevel="0" collapsed="false">
      <c r="A39" s="32" t="s">
        <v>219</v>
      </c>
      <c r="B39" s="32" t="s">
        <v>234</v>
      </c>
      <c r="C39" s="32" t="s">
        <v>191</v>
      </c>
      <c r="D39" s="66" t="n">
        <v>968</v>
      </c>
      <c r="E39" s="66" t="n">
        <v>997</v>
      </c>
      <c r="F39" s="77" t="n">
        <f aca="false">IF(E39="","",D39-E39)</f>
        <v>-29</v>
      </c>
      <c r="G39" s="66" t="n">
        <v>849</v>
      </c>
      <c r="H39" s="66" t="n">
        <v>860</v>
      </c>
      <c r="I39" s="77" t="n">
        <f aca="false">IF(H39="","",G39-H39)</f>
        <v>-11</v>
      </c>
      <c r="J39" s="47" t="n">
        <f aca="false">IF(OR(D39="",D39+G39=0),"",D39/(D39+G39))</f>
        <v>0.532746285085305</v>
      </c>
      <c r="K39" s="47" t="n">
        <f aca="false">IF(E39="","",E39/(E39+H39))</f>
        <v>0.536887452880991</v>
      </c>
      <c r="L39" s="78" t="n">
        <f aca="false">IF(OR(K39="",J39=""),"",(J39-K39)*100)</f>
        <v>-0.414116779568541</v>
      </c>
      <c r="M39" s="36" t="n">
        <v>1.3830443510296</v>
      </c>
      <c r="N39" s="36" t="n">
        <v>0.321380629327618</v>
      </c>
      <c r="O39" s="36" t="n">
        <f aca="false">SQRT(M39^2+N39^2)</f>
        <v>1.41989337128599</v>
      </c>
      <c r="P39" s="47" t="n">
        <f aca="false">IF(J39="","",MAX(0,J39-1.96*O39/100))</f>
        <v>0.5049163750081</v>
      </c>
      <c r="Q39" s="47" t="n">
        <f aca="false">IF(J39="","",MIN(1,J39+1.96*O39/100))</f>
        <v>0.560576195162511</v>
      </c>
      <c r="R39" s="32" t="str">
        <f aca="false">IF(L39="","",IF(ABS(L39)&lt;=O39,"Yes","No"))</f>
        <v>Yes</v>
      </c>
      <c r="S39" s="32" t="str">
        <f aca="false">IF(L39="","",IF(ABS(L39)&lt;=1.96*O39,"Yes","No"))</f>
        <v>Yes</v>
      </c>
      <c r="T39" s="66" t="n">
        <f aca="false">IF(D39="","",ROUND(SQRT(((D39+G39)*O39/100)^2+(J39*(D39+G39)*0.05992)^2),0))</f>
        <v>63</v>
      </c>
      <c r="U39" s="32"/>
    </row>
    <row r="40" customFormat="false" ht="15" hidden="false" customHeight="false" outlineLevel="0" collapsed="false">
      <c r="A40" s="32" t="s">
        <v>219</v>
      </c>
      <c r="B40" s="32" t="s">
        <v>235</v>
      </c>
      <c r="C40" s="32" t="s">
        <v>191</v>
      </c>
      <c r="D40" s="66" t="n">
        <v>4165</v>
      </c>
      <c r="E40" s="66" t="n">
        <v>3900</v>
      </c>
      <c r="F40" s="77" t="n">
        <f aca="false">IF(E40="","",D40-E40)</f>
        <v>265</v>
      </c>
      <c r="G40" s="66" t="n">
        <v>5497</v>
      </c>
      <c r="H40" s="66" t="n">
        <v>5859</v>
      </c>
      <c r="I40" s="77" t="n">
        <f aca="false">IF(H40="","",G40-H40)</f>
        <v>-362</v>
      </c>
      <c r="J40" s="47" t="n">
        <f aca="false">IF(OR(D40="",D40+G40=0),"",D40/(D40+G40))</f>
        <v>0.431070171807079</v>
      </c>
      <c r="K40" s="47" t="n">
        <f aca="false">IF(E40="","",E40/(E40+H40))</f>
        <v>0.399631109744851</v>
      </c>
      <c r="L40" s="78" t="n">
        <f aca="false">IF(OR(K40="",J40=""),"",(J40-K40)*100)</f>
        <v>3.14390620622284</v>
      </c>
      <c r="M40" s="36" t="n">
        <v>1.44439089223214</v>
      </c>
      <c r="N40" s="36" t="n">
        <v>0.321380629327618</v>
      </c>
      <c r="O40" s="36" t="n">
        <f aca="false">SQRT(M40^2+N40^2)</f>
        <v>1.47971299868257</v>
      </c>
      <c r="P40" s="47" t="n">
        <f aca="false">IF(J40="","",MAX(0,J40-1.96*O40/100))</f>
        <v>0.402067797032901</v>
      </c>
      <c r="Q40" s="47" t="n">
        <f aca="false">IF(J40="","",MIN(1,J40+1.96*O40/100))</f>
        <v>0.460072546581258</v>
      </c>
      <c r="R40" s="32" t="str">
        <f aca="false">IF(L40="","",IF(ABS(L40)&lt;=O40,"Yes","No"))</f>
        <v>No</v>
      </c>
      <c r="S40" s="32" t="str">
        <f aca="false">IF(L40="","",IF(ABS(L40)&lt;=1.96*O40,"Yes","No"))</f>
        <v>No</v>
      </c>
      <c r="T40" s="66" t="n">
        <f aca="false">IF(D40="","",ROUND(SQRT(((D40+G40)*O40/100)^2+(J40*(D40+G40)*0.05437)^2),0))</f>
        <v>268</v>
      </c>
      <c r="U40" s="32"/>
    </row>
    <row r="41" customFormat="false" ht="15" hidden="false" customHeight="false" outlineLevel="0" collapsed="false">
      <c r="A41" s="32" t="s">
        <v>219</v>
      </c>
      <c r="B41" s="32" t="s">
        <v>236</v>
      </c>
      <c r="C41" s="32" t="s">
        <v>191</v>
      </c>
      <c r="D41" s="66" t="n">
        <v>3998</v>
      </c>
      <c r="E41" s="66" t="n">
        <v>4029</v>
      </c>
      <c r="F41" s="77" t="n">
        <f aca="false">IF(E41="","",D41-E41)</f>
        <v>-31</v>
      </c>
      <c r="G41" s="66" t="n">
        <v>4122</v>
      </c>
      <c r="H41" s="66" t="n">
        <v>4143</v>
      </c>
      <c r="I41" s="77" t="n">
        <f aca="false">IF(H41="","",G41-H41)</f>
        <v>-21</v>
      </c>
      <c r="J41" s="47" t="n">
        <f aca="false">IF(OR(D41="",D41+G41=0),"",D41/(D41+G41))</f>
        <v>0.492364532019704</v>
      </c>
      <c r="K41" s="47" t="n">
        <f aca="false">IF(E41="","",E41/(E41+H41))</f>
        <v>0.49302496328928</v>
      </c>
      <c r="L41" s="78" t="n">
        <f aca="false">IF(OR(K41="",J41=""),"",(J41-K41)*100)</f>
        <v>-0.0660431269576045</v>
      </c>
      <c r="M41" s="36" t="n">
        <v>1.44439089223214</v>
      </c>
      <c r="N41" s="36" t="n">
        <v>0.321380629327618</v>
      </c>
      <c r="O41" s="36" t="n">
        <f aca="false">SQRT(M41^2+N41^2)</f>
        <v>1.47971299868257</v>
      </c>
      <c r="P41" s="47" t="n">
        <f aca="false">IF(J41="","",MAX(0,J41-1.96*O41/100))</f>
        <v>0.463362157245526</v>
      </c>
      <c r="Q41" s="47" t="n">
        <f aca="false">IF(J41="","",MIN(1,J41+1.96*O41/100))</f>
        <v>0.521366906793883</v>
      </c>
      <c r="R41" s="32" t="str">
        <f aca="false">IF(L41="","",IF(ABS(L41)&lt;=O41,"Yes","No"))</f>
        <v>Yes</v>
      </c>
      <c r="S41" s="32" t="str">
        <f aca="false">IF(L41="","",IF(ABS(L41)&lt;=1.96*O41,"Yes","No"))</f>
        <v>Yes</v>
      </c>
      <c r="T41" s="66" t="n">
        <f aca="false">IF(D41="","",ROUND(SQRT(((D41+G41)*O41/100)^2+(J41*(D41+G41)*0.05437)^2),0))</f>
        <v>248</v>
      </c>
      <c r="U41" s="32"/>
    </row>
    <row r="42" customFormat="false" ht="15" hidden="false" customHeight="false" outlineLevel="0" collapsed="false">
      <c r="A42" s="32" t="s">
        <v>219</v>
      </c>
      <c r="B42" s="32" t="s">
        <v>237</v>
      </c>
      <c r="C42" s="32" t="s">
        <v>191</v>
      </c>
      <c r="D42" s="66" t="n">
        <v>832</v>
      </c>
      <c r="E42" s="66" t="n">
        <v>748</v>
      </c>
      <c r="F42" s="77" t="n">
        <f aca="false">IF(E42="","",D42-E42)</f>
        <v>84</v>
      </c>
      <c r="G42" s="66" t="n">
        <v>1025</v>
      </c>
      <c r="H42" s="66" t="n">
        <v>1149</v>
      </c>
      <c r="I42" s="77" t="n">
        <f aca="false">IF(H42="","",G42-H42)</f>
        <v>-124</v>
      </c>
      <c r="J42" s="47" t="n">
        <f aca="false">IF(OR(D42="",D42+G42=0),"",D42/(D42+G42))</f>
        <v>0.448034464189553</v>
      </c>
      <c r="K42" s="47" t="n">
        <f aca="false">IF(E42="","",E42/(E42+H42))</f>
        <v>0.394306800210859</v>
      </c>
      <c r="L42" s="78" t="n">
        <f aca="false">IF(OR(K42="",J42=""),"",(J42-K42)*100)</f>
        <v>5.37276639786938</v>
      </c>
      <c r="M42" s="36" t="n">
        <v>1.3830443510296</v>
      </c>
      <c r="N42" s="36" t="n">
        <v>0.321380629327618</v>
      </c>
      <c r="O42" s="36" t="n">
        <f aca="false">SQRT(M42^2+N42^2)</f>
        <v>1.41989337128599</v>
      </c>
      <c r="P42" s="47" t="n">
        <f aca="false">IF(J42="","",MAX(0,J42-1.96*O42/100))</f>
        <v>0.420204554112348</v>
      </c>
      <c r="Q42" s="47" t="n">
        <f aca="false">IF(J42="","",MIN(1,J42+1.96*O42/100))</f>
        <v>0.475864374266759</v>
      </c>
      <c r="R42" s="32" t="str">
        <f aca="false">IF(L42="","",IF(ABS(L42)&lt;=O42,"Yes","No"))</f>
        <v>No</v>
      </c>
      <c r="S42" s="32" t="str">
        <f aca="false">IF(L42="","",IF(ABS(L42)&lt;=1.96*O42,"Yes","No"))</f>
        <v>No</v>
      </c>
      <c r="T42" s="66" t="n">
        <f aca="false">IF(D42="","",ROUND(SQRT(((D42+G42)*O42/100)^2+(J42*(D42+G42)*0.05992)^2),0))</f>
        <v>56</v>
      </c>
      <c r="U42" s="32"/>
    </row>
    <row r="43" customFormat="false" ht="15" hidden="false" customHeight="false" outlineLevel="0" collapsed="false">
      <c r="A43" s="32" t="s">
        <v>219</v>
      </c>
      <c r="B43" s="32" t="s">
        <v>238</v>
      </c>
      <c r="C43" s="32" t="s">
        <v>191</v>
      </c>
      <c r="D43" s="66" t="n">
        <v>6731</v>
      </c>
      <c r="E43" s="66" t="n">
        <v>6668</v>
      </c>
      <c r="F43" s="77" t="n">
        <f aca="false">IF(E43="","",D43-E43)</f>
        <v>63</v>
      </c>
      <c r="G43" s="66" t="n">
        <v>5727</v>
      </c>
      <c r="H43" s="66" t="n">
        <v>5856</v>
      </c>
      <c r="I43" s="77" t="n">
        <f aca="false">IF(H43="","",G43-H43)</f>
        <v>-129</v>
      </c>
      <c r="J43" s="47" t="n">
        <f aca="false">IF(OR(D43="",D43+G43=0),"",D43/(D43+G43))</f>
        <v>0.540295392518863</v>
      </c>
      <c r="K43" s="47" t="n">
        <f aca="false">IF(E43="","",E43/(E43+H43))</f>
        <v>0.532417757904823</v>
      </c>
      <c r="L43" s="78" t="n">
        <f aca="false">IF(OR(K43="",J43=""),"",(J43-K43)*100)</f>
        <v>0.787763461404067</v>
      </c>
      <c r="M43" s="36" t="n">
        <v>1.44439089223214</v>
      </c>
      <c r="N43" s="36" t="n">
        <v>0.321380629327618</v>
      </c>
      <c r="O43" s="36" t="n">
        <f aca="false">SQRT(M43^2+N43^2)</f>
        <v>1.47971299868257</v>
      </c>
      <c r="P43" s="47" t="n">
        <f aca="false">IF(J43="","",MAX(0,J43-1.96*O43/100))</f>
        <v>0.511293017744685</v>
      </c>
      <c r="Q43" s="47" t="n">
        <f aca="false">IF(J43="","",MIN(1,J43+1.96*O43/100))</f>
        <v>0.569297767293042</v>
      </c>
      <c r="R43" s="32" t="str">
        <f aca="false">IF(L43="","",IF(ABS(L43)&lt;=O43,"Yes","No"))</f>
        <v>Yes</v>
      </c>
      <c r="S43" s="32" t="str">
        <f aca="false">IF(L43="","",IF(ABS(L43)&lt;=1.96*O43,"Yes","No"))</f>
        <v>Yes</v>
      </c>
      <c r="T43" s="66" t="n">
        <f aca="false">IF(D43="","",ROUND(SQRT(((D43+G43)*O43/100)^2+(J43*(D43+G43)*0.05437)^2),0))</f>
        <v>410</v>
      </c>
      <c r="U43" s="32"/>
    </row>
    <row r="44" customFormat="false" ht="15" hidden="false" customHeight="false" outlineLevel="0" collapsed="false">
      <c r="A44" s="32" t="s">
        <v>219</v>
      </c>
      <c r="B44" s="32" t="s">
        <v>239</v>
      </c>
      <c r="C44" s="32" t="s">
        <v>191</v>
      </c>
      <c r="D44" s="66" t="n">
        <v>7488</v>
      </c>
      <c r="E44" s="66" t="n">
        <v>7495</v>
      </c>
      <c r="F44" s="77" t="n">
        <f aca="false">IF(E44="","",D44-E44)</f>
        <v>-7</v>
      </c>
      <c r="G44" s="66" t="n">
        <v>6715</v>
      </c>
      <c r="H44" s="66" t="n">
        <v>7011</v>
      </c>
      <c r="I44" s="77" t="n">
        <f aca="false">IF(H44="","",G44-H44)</f>
        <v>-296</v>
      </c>
      <c r="J44" s="47" t="n">
        <f aca="false">IF(OR(D44="",D44+G44=0),"",D44/(D44+G44))</f>
        <v>0.527212560726607</v>
      </c>
      <c r="K44" s="47" t="n">
        <f aca="false">IF(E44="","",E44/(E44+H44))</f>
        <v>0.516682751964704</v>
      </c>
      <c r="L44" s="78" t="n">
        <f aca="false">IF(OR(K44="",J44=""),"",(J44-K44)*100)</f>
        <v>1.05298087619028</v>
      </c>
      <c r="M44" s="36" t="n">
        <v>1.44439089223214</v>
      </c>
      <c r="N44" s="36" t="n">
        <v>0.321380629327618</v>
      </c>
      <c r="O44" s="36" t="n">
        <f aca="false">SQRT(M44^2+N44^2)</f>
        <v>1.47971299868257</v>
      </c>
      <c r="P44" s="47" t="n">
        <f aca="false">IF(J44="","",MAX(0,J44-1.96*O44/100))</f>
        <v>0.498210185952429</v>
      </c>
      <c r="Q44" s="47" t="n">
        <f aca="false">IF(J44="","",MIN(1,J44+1.96*O44/100))</f>
        <v>0.556214935500785</v>
      </c>
      <c r="R44" s="32" t="str">
        <f aca="false">IF(L44="","",IF(ABS(L44)&lt;=O44,"Yes","No"))</f>
        <v>Yes</v>
      </c>
      <c r="S44" s="32" t="str">
        <f aca="false">IF(L44="","",IF(ABS(L44)&lt;=1.96*O44,"Yes","No"))</f>
        <v>Yes</v>
      </c>
      <c r="T44" s="66" t="n">
        <f aca="false">IF(D44="","",ROUND(SQRT(((D44+G44)*O44/100)^2+(J44*(D44+G44)*0.05437)^2),0))</f>
        <v>458</v>
      </c>
      <c r="U44" s="32"/>
    </row>
    <row r="45" customFormat="false" ht="15" hidden="false" customHeight="false" outlineLevel="0" collapsed="false">
      <c r="A45" s="32" t="s">
        <v>219</v>
      </c>
      <c r="B45" s="32" t="s">
        <v>240</v>
      </c>
      <c r="C45" s="32" t="s">
        <v>191</v>
      </c>
      <c r="D45" s="66" t="n">
        <v>2277</v>
      </c>
      <c r="E45" s="66" t="n">
        <v>2222</v>
      </c>
      <c r="F45" s="77" t="n">
        <f aca="false">IF(E45="","",D45-E45)</f>
        <v>55</v>
      </c>
      <c r="G45" s="66" t="n">
        <v>2958</v>
      </c>
      <c r="H45" s="66" t="n">
        <v>2955</v>
      </c>
      <c r="I45" s="77" t="n">
        <f aca="false">IF(H45="","",G45-H45)</f>
        <v>3</v>
      </c>
      <c r="J45" s="47" t="n">
        <f aca="false">IF(OR(D45="",D45+G45=0),"",D45/(D45+G45))</f>
        <v>0.434957020057307</v>
      </c>
      <c r="K45" s="47" t="n">
        <f aca="false">IF(E45="","",E45/(E45+H45))</f>
        <v>0.42920610392119</v>
      </c>
      <c r="L45" s="78" t="n">
        <f aca="false">IF(OR(K45="",J45=""),"",(J45-K45)*100)</f>
        <v>0.575091613611672</v>
      </c>
      <c r="M45" s="36" t="n">
        <v>1.44439089223214</v>
      </c>
      <c r="N45" s="36" t="n">
        <v>0.321380629327618</v>
      </c>
      <c r="O45" s="36" t="n">
        <f aca="false">SQRT(M45^2+N45^2)</f>
        <v>1.47971299868257</v>
      </c>
      <c r="P45" s="47" t="n">
        <f aca="false">IF(J45="","",MAX(0,J45-1.96*O45/100))</f>
        <v>0.405954645283128</v>
      </c>
      <c r="Q45" s="47" t="n">
        <f aca="false">IF(J45="","",MIN(1,J45+1.96*O45/100))</f>
        <v>0.463959394831485</v>
      </c>
      <c r="R45" s="32" t="str">
        <f aca="false">IF(L45="","",IF(ABS(L45)&lt;=O45,"Yes","No"))</f>
        <v>Yes</v>
      </c>
      <c r="S45" s="32" t="str">
        <f aca="false">IF(L45="","",IF(ABS(L45)&lt;=1.96*O45,"Yes","No"))</f>
        <v>Yes</v>
      </c>
      <c r="T45" s="66" t="n">
        <f aca="false">IF(D45="","",ROUND(SQRT(((D45+G45)*O45/100)^2+(J45*(D45+G45)*0.05437)^2),0))</f>
        <v>146</v>
      </c>
      <c r="U45" s="32"/>
    </row>
    <row r="46" customFormat="false" ht="15" hidden="false" customHeight="false" outlineLevel="0" collapsed="false">
      <c r="A46" s="32" t="s">
        <v>219</v>
      </c>
      <c r="B46" s="32" t="s">
        <v>241</v>
      </c>
      <c r="C46" s="32" t="s">
        <v>191</v>
      </c>
      <c r="D46" s="66" t="n">
        <v>5013</v>
      </c>
      <c r="E46" s="66" t="n">
        <v>4817</v>
      </c>
      <c r="F46" s="77" t="n">
        <f aca="false">IF(E46="","",D46-E46)</f>
        <v>196</v>
      </c>
      <c r="G46" s="66" t="n">
        <v>5320</v>
      </c>
      <c r="H46" s="66" t="n">
        <v>5501</v>
      </c>
      <c r="I46" s="77" t="n">
        <f aca="false">IF(H46="","",G46-H46)</f>
        <v>-181</v>
      </c>
      <c r="J46" s="47" t="n">
        <f aca="false">IF(OR(D46="",D46+G46=0),"",D46/(D46+G46))</f>
        <v>0.485144682086519</v>
      </c>
      <c r="K46" s="47" t="n">
        <f aca="false">IF(E46="","",E46/(E46+H46))</f>
        <v>0.466854041480907</v>
      </c>
      <c r="L46" s="78" t="n">
        <f aca="false">IF(OR(K46="",J46=""),"",(J46-K46)*100)</f>
        <v>1.82906406056118</v>
      </c>
      <c r="M46" s="36" t="n">
        <v>1.44439089223214</v>
      </c>
      <c r="N46" s="36" t="n">
        <v>0.321380629327618</v>
      </c>
      <c r="O46" s="36" t="n">
        <f aca="false">SQRT(M46^2+N46^2)</f>
        <v>1.47971299868257</v>
      </c>
      <c r="P46" s="47" t="n">
        <f aca="false">IF(J46="","",MAX(0,J46-1.96*O46/100))</f>
        <v>0.456142307312341</v>
      </c>
      <c r="Q46" s="47" t="n">
        <f aca="false">IF(J46="","",MIN(1,J46+1.96*O46/100))</f>
        <v>0.514147056860697</v>
      </c>
      <c r="R46" s="32" t="str">
        <f aca="false">IF(L46="","",IF(ABS(L46)&lt;=O46,"Yes","No"))</f>
        <v>No</v>
      </c>
      <c r="S46" s="32" t="str">
        <f aca="false">IF(L46="","",IF(ABS(L46)&lt;=1.96*O46,"Yes","No"))</f>
        <v>Yes</v>
      </c>
      <c r="T46" s="66" t="n">
        <f aca="false">IF(D46="","",ROUND(SQRT(((D46+G46)*O46/100)^2+(J46*(D46+G46)*0.05437)^2),0))</f>
        <v>313</v>
      </c>
      <c r="U46" s="32"/>
    </row>
    <row r="47" customFormat="false" ht="15" hidden="false" customHeight="false" outlineLevel="0" collapsed="false">
      <c r="A47" s="32" t="s">
        <v>219</v>
      </c>
      <c r="B47" s="32" t="s">
        <v>242</v>
      </c>
      <c r="C47" s="32" t="s">
        <v>191</v>
      </c>
      <c r="D47" s="66" t="n">
        <v>1335</v>
      </c>
      <c r="E47" s="66" t="n">
        <v>1231</v>
      </c>
      <c r="F47" s="77" t="n">
        <f aca="false">IF(E47="","",D47-E47)</f>
        <v>104</v>
      </c>
      <c r="G47" s="66" t="n">
        <v>2476</v>
      </c>
      <c r="H47" s="66" t="n">
        <v>2578</v>
      </c>
      <c r="I47" s="77" t="n">
        <f aca="false">IF(H47="","",G47-H47)</f>
        <v>-102</v>
      </c>
      <c r="J47" s="47" t="n">
        <f aca="false">IF(OR(D47="",D47+G47=0),"",D47/(D47+G47))</f>
        <v>0.350301758068748</v>
      </c>
      <c r="K47" s="47" t="n">
        <f aca="false">IF(E47="","",E47/(E47+H47))</f>
        <v>0.323181937516409</v>
      </c>
      <c r="L47" s="78" t="n">
        <f aca="false">IF(OR(K47="",J47=""),"",(J47-K47)*100)</f>
        <v>2.71198205523399</v>
      </c>
      <c r="M47" s="36" t="n">
        <v>1.44439089223214</v>
      </c>
      <c r="N47" s="36" t="n">
        <v>0.321380629327618</v>
      </c>
      <c r="O47" s="36" t="n">
        <f aca="false">SQRT(M47^2+N47^2)</f>
        <v>1.47971299868257</v>
      </c>
      <c r="P47" s="47" t="n">
        <f aca="false">IF(J47="","",MAX(0,J47-1.96*O47/100))</f>
        <v>0.32129938329457</v>
      </c>
      <c r="Q47" s="47" t="n">
        <f aca="false">IF(J47="","",MIN(1,J47+1.96*O47/100))</f>
        <v>0.379304132842927</v>
      </c>
      <c r="R47" s="32" t="str">
        <f aca="false">IF(L47="","",IF(ABS(L47)&lt;=O47,"Yes","No"))</f>
        <v>No</v>
      </c>
      <c r="S47" s="32" t="str">
        <f aca="false">IF(L47="","",IF(ABS(L47)&lt;=1.96*O47,"Yes","No"))</f>
        <v>Yes</v>
      </c>
      <c r="T47" s="66" t="n">
        <f aca="false">IF(D47="","",ROUND(SQRT(((D47+G47)*O47/100)^2+(J47*(D47+G47)*0.05437)^2),0))</f>
        <v>92</v>
      </c>
      <c r="U47" s="32"/>
    </row>
    <row r="48" customFormat="false" ht="15" hidden="false" customHeight="false" outlineLevel="0" collapsed="false">
      <c r="A48" s="32" t="s">
        <v>219</v>
      </c>
      <c r="B48" s="32" t="s">
        <v>243</v>
      </c>
      <c r="C48" s="32" t="s">
        <v>191</v>
      </c>
      <c r="D48" s="66" t="n">
        <v>1148</v>
      </c>
      <c r="E48" s="66" t="n">
        <v>1073</v>
      </c>
      <c r="F48" s="77" t="n">
        <f aca="false">IF(E48="","",D48-E48)</f>
        <v>75</v>
      </c>
      <c r="G48" s="66" t="n">
        <v>2077</v>
      </c>
      <c r="H48" s="66" t="n">
        <v>2156</v>
      </c>
      <c r="I48" s="77" t="n">
        <f aca="false">IF(H48="","",G48-H48)</f>
        <v>-79</v>
      </c>
      <c r="J48" s="47" t="n">
        <f aca="false">IF(OR(D48="",D48+G48=0),"",D48/(D48+G48))</f>
        <v>0.355968992248062</v>
      </c>
      <c r="K48" s="47" t="n">
        <f aca="false">IF(E48="","",E48/(E48+H48))</f>
        <v>0.332301021988232</v>
      </c>
      <c r="L48" s="78" t="n">
        <f aca="false">IF(OR(K48="",J48=""),"",(J48-K48)*100)</f>
        <v>2.36679702598304</v>
      </c>
      <c r="M48" s="36" t="n">
        <v>1.3830443510296</v>
      </c>
      <c r="N48" s="36" t="n">
        <v>0.321380629327618</v>
      </c>
      <c r="O48" s="36" t="n">
        <f aca="false">SQRT(M48^2+N48^2)</f>
        <v>1.41989337128599</v>
      </c>
      <c r="P48" s="47" t="n">
        <f aca="false">IF(J48="","",MAX(0,J48-1.96*O48/100))</f>
        <v>0.328139082170857</v>
      </c>
      <c r="Q48" s="47" t="n">
        <f aca="false">IF(J48="","",MIN(1,J48+1.96*O48/100))</f>
        <v>0.383798902325267</v>
      </c>
      <c r="R48" s="32" t="str">
        <f aca="false">IF(L48="","",IF(ABS(L48)&lt;=O48,"Yes","No"))</f>
        <v>No</v>
      </c>
      <c r="S48" s="32" t="str">
        <f aca="false">IF(L48="","",IF(ABS(L48)&lt;=1.96*O48,"Yes","No"))</f>
        <v>Yes</v>
      </c>
      <c r="T48" s="66" t="n">
        <f aca="false">IF(D48="","",ROUND(SQRT(((D48+G48)*O48/100)^2+(J48*(D48+G48)*0.05992)^2),0))</f>
        <v>83</v>
      </c>
      <c r="U48" s="32"/>
    </row>
    <row r="49" customFormat="false" ht="15" hidden="false" customHeight="false" outlineLevel="0" collapsed="false">
      <c r="A49" s="32" t="s">
        <v>219</v>
      </c>
      <c r="B49" s="32" t="s">
        <v>244</v>
      </c>
      <c r="C49" s="32" t="s">
        <v>191</v>
      </c>
      <c r="D49" s="66" t="n">
        <v>7692</v>
      </c>
      <c r="E49" s="66" t="n">
        <v>7458</v>
      </c>
      <c r="F49" s="77" t="n">
        <f aca="false">IF(E49="","",D49-E49)</f>
        <v>234</v>
      </c>
      <c r="G49" s="66" t="n">
        <v>6437</v>
      </c>
      <c r="H49" s="66" t="n">
        <v>6731</v>
      </c>
      <c r="I49" s="77" t="n">
        <f aca="false">IF(H49="","",G49-H49)</f>
        <v>-294</v>
      </c>
      <c r="J49" s="47" t="n">
        <f aca="false">IF(OR(D49="",D49+G49=0),"",D49/(D49+G49))</f>
        <v>0.544412201854342</v>
      </c>
      <c r="K49" s="47" t="n">
        <f aca="false">IF(E49="","",E49/(E49+H49))</f>
        <v>0.525618436817253</v>
      </c>
      <c r="L49" s="78" t="n">
        <f aca="false">IF(OR(K49="",J49=""),"",(J49-K49)*100)</f>
        <v>1.87937650370893</v>
      </c>
      <c r="M49" s="36" t="n">
        <v>1.44439089223214</v>
      </c>
      <c r="N49" s="36" t="n">
        <v>0.321380629327618</v>
      </c>
      <c r="O49" s="36" t="n">
        <f aca="false">SQRT(M49^2+N49^2)</f>
        <v>1.47971299868257</v>
      </c>
      <c r="P49" s="47" t="n">
        <f aca="false">IF(J49="","",MAX(0,J49-1.96*O49/100))</f>
        <v>0.515409827080164</v>
      </c>
      <c r="Q49" s="47" t="n">
        <f aca="false">IF(J49="","",MIN(1,J49+1.96*O49/100))</f>
        <v>0.573414576628521</v>
      </c>
      <c r="R49" s="32" t="str">
        <f aca="false">IF(L49="","",IF(ABS(L49)&lt;=O49,"Yes","No"))</f>
        <v>No</v>
      </c>
      <c r="S49" s="32" t="str">
        <f aca="false">IF(L49="","",IF(ABS(L49)&lt;=1.96*O49,"Yes","No"))</f>
        <v>Yes</v>
      </c>
      <c r="T49" s="66" t="n">
        <f aca="false">IF(D49="","",ROUND(SQRT(((D49+G49)*O49/100)^2+(J49*(D49+G49)*0.05437)^2),0))</f>
        <v>468</v>
      </c>
      <c r="U49" s="32"/>
    </row>
    <row r="50" customFormat="false" ht="15" hidden="false" customHeight="false" outlineLevel="0" collapsed="false">
      <c r="A50" s="32" t="s">
        <v>245</v>
      </c>
      <c r="B50" s="32" t="s">
        <v>246</v>
      </c>
      <c r="C50" s="32" t="s">
        <v>191</v>
      </c>
      <c r="D50" s="66" t="n">
        <v>480</v>
      </c>
      <c r="E50" s="66" t="n">
        <v>482</v>
      </c>
      <c r="F50" s="77" t="n">
        <f aca="false">IF(E50="","",D50-E50)</f>
        <v>-2</v>
      </c>
      <c r="G50" s="66" t="n">
        <v>1038</v>
      </c>
      <c r="H50" s="66" t="n">
        <v>987</v>
      </c>
      <c r="I50" s="77" t="n">
        <f aca="false">IF(H50="","",G50-H50)</f>
        <v>51</v>
      </c>
      <c r="J50" s="47" t="n">
        <f aca="false">IF(OR(D50="",D50+G50=0),"",D50/(D50+G50))</f>
        <v>0.316205533596838</v>
      </c>
      <c r="K50" s="47" t="n">
        <f aca="false">IF(E50="","",E50/(E50+H50))</f>
        <v>0.328114363512594</v>
      </c>
      <c r="L50" s="78" t="n">
        <f aca="false">IF(OR(K50="",J50=""),"",(J50-K50)*100)</f>
        <v>-1.19088299157556</v>
      </c>
      <c r="M50" s="36" t="n">
        <v>2.6727769877146</v>
      </c>
      <c r="N50" s="36" t="n">
        <v>0.321380629327618</v>
      </c>
      <c r="O50" s="36" t="n">
        <f aca="false">SQRT(M50^2+N50^2)</f>
        <v>2.69202940826503</v>
      </c>
      <c r="P50" s="47" t="n">
        <f aca="false">IF(J50="","",MAX(0,J50-1.96*O50/100))</f>
        <v>0.263441757194843</v>
      </c>
      <c r="Q50" s="47" t="n">
        <f aca="false">IF(J50="","",MIN(1,J50+1.96*O50/100))</f>
        <v>0.368969309998833</v>
      </c>
      <c r="R50" s="32" t="str">
        <f aca="false">IF(L50="","",IF(ABS(L50)&lt;=O50,"Yes","No"))</f>
        <v>Yes</v>
      </c>
      <c r="S50" s="32" t="str">
        <f aca="false">IF(L50="","",IF(ABS(L50)&lt;=1.96*O50,"Yes","No"))</f>
        <v>Yes</v>
      </c>
      <c r="T50" s="66" t="n">
        <f aca="false">IF(D50="","",ROUND(SQRT(((D50+G50)*O50/100)^2+(J50*(D50+G50)*0.07717)^2),0))</f>
        <v>55</v>
      </c>
      <c r="U50" s="32"/>
    </row>
    <row r="51" customFormat="false" ht="15" hidden="false" customHeight="false" outlineLevel="0" collapsed="false">
      <c r="A51" s="32" t="s">
        <v>245</v>
      </c>
      <c r="B51" s="32" t="s">
        <v>247</v>
      </c>
      <c r="C51" s="32" t="s">
        <v>191</v>
      </c>
      <c r="D51" s="66" t="n">
        <v>1482</v>
      </c>
      <c r="E51" s="66" t="n">
        <v>1425</v>
      </c>
      <c r="F51" s="77" t="n">
        <f aca="false">IF(E51="","",D51-E51)</f>
        <v>57</v>
      </c>
      <c r="G51" s="66" t="n">
        <v>2565</v>
      </c>
      <c r="H51" s="66" t="n">
        <v>2491</v>
      </c>
      <c r="I51" s="77" t="n">
        <f aca="false">IF(H51="","",G51-H51)</f>
        <v>74</v>
      </c>
      <c r="J51" s="47" t="n">
        <f aca="false">IF(OR(D51="",D51+G51=0),"",D51/(D51+G51))</f>
        <v>0.366197183098592</v>
      </c>
      <c r="K51" s="47" t="n">
        <f aca="false">IF(E51="","",E51/(E51+H51))</f>
        <v>0.363891726251277</v>
      </c>
      <c r="L51" s="78" t="n">
        <f aca="false">IF(OR(K51="",J51=""),"",(J51-K51)*100)</f>
        <v>0.230545684731476</v>
      </c>
      <c r="M51" s="36" t="n">
        <v>1.44439089223214</v>
      </c>
      <c r="N51" s="36" t="n">
        <v>0.321380629327618</v>
      </c>
      <c r="O51" s="36" t="n">
        <f aca="false">SQRT(M51^2+N51^2)</f>
        <v>1.47971299868257</v>
      </c>
      <c r="P51" s="47" t="n">
        <f aca="false">IF(J51="","",MAX(0,J51-1.96*O51/100))</f>
        <v>0.337194808324413</v>
      </c>
      <c r="Q51" s="47" t="n">
        <f aca="false">IF(J51="","",MIN(1,J51+1.96*O51/100))</f>
        <v>0.39519955787277</v>
      </c>
      <c r="R51" s="32" t="str">
        <f aca="false">IF(L51="","",IF(ABS(L51)&lt;=O51,"Yes","No"))</f>
        <v>Yes</v>
      </c>
      <c r="S51" s="32" t="str">
        <f aca="false">IF(L51="","",IF(ABS(L51)&lt;=1.96*O51,"Yes","No"))</f>
        <v>Yes</v>
      </c>
      <c r="T51" s="66" t="n">
        <f aca="false">IF(D51="","",ROUND(SQRT(((D51+G51)*O51/100)^2+(J51*(D51+G51)*0.05437)^2),0))</f>
        <v>100</v>
      </c>
      <c r="U51" s="32" t="s">
        <v>469</v>
      </c>
    </row>
    <row r="52" customFormat="false" ht="15" hidden="false" customHeight="false" outlineLevel="0" collapsed="false">
      <c r="A52" s="32" t="s">
        <v>245</v>
      </c>
      <c r="B52" s="32" t="s">
        <v>248</v>
      </c>
      <c r="C52" s="32" t="s">
        <v>191</v>
      </c>
      <c r="D52" s="66" t="n">
        <v>551</v>
      </c>
      <c r="E52" s="66" t="n">
        <v>502</v>
      </c>
      <c r="F52" s="77" t="n">
        <f aca="false">IF(E52="","",D52-E52)</f>
        <v>49</v>
      </c>
      <c r="G52" s="66" t="n">
        <v>952</v>
      </c>
      <c r="H52" s="66" t="n">
        <v>795</v>
      </c>
      <c r="I52" s="77" t="n">
        <f aca="false">IF(H52="","",G52-H52)</f>
        <v>157</v>
      </c>
      <c r="J52" s="47" t="n">
        <f aca="false">IF(OR(D52="",D52+G52=0),"",D52/(D52+G52))</f>
        <v>0.366600133067199</v>
      </c>
      <c r="K52" s="47" t="n">
        <f aca="false">IF(E52="","",E52/(E52+H52))</f>
        <v>0.387047031611411</v>
      </c>
      <c r="L52" s="78" t="n">
        <f aca="false">IF(OR(K52="",J52=""),"",(J52-K52)*100)</f>
        <v>-2.04468985442121</v>
      </c>
      <c r="M52" s="36" t="n">
        <v>2.6727769877146</v>
      </c>
      <c r="N52" s="36" t="n">
        <v>0.321380629327618</v>
      </c>
      <c r="O52" s="36" t="n">
        <f aca="false">SQRT(M52^2+N52^2)</f>
        <v>2.69202940826503</v>
      </c>
      <c r="P52" s="47" t="n">
        <f aca="false">IF(J52="","",MAX(0,J52-1.96*O52/100))</f>
        <v>0.313836356665204</v>
      </c>
      <c r="Q52" s="47" t="n">
        <f aca="false">IF(J52="","",MIN(1,J52+1.96*O52/100))</f>
        <v>0.419363909469193</v>
      </c>
      <c r="R52" s="32" t="str">
        <f aca="false">IF(L52="","",IF(ABS(L52)&lt;=O52,"Yes","No"))</f>
        <v>Yes</v>
      </c>
      <c r="S52" s="32" t="str">
        <f aca="false">IF(L52="","",IF(ABS(L52)&lt;=1.96*O52,"Yes","No"))</f>
        <v>Yes</v>
      </c>
      <c r="T52" s="66" t="n">
        <f aca="false">IF(D52="","",ROUND(SQRT(((D52+G52)*O52/100)^2+(J52*(D52+G52)*0.07717)^2),0))</f>
        <v>59</v>
      </c>
      <c r="U52" s="32" t="s">
        <v>470</v>
      </c>
    </row>
    <row r="53" customFormat="false" ht="15" hidden="false" customHeight="false" outlineLevel="0" collapsed="false">
      <c r="A53" s="32" t="s">
        <v>249</v>
      </c>
      <c r="B53" s="32" t="s">
        <v>250</v>
      </c>
      <c r="C53" s="32" t="s">
        <v>191</v>
      </c>
      <c r="D53" s="66" t="n">
        <v>1485</v>
      </c>
      <c r="E53" s="66" t="n">
        <v>1432</v>
      </c>
      <c r="F53" s="77" t="n">
        <f aca="false">IF(E53="","",D53-E53)</f>
        <v>53</v>
      </c>
      <c r="G53" s="66" t="n">
        <v>1891</v>
      </c>
      <c r="H53" s="66" t="n">
        <v>1882</v>
      </c>
      <c r="I53" s="77" t="n">
        <f aca="false">IF(H53="","",G53-H53)</f>
        <v>9</v>
      </c>
      <c r="J53" s="47" t="n">
        <f aca="false">IF(OR(D53="",D53+G53=0),"",D53/(D53+G53))</f>
        <v>0.439869668246446</v>
      </c>
      <c r="K53" s="47" t="n">
        <f aca="false">IF(E53="","",E53/(E53+H53))</f>
        <v>0.432106216053108</v>
      </c>
      <c r="L53" s="78" t="n">
        <f aca="false">IF(OR(K53="",J53=""),"",(J53-K53)*100)</f>
        <v>0.776345219333752</v>
      </c>
      <c r="M53" s="36" t="n">
        <v>1.3830443510296</v>
      </c>
      <c r="N53" s="36" t="n">
        <v>0.321380629327618</v>
      </c>
      <c r="O53" s="36" t="n">
        <f aca="false">SQRT(M53^2+N53^2)</f>
        <v>1.41989337128599</v>
      </c>
      <c r="P53" s="47" t="n">
        <f aca="false">IF(J53="","",MAX(0,J53-1.96*O53/100))</f>
        <v>0.41203975816924</v>
      </c>
      <c r="Q53" s="47" t="n">
        <f aca="false">IF(J53="","",MIN(1,J53+1.96*O53/100))</f>
        <v>0.467699578323651</v>
      </c>
      <c r="R53" s="32" t="str">
        <f aca="false">IF(L53="","",IF(ABS(L53)&lt;=O53,"Yes","No"))</f>
        <v>Yes</v>
      </c>
      <c r="S53" s="32" t="str">
        <f aca="false">IF(L53="","",IF(ABS(L53)&lt;=1.96*O53,"Yes","No"))</f>
        <v>Yes</v>
      </c>
      <c r="T53" s="66" t="n">
        <f aca="false">IF(D53="","",ROUND(SQRT(((D53+G53)*O53/100)^2+(J53*(D53+G53)*0.05992)^2),0))</f>
        <v>101</v>
      </c>
      <c r="U53" s="32"/>
    </row>
    <row r="54" customFormat="false" ht="15" hidden="false" customHeight="false" outlineLevel="0" collapsed="false">
      <c r="A54" s="32" t="s">
        <v>249</v>
      </c>
      <c r="B54" s="32" t="s">
        <v>251</v>
      </c>
      <c r="C54" s="32" t="s">
        <v>191</v>
      </c>
      <c r="D54" s="66" t="n">
        <v>1023</v>
      </c>
      <c r="E54" s="66" t="n">
        <v>965</v>
      </c>
      <c r="F54" s="77" t="n">
        <f aca="false">IF(E54="","",D54-E54)</f>
        <v>58</v>
      </c>
      <c r="G54" s="66" t="n">
        <v>1272</v>
      </c>
      <c r="H54" s="66" t="n">
        <v>1342</v>
      </c>
      <c r="I54" s="77" t="n">
        <f aca="false">IF(H54="","",G54-H54)</f>
        <v>-70</v>
      </c>
      <c r="J54" s="47" t="n">
        <f aca="false">IF(OR(D54="",D54+G54=0),"",D54/(D54+G54))</f>
        <v>0.445751633986928</v>
      </c>
      <c r="K54" s="47" t="n">
        <f aca="false">IF(E54="","",E54/(E54+H54))</f>
        <v>0.418292154312961</v>
      </c>
      <c r="L54" s="78" t="n">
        <f aca="false">IF(OR(K54="",J54=""),"",(J54-K54)*100)</f>
        <v>2.74594796739676</v>
      </c>
      <c r="M54" s="36" t="n">
        <v>1.3830443510296</v>
      </c>
      <c r="N54" s="36" t="n">
        <v>0.321380629327618</v>
      </c>
      <c r="O54" s="36" t="n">
        <f aca="false">SQRT(M54^2+N54^2)</f>
        <v>1.41989337128599</v>
      </c>
      <c r="P54" s="47" t="n">
        <f aca="false">IF(J54="","",MAX(0,J54-1.96*O54/100))</f>
        <v>0.417921723909723</v>
      </c>
      <c r="Q54" s="47" t="n">
        <f aca="false">IF(J54="","",MIN(1,J54+1.96*O54/100))</f>
        <v>0.473581544064134</v>
      </c>
      <c r="R54" s="32" t="str">
        <f aca="false">IF(L54="","",IF(ABS(L54)&lt;=O54,"Yes","No"))</f>
        <v>No</v>
      </c>
      <c r="S54" s="32" t="str">
        <f aca="false">IF(L54="","",IF(ABS(L54)&lt;=1.96*O54,"Yes","No"))</f>
        <v>Yes</v>
      </c>
      <c r="T54" s="66" t="n">
        <f aca="false">IF(D54="","",ROUND(SQRT(((D54+G54)*O54/100)^2+(J54*(D54+G54)*0.05992)^2),0))</f>
        <v>69</v>
      </c>
      <c r="U54" s="32"/>
    </row>
    <row r="55" customFormat="false" ht="15" hidden="false" customHeight="false" outlineLevel="0" collapsed="false">
      <c r="A55" s="32" t="s">
        <v>249</v>
      </c>
      <c r="B55" s="32" t="s">
        <v>252</v>
      </c>
      <c r="C55" s="32" t="s">
        <v>191</v>
      </c>
      <c r="D55" s="66" t="n">
        <v>597</v>
      </c>
      <c r="E55" s="66" t="n">
        <v>579</v>
      </c>
      <c r="F55" s="77" t="n">
        <f aca="false">IF(E55="","",D55-E55)</f>
        <v>18</v>
      </c>
      <c r="G55" s="66" t="n">
        <v>658</v>
      </c>
      <c r="H55" s="66" t="n">
        <v>695</v>
      </c>
      <c r="I55" s="77" t="n">
        <f aca="false">IF(H55="","",G55-H55)</f>
        <v>-37</v>
      </c>
      <c r="J55" s="47" t="n">
        <f aca="false">IF(OR(D55="",D55+G55=0),"",D55/(D55+G55))</f>
        <v>0.475697211155379</v>
      </c>
      <c r="K55" s="47" t="n">
        <f aca="false">IF(E55="","",E55/(E55+H55))</f>
        <v>0.45447409733124</v>
      </c>
      <c r="L55" s="78" t="n">
        <f aca="false">IF(OR(K55="",J55=""),"",(J55-K55)*100)</f>
        <v>2.12231138241383</v>
      </c>
      <c r="M55" s="36" t="n">
        <v>2.6727769877146</v>
      </c>
      <c r="N55" s="36" t="n">
        <v>0.321380629327618</v>
      </c>
      <c r="O55" s="36" t="n">
        <f aca="false">SQRT(M55^2+N55^2)</f>
        <v>2.69202940826503</v>
      </c>
      <c r="P55" s="47" t="n">
        <f aca="false">IF(J55="","",MAX(0,J55-1.96*O55/100))</f>
        <v>0.422933434753384</v>
      </c>
      <c r="Q55" s="47" t="n">
        <f aca="false">IF(J55="","",MIN(1,J55+1.96*O55/100))</f>
        <v>0.528460987557373</v>
      </c>
      <c r="R55" s="32" t="str">
        <f aca="false">IF(L55="","",IF(ABS(L55)&lt;=O55,"Yes","No"))</f>
        <v>Yes</v>
      </c>
      <c r="S55" s="32" t="str">
        <f aca="false">IF(L55="","",IF(ABS(L55)&lt;=1.96*O55,"Yes","No"))</f>
        <v>Yes</v>
      </c>
      <c r="T55" s="66" t="n">
        <f aca="false">IF(D55="","",ROUND(SQRT(((D55+G55)*O55/100)^2+(J55*(D55+G55)*0.07717)^2),0))</f>
        <v>57</v>
      </c>
      <c r="U55" s="32"/>
    </row>
    <row r="56" customFormat="false" ht="15" hidden="false" customHeight="false" outlineLevel="0" collapsed="false">
      <c r="A56" s="32" t="s">
        <v>249</v>
      </c>
      <c r="B56" s="32" t="s">
        <v>222</v>
      </c>
      <c r="C56" s="32" t="s">
        <v>191</v>
      </c>
      <c r="D56" s="66" t="n">
        <v>17405</v>
      </c>
      <c r="E56" s="66" t="n">
        <v>16692</v>
      </c>
      <c r="F56" s="77" t="n">
        <f aca="false">IF(E56="","",D56-E56)</f>
        <v>713</v>
      </c>
      <c r="G56" s="66" t="n">
        <v>7923</v>
      </c>
      <c r="H56" s="66" t="n">
        <v>8176</v>
      </c>
      <c r="I56" s="77" t="n">
        <f aca="false">IF(H56="","",G56-H56)</f>
        <v>-253</v>
      </c>
      <c r="J56" s="47" t="n">
        <f aca="false">IF(OR(D56="",D56+G56=0),"",D56/(D56+G56))</f>
        <v>0.687184144030322</v>
      </c>
      <c r="K56" s="47" t="n">
        <f aca="false">IF(E56="","",E56/(E56+H56))</f>
        <v>0.671224063052919</v>
      </c>
      <c r="L56" s="78" t="n">
        <f aca="false">IF(OR(K56="",J56=""),"",(J56-K56)*100)</f>
        <v>1.59600809774028</v>
      </c>
      <c r="M56" s="36" t="n">
        <v>1.44439089223214</v>
      </c>
      <c r="N56" s="36" t="n">
        <v>0.321380629327618</v>
      </c>
      <c r="O56" s="36" t="n">
        <f aca="false">SQRT(M56^2+N56^2)</f>
        <v>1.47971299868257</v>
      </c>
      <c r="P56" s="47" t="n">
        <f aca="false">IF(J56="","",MAX(0,J56-1.96*O56/100))</f>
        <v>0.658181769256144</v>
      </c>
      <c r="Q56" s="47" t="n">
        <f aca="false">IF(J56="","",MIN(1,J56+1.96*O56/100))</f>
        <v>0.716186518804501</v>
      </c>
      <c r="R56" s="32" t="str">
        <f aca="false">IF(L56="","",IF(ABS(L56)&lt;=O56,"Yes","No"))</f>
        <v>No</v>
      </c>
      <c r="S56" s="32" t="str">
        <f aca="false">IF(L56="","",IF(ABS(L56)&lt;=1.96*O56,"Yes","No"))</f>
        <v>Yes</v>
      </c>
      <c r="T56" s="66" t="n">
        <f aca="false">IF(D56="","",ROUND(SQRT(((D56+G56)*O56/100)^2+(J56*(D56+G56)*0.05437)^2),0))</f>
        <v>1018</v>
      </c>
      <c r="U56" s="32"/>
    </row>
    <row r="57" customFormat="false" ht="15" hidden="false" customHeight="false" outlineLevel="0" collapsed="false">
      <c r="A57" s="32" t="s">
        <v>249</v>
      </c>
      <c r="B57" s="32" t="s">
        <v>253</v>
      </c>
      <c r="C57" s="32" t="s">
        <v>191</v>
      </c>
      <c r="D57" s="66" t="n">
        <v>8375</v>
      </c>
      <c r="E57" s="66" t="n">
        <v>8164</v>
      </c>
      <c r="F57" s="77" t="n">
        <f aca="false">IF(E57="","",D57-E57)</f>
        <v>211</v>
      </c>
      <c r="G57" s="66" t="n">
        <v>7165</v>
      </c>
      <c r="H57" s="66" t="n">
        <v>7277</v>
      </c>
      <c r="I57" s="77" t="n">
        <f aca="false">IF(H57="","",G57-H57)</f>
        <v>-112</v>
      </c>
      <c r="J57" s="47" t="n">
        <f aca="false">IF(OR(D57="",D57+G57=0),"",D57/(D57+G57))</f>
        <v>0.538931788931789</v>
      </c>
      <c r="K57" s="47" t="n">
        <f aca="false">IF(E57="","",E57/(E57+H57))</f>
        <v>0.528722233015996</v>
      </c>
      <c r="L57" s="78" t="n">
        <f aca="false">IF(OR(K57="",J57=""),"",(J57-K57)*100)</f>
        <v>1.02095559157925</v>
      </c>
      <c r="M57" s="36" t="n">
        <v>1.44439089223214</v>
      </c>
      <c r="N57" s="36" t="n">
        <v>0.321380629327618</v>
      </c>
      <c r="O57" s="36" t="n">
        <f aca="false">SQRT(M57^2+N57^2)</f>
        <v>1.47971299868257</v>
      </c>
      <c r="P57" s="47" t="n">
        <f aca="false">IF(J57="","",MAX(0,J57-1.96*O57/100))</f>
        <v>0.509929414157611</v>
      </c>
      <c r="Q57" s="47" t="n">
        <f aca="false">IF(J57="","",MIN(1,J57+1.96*O57/100))</f>
        <v>0.567934163705967</v>
      </c>
      <c r="R57" s="32" t="str">
        <f aca="false">IF(L57="","",IF(ABS(L57)&lt;=O57,"Yes","No"))</f>
        <v>Yes</v>
      </c>
      <c r="S57" s="32" t="str">
        <f aca="false">IF(L57="","",IF(ABS(L57)&lt;=1.96*O57,"Yes","No"))</f>
        <v>Yes</v>
      </c>
      <c r="T57" s="66" t="n">
        <f aca="false">IF(D57="","",ROUND(SQRT(((D57+G57)*O57/100)^2+(J57*(D57+G57)*0.05437)^2),0))</f>
        <v>510</v>
      </c>
      <c r="U57" s="32"/>
    </row>
    <row r="58" customFormat="false" ht="15" hidden="false" customHeight="false" outlineLevel="0" collapsed="false">
      <c r="A58" s="32" t="s">
        <v>249</v>
      </c>
      <c r="B58" s="32" t="s">
        <v>254</v>
      </c>
      <c r="C58" s="32" t="s">
        <v>191</v>
      </c>
      <c r="D58" s="66" t="n">
        <v>2085</v>
      </c>
      <c r="E58" s="66" t="n">
        <v>1988</v>
      </c>
      <c r="F58" s="77" t="n">
        <f aca="false">IF(E58="","",D58-E58)</f>
        <v>97</v>
      </c>
      <c r="G58" s="66" t="n">
        <v>3300</v>
      </c>
      <c r="H58" s="66" t="n">
        <v>3385</v>
      </c>
      <c r="I58" s="77" t="n">
        <f aca="false">IF(H58="","",G58-H58)</f>
        <v>-85</v>
      </c>
      <c r="J58" s="47" t="n">
        <f aca="false">IF(OR(D58="",D58+G58=0),"",D58/(D58+G58))</f>
        <v>0.387186629526462</v>
      </c>
      <c r="K58" s="47" t="n">
        <f aca="false">IF(E58="","",E58/(E58+H58))</f>
        <v>0.36999813884236</v>
      </c>
      <c r="L58" s="78" t="n">
        <f aca="false">IF(OR(K58="",J58=""),"",(J58-K58)*100)</f>
        <v>1.71884906841024</v>
      </c>
      <c r="M58" s="36" t="n">
        <v>1.44439089223214</v>
      </c>
      <c r="N58" s="36" t="n">
        <v>0.321380629327618</v>
      </c>
      <c r="O58" s="36" t="n">
        <f aca="false">SQRT(M58^2+N58^2)</f>
        <v>1.47971299868257</v>
      </c>
      <c r="P58" s="47" t="n">
        <f aca="false">IF(J58="","",MAX(0,J58-1.96*O58/100))</f>
        <v>0.358184254752284</v>
      </c>
      <c r="Q58" s="47" t="n">
        <f aca="false">IF(J58="","",MIN(1,J58+1.96*O58/100))</f>
        <v>0.416189004300641</v>
      </c>
      <c r="R58" s="32" t="str">
        <f aca="false">IF(L58="","",IF(ABS(L58)&lt;=O58,"Yes","No"))</f>
        <v>No</v>
      </c>
      <c r="S58" s="32" t="str">
        <f aca="false">IF(L58="","",IF(ABS(L58)&lt;=1.96*O58,"Yes","No"))</f>
        <v>Yes</v>
      </c>
      <c r="T58" s="66" t="n">
        <f aca="false">IF(D58="","",ROUND(SQRT(((D58+G58)*O58/100)^2+(J58*(D58+G58)*0.05437)^2),0))</f>
        <v>139</v>
      </c>
      <c r="U58" s="32"/>
    </row>
    <row r="59" customFormat="false" ht="15" hidden="false" customHeight="false" outlineLevel="0" collapsed="false">
      <c r="A59" s="32" t="s">
        <v>249</v>
      </c>
      <c r="B59" s="32" t="s">
        <v>255</v>
      </c>
      <c r="C59" s="32" t="s">
        <v>191</v>
      </c>
      <c r="D59" s="66" t="n">
        <v>46</v>
      </c>
      <c r="E59" s="66" t="n">
        <v>39</v>
      </c>
      <c r="F59" s="77" t="n">
        <f aca="false">IF(E59="","",D59-E59)</f>
        <v>7</v>
      </c>
      <c r="G59" s="66" t="n">
        <v>74</v>
      </c>
      <c r="H59" s="66" t="n">
        <v>79</v>
      </c>
      <c r="I59" s="77" t="n">
        <f aca="false">IF(H59="","",G59-H59)</f>
        <v>-5</v>
      </c>
      <c r="J59" s="47" t="n">
        <f aca="false">IF(OR(D59="",D59+G59=0),"",D59/(D59+G59))</f>
        <v>0.383333333333333</v>
      </c>
      <c r="K59" s="47" t="n">
        <f aca="false">IF(E59="","",E59/(E59+H59))</f>
        <v>0.330508474576271</v>
      </c>
      <c r="L59" s="78" t="n">
        <f aca="false">IF(OR(K59="",J59=""),"",(J59-K59)*100)</f>
        <v>5.28248587570622</v>
      </c>
      <c r="M59" s="36" t="n">
        <v>2.6727769877146</v>
      </c>
      <c r="N59" s="36" t="n">
        <v>0.321380629327618</v>
      </c>
      <c r="O59" s="36" t="n">
        <f aca="false">SQRT(M59^2+N59^2)</f>
        <v>2.69202940826503</v>
      </c>
      <c r="P59" s="47" t="n">
        <f aca="false">IF(J59="","",MAX(0,J59-1.96*O59/100))</f>
        <v>0.330569556931339</v>
      </c>
      <c r="Q59" s="47" t="n">
        <f aca="false">IF(J59="","",MIN(1,J59+1.96*O59/100))</f>
        <v>0.436097109735328</v>
      </c>
      <c r="R59" s="32" t="str">
        <f aca="false">IF(L59="","",IF(ABS(L59)&lt;=O59,"Yes","No"))</f>
        <v>No</v>
      </c>
      <c r="S59" s="32" t="str">
        <f aca="false">IF(L59="","",IF(ABS(L59)&lt;=1.96*O59,"Yes","No"))</f>
        <v>No</v>
      </c>
      <c r="T59" s="66" t="n">
        <f aca="false">IF(D59="","",ROUND(SQRT(((D59+G59)*O59/100)^2+(J59*(D59+G59)*0.07717)^2),0))</f>
        <v>5</v>
      </c>
      <c r="U59" s="32"/>
    </row>
    <row r="60" customFormat="false" ht="15" hidden="false" customHeight="false" outlineLevel="0" collapsed="false">
      <c r="A60" s="32" t="s">
        <v>249</v>
      </c>
      <c r="B60" s="32" t="s">
        <v>256</v>
      </c>
      <c r="C60" s="32" t="s">
        <v>191</v>
      </c>
      <c r="D60" s="66" t="n">
        <v>1319</v>
      </c>
      <c r="E60" s="66" t="n">
        <v>1215</v>
      </c>
      <c r="F60" s="77" t="n">
        <f aca="false">IF(E60="","",D60-E60)</f>
        <v>104</v>
      </c>
      <c r="G60" s="66" t="n">
        <v>1746</v>
      </c>
      <c r="H60" s="66" t="n">
        <v>1784</v>
      </c>
      <c r="I60" s="77" t="n">
        <f aca="false">IF(H60="","",G60-H60)</f>
        <v>-38</v>
      </c>
      <c r="J60" s="47" t="n">
        <f aca="false">IF(OR(D60="",D60+G60=0),"",D60/(D60+G60))</f>
        <v>0.430342577487765</v>
      </c>
      <c r="K60" s="47" t="n">
        <f aca="false">IF(E60="","",E60/(E60+H60))</f>
        <v>0.405135045015005</v>
      </c>
      <c r="L60" s="78" t="n">
        <f aca="false">IF(OR(K60="",J60=""),"",(J60-K60)*100)</f>
        <v>2.52075324727601</v>
      </c>
      <c r="M60" s="36" t="n">
        <v>1.3830443510296</v>
      </c>
      <c r="N60" s="36" t="n">
        <v>0.321380629327618</v>
      </c>
      <c r="O60" s="36" t="n">
        <f aca="false">SQRT(M60^2+N60^2)</f>
        <v>1.41989337128599</v>
      </c>
      <c r="P60" s="47" t="n">
        <f aca="false">IF(J60="","",MAX(0,J60-1.96*O60/100))</f>
        <v>0.40251266741056</v>
      </c>
      <c r="Q60" s="47" t="n">
        <f aca="false">IF(J60="","",MIN(1,J60+1.96*O60/100))</f>
        <v>0.458172487564971</v>
      </c>
      <c r="R60" s="32" t="str">
        <f aca="false">IF(L60="","",IF(ABS(L60)&lt;=O60,"Yes","No"))</f>
        <v>No</v>
      </c>
      <c r="S60" s="32" t="str">
        <f aca="false">IF(L60="","",IF(ABS(L60)&lt;=1.96*O60,"Yes","No"))</f>
        <v>Yes</v>
      </c>
      <c r="T60" s="66" t="n">
        <f aca="false">IF(D60="","",ROUND(SQRT(((D60+G60)*O60/100)^2+(J60*(D60+G60)*0.05992)^2),0))</f>
        <v>90</v>
      </c>
      <c r="U60" s="32"/>
    </row>
    <row r="61" customFormat="false" ht="15" hidden="false" customHeight="false" outlineLevel="0" collapsed="false">
      <c r="A61" s="32" t="s">
        <v>249</v>
      </c>
      <c r="B61" s="32" t="s">
        <v>257</v>
      </c>
      <c r="C61" s="32" t="s">
        <v>191</v>
      </c>
      <c r="D61" s="66" t="n">
        <v>207</v>
      </c>
      <c r="E61" s="66" t="n">
        <v>166</v>
      </c>
      <c r="F61" s="77" t="n">
        <f aca="false">IF(E61="","",D61-E61)</f>
        <v>41</v>
      </c>
      <c r="G61" s="66" t="n">
        <v>305</v>
      </c>
      <c r="H61" s="66" t="n">
        <v>332</v>
      </c>
      <c r="I61" s="77" t="n">
        <f aca="false">IF(H61="","",G61-H61)</f>
        <v>-27</v>
      </c>
      <c r="J61" s="47" t="n">
        <f aca="false">IF(OR(D61="",D61+G61=0),"",D61/(D61+G61))</f>
        <v>0.404296875</v>
      </c>
      <c r="K61" s="47" t="n">
        <f aca="false">IF(E61="","",E61/(E61+H61))</f>
        <v>0.333333333333333</v>
      </c>
      <c r="L61" s="78" t="n">
        <f aca="false">IF(OR(K61="",J61=""),"",(J61-K61)*100)</f>
        <v>7.09635416666667</v>
      </c>
      <c r="M61" s="36" t="n">
        <v>2.6727769877146</v>
      </c>
      <c r="N61" s="36" t="n">
        <v>0.321380629327618</v>
      </c>
      <c r="O61" s="36" t="n">
        <f aca="false">SQRT(M61^2+N61^2)</f>
        <v>2.69202940826503</v>
      </c>
      <c r="P61" s="47" t="n">
        <f aca="false">IF(J61="","",MAX(0,J61-1.96*O61/100))</f>
        <v>0.351533098598005</v>
      </c>
      <c r="Q61" s="47" t="n">
        <f aca="false">IF(J61="","",MIN(1,J61+1.96*O61/100))</f>
        <v>0.457060651401995</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249</v>
      </c>
      <c r="B62" s="32" t="s">
        <v>258</v>
      </c>
      <c r="C62" s="32" t="s">
        <v>191</v>
      </c>
      <c r="D62" s="66" t="n">
        <v>7514</v>
      </c>
      <c r="E62" s="66" t="n">
        <v>7095</v>
      </c>
      <c r="F62" s="77" t="n">
        <f aca="false">IF(E62="","",D62-E62)</f>
        <v>419</v>
      </c>
      <c r="G62" s="66" t="n">
        <v>2893</v>
      </c>
      <c r="H62" s="66" t="n">
        <v>2953</v>
      </c>
      <c r="I62" s="77" t="n">
        <f aca="false">IF(H62="","",G62-H62)</f>
        <v>-60</v>
      </c>
      <c r="J62" s="47" t="n">
        <f aca="false">IF(OR(D62="",D62+G62=0),"",D62/(D62+G62))</f>
        <v>0.72201402901893</v>
      </c>
      <c r="K62" s="47" t="n">
        <f aca="false">IF(E62="","",E62/(E62+H62))</f>
        <v>0.706110668789809</v>
      </c>
      <c r="L62" s="78" t="n">
        <f aca="false">IF(OR(K62="",J62=""),"",(J62-K62)*100)</f>
        <v>1.59033602291206</v>
      </c>
      <c r="M62" s="36" t="n">
        <v>1.44439089223214</v>
      </c>
      <c r="N62" s="36" t="n">
        <v>0.321380629327618</v>
      </c>
      <c r="O62" s="36" t="n">
        <f aca="false">SQRT(M62^2+N62^2)</f>
        <v>1.47971299868257</v>
      </c>
      <c r="P62" s="47" t="n">
        <f aca="false">IF(J62="","",MAX(0,J62-1.96*O62/100))</f>
        <v>0.693011654244751</v>
      </c>
      <c r="Q62" s="47" t="n">
        <f aca="false">IF(J62="","",MIN(1,J62+1.96*O62/100))</f>
        <v>0.751016403793108</v>
      </c>
      <c r="R62" s="32" t="str">
        <f aca="false">IF(L62="","",IF(ABS(L62)&lt;=O62,"Yes","No"))</f>
        <v>No</v>
      </c>
      <c r="S62" s="32" t="str">
        <f aca="false">IF(L62="","",IF(ABS(L62)&lt;=1.96*O62,"Yes","No"))</f>
        <v>Yes</v>
      </c>
      <c r="T62" s="66" t="n">
        <f aca="false">IF(D62="","",ROUND(SQRT(((D62+G62)*O62/100)^2+(J62*(D62+G62)*0.05437)^2),0))</f>
        <v>437</v>
      </c>
      <c r="U62" s="32"/>
    </row>
    <row r="63" customFormat="false" ht="15" hidden="false" customHeight="false" outlineLevel="0" collapsed="false">
      <c r="A63" s="32" t="s">
        <v>249</v>
      </c>
      <c r="B63" s="32" t="s">
        <v>259</v>
      </c>
      <c r="C63" s="32" t="s">
        <v>191</v>
      </c>
      <c r="D63" s="66" t="n">
        <v>5294</v>
      </c>
      <c r="E63" s="66" t="n">
        <v>5038</v>
      </c>
      <c r="F63" s="77" t="n">
        <f aca="false">IF(E63="","",D63-E63)</f>
        <v>256</v>
      </c>
      <c r="G63" s="66" t="n">
        <v>4661</v>
      </c>
      <c r="H63" s="66" t="n">
        <v>4815</v>
      </c>
      <c r="I63" s="77" t="n">
        <f aca="false">IF(H63="","",G63-H63)</f>
        <v>-154</v>
      </c>
      <c r="J63" s="47" t="n">
        <f aca="false">IF(OR(D63="",D63+G63=0),"",D63/(D63+G63))</f>
        <v>0.531793068809643</v>
      </c>
      <c r="K63" s="47" t="n">
        <f aca="false">IF(E63="","",E63/(E63+H63))</f>
        <v>0.511316350350147</v>
      </c>
      <c r="L63" s="78" t="n">
        <f aca="false">IF(OR(K63="",J63=""),"",(J63-K63)*100)</f>
        <v>2.04767184594963</v>
      </c>
      <c r="M63" s="36" t="n">
        <v>1.44439089223214</v>
      </c>
      <c r="N63" s="36" t="n">
        <v>0.321380629327618</v>
      </c>
      <c r="O63" s="36" t="n">
        <f aca="false">SQRT(M63^2+N63^2)</f>
        <v>1.47971299868257</v>
      </c>
      <c r="P63" s="47" t="n">
        <f aca="false">IF(J63="","",MAX(0,J63-1.96*O63/100))</f>
        <v>0.502790694035465</v>
      </c>
      <c r="Q63" s="47" t="n">
        <f aca="false">IF(J63="","",MIN(1,J63+1.96*O63/100))</f>
        <v>0.560795443583822</v>
      </c>
      <c r="R63" s="32" t="str">
        <f aca="false">IF(L63="","",IF(ABS(L63)&lt;=O63,"Yes","No"))</f>
        <v>No</v>
      </c>
      <c r="S63" s="32" t="str">
        <f aca="false">IF(L63="","",IF(ABS(L63)&lt;=1.96*O63,"Yes","No"))</f>
        <v>Yes</v>
      </c>
      <c r="T63" s="66" t="n">
        <f aca="false">IF(D63="","",ROUND(SQRT(((D63+G63)*O63/100)^2+(J63*(D63+G63)*0.05437)^2),0))</f>
        <v>323</v>
      </c>
      <c r="U63" s="32"/>
    </row>
    <row r="64" customFormat="false" ht="15" hidden="false" customHeight="false" outlineLevel="0" collapsed="false">
      <c r="A64" s="32" t="s">
        <v>249</v>
      </c>
      <c r="B64" s="32" t="s">
        <v>260</v>
      </c>
      <c r="C64" s="32" t="s">
        <v>191</v>
      </c>
      <c r="D64" s="66" t="n">
        <v>737</v>
      </c>
      <c r="E64" s="66" t="n">
        <v>768</v>
      </c>
      <c r="F64" s="77" t="n">
        <f aca="false">IF(E64="","",D64-E64)</f>
        <v>-31</v>
      </c>
      <c r="G64" s="66" t="n">
        <v>426</v>
      </c>
      <c r="H64" s="66" t="n">
        <v>460</v>
      </c>
      <c r="I64" s="77" t="n">
        <f aca="false">IF(H64="","",G64-H64)</f>
        <v>-34</v>
      </c>
      <c r="J64" s="47" t="n">
        <f aca="false">IF(OR(D64="",D64+G64=0),"",D64/(D64+G64))</f>
        <v>0.633705932932072</v>
      </c>
      <c r="K64" s="47" t="n">
        <f aca="false">IF(E64="","",E64/(E64+H64))</f>
        <v>0.625407166123778</v>
      </c>
      <c r="L64" s="78" t="n">
        <f aca="false">IF(OR(K64="",J64=""),"",(J64-K64)*100)</f>
        <v>0.829876680829378</v>
      </c>
      <c r="M64" s="36" t="n">
        <v>2.6727769877146</v>
      </c>
      <c r="N64" s="36" t="n">
        <v>0.321380629327618</v>
      </c>
      <c r="O64" s="36" t="n">
        <f aca="false">SQRT(M64^2+N64^2)</f>
        <v>2.69202940826503</v>
      </c>
      <c r="P64" s="47" t="n">
        <f aca="false">IF(J64="","",MAX(0,J64-1.96*O64/100))</f>
        <v>0.580942156530078</v>
      </c>
      <c r="Q64" s="47" t="n">
        <f aca="false">IF(J64="","",MIN(1,J64+1.96*O64/100))</f>
        <v>0.686469709334067</v>
      </c>
      <c r="R64" s="32" t="str">
        <f aca="false">IF(L64="","",IF(ABS(L64)&lt;=O64,"Yes","No"))</f>
        <v>Yes</v>
      </c>
      <c r="S64" s="32" t="str">
        <f aca="false">IF(L64="","",IF(ABS(L64)&lt;=1.96*O64,"Yes","No"))</f>
        <v>Yes</v>
      </c>
      <c r="T64" s="66" t="n">
        <f aca="false">IF(D64="","",ROUND(SQRT(((D64+G64)*O64/100)^2+(J64*(D64+G64)*0.07717)^2),0))</f>
        <v>65</v>
      </c>
      <c r="U64" s="32"/>
    </row>
    <row r="65" customFormat="false" ht="15" hidden="false" customHeight="false" outlineLevel="0" collapsed="false">
      <c r="A65" s="32" t="s">
        <v>249</v>
      </c>
      <c r="B65" s="32" t="s">
        <v>261</v>
      </c>
      <c r="C65" s="32" t="s">
        <v>191</v>
      </c>
      <c r="D65" s="66" t="n">
        <v>110</v>
      </c>
      <c r="E65" s="66" t="n">
        <v>101</v>
      </c>
      <c r="F65" s="77" t="n">
        <f aca="false">IF(E65="","",D65-E65)</f>
        <v>9</v>
      </c>
      <c r="G65" s="66" t="n">
        <v>92</v>
      </c>
      <c r="H65" s="66" t="n">
        <v>100</v>
      </c>
      <c r="I65" s="77" t="n">
        <f aca="false">IF(H65="","",G65-H65)</f>
        <v>-8</v>
      </c>
      <c r="J65" s="47" t="n">
        <f aca="false">IF(OR(D65="",D65+G65=0),"",D65/(D65+G65))</f>
        <v>0.544554455445545</v>
      </c>
      <c r="K65" s="47" t="n">
        <f aca="false">IF(E65="","",E65/(E65+H65))</f>
        <v>0.502487562189055</v>
      </c>
      <c r="L65" s="78" t="n">
        <f aca="false">IF(OR(K65="",J65=""),"",(J65-K65)*100)</f>
        <v>4.20668932564898</v>
      </c>
      <c r="M65" s="36" t="n">
        <v>2.6727769877146</v>
      </c>
      <c r="N65" s="36" t="n">
        <v>0.321380629327618</v>
      </c>
      <c r="O65" s="36" t="n">
        <f aca="false">SQRT(M65^2+N65^2)</f>
        <v>2.69202940826503</v>
      </c>
      <c r="P65" s="47" t="n">
        <f aca="false">IF(J65="","",MAX(0,J65-1.96*O65/100))</f>
        <v>0.49179067904355</v>
      </c>
      <c r="Q65" s="47" t="n">
        <f aca="false">IF(J65="","",MIN(1,J65+1.96*O65/100))</f>
        <v>0.597318231847539</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249</v>
      </c>
      <c r="B66" s="32" t="s">
        <v>228</v>
      </c>
      <c r="C66" s="32" t="s">
        <v>191</v>
      </c>
      <c r="D66" s="66" t="n">
        <v>4230</v>
      </c>
      <c r="E66" s="66" t="n">
        <v>4234</v>
      </c>
      <c r="F66" s="77" t="n">
        <f aca="false">IF(E66="","",D66-E66)</f>
        <v>-4</v>
      </c>
      <c r="G66" s="66" t="n">
        <v>3715</v>
      </c>
      <c r="H66" s="66" t="n">
        <v>3699</v>
      </c>
      <c r="I66" s="77" t="n">
        <f aca="false">IF(H66="","",G66-H66)</f>
        <v>16</v>
      </c>
      <c r="J66" s="47" t="n">
        <f aca="false">IF(OR(D66="",D66+G66=0),"",D66/(D66+G66))</f>
        <v>0.532410320956577</v>
      </c>
      <c r="K66" s="47" t="n">
        <f aca="false">IF(E66="","",E66/(E66+H66))</f>
        <v>0.533719904197655</v>
      </c>
      <c r="L66" s="78" t="n">
        <f aca="false">IF(OR(K66="",J66=""),"",(J66-K66)*100)</f>
        <v>-0.130958324107888</v>
      </c>
      <c r="M66" s="36" t="n">
        <v>1.44439089223214</v>
      </c>
      <c r="N66" s="36" t="n">
        <v>0.321380629327618</v>
      </c>
      <c r="O66" s="36" t="n">
        <f aca="false">SQRT(M66^2+N66^2)</f>
        <v>1.47971299868257</v>
      </c>
      <c r="P66" s="47" t="n">
        <f aca="false">IF(J66="","",MAX(0,J66-1.96*O66/100))</f>
        <v>0.503407946182398</v>
      </c>
      <c r="Q66" s="47" t="n">
        <f aca="false">IF(J66="","",MIN(1,J66+1.96*O66/100))</f>
        <v>0.561412695730755</v>
      </c>
      <c r="R66" s="32" t="str">
        <f aca="false">IF(L66="","",IF(ABS(L66)&lt;=O66,"Yes","No"))</f>
        <v>Yes</v>
      </c>
      <c r="S66" s="32" t="str">
        <f aca="false">IF(L66="","",IF(ABS(L66)&lt;=1.96*O66,"Yes","No"))</f>
        <v>Yes</v>
      </c>
      <c r="T66" s="66" t="n">
        <f aca="false">IF(D66="","",ROUND(SQRT(((D66+G66)*O66/100)^2+(J66*(D66+G66)*0.05437)^2),0))</f>
        <v>258</v>
      </c>
      <c r="U66" s="32"/>
    </row>
    <row r="67" customFormat="false" ht="15" hidden="false" customHeight="false" outlineLevel="0" collapsed="false">
      <c r="A67" s="32" t="s">
        <v>249</v>
      </c>
      <c r="B67" s="32" t="s">
        <v>262</v>
      </c>
      <c r="C67" s="32" t="s">
        <v>191</v>
      </c>
      <c r="D67" s="66" t="n">
        <v>1796</v>
      </c>
      <c r="E67" s="66" t="n">
        <v>1646</v>
      </c>
      <c r="F67" s="77" t="n">
        <f aca="false">IF(E67="","",D67-E67)</f>
        <v>150</v>
      </c>
      <c r="G67" s="66" t="n">
        <v>1509</v>
      </c>
      <c r="H67" s="66" t="n">
        <v>1608</v>
      </c>
      <c r="I67" s="77" t="n">
        <f aca="false">IF(H67="","",G67-H67)</f>
        <v>-99</v>
      </c>
      <c r="J67" s="47" t="n">
        <f aca="false">IF(OR(D67="",D67+G67=0),"",D67/(D67+G67))</f>
        <v>0.543419062027231</v>
      </c>
      <c r="K67" s="47" t="n">
        <f aca="false">IF(E67="","",E67/(E67+H67))</f>
        <v>0.505838967424708</v>
      </c>
      <c r="L67" s="78" t="n">
        <f aca="false">IF(OR(K67="",J67=""),"",(J67-K67)*100)</f>
        <v>3.75800946025234</v>
      </c>
      <c r="M67" s="36" t="n">
        <v>1.3830443510296</v>
      </c>
      <c r="N67" s="36" t="n">
        <v>0.321380629327618</v>
      </c>
      <c r="O67" s="36" t="n">
        <f aca="false">SQRT(M67^2+N67^2)</f>
        <v>1.41989337128599</v>
      </c>
      <c r="P67" s="47" t="n">
        <f aca="false">IF(J67="","",MAX(0,J67-1.96*O67/100))</f>
        <v>0.515589151950026</v>
      </c>
      <c r="Q67" s="47" t="n">
        <f aca="false">IF(J67="","",MIN(1,J67+1.96*O67/100))</f>
        <v>0.571248972104437</v>
      </c>
      <c r="R67" s="32" t="str">
        <f aca="false">IF(L67="","",IF(ABS(L67)&lt;=O67,"Yes","No"))</f>
        <v>No</v>
      </c>
      <c r="S67" s="32" t="str">
        <f aca="false">IF(L67="","",IF(ABS(L67)&lt;=1.96*O67,"Yes","No"))</f>
        <v>No</v>
      </c>
      <c r="T67" s="66" t="n">
        <f aca="false">IF(D67="","",ROUND(SQRT(((D67+G67)*O67/100)^2+(J67*(D67+G67)*0.05992)^2),0))</f>
        <v>117</v>
      </c>
      <c r="U67" s="32"/>
    </row>
    <row r="68" customFormat="false" ht="15" hidden="false" customHeight="false" outlineLevel="0" collapsed="false">
      <c r="A68" s="32" t="s">
        <v>249</v>
      </c>
      <c r="B68" s="32" t="s">
        <v>263</v>
      </c>
      <c r="C68" s="32" t="s">
        <v>191</v>
      </c>
      <c r="D68" s="66" t="n">
        <v>2339</v>
      </c>
      <c r="E68" s="66" t="n">
        <v>2137</v>
      </c>
      <c r="F68" s="77" t="n">
        <f aca="false">IF(E68="","",D68-E68)</f>
        <v>202</v>
      </c>
      <c r="G68" s="66" t="n">
        <v>4088</v>
      </c>
      <c r="H68" s="66" t="n">
        <v>4258</v>
      </c>
      <c r="I68" s="77" t="n">
        <f aca="false">IF(H68="","",G68-H68)</f>
        <v>-170</v>
      </c>
      <c r="J68" s="47" t="n">
        <f aca="false">IF(OR(D68="",D68+G68=0),"",D68/(D68+G68))</f>
        <v>0.363933405943675</v>
      </c>
      <c r="K68" s="47" t="n">
        <f aca="false">IF(E68="","",E68/(E68+H68))</f>
        <v>0.334167318217357</v>
      </c>
      <c r="L68" s="78" t="n">
        <f aca="false">IF(OR(K68="",J68=""),"",(J68-K68)*100)</f>
        <v>2.97660877263178</v>
      </c>
      <c r="M68" s="36" t="n">
        <v>1.44439089223214</v>
      </c>
      <c r="N68" s="36" t="n">
        <v>0.321380629327618</v>
      </c>
      <c r="O68" s="36" t="n">
        <f aca="false">SQRT(M68^2+N68^2)</f>
        <v>1.47971299868257</v>
      </c>
      <c r="P68" s="47" t="n">
        <f aca="false">IF(J68="","",MAX(0,J68-1.96*O68/100))</f>
        <v>0.334931031169497</v>
      </c>
      <c r="Q68" s="47" t="n">
        <f aca="false">IF(J68="","",MIN(1,J68+1.96*O68/100))</f>
        <v>0.392935780717853</v>
      </c>
      <c r="R68" s="32" t="str">
        <f aca="false">IF(L68="","",IF(ABS(L68)&lt;=O68,"Yes","No"))</f>
        <v>No</v>
      </c>
      <c r="S68" s="32" t="str">
        <f aca="false">IF(L68="","",IF(ABS(L68)&lt;=1.96*O68,"Yes","No"))</f>
        <v>No</v>
      </c>
      <c r="T68" s="66" t="n">
        <f aca="false">IF(D68="","",ROUND(SQRT(((D68+G68)*O68/100)^2+(J68*(D68+G68)*0.05437)^2),0))</f>
        <v>159</v>
      </c>
      <c r="U68" s="32"/>
    </row>
    <row r="69" customFormat="false" ht="15" hidden="false" customHeight="false" outlineLevel="0" collapsed="false">
      <c r="A69" s="32" t="s">
        <v>249</v>
      </c>
      <c r="B69" s="32" t="s">
        <v>264</v>
      </c>
      <c r="C69" s="32" t="s">
        <v>191</v>
      </c>
      <c r="D69" s="66" t="n">
        <v>669</v>
      </c>
      <c r="E69" s="66" t="n">
        <v>580</v>
      </c>
      <c r="F69" s="77" t="n">
        <f aca="false">IF(E69="","",D69-E69)</f>
        <v>89</v>
      </c>
      <c r="G69" s="66" t="n">
        <v>1116</v>
      </c>
      <c r="H69" s="66" t="n">
        <v>1159</v>
      </c>
      <c r="I69" s="77" t="n">
        <f aca="false">IF(H69="","",G69-H69)</f>
        <v>-43</v>
      </c>
      <c r="J69" s="47" t="n">
        <f aca="false">IF(OR(D69="",D69+G69=0),"",D69/(D69+G69))</f>
        <v>0.374789915966387</v>
      </c>
      <c r="K69" s="47" t="n">
        <f aca="false">IF(E69="","",E69/(E69+H69))</f>
        <v>0.333525014376078</v>
      </c>
      <c r="L69" s="78" t="n">
        <f aca="false">IF(OR(K69="",J69=""),"",(J69-K69)*100)</f>
        <v>4.12649015903083</v>
      </c>
      <c r="M69" s="36" t="n">
        <v>1.3830443510296</v>
      </c>
      <c r="N69" s="36" t="n">
        <v>0.321380629327618</v>
      </c>
      <c r="O69" s="36" t="n">
        <f aca="false">SQRT(M69^2+N69^2)</f>
        <v>1.41989337128599</v>
      </c>
      <c r="P69" s="47" t="n">
        <f aca="false">IF(J69="","",MAX(0,J69-1.96*O69/100))</f>
        <v>0.346960005889181</v>
      </c>
      <c r="Q69" s="47" t="n">
        <f aca="false">IF(J69="","",MIN(1,J69+1.96*O69/100))</f>
        <v>0.402619826043592</v>
      </c>
      <c r="R69" s="32" t="str">
        <f aca="false">IF(L69="","",IF(ABS(L69)&lt;=O69,"Yes","No"))</f>
        <v>No</v>
      </c>
      <c r="S69" s="32" t="str">
        <f aca="false">IF(L69="","",IF(ABS(L69)&lt;=1.96*O69,"Yes","No"))</f>
        <v>No</v>
      </c>
      <c r="T69" s="66" t="n">
        <f aca="false">IF(D69="","",ROUND(SQRT(((D69+G69)*O69/100)^2+(J69*(D69+G69)*0.05992)^2),0))</f>
        <v>47</v>
      </c>
      <c r="U69" s="32"/>
    </row>
    <row r="70" customFormat="false" ht="15" hidden="false" customHeight="false" outlineLevel="0" collapsed="false">
      <c r="A70" s="32" t="s">
        <v>249</v>
      </c>
      <c r="B70" s="32" t="s">
        <v>265</v>
      </c>
      <c r="C70" s="32" t="s">
        <v>191</v>
      </c>
      <c r="D70" s="66" t="n">
        <v>1945</v>
      </c>
      <c r="E70" s="66" t="n">
        <v>1879</v>
      </c>
      <c r="F70" s="77" t="n">
        <f aca="false">IF(E70="","",D70-E70)</f>
        <v>66</v>
      </c>
      <c r="G70" s="66" t="n">
        <v>2490</v>
      </c>
      <c r="H70" s="66" t="n">
        <v>2565</v>
      </c>
      <c r="I70" s="77" t="n">
        <f aca="false">IF(H70="","",G70-H70)</f>
        <v>-75</v>
      </c>
      <c r="J70" s="47" t="n">
        <f aca="false">IF(OR(D70="",D70+G70=0),"",D70/(D70+G70))</f>
        <v>0.438556933483653</v>
      </c>
      <c r="K70" s="47" t="n">
        <f aca="false">IF(E70="","",E70/(E70+H70))</f>
        <v>0.422817281728173</v>
      </c>
      <c r="L70" s="78" t="n">
        <f aca="false">IF(OR(K70="",J70=""),"",(J70-K70)*100)</f>
        <v>1.57396517554799</v>
      </c>
      <c r="M70" s="36" t="n">
        <v>1.44439089223214</v>
      </c>
      <c r="N70" s="36" t="n">
        <v>0.321380629327618</v>
      </c>
      <c r="O70" s="36" t="n">
        <f aca="false">SQRT(M70^2+N70^2)</f>
        <v>1.47971299868257</v>
      </c>
      <c r="P70" s="47" t="n">
        <f aca="false">IF(J70="","",MAX(0,J70-1.96*O70/100))</f>
        <v>0.409554558709474</v>
      </c>
      <c r="Q70" s="47" t="n">
        <f aca="false">IF(J70="","",MIN(1,J70+1.96*O70/100))</f>
        <v>0.467559308257831</v>
      </c>
      <c r="R70" s="32" t="str">
        <f aca="false">IF(L70="","",IF(ABS(L70)&lt;=O70,"Yes","No"))</f>
        <v>No</v>
      </c>
      <c r="S70" s="32" t="str">
        <f aca="false">IF(L70="","",IF(ABS(L70)&lt;=1.96*O70,"Yes","No"))</f>
        <v>Yes</v>
      </c>
      <c r="T70" s="66" t="n">
        <f aca="false">IF(D70="","",ROUND(SQRT(((D70+G70)*O70/100)^2+(J70*(D70+G70)*0.05437)^2),0))</f>
        <v>124</v>
      </c>
      <c r="U70" s="32"/>
    </row>
    <row r="71" customFormat="false" ht="15" hidden="false" customHeight="false" outlineLevel="0" collapsed="false">
      <c r="A71" s="32" t="s">
        <v>249</v>
      </c>
      <c r="B71" s="32" t="s">
        <v>266</v>
      </c>
      <c r="C71" s="32" t="s">
        <v>191</v>
      </c>
      <c r="D71" s="66" t="n">
        <v>3514</v>
      </c>
      <c r="E71" s="66" t="n">
        <v>3370</v>
      </c>
      <c r="F71" s="77" t="n">
        <f aca="false">IF(E71="","",D71-E71)</f>
        <v>144</v>
      </c>
      <c r="G71" s="66" t="n">
        <v>3726</v>
      </c>
      <c r="H71" s="66" t="n">
        <v>3831</v>
      </c>
      <c r="I71" s="77" t="n">
        <f aca="false">IF(H71="","",G71-H71)</f>
        <v>-105</v>
      </c>
      <c r="J71" s="47" t="n">
        <f aca="false">IF(OR(D71="",D71+G71=0),"",D71/(D71+G71))</f>
        <v>0.485359116022099</v>
      </c>
      <c r="K71" s="47" t="n">
        <f aca="false">IF(E71="","",E71/(E71+H71))</f>
        <v>0.467990556867102</v>
      </c>
      <c r="L71" s="78" t="n">
        <f aca="false">IF(OR(K71="",J71=""),"",(J71-K71)*100)</f>
        <v>1.73685591549977</v>
      </c>
      <c r="M71" s="36" t="n">
        <v>1.44439089223214</v>
      </c>
      <c r="N71" s="36" t="n">
        <v>0.321380629327618</v>
      </c>
      <c r="O71" s="36" t="n">
        <f aca="false">SQRT(M71^2+N71^2)</f>
        <v>1.47971299868257</v>
      </c>
      <c r="P71" s="47" t="n">
        <f aca="false">IF(J71="","",MAX(0,J71-1.96*O71/100))</f>
        <v>0.456356741247921</v>
      </c>
      <c r="Q71" s="47" t="n">
        <f aca="false">IF(J71="","",MIN(1,J71+1.96*O71/100))</f>
        <v>0.514361490796278</v>
      </c>
      <c r="R71" s="32" t="str">
        <f aca="false">IF(L71="","",IF(ABS(L71)&lt;=O71,"Yes","No"))</f>
        <v>No</v>
      </c>
      <c r="S71" s="32" t="str">
        <f aca="false">IF(L71="","",IF(ABS(L71)&lt;=1.96*O71,"Yes","No"))</f>
        <v>Yes</v>
      </c>
      <c r="T71" s="66" t="n">
        <f aca="false">IF(D71="","",ROUND(SQRT(((D71+G71)*O71/100)^2+(J71*(D71+G71)*0.05437)^2),0))</f>
        <v>219</v>
      </c>
      <c r="U71" s="32"/>
    </row>
    <row r="72" customFormat="false" ht="15" hidden="false" customHeight="false" outlineLevel="0" collapsed="false">
      <c r="A72" s="32" t="s">
        <v>249</v>
      </c>
      <c r="B72" s="32" t="s">
        <v>267</v>
      </c>
      <c r="C72" s="32" t="s">
        <v>191</v>
      </c>
      <c r="D72" s="66" t="n">
        <v>2101</v>
      </c>
      <c r="E72" s="66" t="n">
        <v>1920</v>
      </c>
      <c r="F72" s="77" t="n">
        <f aca="false">IF(E72="","",D72-E72)</f>
        <v>181</v>
      </c>
      <c r="G72" s="66" t="n">
        <v>3796</v>
      </c>
      <c r="H72" s="66" t="n">
        <v>3865</v>
      </c>
      <c r="I72" s="77" t="n">
        <f aca="false">IF(H72="","",G72-H72)</f>
        <v>-69</v>
      </c>
      <c r="J72" s="47" t="n">
        <f aca="false">IF(OR(D72="",D72+G72=0),"",D72/(D72+G72))</f>
        <v>0.356282855689334</v>
      </c>
      <c r="K72" s="47" t="n">
        <f aca="false">IF(E72="","",E72/(E72+H72))</f>
        <v>0.331892826274849</v>
      </c>
      <c r="L72" s="78" t="n">
        <f aca="false">IF(OR(K72="",J72=""),"",(J72-K72)*100)</f>
        <v>2.43900294144848</v>
      </c>
      <c r="M72" s="36" t="n">
        <v>1.44439089223214</v>
      </c>
      <c r="N72" s="36" t="n">
        <v>0.321380629327618</v>
      </c>
      <c r="O72" s="36" t="n">
        <f aca="false">SQRT(M72^2+N72^2)</f>
        <v>1.47971299868257</v>
      </c>
      <c r="P72" s="47" t="n">
        <f aca="false">IF(J72="","",MAX(0,J72-1.96*O72/100))</f>
        <v>0.327280480915155</v>
      </c>
      <c r="Q72" s="47" t="n">
        <f aca="false">IF(J72="","",MIN(1,J72+1.96*O72/100))</f>
        <v>0.385285230463512</v>
      </c>
      <c r="R72" s="32" t="str">
        <f aca="false">IF(L72="","",IF(ABS(L72)&lt;=O72,"Yes","No"))</f>
        <v>No</v>
      </c>
      <c r="S72" s="32" t="str">
        <f aca="false">IF(L72="","",IF(ABS(L72)&lt;=1.96*O72,"Yes","No"))</f>
        <v>Yes</v>
      </c>
      <c r="T72" s="66" t="n">
        <f aca="false">IF(D72="","",ROUND(SQRT(((D72+G72)*O72/100)^2+(J72*(D72+G72)*0.05437)^2),0))</f>
        <v>144</v>
      </c>
      <c r="U72" s="32"/>
    </row>
    <row r="73" customFormat="false" ht="15" hidden="false" customHeight="false" outlineLevel="0" collapsed="false">
      <c r="A73" s="32" t="s">
        <v>249</v>
      </c>
      <c r="B73" s="32" t="s">
        <v>268</v>
      </c>
      <c r="C73" s="32" t="s">
        <v>191</v>
      </c>
      <c r="D73" s="66" t="n">
        <v>1625</v>
      </c>
      <c r="E73" s="66" t="n">
        <v>1490</v>
      </c>
      <c r="F73" s="77" t="n">
        <f aca="false">IF(E73="","",D73-E73)</f>
        <v>135</v>
      </c>
      <c r="G73" s="66" t="n">
        <v>1584</v>
      </c>
      <c r="H73" s="66" t="n">
        <v>1627</v>
      </c>
      <c r="I73" s="77" t="n">
        <f aca="false">IF(H73="","",G73-H73)</f>
        <v>-43</v>
      </c>
      <c r="J73" s="47" t="n">
        <f aca="false">IF(OR(D73="",D73+G73=0),"",D73/(D73+G73))</f>
        <v>0.506388282954191</v>
      </c>
      <c r="K73" s="47" t="n">
        <f aca="false">IF(E73="","",E73/(E73+H73))</f>
        <v>0.478023740776388</v>
      </c>
      <c r="L73" s="78" t="n">
        <f aca="false">IF(OR(K73="",J73=""),"",(J73-K73)*100)</f>
        <v>2.83645421778038</v>
      </c>
      <c r="M73" s="36" t="n">
        <v>1.3830443510296</v>
      </c>
      <c r="N73" s="36" t="n">
        <v>0.321380629327618</v>
      </c>
      <c r="O73" s="36" t="n">
        <f aca="false">SQRT(M73^2+N73^2)</f>
        <v>1.41989337128599</v>
      </c>
      <c r="P73" s="47" t="n">
        <f aca="false">IF(J73="","",MAX(0,J73-1.96*O73/100))</f>
        <v>0.478558372876986</v>
      </c>
      <c r="Q73" s="47" t="n">
        <f aca="false">IF(J73="","",MIN(1,J73+1.96*O73/100))</f>
        <v>0.534218193031397</v>
      </c>
      <c r="R73" s="32" t="str">
        <f aca="false">IF(L73="","",IF(ABS(L73)&lt;=O73,"Yes","No"))</f>
        <v>No</v>
      </c>
      <c r="S73" s="32" t="str">
        <f aca="false">IF(L73="","",IF(ABS(L73)&lt;=1.96*O73,"Yes","No"))</f>
        <v>No</v>
      </c>
      <c r="T73" s="66" t="n">
        <f aca="false">IF(D73="","",ROUND(SQRT(((D73+G73)*O73/100)^2+(J73*(D73+G73)*0.05992)^2),0))</f>
        <v>108</v>
      </c>
      <c r="U73" s="32"/>
    </row>
    <row r="74" customFormat="false" ht="15" hidden="false" customHeight="false" outlineLevel="0" collapsed="false">
      <c r="A74" s="32" t="s">
        <v>249</v>
      </c>
      <c r="B74" s="32" t="s">
        <v>269</v>
      </c>
      <c r="C74" s="32" t="s">
        <v>191</v>
      </c>
      <c r="D74" s="66" t="n">
        <v>766</v>
      </c>
      <c r="E74" s="66" t="n">
        <v>731</v>
      </c>
      <c r="F74" s="77" t="n">
        <f aca="false">IF(E74="","",D74-E74)</f>
        <v>35</v>
      </c>
      <c r="G74" s="66" t="n">
        <v>773</v>
      </c>
      <c r="H74" s="66" t="n">
        <v>843</v>
      </c>
      <c r="I74" s="77" t="n">
        <f aca="false">IF(H74="","",G74-H74)</f>
        <v>-70</v>
      </c>
      <c r="J74" s="47" t="n">
        <f aca="false">IF(OR(D74="",D74+G74=0),"",D74/(D74+G74))</f>
        <v>0.49772579597141</v>
      </c>
      <c r="K74" s="47" t="n">
        <f aca="false">IF(E74="","",E74/(E74+H74))</f>
        <v>0.464421855146125</v>
      </c>
      <c r="L74" s="78" t="n">
        <f aca="false">IF(OR(K74="",J74=""),"",(J74-K74)*100)</f>
        <v>3.33039408252855</v>
      </c>
      <c r="M74" s="36" t="n">
        <v>1.3830443510296</v>
      </c>
      <c r="N74" s="36" t="n">
        <v>0.321380629327618</v>
      </c>
      <c r="O74" s="36" t="n">
        <f aca="false">SQRT(M74^2+N74^2)</f>
        <v>1.41989337128599</v>
      </c>
      <c r="P74" s="47" t="n">
        <f aca="false">IF(J74="","",MAX(0,J74-1.96*O74/100))</f>
        <v>0.469895885894205</v>
      </c>
      <c r="Q74" s="47" t="n">
        <f aca="false">IF(J74="","",MIN(1,J74+1.96*O74/100))</f>
        <v>0.525555706048616</v>
      </c>
      <c r="R74" s="32" t="str">
        <f aca="false">IF(L74="","",IF(ABS(L74)&lt;=O74,"Yes","No"))</f>
        <v>No</v>
      </c>
      <c r="S74" s="32" t="str">
        <f aca="false">IF(L74="","",IF(ABS(L74)&lt;=1.96*O74,"Yes","No"))</f>
        <v>No</v>
      </c>
      <c r="T74" s="66" t="n">
        <f aca="false">IF(D74="","",ROUND(SQRT(((D74+G74)*O74/100)^2+(J74*(D74+G74)*0.05992)^2),0))</f>
        <v>51</v>
      </c>
      <c r="U74" s="32"/>
    </row>
    <row r="75" customFormat="false" ht="15" hidden="false" customHeight="false" outlineLevel="0" collapsed="false">
      <c r="A75" s="32" t="s">
        <v>249</v>
      </c>
      <c r="B75" s="32" t="s">
        <v>270</v>
      </c>
      <c r="C75" s="32" t="s">
        <v>191</v>
      </c>
      <c r="D75" s="66" t="n">
        <v>2571</v>
      </c>
      <c r="E75" s="66" t="n">
        <v>2355</v>
      </c>
      <c r="F75" s="77" t="n">
        <f aca="false">IF(E75="","",D75-E75)</f>
        <v>216</v>
      </c>
      <c r="G75" s="66" t="n">
        <v>2618</v>
      </c>
      <c r="H75" s="66" t="n">
        <v>2934</v>
      </c>
      <c r="I75" s="77" t="n">
        <f aca="false">IF(H75="","",G75-H75)</f>
        <v>-316</v>
      </c>
      <c r="J75" s="47" t="n">
        <f aca="false">IF(OR(D75="",D75+G75=0),"",D75/(D75+G75))</f>
        <v>0.495471189053768</v>
      </c>
      <c r="K75" s="47" t="n">
        <f aca="false">IF(E75="","",E75/(E75+H75))</f>
        <v>0.445263754963131</v>
      </c>
      <c r="L75" s="78" t="n">
        <f aca="false">IF(OR(K75="",J75=""),"",(J75-K75)*100)</f>
        <v>5.02074340906366</v>
      </c>
      <c r="M75" s="36" t="n">
        <v>1.44439089223214</v>
      </c>
      <c r="N75" s="36" t="n">
        <v>0.321380629327618</v>
      </c>
      <c r="O75" s="36" t="n">
        <f aca="false">SQRT(M75^2+N75^2)</f>
        <v>1.47971299868257</v>
      </c>
      <c r="P75" s="47" t="n">
        <f aca="false">IF(J75="","",MAX(0,J75-1.96*O75/100))</f>
        <v>0.466468814279589</v>
      </c>
      <c r="Q75" s="47" t="n">
        <f aca="false">IF(J75="","",MIN(1,J75+1.96*O75/100))</f>
        <v>0.524473563827946</v>
      </c>
      <c r="R75" s="32" t="str">
        <f aca="false">IF(L75="","",IF(ABS(L75)&lt;=O75,"Yes","No"))</f>
        <v>No</v>
      </c>
      <c r="S75" s="32" t="str">
        <f aca="false">IF(L75="","",IF(ABS(L75)&lt;=1.96*O75,"Yes","No"))</f>
        <v>No</v>
      </c>
      <c r="T75" s="66" t="n">
        <f aca="false">IF(D75="","",ROUND(SQRT(((D75+G75)*O75/100)^2+(J75*(D75+G75)*0.05437)^2),0))</f>
        <v>159</v>
      </c>
      <c r="U75" s="32"/>
    </row>
    <row r="76" customFormat="false" ht="15" hidden="false" customHeight="false" outlineLevel="0" collapsed="false">
      <c r="A76" s="32" t="s">
        <v>249</v>
      </c>
      <c r="B76" s="32" t="s">
        <v>271</v>
      </c>
      <c r="C76" s="32" t="s">
        <v>191</v>
      </c>
      <c r="D76" s="66" t="n">
        <v>7077</v>
      </c>
      <c r="E76" s="66" t="n">
        <v>6698</v>
      </c>
      <c r="F76" s="77" t="n">
        <f aca="false">IF(E76="","",D76-E76)</f>
        <v>379</v>
      </c>
      <c r="G76" s="66" t="n">
        <v>6170</v>
      </c>
      <c r="H76" s="66" t="n">
        <v>6630</v>
      </c>
      <c r="I76" s="77" t="n">
        <f aca="false">IF(H76="","",G76-H76)</f>
        <v>-460</v>
      </c>
      <c r="J76" s="47" t="n">
        <f aca="false">IF(OR(D76="",D76+G76=0),"",D76/(D76+G76))</f>
        <v>0.534234166226315</v>
      </c>
      <c r="K76" s="47" t="n">
        <f aca="false">IF(E76="","",E76/(E76+H76))</f>
        <v>0.502551020408163</v>
      </c>
      <c r="L76" s="78" t="n">
        <f aca="false">IF(OR(K76="",J76=""),"",(J76-K76)*100)</f>
        <v>3.16831458181521</v>
      </c>
      <c r="M76" s="36" t="n">
        <v>1.44439089223214</v>
      </c>
      <c r="N76" s="36" t="n">
        <v>0.321380629327618</v>
      </c>
      <c r="O76" s="36" t="n">
        <f aca="false">SQRT(M76^2+N76^2)</f>
        <v>1.47971299868257</v>
      </c>
      <c r="P76" s="47" t="n">
        <f aca="false">IF(J76="","",MAX(0,J76-1.96*O76/100))</f>
        <v>0.505231791452137</v>
      </c>
      <c r="Q76" s="47" t="n">
        <f aca="false">IF(J76="","",MIN(1,J76+1.96*O76/100))</f>
        <v>0.563236541000494</v>
      </c>
      <c r="R76" s="32" t="str">
        <f aca="false">IF(L76="","",IF(ABS(L76)&lt;=O76,"Yes","No"))</f>
        <v>No</v>
      </c>
      <c r="S76" s="32" t="str">
        <f aca="false">IF(L76="","",IF(ABS(L76)&lt;=1.96*O76,"Yes","No"))</f>
        <v>No</v>
      </c>
      <c r="T76" s="66" t="n">
        <f aca="false">IF(D76="","",ROUND(SQRT(((D76+G76)*O76/100)^2+(J76*(D76+G76)*0.05437)^2),0))</f>
        <v>432</v>
      </c>
      <c r="U76" s="32"/>
    </row>
    <row r="77" customFormat="false" ht="15" hidden="false" customHeight="false" outlineLevel="0" collapsed="false">
      <c r="A77" s="32" t="s">
        <v>249</v>
      </c>
      <c r="B77" s="32" t="s">
        <v>272</v>
      </c>
      <c r="C77" s="32" t="s">
        <v>191</v>
      </c>
      <c r="D77" s="66" t="n">
        <v>708</v>
      </c>
      <c r="E77" s="66" t="n">
        <v>678</v>
      </c>
      <c r="F77" s="77" t="n">
        <f aca="false">IF(E77="","",D77-E77)</f>
        <v>30</v>
      </c>
      <c r="G77" s="66" t="n">
        <v>1095</v>
      </c>
      <c r="H77" s="66" t="n">
        <v>1089</v>
      </c>
      <c r="I77" s="77" t="n">
        <f aca="false">IF(H77="","",G77-H77)</f>
        <v>6</v>
      </c>
      <c r="J77" s="47" t="n">
        <f aca="false">IF(OR(D77="",D77+G77=0),"",D77/(D77+G77))</f>
        <v>0.392678868552413</v>
      </c>
      <c r="K77" s="47" t="n">
        <f aca="false">IF(E77="","",E77/(E77+H77))</f>
        <v>0.383701188455009</v>
      </c>
      <c r="L77" s="78" t="n">
        <f aca="false">IF(OR(K77="",J77=""),"",(J77-K77)*100)</f>
        <v>0.897768009740413</v>
      </c>
      <c r="M77" s="36" t="n">
        <v>1.3830443510296</v>
      </c>
      <c r="N77" s="36" t="n">
        <v>0.321380629327618</v>
      </c>
      <c r="O77" s="36" t="n">
        <f aca="false">SQRT(M77^2+N77^2)</f>
        <v>1.41989337128599</v>
      </c>
      <c r="P77" s="47" t="n">
        <f aca="false">IF(J77="","",MAX(0,J77-1.96*O77/100))</f>
        <v>0.364848958475207</v>
      </c>
      <c r="Q77" s="47" t="n">
        <f aca="false">IF(J77="","",MIN(1,J77+1.96*O77/100))</f>
        <v>0.420508778629618</v>
      </c>
      <c r="R77" s="32" t="str">
        <f aca="false">IF(L77="","",IF(ABS(L77)&lt;=O77,"Yes","No"))</f>
        <v>Yes</v>
      </c>
      <c r="S77" s="32" t="str">
        <f aca="false">IF(L77="","",IF(ABS(L77)&lt;=1.96*O77,"Yes","No"))</f>
        <v>Yes</v>
      </c>
      <c r="T77" s="66" t="n">
        <f aca="false">IF(D77="","",ROUND(SQRT(((D77+G77)*O77/100)^2+(J77*(D77+G77)*0.05992)^2),0))</f>
        <v>50</v>
      </c>
      <c r="U77" s="32"/>
    </row>
    <row r="78" customFormat="false" ht="15" hidden="false" customHeight="false" outlineLevel="0" collapsed="false">
      <c r="A78" s="32" t="s">
        <v>249</v>
      </c>
      <c r="B78" s="32" t="s">
        <v>273</v>
      </c>
      <c r="C78" s="32" t="s">
        <v>191</v>
      </c>
      <c r="D78" s="66" t="n">
        <v>1406</v>
      </c>
      <c r="E78" s="66" t="n">
        <v>1368</v>
      </c>
      <c r="F78" s="77" t="n">
        <f aca="false">IF(E78="","",D78-E78)</f>
        <v>38</v>
      </c>
      <c r="G78" s="66" t="n">
        <v>2454</v>
      </c>
      <c r="H78" s="66" t="n">
        <v>2520</v>
      </c>
      <c r="I78" s="77" t="n">
        <f aca="false">IF(H78="","",G78-H78)</f>
        <v>-66</v>
      </c>
      <c r="J78" s="47" t="n">
        <f aca="false">IF(OR(D78="",D78+G78=0),"",D78/(D78+G78))</f>
        <v>0.364248704663212</v>
      </c>
      <c r="K78" s="47" t="n">
        <f aca="false">IF(E78="","",E78/(E78+H78))</f>
        <v>0.351851851851852</v>
      </c>
      <c r="L78" s="78" t="n">
        <f aca="false">IF(OR(K78="",J78=""),"",(J78-K78)*100)</f>
        <v>1.23968528113605</v>
      </c>
      <c r="M78" s="36" t="n">
        <v>1.44439089223214</v>
      </c>
      <c r="N78" s="36" t="n">
        <v>0.321380629327618</v>
      </c>
      <c r="O78" s="36" t="n">
        <f aca="false">SQRT(M78^2+N78^2)</f>
        <v>1.47971299868257</v>
      </c>
      <c r="P78" s="47" t="n">
        <f aca="false">IF(J78="","",MAX(0,J78-1.96*O78/100))</f>
        <v>0.335246329889034</v>
      </c>
      <c r="Q78" s="47" t="n">
        <f aca="false">IF(J78="","",MIN(1,J78+1.96*O78/100))</f>
        <v>0.393251079437391</v>
      </c>
      <c r="R78" s="32" t="str">
        <f aca="false">IF(L78="","",IF(ABS(L78)&lt;=O78,"Yes","No"))</f>
        <v>Yes</v>
      </c>
      <c r="S78" s="32" t="str">
        <f aca="false">IF(L78="","",IF(ABS(L78)&lt;=1.96*O78,"Yes","No"))</f>
        <v>Yes</v>
      </c>
      <c r="T78" s="66" t="n">
        <f aca="false">IF(D78="","",ROUND(SQRT(((D78+G78)*O78/100)^2+(J78*(D78+G78)*0.05437)^2),0))</f>
        <v>95</v>
      </c>
      <c r="U78" s="32"/>
    </row>
    <row r="79" customFormat="false" ht="15" hidden="false" customHeight="false" outlineLevel="0" collapsed="false">
      <c r="A79" s="32" t="s">
        <v>249</v>
      </c>
      <c r="B79" s="32" t="s">
        <v>274</v>
      </c>
      <c r="C79" s="32" t="s">
        <v>191</v>
      </c>
      <c r="D79" s="66" t="n">
        <v>96</v>
      </c>
      <c r="E79" s="66" t="n">
        <v>82</v>
      </c>
      <c r="F79" s="77" t="n">
        <f aca="false">IF(E79="","",D79-E79)</f>
        <v>14</v>
      </c>
      <c r="G79" s="66" t="n">
        <v>167</v>
      </c>
      <c r="H79" s="66" t="n">
        <v>171</v>
      </c>
      <c r="I79" s="77" t="n">
        <f aca="false">IF(H79="","",G79-H79)</f>
        <v>-4</v>
      </c>
      <c r="J79" s="47" t="n">
        <f aca="false">IF(OR(D79="",D79+G79=0),"",D79/(D79+G79))</f>
        <v>0.365019011406844</v>
      </c>
      <c r="K79" s="47" t="n">
        <f aca="false">IF(E79="","",E79/(E79+H79))</f>
        <v>0.324110671936759</v>
      </c>
      <c r="L79" s="78" t="n">
        <f aca="false">IF(OR(K79="",J79=""),"",(J79-K79)*100)</f>
        <v>4.09083394700852</v>
      </c>
      <c r="M79" s="36" t="n">
        <v>2.6727769877146</v>
      </c>
      <c r="N79" s="36" t="n">
        <v>0.321380629327618</v>
      </c>
      <c r="O79" s="36" t="n">
        <f aca="false">SQRT(M79^2+N79^2)</f>
        <v>2.69202940826503</v>
      </c>
      <c r="P79" s="47" t="n">
        <f aca="false">IF(J79="","",MAX(0,J79-1.96*O79/100))</f>
        <v>0.31225523500485</v>
      </c>
      <c r="Q79" s="47" t="n">
        <f aca="false">IF(J79="","",MIN(1,J79+1.96*O79/100))</f>
        <v>0.417782787808839</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249</v>
      </c>
      <c r="B80" s="32" t="s">
        <v>275</v>
      </c>
      <c r="C80" s="32" t="s">
        <v>191</v>
      </c>
      <c r="D80" s="66" t="n">
        <v>349</v>
      </c>
      <c r="E80" s="66" t="n">
        <v>331</v>
      </c>
      <c r="F80" s="77" t="n">
        <f aca="false">IF(E80="","",D80-E80)</f>
        <v>18</v>
      </c>
      <c r="G80" s="66" t="n">
        <v>538</v>
      </c>
      <c r="H80" s="66" t="n">
        <v>571</v>
      </c>
      <c r="I80" s="77" t="n">
        <f aca="false">IF(H80="","",G80-H80)</f>
        <v>-33</v>
      </c>
      <c r="J80" s="47" t="n">
        <f aca="false">IF(OR(D80="",D80+G80=0),"",D80/(D80+G80))</f>
        <v>0.393461104847802</v>
      </c>
      <c r="K80" s="47" t="n">
        <f aca="false">IF(E80="","",E80/(E80+H80))</f>
        <v>0.366962305986696</v>
      </c>
      <c r="L80" s="78" t="n">
        <f aca="false">IF(OR(K80="",J80=""),"",(J80-K80)*100)</f>
        <v>2.64987988611053</v>
      </c>
      <c r="M80" s="36" t="n">
        <v>2.6727769877146</v>
      </c>
      <c r="N80" s="36" t="n">
        <v>0.321380629327618</v>
      </c>
      <c r="O80" s="36" t="n">
        <f aca="false">SQRT(M80^2+N80^2)</f>
        <v>2.69202940826503</v>
      </c>
      <c r="P80" s="47" t="n">
        <f aca="false">IF(J80="","",MAX(0,J80-1.96*O80/100))</f>
        <v>0.340697328445807</v>
      </c>
      <c r="Q80" s="47" t="n">
        <f aca="false">IF(J80="","",MIN(1,J80+1.96*O80/100))</f>
        <v>0.446224881249796</v>
      </c>
      <c r="R80" s="32" t="str">
        <f aca="false">IF(L80="","",IF(ABS(L80)&lt;=O80,"Yes","No"))</f>
        <v>Yes</v>
      </c>
      <c r="S80" s="32" t="str">
        <f aca="false">IF(L80="","",IF(ABS(L80)&lt;=1.96*O80,"Yes","No"))</f>
        <v>Yes</v>
      </c>
      <c r="T80" s="66" t="n">
        <f aca="false">IF(D80="","",ROUND(SQRT(((D80+G80)*O80/100)^2+(J80*(D80+G80)*0.07717)^2),0))</f>
        <v>36</v>
      </c>
      <c r="U80" s="32"/>
    </row>
    <row r="81" customFormat="false" ht="15" hidden="false" customHeight="false" outlineLevel="0" collapsed="false">
      <c r="A81" s="32" t="s">
        <v>249</v>
      </c>
      <c r="B81" s="32" t="s">
        <v>276</v>
      </c>
      <c r="C81" s="32" t="s">
        <v>191</v>
      </c>
      <c r="D81" s="66" t="n">
        <v>230</v>
      </c>
      <c r="E81" s="66" t="n">
        <v>212</v>
      </c>
      <c r="F81" s="77" t="n">
        <f aca="false">IF(E81="","",D81-E81)</f>
        <v>18</v>
      </c>
      <c r="G81" s="66" t="n">
        <v>295</v>
      </c>
      <c r="H81" s="66" t="n">
        <v>308</v>
      </c>
      <c r="I81" s="77" t="n">
        <f aca="false">IF(H81="","",G81-H81)</f>
        <v>-13</v>
      </c>
      <c r="J81" s="47" t="n">
        <f aca="false">IF(OR(D81="",D81+G81=0),"",D81/(D81+G81))</f>
        <v>0.438095238095238</v>
      </c>
      <c r="K81" s="47" t="n">
        <f aca="false">IF(E81="","",E81/(E81+H81))</f>
        <v>0.407692307692308</v>
      </c>
      <c r="L81" s="78" t="n">
        <f aca="false">IF(OR(K81="",J81=""),"",(J81-K81)*100)</f>
        <v>3.04029304029304</v>
      </c>
      <c r="M81" s="36" t="n">
        <v>2.6727769877146</v>
      </c>
      <c r="N81" s="36" t="n">
        <v>0.321380629327618</v>
      </c>
      <c r="O81" s="36" t="n">
        <f aca="false">SQRT(M81^2+N81^2)</f>
        <v>2.69202940826503</v>
      </c>
      <c r="P81" s="47" t="n">
        <f aca="false">IF(J81="","",MAX(0,J81-1.96*O81/100))</f>
        <v>0.385331461693244</v>
      </c>
      <c r="Q81" s="47" t="n">
        <f aca="false">IF(J81="","",MIN(1,J81+1.96*O81/100))</f>
        <v>0.490859014497233</v>
      </c>
      <c r="R81" s="32" t="str">
        <f aca="false">IF(L81="","",IF(ABS(L81)&lt;=O81,"Yes","No"))</f>
        <v>No</v>
      </c>
      <c r="S81" s="32" t="str">
        <f aca="false">IF(L81="","",IF(ABS(L81)&lt;=1.96*O81,"Yes","No"))</f>
        <v>Yes</v>
      </c>
      <c r="T81" s="66" t="n">
        <f aca="false">IF(D81="","",ROUND(SQRT(((D81+G81)*O81/100)^2+(J81*(D81+G81)*0.07717)^2),0))</f>
        <v>23</v>
      </c>
      <c r="U81" s="32"/>
    </row>
    <row r="82" customFormat="false" ht="15" hidden="false" customHeight="false" outlineLevel="0" collapsed="false">
      <c r="A82" s="32" t="s">
        <v>249</v>
      </c>
      <c r="B82" s="32" t="s">
        <v>277</v>
      </c>
      <c r="C82" s="32" t="s">
        <v>191</v>
      </c>
      <c r="D82" s="66" t="n">
        <v>304</v>
      </c>
      <c r="E82" s="66" t="n">
        <v>272</v>
      </c>
      <c r="F82" s="77" t="n">
        <f aca="false">IF(E82="","",D82-E82)</f>
        <v>32</v>
      </c>
      <c r="G82" s="66" t="n">
        <v>383</v>
      </c>
      <c r="H82" s="66" t="n">
        <v>400</v>
      </c>
      <c r="I82" s="77" t="n">
        <f aca="false">IF(H82="","",G82-H82)</f>
        <v>-17</v>
      </c>
      <c r="J82" s="47" t="n">
        <f aca="false">IF(OR(D82="",D82+G82=0),"",D82/(D82+G82))</f>
        <v>0.442503639010189</v>
      </c>
      <c r="K82" s="47" t="n">
        <f aca="false">IF(E82="","",E82/(E82+H82))</f>
        <v>0.404761904761905</v>
      </c>
      <c r="L82" s="78" t="n">
        <f aca="false">IF(OR(K82="",J82=""),"",(J82-K82)*100)</f>
        <v>3.77417342482845</v>
      </c>
      <c r="M82" s="36" t="n">
        <v>2.6727769877146</v>
      </c>
      <c r="N82" s="36" t="n">
        <v>0.321380629327618</v>
      </c>
      <c r="O82" s="36" t="n">
        <f aca="false">SQRT(M82^2+N82^2)</f>
        <v>2.69202940826503</v>
      </c>
      <c r="P82" s="47" t="n">
        <f aca="false">IF(J82="","",MAX(0,J82-1.96*O82/100))</f>
        <v>0.389739862608195</v>
      </c>
      <c r="Q82" s="47" t="n">
        <f aca="false">IF(J82="","",MIN(1,J82+1.96*O82/100))</f>
        <v>0.495267415412184</v>
      </c>
      <c r="R82" s="32" t="str">
        <f aca="false">IF(L82="","",IF(ABS(L82)&lt;=O82,"Yes","No"))</f>
        <v>No</v>
      </c>
      <c r="S82" s="32" t="str">
        <f aca="false">IF(L82="","",IF(ABS(L82)&lt;=1.96*O82,"Yes","No"))</f>
        <v>Yes</v>
      </c>
      <c r="T82" s="66" t="n">
        <f aca="false">IF(D82="","",ROUND(SQRT(((D82+G82)*O82/100)^2+(J82*(D82+G82)*0.07717)^2),0))</f>
        <v>30</v>
      </c>
      <c r="U82" s="32"/>
    </row>
    <row r="83" customFormat="false" ht="15" hidden="false" customHeight="false" outlineLevel="0" collapsed="false">
      <c r="A83" s="32" t="s">
        <v>249</v>
      </c>
      <c r="B83" s="32" t="s">
        <v>278</v>
      </c>
      <c r="C83" s="32" t="s">
        <v>191</v>
      </c>
      <c r="D83" s="66" t="n">
        <v>1320</v>
      </c>
      <c r="E83" s="66" t="n">
        <v>1207</v>
      </c>
      <c r="F83" s="77" t="n">
        <f aca="false">IF(E83="","",D83-E83)</f>
        <v>113</v>
      </c>
      <c r="G83" s="66" t="n">
        <v>2586</v>
      </c>
      <c r="H83" s="66" t="n">
        <v>2601</v>
      </c>
      <c r="I83" s="77" t="n">
        <f aca="false">IF(H83="","",G83-H83)</f>
        <v>-15</v>
      </c>
      <c r="J83" s="47" t="n">
        <f aca="false">IF(OR(D83="",D83+G83=0),"",D83/(D83+G83))</f>
        <v>0.337941628264209</v>
      </c>
      <c r="K83" s="47" t="n">
        <f aca="false">IF(E83="","",E83/(E83+H83))</f>
        <v>0.316964285714286</v>
      </c>
      <c r="L83" s="78" t="n">
        <f aca="false">IF(OR(K83="",J83=""),"",(J83-K83)*100)</f>
        <v>2.09773425499232</v>
      </c>
      <c r="M83" s="36" t="n">
        <v>1.44439089223214</v>
      </c>
      <c r="N83" s="36" t="n">
        <v>0.321380629327618</v>
      </c>
      <c r="O83" s="36" t="n">
        <f aca="false">SQRT(M83^2+N83^2)</f>
        <v>1.47971299868257</v>
      </c>
      <c r="P83" s="47" t="n">
        <f aca="false">IF(J83="","",MAX(0,J83-1.96*O83/100))</f>
        <v>0.308939253490031</v>
      </c>
      <c r="Q83" s="47" t="n">
        <f aca="false">IF(J83="","",MIN(1,J83+1.96*O83/100))</f>
        <v>0.366944003038387</v>
      </c>
      <c r="R83" s="32" t="str">
        <f aca="false">IF(L83="","",IF(ABS(L83)&lt;=O83,"Yes","No"))</f>
        <v>No</v>
      </c>
      <c r="S83" s="32" t="str">
        <f aca="false">IF(L83="","",IF(ABS(L83)&lt;=1.96*O83,"Yes","No"))</f>
        <v>Yes</v>
      </c>
      <c r="T83" s="66" t="n">
        <f aca="false">IF(D83="","",ROUND(SQRT(((D83+G83)*O83/100)^2+(J83*(D83+G83)*0.05437)^2),0))</f>
        <v>92</v>
      </c>
      <c r="U83" s="32"/>
    </row>
    <row r="84" customFormat="false" ht="15" hidden="false" customHeight="false" outlineLevel="0" collapsed="false">
      <c r="A84" s="32" t="s">
        <v>249</v>
      </c>
      <c r="B84" s="32" t="s">
        <v>279</v>
      </c>
      <c r="C84" s="32" t="s">
        <v>191</v>
      </c>
      <c r="D84" s="66" t="n">
        <v>1942</v>
      </c>
      <c r="E84" s="66" t="n">
        <v>1838</v>
      </c>
      <c r="F84" s="77" t="n">
        <f aca="false">IF(E84="","",D84-E84)</f>
        <v>104</v>
      </c>
      <c r="G84" s="66" t="n">
        <v>2048</v>
      </c>
      <c r="H84" s="66" t="n">
        <v>2112</v>
      </c>
      <c r="I84" s="77" t="n">
        <f aca="false">IF(H84="","",G84-H84)</f>
        <v>-64</v>
      </c>
      <c r="J84" s="47" t="n">
        <f aca="false">IF(OR(D84="",D84+G84=0),"",D84/(D84+G84))</f>
        <v>0.48671679197995</v>
      </c>
      <c r="K84" s="47" t="n">
        <f aca="false">IF(E84="","",E84/(E84+H84))</f>
        <v>0.465316455696203</v>
      </c>
      <c r="L84" s="78" t="n">
        <f aca="false">IF(OR(K84="",J84=""),"",(J84-K84)*100)</f>
        <v>2.14003362837473</v>
      </c>
      <c r="M84" s="36" t="n">
        <v>1.44439089223214</v>
      </c>
      <c r="N84" s="36" t="n">
        <v>0.321380629327618</v>
      </c>
      <c r="O84" s="36" t="n">
        <f aca="false">SQRT(M84^2+N84^2)</f>
        <v>1.47971299868257</v>
      </c>
      <c r="P84" s="47" t="n">
        <f aca="false">IF(J84="","",MAX(0,J84-1.96*O84/100))</f>
        <v>0.457714417205772</v>
      </c>
      <c r="Q84" s="47" t="n">
        <f aca="false">IF(J84="","",MIN(1,J84+1.96*O84/100))</f>
        <v>0.515719166754128</v>
      </c>
      <c r="R84" s="32" t="str">
        <f aca="false">IF(L84="","",IF(ABS(L84)&lt;=O84,"Yes","No"))</f>
        <v>No</v>
      </c>
      <c r="S84" s="32" t="str">
        <f aca="false">IF(L84="","",IF(ABS(L84)&lt;=1.96*O84,"Yes","No"))</f>
        <v>Yes</v>
      </c>
      <c r="T84" s="66" t="n">
        <f aca="false">IF(D84="","",ROUND(SQRT(((D84+G84)*O84/100)^2+(J84*(D84+G84)*0.05437)^2),0))</f>
        <v>121</v>
      </c>
      <c r="U84" s="32"/>
    </row>
    <row r="85" customFormat="false" ht="15" hidden="false" customHeight="false" outlineLevel="0" collapsed="false">
      <c r="A85" s="32" t="s">
        <v>249</v>
      </c>
      <c r="B85" s="32" t="s">
        <v>280</v>
      </c>
      <c r="C85" s="32" t="s">
        <v>191</v>
      </c>
      <c r="D85" s="66" t="n">
        <v>426</v>
      </c>
      <c r="E85" s="66" t="n">
        <v>379</v>
      </c>
      <c r="F85" s="77" t="n">
        <f aca="false">IF(E85="","",D85-E85)</f>
        <v>47</v>
      </c>
      <c r="G85" s="66" t="n">
        <v>570</v>
      </c>
      <c r="H85" s="66" t="n">
        <v>605</v>
      </c>
      <c r="I85" s="77" t="n">
        <f aca="false">IF(H85="","",G85-H85)</f>
        <v>-35</v>
      </c>
      <c r="J85" s="47" t="n">
        <f aca="false">IF(OR(D85="",D85+G85=0),"",D85/(D85+G85))</f>
        <v>0.427710843373494</v>
      </c>
      <c r="K85" s="47" t="n">
        <f aca="false">IF(E85="","",E85/(E85+H85))</f>
        <v>0.385162601626016</v>
      </c>
      <c r="L85" s="78" t="n">
        <f aca="false">IF(OR(K85="",J85=""),"",(J85-K85)*100)</f>
        <v>4.25482417474777</v>
      </c>
      <c r="M85" s="36" t="n">
        <v>2.6727769877146</v>
      </c>
      <c r="N85" s="36" t="n">
        <v>0.321380629327618</v>
      </c>
      <c r="O85" s="36" t="n">
        <f aca="false">SQRT(M85^2+N85^2)</f>
        <v>2.69202940826503</v>
      </c>
      <c r="P85" s="47" t="n">
        <f aca="false">IF(J85="","",MAX(0,J85-1.96*O85/100))</f>
        <v>0.374947066971499</v>
      </c>
      <c r="Q85" s="47" t="n">
        <f aca="false">IF(J85="","",MIN(1,J85+1.96*O85/100))</f>
        <v>0.480474619775489</v>
      </c>
      <c r="R85" s="32" t="str">
        <f aca="false">IF(L85="","",IF(ABS(L85)&lt;=O85,"Yes","No"))</f>
        <v>No</v>
      </c>
      <c r="S85" s="32" t="str">
        <f aca="false">IF(L85="","",IF(ABS(L85)&lt;=1.96*O85,"Yes","No"))</f>
        <v>Yes</v>
      </c>
      <c r="T85" s="66" t="n">
        <f aca="false">IF(D85="","",ROUND(SQRT(((D85+G85)*O85/100)^2+(J85*(D85+G85)*0.07717)^2),0))</f>
        <v>42</v>
      </c>
      <c r="U85" s="32"/>
    </row>
    <row r="86" customFormat="false" ht="15" hidden="false" customHeight="false" outlineLevel="0" collapsed="false">
      <c r="A86" s="32" t="s">
        <v>249</v>
      </c>
      <c r="B86" s="32" t="s">
        <v>242</v>
      </c>
      <c r="C86" s="32" t="s">
        <v>191</v>
      </c>
      <c r="D86" s="66" t="n">
        <v>1111</v>
      </c>
      <c r="E86" s="66" t="n">
        <v>1032</v>
      </c>
      <c r="F86" s="77" t="n">
        <f aca="false">IF(E86="","",D86-E86)</f>
        <v>79</v>
      </c>
      <c r="G86" s="66" t="n">
        <v>1943</v>
      </c>
      <c r="H86" s="66" t="n">
        <v>1971</v>
      </c>
      <c r="I86" s="77" t="n">
        <f aca="false">IF(H86="","",G86-H86)</f>
        <v>-28</v>
      </c>
      <c r="J86" s="47" t="n">
        <f aca="false">IF(OR(D86="",D86+G86=0),"",D86/(D86+G86))</f>
        <v>0.363785199738048</v>
      </c>
      <c r="K86" s="47" t="n">
        <f aca="false">IF(E86="","",E86/(E86+H86))</f>
        <v>0.343656343656344</v>
      </c>
      <c r="L86" s="78" t="n">
        <f aca="false">IF(OR(K86="",J86=""),"",(J86-K86)*100)</f>
        <v>2.01288560817048</v>
      </c>
      <c r="M86" s="36" t="n">
        <v>1.3830443510296</v>
      </c>
      <c r="N86" s="36" t="n">
        <v>0.321380629327618</v>
      </c>
      <c r="O86" s="36" t="n">
        <f aca="false">SQRT(M86^2+N86^2)</f>
        <v>1.41989337128599</v>
      </c>
      <c r="P86" s="47" t="n">
        <f aca="false">IF(J86="","",MAX(0,J86-1.96*O86/100))</f>
        <v>0.335955289660843</v>
      </c>
      <c r="Q86" s="47" t="n">
        <f aca="false">IF(J86="","",MIN(1,J86+1.96*O86/100))</f>
        <v>0.391615109815254</v>
      </c>
      <c r="R86" s="32" t="str">
        <f aca="false">IF(L86="","",IF(ABS(L86)&lt;=O86,"Yes","No"))</f>
        <v>No</v>
      </c>
      <c r="S86" s="32" t="str">
        <f aca="false">IF(L86="","",IF(ABS(L86)&lt;=1.96*O86,"Yes","No"))</f>
        <v>Yes</v>
      </c>
      <c r="T86" s="66" t="n">
        <f aca="false">IF(D86="","",ROUND(SQRT(((D86+G86)*O86/100)^2+(J86*(D86+G86)*0.05992)^2),0))</f>
        <v>79</v>
      </c>
      <c r="U86" s="32"/>
    </row>
    <row r="87" customFormat="false" ht="15" hidden="false" customHeight="false" outlineLevel="0" collapsed="false">
      <c r="A87" s="32" t="s">
        <v>249</v>
      </c>
      <c r="B87" s="32" t="s">
        <v>281</v>
      </c>
      <c r="C87" s="32" t="s">
        <v>191</v>
      </c>
      <c r="D87" s="66" t="n">
        <v>277</v>
      </c>
      <c r="E87" s="66" t="n">
        <v>249</v>
      </c>
      <c r="F87" s="77" t="n">
        <f aca="false">IF(E87="","",D87-E87)</f>
        <v>28</v>
      </c>
      <c r="G87" s="66" t="n">
        <v>283</v>
      </c>
      <c r="H87" s="66" t="n">
        <v>326</v>
      </c>
      <c r="I87" s="77" t="n">
        <f aca="false">IF(H87="","",G87-H87)</f>
        <v>-43</v>
      </c>
      <c r="J87" s="47" t="n">
        <f aca="false">IF(OR(D87="",D87+G87=0),"",D87/(D87+G87))</f>
        <v>0.494642857142857</v>
      </c>
      <c r="K87" s="47" t="n">
        <f aca="false">IF(E87="","",E87/(E87+H87))</f>
        <v>0.43304347826087</v>
      </c>
      <c r="L87" s="78" t="n">
        <f aca="false">IF(OR(K87="",J87=""),"",(J87-K87)*100)</f>
        <v>6.15993788819876</v>
      </c>
      <c r="M87" s="36" t="n">
        <v>2.6727769877146</v>
      </c>
      <c r="N87" s="36" t="n">
        <v>0.321380629327618</v>
      </c>
      <c r="O87" s="36" t="n">
        <f aca="false">SQRT(M87^2+N87^2)</f>
        <v>2.69202940826503</v>
      </c>
      <c r="P87" s="47" t="n">
        <f aca="false">IF(J87="","",MAX(0,J87-1.96*O87/100))</f>
        <v>0.441879080740863</v>
      </c>
      <c r="Q87" s="47" t="n">
        <f aca="false">IF(J87="","",MIN(1,J87+1.96*O87/100))</f>
        <v>0.547406633544852</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249</v>
      </c>
      <c r="B88" s="32" t="s">
        <v>282</v>
      </c>
      <c r="C88" s="32" t="s">
        <v>191</v>
      </c>
      <c r="D88" s="66" t="n">
        <v>1858</v>
      </c>
      <c r="E88" s="66" t="n">
        <v>1767</v>
      </c>
      <c r="F88" s="77" t="n">
        <f aca="false">IF(E88="","",D88-E88)</f>
        <v>91</v>
      </c>
      <c r="G88" s="66" t="n">
        <v>2346</v>
      </c>
      <c r="H88" s="66" t="n">
        <v>2379</v>
      </c>
      <c r="I88" s="77" t="n">
        <f aca="false">IF(H88="","",G88-H88)</f>
        <v>-33</v>
      </c>
      <c r="J88" s="47" t="n">
        <f aca="false">IF(OR(D88="",D88+G88=0),"",D88/(D88+G88))</f>
        <v>0.441960038058991</v>
      </c>
      <c r="K88" s="47" t="n">
        <f aca="false">IF(E88="","",E88/(E88+H88))</f>
        <v>0.426193921852388</v>
      </c>
      <c r="L88" s="78" t="n">
        <f aca="false">IF(OR(K88="",J88=""),"",(J88-K88)*100)</f>
        <v>1.57661162066036</v>
      </c>
      <c r="M88" s="36" t="n">
        <v>1.44439089223214</v>
      </c>
      <c r="N88" s="36" t="n">
        <v>0.321380629327618</v>
      </c>
      <c r="O88" s="36" t="n">
        <f aca="false">SQRT(M88^2+N88^2)</f>
        <v>1.47971299868257</v>
      </c>
      <c r="P88" s="47" t="n">
        <f aca="false">IF(J88="","",MAX(0,J88-1.96*O88/100))</f>
        <v>0.412957663284813</v>
      </c>
      <c r="Q88" s="47" t="n">
        <f aca="false">IF(J88="","",MIN(1,J88+1.96*O88/100))</f>
        <v>0.47096241283317</v>
      </c>
      <c r="R88" s="32" t="str">
        <f aca="false">IF(L88="","",IF(ABS(L88)&lt;=O88,"Yes","No"))</f>
        <v>No</v>
      </c>
      <c r="S88" s="32" t="str">
        <f aca="false">IF(L88="","",IF(ABS(L88)&lt;=1.96*O88,"Yes","No"))</f>
        <v>Yes</v>
      </c>
      <c r="T88" s="66" t="n">
        <f aca="false">IF(D88="","",ROUND(SQRT(((D88+G88)*O88/100)^2+(J88*(D88+G88)*0.05437)^2),0))</f>
        <v>119</v>
      </c>
      <c r="U88" s="32"/>
    </row>
    <row r="89" customFormat="false" ht="15" hidden="false" customHeight="false" outlineLevel="0" collapsed="false">
      <c r="A89" s="32" t="s">
        <v>249</v>
      </c>
      <c r="B89" s="32" t="s">
        <v>283</v>
      </c>
      <c r="C89" s="32" t="s">
        <v>191</v>
      </c>
      <c r="D89" s="66" t="n">
        <v>1973</v>
      </c>
      <c r="E89" s="66" t="n">
        <v>1908</v>
      </c>
      <c r="F89" s="77" t="n">
        <f aca="false">IF(E89="","",D89-E89)</f>
        <v>65</v>
      </c>
      <c r="G89" s="66" t="n">
        <v>1482</v>
      </c>
      <c r="H89" s="66" t="n">
        <v>1518</v>
      </c>
      <c r="I89" s="77" t="n">
        <f aca="false">IF(H89="","",G89-H89)</f>
        <v>-36</v>
      </c>
      <c r="J89" s="47" t="n">
        <f aca="false">IF(OR(D89="",D89+G89=0),"",D89/(D89+G89))</f>
        <v>0.571056439942113</v>
      </c>
      <c r="K89" s="47" t="n">
        <f aca="false">IF(E89="","",E89/(E89+H89))</f>
        <v>0.5569176882662</v>
      </c>
      <c r="L89" s="78" t="n">
        <f aca="false">IF(OR(K89="",J89=""),"",(J89-K89)*100)</f>
        <v>1.41387516759132</v>
      </c>
      <c r="M89" s="36" t="n">
        <v>1.3830443510296</v>
      </c>
      <c r="N89" s="36" t="n">
        <v>0.321380629327618</v>
      </c>
      <c r="O89" s="36" t="n">
        <f aca="false">SQRT(M89^2+N89^2)</f>
        <v>1.41989337128599</v>
      </c>
      <c r="P89" s="47" t="n">
        <f aca="false">IF(J89="","",MAX(0,J89-1.96*O89/100))</f>
        <v>0.543226529864907</v>
      </c>
      <c r="Q89" s="47" t="n">
        <f aca="false">IF(J89="","",MIN(1,J89+1.96*O89/100))</f>
        <v>0.598886350019318</v>
      </c>
      <c r="R89" s="32" t="str">
        <f aca="false">IF(L89="","",IF(ABS(L89)&lt;=O89,"Yes","No"))</f>
        <v>Yes</v>
      </c>
      <c r="S89" s="32" t="str">
        <f aca="false">IF(L89="","",IF(ABS(L89)&lt;=1.96*O89,"Yes","No"))</f>
        <v>Yes</v>
      </c>
      <c r="T89" s="66" t="n">
        <f aca="false">IF(D89="","",ROUND(SQRT(((D89+G89)*O89/100)^2+(J89*(D89+G89)*0.05992)^2),0))</f>
        <v>128</v>
      </c>
      <c r="U89" s="32"/>
    </row>
    <row r="90" customFormat="false" ht="15" hidden="false" customHeight="false" outlineLevel="0" collapsed="false">
      <c r="A90" s="32" t="s">
        <v>249</v>
      </c>
      <c r="B90" s="32" t="s">
        <v>284</v>
      </c>
      <c r="C90" s="32" t="s">
        <v>191</v>
      </c>
      <c r="D90" s="66" t="n">
        <v>562</v>
      </c>
      <c r="E90" s="66" t="n">
        <v>508</v>
      </c>
      <c r="F90" s="77" t="n">
        <f aca="false">IF(E90="","",D90-E90)</f>
        <v>54</v>
      </c>
      <c r="G90" s="66" t="n">
        <v>706</v>
      </c>
      <c r="H90" s="66" t="n">
        <v>791</v>
      </c>
      <c r="I90" s="77" t="n">
        <f aca="false">IF(H90="","",G90-H90)</f>
        <v>-85</v>
      </c>
      <c r="J90" s="47" t="n">
        <f aca="false">IF(OR(D90="",D90+G90=0),"",D90/(D90+G90))</f>
        <v>0.443217665615142</v>
      </c>
      <c r="K90" s="47" t="n">
        <f aca="false">IF(E90="","",E90/(E90+H90))</f>
        <v>0.391070053887606</v>
      </c>
      <c r="L90" s="78" t="n">
        <f aca="false">IF(OR(K90="",J90=""),"",(J90-K90)*100)</f>
        <v>5.21476117275361</v>
      </c>
      <c r="M90" s="36" t="n">
        <v>2.6727769877146</v>
      </c>
      <c r="N90" s="36" t="n">
        <v>0.321380629327618</v>
      </c>
      <c r="O90" s="36" t="n">
        <f aca="false">SQRT(M90^2+N90^2)</f>
        <v>2.69202940826503</v>
      </c>
      <c r="P90" s="47" t="n">
        <f aca="false">IF(J90="","",MAX(0,J90-1.96*O90/100))</f>
        <v>0.390453889213147</v>
      </c>
      <c r="Q90" s="47" t="n">
        <f aca="false">IF(J90="","",MIN(1,J90+1.96*O90/100))</f>
        <v>0.495981442017137</v>
      </c>
      <c r="R90" s="32" t="str">
        <f aca="false">IF(L90="","",IF(ABS(L90)&lt;=O90,"Yes","No"))</f>
        <v>No</v>
      </c>
      <c r="S90" s="32" t="str">
        <f aca="false">IF(L90="","",IF(ABS(L90)&lt;=1.96*O90,"Yes","No"))</f>
        <v>Yes</v>
      </c>
      <c r="T90" s="66" t="n">
        <f aca="false">IF(D90="","",ROUND(SQRT(((D90+G90)*O90/100)^2+(J90*(D90+G90)*0.07717)^2),0))</f>
        <v>55</v>
      </c>
      <c r="U90" s="32"/>
    </row>
    <row r="92" customFormat="false" ht="15" hidden="false" customHeight="false" outlineLevel="0" collapsed="false">
      <c r="A92" s="20" t="s">
        <v>419</v>
      </c>
      <c r="B92" s="44"/>
      <c r="C92" s="44"/>
      <c r="D92" s="79" t="n">
        <f aca="false">SUMIF(E2:E90,"&lt;&gt;",D2:D90)</f>
        <v>200954</v>
      </c>
      <c r="E92" s="79" t="n">
        <f aca="false">SUM(E2:E90)</f>
        <v>193125</v>
      </c>
      <c r="F92" s="80" t="n">
        <f aca="false">D92-E92</f>
        <v>7829</v>
      </c>
      <c r="G92" s="79" t="n">
        <f aca="false">SUMIF(H2:H90,"&lt;&gt;",G2:G90)</f>
        <v>189801</v>
      </c>
      <c r="H92" s="79" t="n">
        <f aca="false">SUM(H2:H90)</f>
        <v>195380</v>
      </c>
      <c r="I92" s="80" t="n">
        <f aca="false">G92-H92</f>
        <v>-5579</v>
      </c>
      <c r="J92" s="46" t="n">
        <f aca="false">D92/(D92+G92)</f>
        <v>0.514271090581055</v>
      </c>
      <c r="K92" s="46" t="n">
        <f aca="false">E92/(E92+H92)</f>
        <v>0.497097849448527</v>
      </c>
      <c r="L92" s="81" t="n">
        <f aca="false">(J92-K92)*100</f>
        <v>1.71732411325276</v>
      </c>
      <c r="M92" s="45" t="n">
        <v>0</v>
      </c>
      <c r="N92" s="45" t="n">
        <v>0.321380629327618</v>
      </c>
      <c r="O92" s="45" t="n">
        <f aca="false">SQRT(M92^2+N92^2)</f>
        <v>0.321380629327618</v>
      </c>
      <c r="P92" s="46" t="n">
        <f aca="false">J92-1.96*O92/100</f>
        <v>0.507972030246233</v>
      </c>
      <c r="Q92" s="46" t="n">
        <f aca="false">J92+1.96*O92/100</f>
        <v>0.520570150915876</v>
      </c>
      <c r="R92" s="44" t="str">
        <f aca="false">IF(ABS(L92)&lt;=O92,"Yes","No")</f>
        <v>No</v>
      </c>
      <c r="S92" s="44" t="str">
        <f aca="false">IF(ABS(L92)&lt;=1.96*O92,"Yes","No")</f>
        <v>No</v>
      </c>
      <c r="T92" s="79" t="n">
        <f aca="false">ROUND(SQRT(((D92+G92)*O92/100)^2+(J92*(D92+G92)*0.04267)^2),0)</f>
        <v>8666</v>
      </c>
    </row>
    <row r="93" customFormat="false" ht="15" hidden="false" customHeight="false" outlineLevel="0" collapsed="false">
      <c r="A93" s="20" t="s">
        <v>420</v>
      </c>
      <c r="B93" s="44"/>
      <c r="C93" s="44"/>
      <c r="D93" s="79" t="n">
        <f aca="false">SUM(D2:D90)</f>
        <v>200954</v>
      </c>
      <c r="E93" s="79"/>
      <c r="F93" s="80"/>
      <c r="G93" s="79" t="n">
        <f aca="false">SUM(G2:G90)</f>
        <v>189801</v>
      </c>
      <c r="H93" s="79"/>
      <c r="I93" s="80"/>
      <c r="J93" s="46" t="n">
        <f aca="false">D93/(D93+G93)</f>
        <v>0.514271090581055</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97.1573033707865</v>
      </c>
    </row>
    <row r="96" customFormat="false" ht="15" hidden="false" customHeight="false" outlineLevel="0" collapsed="false">
      <c r="A96" s="2" t="s">
        <v>422</v>
      </c>
      <c r="F96" s="82" t="n">
        <f aca="false">(SUMIF(I2:I90,"&gt;0")-SUMIF(I2:I90,"&lt;0"))/COUNT(I2:I90)</f>
        <v>78.5730337078652</v>
      </c>
    </row>
    <row r="97" customFormat="false" ht="15" hidden="false" customHeight="false" outlineLevel="0" collapsed="false">
      <c r="A97" s="2" t="s">
        <v>423</v>
      </c>
      <c r="F97" s="83" t="n">
        <f aca="false">(SUMIF(L2:L90,"&gt;0")-SUMIF(L2:L90,"&lt;0"))/COUNT(L2:L90)</f>
        <v>2.80330504010284</v>
      </c>
    </row>
    <row r="98" customFormat="false" ht="15" hidden="false" customHeight="false" outlineLevel="0" collapsed="false">
      <c r="A98" s="5" t="s">
        <v>424</v>
      </c>
      <c r="F98" s="84" t="n">
        <f aca="false">SQRT(SUMSQ(L2:L90)/COUNT(L2:L90))</f>
        <v>3.38414520434038</v>
      </c>
    </row>
    <row r="99" customFormat="false" ht="15" hidden="false" customHeight="false" outlineLevel="0" collapsed="false">
      <c r="A99" s="5" t="s">
        <v>425</v>
      </c>
      <c r="F99" s="85" t="n">
        <f aca="false">L92</f>
        <v>1.71732411325276</v>
      </c>
    </row>
    <row r="100" customFormat="false" ht="15" hidden="false" customHeight="false" outlineLevel="0" collapsed="false">
      <c r="A100" s="5" t="s">
        <v>426</v>
      </c>
      <c r="F100" s="84" t="n">
        <f aca="false">SQRT((SUMSQ(L2:L90)-2*L92*SUM(L2:L90)+COUNT(L2:L90)*L92^2)/COUNT(L2:L90))</f>
        <v>2.26448370020667</v>
      </c>
    </row>
    <row r="101" customFormat="false" ht="15" hidden="false" customHeight="false" outlineLevel="0" collapsed="false">
      <c r="A101" s="2" t="s">
        <v>427</v>
      </c>
      <c r="F101" s="86" t="n">
        <f aca="false">D92/E92-1</f>
        <v>0.0405385113268608</v>
      </c>
    </row>
    <row r="102" customFormat="false" ht="15" hidden="false" customHeight="false" outlineLevel="0" collapsed="false">
      <c r="A102" s="5" t="s">
        <v>428</v>
      </c>
      <c r="F102" s="87" t="n">
        <f aca="false">G92/H92-1</f>
        <v>-0.0285546115262565</v>
      </c>
    </row>
    <row r="103" customFormat="false" ht="15" hidden="false" customHeight="false" outlineLevel="0" collapsed="false">
      <c r="A103" s="2" t="s">
        <v>429</v>
      </c>
      <c r="F103" s="86" t="n">
        <f aca="false">(D92+G92)/(E92+H92)-1</f>
        <v>0.00579143125571102</v>
      </c>
    </row>
    <row r="104" customFormat="false" ht="15" hidden="false" customHeight="false" outlineLevel="0" collapsed="false">
      <c r="A104" s="2" t="s">
        <v>430</v>
      </c>
      <c r="F104" s="83" t="n">
        <f aca="false">AVERAGE(O2:O90)</f>
        <v>1.86886719073845</v>
      </c>
    </row>
    <row r="105" customFormat="false" ht="15" hidden="false" customHeight="false" outlineLevel="0" collapsed="false">
      <c r="A105" s="5" t="s">
        <v>431</v>
      </c>
      <c r="F105" s="88" t="n">
        <f aca="false">COUNTIF(R2:R90,"Yes")/(COUNTIF(R2:R90,"Yes")+COUNTIF(R2:R90,"No"))</f>
        <v>0.325842696629214</v>
      </c>
    </row>
    <row r="106" customFormat="false" ht="15" hidden="false" customHeight="false" outlineLevel="0" collapsed="false">
      <c r="A106" s="5" t="s">
        <v>432</v>
      </c>
      <c r="F106" s="88" t="n">
        <f aca="false">COUNTIF(S2:S90,"Yes")/(COUNTIF(S2:S90,"Yes")+COUNTIF(S2:S90,"No"))</f>
        <v>0.707865168539326</v>
      </c>
    </row>
    <row r="107" customFormat="false" ht="15" hidden="false" customHeight="false" outlineLevel="0" collapsed="false">
      <c r="A107" s="2" t="s">
        <v>433</v>
      </c>
      <c r="F107" s="89" t="n">
        <f aca="false">COUNTIFS(L2:L90,"&gt;=-3",L2:L90,"&lt;=3")/COUNT(L2:L90)</f>
        <v>0.617977528089888</v>
      </c>
    </row>
    <row r="108" customFormat="false" ht="15" hidden="false" customHeight="false" outlineLevel="0" collapsed="false">
      <c r="A108" s="2" t="s">
        <v>471</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1118.47016125919</v>
      </c>
    </row>
    <row r="112" customFormat="false" ht="15" hidden="false" customHeight="false" outlineLevel="0" collapsed="false">
      <c r="A112" s="2" t="s">
        <v>438</v>
      </c>
      <c r="F112" s="91" t="n">
        <f aca="false">F92-((D92+G92)-(E92+H92))*K92</f>
        <v>6710.52983874082</v>
      </c>
    </row>
    <row r="113" customFormat="false" ht="15" hidden="false" customHeight="false" outlineLevel="0" collapsed="false">
      <c r="A113" s="2" t="s">
        <v>439</v>
      </c>
      <c r="F113" s="91" t="n">
        <f aca="false">((D92+G92)-(E92+H92))*(1-K92)</f>
        <v>1131.52983874081</v>
      </c>
    </row>
    <row r="114" customFormat="false" ht="15" hidden="false" customHeight="false" outlineLevel="0" collapsed="false">
      <c r="A114" s="2" t="s">
        <v>440</v>
      </c>
      <c r="F114" s="91" t="n">
        <f aca="false">I92-((D92+G92)-(E92+H92))*(1-K92)</f>
        <v>-6710.52983874082</v>
      </c>
    </row>
    <row r="115" customFormat="false" ht="15" hidden="false" customHeight="false" outlineLevel="0" collapsed="false">
      <c r="A115" s="2" t="s">
        <v>441</v>
      </c>
      <c r="F115" s="86" t="n">
        <f aca="false">(F92-((D92+G92)-(E92+H92))*K92)/E92</f>
        <v>0.0347470800711499</v>
      </c>
    </row>
    <row r="116" customFormat="false" ht="15" hidden="false" customHeight="false" outlineLevel="0" collapsed="false">
      <c r="A116" s="2" t="s">
        <v>442</v>
      </c>
      <c r="F116" s="86" t="n">
        <f aca="false">(I92-((D92+G92)-(E92+H92))*(1-K92))/H92</f>
        <v>-0.0343460427819675</v>
      </c>
    </row>
    <row r="118" customFormat="false" ht="15" hidden="false" customHeight="false" outlineLevel="0" collapsed="false">
      <c r="U118" s="5" t="s">
        <v>166</v>
      </c>
    </row>
    <row r="119" customFormat="false" ht="41.75" hidden="false" customHeight="false" outlineLevel="0" collapsed="false">
      <c r="U119" s="76" t="s">
        <v>472</v>
      </c>
    </row>
    <row r="120" customFormat="false" ht="41.75" hidden="false" customHeight="false" outlineLevel="0" collapsed="false">
      <c r="U120" s="76" t="s">
        <v>473</v>
      </c>
    </row>
    <row r="121" customFormat="false" ht="28.35" hidden="false" customHeight="false" outlineLevel="0" collapsed="false">
      <c r="U121" s="76" t="s">
        <v>445</v>
      </c>
    </row>
    <row r="122" customFormat="false" ht="28.35" hidden="false" customHeight="false" outlineLevel="0" collapsed="false">
      <c r="U122" s="76" t="s">
        <v>474</v>
      </c>
    </row>
    <row r="123" customFormat="false" ht="41.75" hidden="false" customHeight="false" outlineLevel="0" collapsed="false">
      <c r="U123" s="76" t="s">
        <v>475</v>
      </c>
    </row>
    <row r="124" customFormat="false" ht="28.35" hidden="false" customHeight="false" outlineLevel="0" collapsed="false">
      <c r="U124" s="76" t="s">
        <v>476</v>
      </c>
    </row>
    <row r="125" customFormat="false" ht="28.35" hidden="false" customHeight="false" outlineLevel="0" collapsed="false">
      <c r="U125" s="76" t="s">
        <v>449</v>
      </c>
    </row>
    <row r="126" customFormat="false" ht="41.75" hidden="false" customHeight="false" outlineLevel="0" collapsed="false">
      <c r="U126" s="76" t="s">
        <v>477</v>
      </c>
    </row>
    <row r="127" customFormat="false" ht="15" hidden="false" customHeight="false" outlineLevel="0" collapsed="false">
      <c r="U127" s="76" t="s">
        <v>478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466</v>
      </c>
      <c r="N1" s="8" t="s">
        <v>467</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204</v>
      </c>
      <c r="E2" s="66" t="n">
        <v>171</v>
      </c>
      <c r="F2" s="77" t="n">
        <f aca="false">IF(E2="","",D2-E2)</f>
        <v>33</v>
      </c>
      <c r="G2" s="66" t="n">
        <v>332</v>
      </c>
      <c r="H2" s="66" t="n">
        <v>332</v>
      </c>
      <c r="I2" s="77" t="n">
        <f aca="false">IF(H2="","",G2-H2)</f>
        <v>0</v>
      </c>
      <c r="J2" s="47" t="n">
        <f aca="false">IF(OR(D2="",D2+G2=0),"",D2/(D2+G2))</f>
        <v>0.380597014925373</v>
      </c>
      <c r="K2" s="47" t="n">
        <f aca="false">IF(E2="","",E2/(E2+H2))</f>
        <v>0.339960238568589</v>
      </c>
      <c r="L2" s="78" t="n">
        <f aca="false">IF(OR(K2="",J2=""),"",(J2-K2)*100)</f>
        <v>4.06367763567847</v>
      </c>
      <c r="M2" s="36" t="n">
        <v>2.60296228516591</v>
      </c>
      <c r="N2" s="36" t="n">
        <v>0.322127322494862</v>
      </c>
      <c r="O2" s="36" t="n">
        <f aca="false">SQRT(M2^2+N2^2)</f>
        <v>2.62281884046418</v>
      </c>
      <c r="P2" s="47" t="n">
        <f aca="false">IF(J2="","",MAX(0,J2-1.96*O2/100))</f>
        <v>0.329189765652275</v>
      </c>
      <c r="Q2" s="47" t="n">
        <f aca="false">IF(J2="","",MIN(1,J2+1.96*O2/100))</f>
        <v>0.432004264198471</v>
      </c>
      <c r="R2" s="32" t="str">
        <f aca="false">IF(L2="","",IF(ABS(L2)&lt;=O2,"Yes","No"))</f>
        <v>No</v>
      </c>
      <c r="S2" s="32" t="str">
        <f aca="false">IF(L2="","",IF(ABS(L2)&lt;=1.96*O2,"Yes","No"))</f>
        <v>Yes</v>
      </c>
      <c r="T2" s="66" t="n">
        <f aca="false">IF(D2="","",ROUND(SQRT(((D2+G2)*O2/100)^2+(J2*(D2+G2)*0.07717)^2),0))</f>
        <v>21</v>
      </c>
      <c r="U2" s="32" t="s">
        <v>468</v>
      </c>
    </row>
    <row r="3" customFormat="false" ht="15" hidden="false" customHeight="false" outlineLevel="0" collapsed="false">
      <c r="A3" s="32" t="s">
        <v>189</v>
      </c>
      <c r="B3" s="32" t="s">
        <v>195</v>
      </c>
      <c r="C3" s="32" t="s">
        <v>191</v>
      </c>
      <c r="D3" s="66" t="n">
        <v>127</v>
      </c>
      <c r="E3" s="66" t="n">
        <v>100</v>
      </c>
      <c r="F3" s="77" t="n">
        <f aca="false">IF(E3="","",D3-E3)</f>
        <v>27</v>
      </c>
      <c r="G3" s="66" t="n">
        <v>290</v>
      </c>
      <c r="H3" s="66" t="n">
        <v>303</v>
      </c>
      <c r="I3" s="77" t="n">
        <f aca="false">IF(H3="","",G3-H3)</f>
        <v>-13</v>
      </c>
      <c r="J3" s="47" t="n">
        <f aca="false">IF(OR(D3="",D3+G3=0),"",D3/(D3+G3))</f>
        <v>0.304556354916067</v>
      </c>
      <c r="K3" s="47" t="n">
        <f aca="false">IF(E3="","",E3/(E3+H3))</f>
        <v>0.248138957816377</v>
      </c>
      <c r="L3" s="78" t="n">
        <f aca="false">IF(OR(K3="",J3=""),"",(J3-K3)*100)</f>
        <v>5.641739709969</v>
      </c>
      <c r="M3" s="36" t="n">
        <v>2.60296228516591</v>
      </c>
      <c r="N3" s="36" t="n">
        <v>0.322127322494862</v>
      </c>
      <c r="O3" s="36" t="n">
        <f aca="false">SQRT(M3^2+N3^2)</f>
        <v>2.62281884046418</v>
      </c>
      <c r="P3" s="47" t="n">
        <f aca="false">IF(J3="","",MAX(0,J3-1.96*O3/100))</f>
        <v>0.253149105642969</v>
      </c>
      <c r="Q3" s="47" t="n">
        <f aca="false">IF(J3="","",MIN(1,J3+1.96*O3/100))</f>
        <v>0.355963604189165</v>
      </c>
      <c r="R3" s="32" t="str">
        <f aca="false">IF(L3="","",IF(ABS(L3)&lt;=O3,"Yes","No"))</f>
        <v>No</v>
      </c>
      <c r="S3" s="32" t="str">
        <f aca="false">IF(L3="","",IF(ABS(L3)&lt;=1.96*O3,"Yes","No"))</f>
        <v>No</v>
      </c>
      <c r="T3" s="66" t="n">
        <f aca="false">IF(D3="","",ROUND(SQRT(((D3+G3)*O3/100)^2+(J3*(D3+G3)*0.07717)^2),0))</f>
        <v>15</v>
      </c>
      <c r="U3" s="32" t="s">
        <v>468</v>
      </c>
    </row>
    <row r="4" customFormat="false" ht="15" hidden="false" customHeight="false" outlineLevel="0" collapsed="false">
      <c r="A4" s="32" t="s">
        <v>189</v>
      </c>
      <c r="B4" s="32" t="s">
        <v>196</v>
      </c>
      <c r="C4" s="32" t="s">
        <v>191</v>
      </c>
      <c r="D4" s="66" t="n">
        <v>174</v>
      </c>
      <c r="E4" s="66" t="n">
        <v>111</v>
      </c>
      <c r="F4" s="77" t="n">
        <f aca="false">IF(E4="","",D4-E4)</f>
        <v>63</v>
      </c>
      <c r="G4" s="66" t="n">
        <v>308</v>
      </c>
      <c r="H4" s="66" t="n">
        <v>317</v>
      </c>
      <c r="I4" s="77" t="n">
        <f aca="false">IF(H4="","",G4-H4)</f>
        <v>-9</v>
      </c>
      <c r="J4" s="47" t="n">
        <f aca="false">IF(OR(D4="",D4+G4=0),"",D4/(D4+G4))</f>
        <v>0.360995850622407</v>
      </c>
      <c r="K4" s="47" t="n">
        <f aca="false">IF(E4="","",E4/(E4+H4))</f>
        <v>0.259345794392523</v>
      </c>
      <c r="L4" s="78" t="n">
        <f aca="false">IF(OR(K4="",J4=""),"",(J4-K4)*100)</f>
        <v>10.1650056229883</v>
      </c>
      <c r="M4" s="36" t="n">
        <v>2.60296228516591</v>
      </c>
      <c r="N4" s="36" t="n">
        <v>0.322127322494862</v>
      </c>
      <c r="O4" s="36" t="n">
        <f aca="false">SQRT(M4^2+N4^2)</f>
        <v>2.62281884046418</v>
      </c>
      <c r="P4" s="47" t="n">
        <f aca="false">IF(J4="","",MAX(0,J4-1.96*O4/100))</f>
        <v>0.309588601349309</v>
      </c>
      <c r="Q4" s="47" t="n">
        <f aca="false">IF(J4="","",MIN(1,J4+1.96*O4/100))</f>
        <v>0.412403099895505</v>
      </c>
      <c r="R4" s="32" t="str">
        <f aca="false">IF(L4="","",IF(ABS(L4)&lt;=O4,"Yes","No"))</f>
        <v>No</v>
      </c>
      <c r="S4" s="32" t="str">
        <f aca="false">IF(L4="","",IF(ABS(L4)&lt;=1.96*O4,"Yes","No"))</f>
        <v>No</v>
      </c>
      <c r="T4" s="66" t="n">
        <f aca="false">IF(D4="","",ROUND(SQRT(((D4+G4)*O4/100)^2+(J4*(D4+G4)*0.07717)^2),0))</f>
        <v>18</v>
      </c>
      <c r="U4" s="32" t="s">
        <v>468</v>
      </c>
    </row>
    <row r="5" customFormat="false" ht="15" hidden="false" customHeight="false" outlineLevel="0" collapsed="false">
      <c r="A5" s="32" t="s">
        <v>189</v>
      </c>
      <c r="B5" s="32" t="s">
        <v>197</v>
      </c>
      <c r="C5" s="32" t="s">
        <v>191</v>
      </c>
      <c r="D5" s="66" t="n">
        <v>510</v>
      </c>
      <c r="E5" s="66" t="n">
        <v>390</v>
      </c>
      <c r="F5" s="77" t="n">
        <f aca="false">IF(E5="","",D5-E5)</f>
        <v>120</v>
      </c>
      <c r="G5" s="66" t="n">
        <v>1175</v>
      </c>
      <c r="H5" s="66" t="n">
        <v>1180</v>
      </c>
      <c r="I5" s="77" t="n">
        <f aca="false">IF(H5="","",G5-H5)</f>
        <v>-5</v>
      </c>
      <c r="J5" s="47" t="n">
        <f aca="false">IF(OR(D5="",D5+G5=0),"",D5/(D5+G5))</f>
        <v>0.302670623145401</v>
      </c>
      <c r="K5" s="47" t="n">
        <f aca="false">IF(E5="","",E5/(E5+H5))</f>
        <v>0.248407643312102</v>
      </c>
      <c r="L5" s="78" t="n">
        <f aca="false">IF(OR(K5="",J5=""),"",(J5-K5)*100)</f>
        <v>5.42629798332987</v>
      </c>
      <c r="M5" s="36" t="n">
        <v>1.44715751761421</v>
      </c>
      <c r="N5" s="36" t="n">
        <v>0.322127322494862</v>
      </c>
      <c r="O5" s="36" t="n">
        <f aca="false">SQRT(M5^2+N5^2)</f>
        <v>1.48257576288196</v>
      </c>
      <c r="P5" s="47" t="n">
        <f aca="false">IF(J5="","",MAX(0,J5-1.96*O5/100))</f>
        <v>0.273612138192914</v>
      </c>
      <c r="Q5" s="47" t="n">
        <f aca="false">IF(J5="","",MIN(1,J5+1.96*O5/100))</f>
        <v>0.331729108097887</v>
      </c>
      <c r="R5" s="32" t="str">
        <f aca="false">IF(L5="","",IF(ABS(L5)&lt;=O5,"Yes","No"))</f>
        <v>No</v>
      </c>
      <c r="S5" s="32" t="str">
        <f aca="false">IF(L5="","",IF(ABS(L5)&lt;=1.96*O5,"Yes","No"))</f>
        <v>No</v>
      </c>
      <c r="T5" s="66" t="n">
        <f aca="false">IF(D5="","",ROUND(SQRT(((D5+G5)*O5/100)^2+(J5*(D5+G5)*0.05992)^2),0))</f>
        <v>39</v>
      </c>
      <c r="U5" s="32" t="s">
        <v>468</v>
      </c>
    </row>
    <row r="6" customFormat="false" ht="15" hidden="false" customHeight="false" outlineLevel="0" collapsed="false">
      <c r="A6" s="32" t="s">
        <v>189</v>
      </c>
      <c r="B6" s="32" t="s">
        <v>199</v>
      </c>
      <c r="C6" s="32" t="s">
        <v>191</v>
      </c>
      <c r="D6" s="66" t="n">
        <v>48</v>
      </c>
      <c r="E6" s="66" t="n">
        <v>47</v>
      </c>
      <c r="F6" s="77" t="n">
        <f aca="false">IF(E6="","",D6-E6)</f>
        <v>1</v>
      </c>
      <c r="G6" s="66" t="n">
        <v>78</v>
      </c>
      <c r="H6" s="66" t="n">
        <v>74</v>
      </c>
      <c r="I6" s="77" t="n">
        <f aca="false">IF(H6="","",G6-H6)</f>
        <v>4</v>
      </c>
      <c r="J6" s="47" t="n">
        <f aca="false">IF(OR(D6="",D6+G6=0),"",D6/(D6+G6))</f>
        <v>0.380952380952381</v>
      </c>
      <c r="K6" s="47" t="n">
        <f aca="false">IF(E6="","",E6/(E6+H6))</f>
        <v>0.388429752066116</v>
      </c>
      <c r="L6" s="78" t="n">
        <f aca="false">IF(OR(K6="",J6=""),"",(J6-K6)*100)</f>
        <v>-0.747737111373475</v>
      </c>
      <c r="M6" s="36" t="n">
        <v>2.60296228516591</v>
      </c>
      <c r="N6" s="36" t="n">
        <v>0.322127322494862</v>
      </c>
      <c r="O6" s="36" t="n">
        <f aca="false">SQRT(M6^2+N6^2)</f>
        <v>2.62281884046418</v>
      </c>
      <c r="P6" s="47" t="n">
        <f aca="false">IF(J6="","",MAX(0,J6-1.96*O6/100))</f>
        <v>0.329545131679283</v>
      </c>
      <c r="Q6" s="47" t="n">
        <f aca="false">IF(J6="","",MIN(1,J6+1.96*O6/100))</f>
        <v>0.432359630225479</v>
      </c>
      <c r="R6" s="32" t="str">
        <f aca="false">IF(L6="","",IF(ABS(L6)&lt;=O6,"Yes","No"))</f>
        <v>Yes</v>
      </c>
      <c r="S6" s="32" t="str">
        <f aca="false">IF(L6="","",IF(ABS(L6)&lt;=1.96*O6,"Yes","No"))</f>
        <v>Yes</v>
      </c>
      <c r="T6" s="66" t="n">
        <f aca="false">IF(D6="","",ROUND(SQRT(((D6+G6)*O6/100)^2+(J6*(D6+G6)*0.07717)^2),0))</f>
        <v>5</v>
      </c>
      <c r="U6" s="32" t="s">
        <v>468</v>
      </c>
    </row>
    <row r="7" customFormat="false" ht="15" hidden="false" customHeight="false" outlineLevel="0" collapsed="false">
      <c r="A7" s="32" t="s">
        <v>189</v>
      </c>
      <c r="B7" s="32" t="s">
        <v>200</v>
      </c>
      <c r="C7" s="32" t="s">
        <v>191</v>
      </c>
      <c r="D7" s="66" t="n">
        <v>789</v>
      </c>
      <c r="E7" s="66" t="n">
        <v>631</v>
      </c>
      <c r="F7" s="77" t="n">
        <f aca="false">IF(E7="","",D7-E7)</f>
        <v>158</v>
      </c>
      <c r="G7" s="66" t="n">
        <v>1793</v>
      </c>
      <c r="H7" s="66" t="n">
        <v>1828</v>
      </c>
      <c r="I7" s="77" t="n">
        <f aca="false">IF(H7="","",G7-H7)</f>
        <v>-35</v>
      </c>
      <c r="J7" s="47" t="n">
        <f aca="false">IF(OR(D7="",D7+G7=0),"",D7/(D7+G7))</f>
        <v>0.305577072037181</v>
      </c>
      <c r="K7" s="47" t="n">
        <f aca="false">IF(E7="","",E7/(E7+H7))</f>
        <v>0.256608377389183</v>
      </c>
      <c r="L7" s="78" t="n">
        <f aca="false">IF(OR(K7="",J7=""),"",(J7-K7)*100)</f>
        <v>4.89686946479979</v>
      </c>
      <c r="M7" s="36" t="n">
        <v>1.44715751761421</v>
      </c>
      <c r="N7" s="36" t="n">
        <v>0.322127322494862</v>
      </c>
      <c r="O7" s="36" t="n">
        <f aca="false">SQRT(M7^2+N7^2)</f>
        <v>1.48257576288196</v>
      </c>
      <c r="P7" s="47" t="n">
        <f aca="false">IF(J7="","",MAX(0,J7-1.96*O7/100))</f>
        <v>0.276518587084694</v>
      </c>
      <c r="Q7" s="47" t="n">
        <f aca="false">IF(J7="","",MIN(1,J7+1.96*O7/100))</f>
        <v>0.334635556989667</v>
      </c>
      <c r="R7" s="32" t="str">
        <f aca="false">IF(L7="","",IF(ABS(L7)&lt;=O7,"Yes","No"))</f>
        <v>No</v>
      </c>
      <c r="S7" s="32" t="str">
        <f aca="false">IF(L7="","",IF(ABS(L7)&lt;=1.96*O7,"Yes","No"))</f>
        <v>No</v>
      </c>
      <c r="T7" s="66" t="n">
        <f aca="false">IF(D7="","",ROUND(SQRT(((D7+G7)*O7/100)^2+(J7*(D7+G7)*0.05992)^2),0))</f>
        <v>61</v>
      </c>
      <c r="U7" s="32" t="s">
        <v>468</v>
      </c>
    </row>
    <row r="8" customFormat="false" ht="15" hidden="false" customHeight="false" outlineLevel="0" collapsed="false">
      <c r="A8" s="32" t="s">
        <v>189</v>
      </c>
      <c r="B8" s="32" t="s">
        <v>201</v>
      </c>
      <c r="C8" s="32" t="s">
        <v>191</v>
      </c>
      <c r="D8" s="66" t="n">
        <v>1239</v>
      </c>
      <c r="E8" s="66" t="n">
        <v>1060</v>
      </c>
      <c r="F8" s="77" t="n">
        <f aca="false">IF(E8="","",D8-E8)</f>
        <v>179</v>
      </c>
      <c r="G8" s="66" t="n">
        <v>1508</v>
      </c>
      <c r="H8" s="66" t="n">
        <v>1517</v>
      </c>
      <c r="I8" s="77" t="n">
        <f aca="false">IF(H8="","",G8-H8)</f>
        <v>-9</v>
      </c>
      <c r="J8" s="47" t="n">
        <f aca="false">IF(OR(D8="",D8+G8=0),"",D8/(D8+G8))</f>
        <v>0.451037495449581</v>
      </c>
      <c r="K8" s="47" t="n">
        <f aca="false">IF(E8="","",E8/(E8+H8))</f>
        <v>0.411331005044626</v>
      </c>
      <c r="L8" s="78" t="n">
        <f aca="false">IF(OR(K8="",J8=""),"",(J8-K8)*100)</f>
        <v>3.97064904049558</v>
      </c>
      <c r="M8" s="36" t="n">
        <v>1.44715751761421</v>
      </c>
      <c r="N8" s="36" t="n">
        <v>0.322127322494862</v>
      </c>
      <c r="O8" s="36" t="n">
        <f aca="false">SQRT(M8^2+N8^2)</f>
        <v>1.48257576288196</v>
      </c>
      <c r="P8" s="47" t="n">
        <f aca="false">IF(J8="","",MAX(0,J8-1.96*O8/100))</f>
        <v>0.421979010497095</v>
      </c>
      <c r="Q8" s="47" t="n">
        <f aca="false">IF(J8="","",MIN(1,J8+1.96*O8/100))</f>
        <v>0.480095980402068</v>
      </c>
      <c r="R8" s="32" t="str">
        <f aca="false">IF(L8="","",IF(ABS(L8)&lt;=O8,"Yes","No"))</f>
        <v>No</v>
      </c>
      <c r="S8" s="32" t="str">
        <f aca="false">IF(L8="","",IF(ABS(L8)&lt;=1.96*O8,"Yes","No"))</f>
        <v>No</v>
      </c>
      <c r="T8" s="66" t="n">
        <f aca="false">IF(D8="","",ROUND(SQRT(((D8+G8)*O8/100)^2+(J8*(D8+G8)*0.05992)^2),0))</f>
        <v>85</v>
      </c>
      <c r="U8" s="32" t="s">
        <v>468</v>
      </c>
    </row>
    <row r="9" customFormat="false" ht="15" hidden="false" customHeight="false" outlineLevel="0" collapsed="false">
      <c r="A9" s="32" t="s">
        <v>189</v>
      </c>
      <c r="B9" s="32" t="s">
        <v>202</v>
      </c>
      <c r="C9" s="32" t="s">
        <v>191</v>
      </c>
      <c r="D9" s="66" t="n">
        <v>388</v>
      </c>
      <c r="E9" s="66" t="n">
        <v>335</v>
      </c>
      <c r="F9" s="77" t="n">
        <f aca="false">IF(E9="","",D9-E9)</f>
        <v>53</v>
      </c>
      <c r="G9" s="66" t="n">
        <v>726</v>
      </c>
      <c r="H9" s="66" t="n">
        <v>766</v>
      </c>
      <c r="I9" s="77" t="n">
        <f aca="false">IF(H9="","",G9-H9)</f>
        <v>-40</v>
      </c>
      <c r="J9" s="47" t="n">
        <f aca="false">IF(OR(D9="",D9+G9=0),"",D9/(D9+G9))</f>
        <v>0.348294434470377</v>
      </c>
      <c r="K9" s="47" t="n">
        <f aca="false">IF(E9="","",E9/(E9+H9))</f>
        <v>0.304268846503179</v>
      </c>
      <c r="L9" s="78" t="n">
        <f aca="false">IF(OR(K9="",J9=""),"",(J9-K9)*100)</f>
        <v>4.40255879671981</v>
      </c>
      <c r="M9" s="36" t="n">
        <v>2.60296228516591</v>
      </c>
      <c r="N9" s="36" t="n">
        <v>0.322127322494862</v>
      </c>
      <c r="O9" s="36" t="n">
        <f aca="false">SQRT(M9^2+N9^2)</f>
        <v>2.62281884046418</v>
      </c>
      <c r="P9" s="47" t="n">
        <f aca="false">IF(J9="","",MAX(0,J9-1.96*O9/100))</f>
        <v>0.296887185197279</v>
      </c>
      <c r="Q9" s="47" t="n">
        <f aca="false">IF(J9="","",MIN(1,J9+1.96*O9/100))</f>
        <v>0.399701683743475</v>
      </c>
      <c r="R9" s="32" t="str">
        <f aca="false">IF(L9="","",IF(ABS(L9)&lt;=O9,"Yes","No"))</f>
        <v>No</v>
      </c>
      <c r="S9" s="32" t="str">
        <f aca="false">IF(L9="","",IF(ABS(L9)&lt;=1.96*O9,"Yes","No"))</f>
        <v>Yes</v>
      </c>
      <c r="T9" s="66" t="n">
        <f aca="false">IF(D9="","",ROUND(SQRT(((D9+G9)*O9/100)^2+(J9*(D9+G9)*0.07717)^2),0))</f>
        <v>42</v>
      </c>
      <c r="U9" s="32" t="s">
        <v>468</v>
      </c>
    </row>
    <row r="10" customFormat="false" ht="15" hidden="false" customHeight="false" outlineLevel="0" collapsed="false">
      <c r="A10" s="32" t="s">
        <v>189</v>
      </c>
      <c r="B10" s="32" t="s">
        <v>203</v>
      </c>
      <c r="C10" s="32" t="s">
        <v>191</v>
      </c>
      <c r="D10" s="66" t="n">
        <v>675</v>
      </c>
      <c r="E10" s="66" t="n">
        <v>614</v>
      </c>
      <c r="F10" s="77" t="n">
        <f aca="false">IF(E10="","",D10-E10)</f>
        <v>61</v>
      </c>
      <c r="G10" s="66" t="n">
        <v>833</v>
      </c>
      <c r="H10" s="66" t="n">
        <v>846</v>
      </c>
      <c r="I10" s="77" t="n">
        <f aca="false">IF(H10="","",G10-H10)</f>
        <v>-13</v>
      </c>
      <c r="J10" s="47" t="n">
        <f aca="false">IF(OR(D10="",D10+G10=0),"",D10/(D10+G10))</f>
        <v>0.447612732095491</v>
      </c>
      <c r="K10" s="47" t="n">
        <f aca="false">IF(E10="","",E10/(E10+H10))</f>
        <v>0.420547945205479</v>
      </c>
      <c r="L10" s="78" t="n">
        <f aca="false">IF(OR(K10="",J10=""),"",(J10-K10)*100)</f>
        <v>2.70647868900113</v>
      </c>
      <c r="M10" s="36" t="n">
        <v>2.60296228516591</v>
      </c>
      <c r="N10" s="36" t="n">
        <v>0.322127322494862</v>
      </c>
      <c r="O10" s="36" t="n">
        <f aca="false">SQRT(M10^2+N10^2)</f>
        <v>2.62281884046418</v>
      </c>
      <c r="P10" s="47" t="n">
        <f aca="false">IF(J10="","",MAX(0,J10-1.96*O10/100))</f>
        <v>0.396205482822393</v>
      </c>
      <c r="Q10" s="47" t="n">
        <f aca="false">IF(J10="","",MIN(1,J10+1.96*O10/100))</f>
        <v>0.499019981368589</v>
      </c>
      <c r="R10" s="32" t="str">
        <f aca="false">IF(L10="","",IF(ABS(L10)&lt;=O10,"Yes","No"))</f>
        <v>No</v>
      </c>
      <c r="S10" s="32" t="str">
        <f aca="false">IF(L10="","",IF(ABS(L10)&lt;=1.96*O10,"Yes","No"))</f>
        <v>Yes</v>
      </c>
      <c r="T10" s="66" t="n">
        <f aca="false">IF(D10="","",ROUND(SQRT(((D10+G10)*O10/100)^2+(J10*(D10+G10)*0.07717)^2),0))</f>
        <v>65</v>
      </c>
      <c r="U10" s="32" t="s">
        <v>468</v>
      </c>
    </row>
    <row r="11" customFormat="false" ht="15" hidden="false" customHeight="false" outlineLevel="0" collapsed="false">
      <c r="A11" s="32" t="s">
        <v>189</v>
      </c>
      <c r="B11" s="32" t="s">
        <v>204</v>
      </c>
      <c r="C11" s="32" t="s">
        <v>191</v>
      </c>
      <c r="D11" s="66" t="n">
        <v>44</v>
      </c>
      <c r="E11" s="66" t="n">
        <v>42</v>
      </c>
      <c r="F11" s="77" t="n">
        <f aca="false">IF(E11="","",D11-E11)</f>
        <v>2</v>
      </c>
      <c r="G11" s="66" t="n">
        <v>103</v>
      </c>
      <c r="H11" s="66" t="n">
        <v>99</v>
      </c>
      <c r="I11" s="77" t="n">
        <f aca="false">IF(H11="","",G11-H11)</f>
        <v>4</v>
      </c>
      <c r="J11" s="47" t="n">
        <f aca="false">IF(OR(D11="",D11+G11=0),"",D11/(D11+G11))</f>
        <v>0.299319727891156</v>
      </c>
      <c r="K11" s="47" t="n">
        <f aca="false">IF(E11="","",E11/(E11+H11))</f>
        <v>0.297872340425532</v>
      </c>
      <c r="L11" s="78" t="n">
        <f aca="false">IF(OR(K11="",J11=""),"",(J11-K11)*100)</f>
        <v>0.144738746562456</v>
      </c>
      <c r="M11" s="36" t="n">
        <v>2.60296228516591</v>
      </c>
      <c r="N11" s="36" t="n">
        <v>0.322127322494862</v>
      </c>
      <c r="O11" s="36" t="n">
        <f aca="false">SQRT(M11^2+N11^2)</f>
        <v>2.62281884046418</v>
      </c>
      <c r="P11" s="47" t="n">
        <f aca="false">IF(J11="","",MAX(0,J11-1.96*O11/100))</f>
        <v>0.247912478618059</v>
      </c>
      <c r="Q11" s="47" t="n">
        <f aca="false">IF(J11="","",MIN(1,J11+1.96*O11/100))</f>
        <v>0.350726977164254</v>
      </c>
      <c r="R11" s="32" t="str">
        <f aca="false">IF(L11="","",IF(ABS(L11)&lt;=O11,"Yes","No"))</f>
        <v>Yes</v>
      </c>
      <c r="S11" s="32" t="str">
        <f aca="false">IF(L11="","",IF(ABS(L11)&lt;=1.96*O11,"Yes","No"))</f>
        <v>Yes</v>
      </c>
      <c r="T11" s="66" t="n">
        <f aca="false">IF(D11="","",ROUND(SQRT(((D11+G11)*O11/100)^2+(J11*(D11+G11)*0.07717)^2),0))</f>
        <v>5</v>
      </c>
      <c r="U11" s="32" t="s">
        <v>468</v>
      </c>
    </row>
    <row r="12" customFormat="false" ht="15" hidden="false" customHeight="false" outlineLevel="0" collapsed="false">
      <c r="A12" s="32" t="s">
        <v>189</v>
      </c>
      <c r="B12" s="32" t="s">
        <v>205</v>
      </c>
      <c r="C12" s="32" t="s">
        <v>191</v>
      </c>
      <c r="D12" s="66" t="n">
        <v>57</v>
      </c>
      <c r="E12" s="66" t="n">
        <v>51</v>
      </c>
      <c r="F12" s="77" t="n">
        <f aca="false">IF(E12="","",D12-E12)</f>
        <v>6</v>
      </c>
      <c r="G12" s="66" t="n">
        <v>227</v>
      </c>
      <c r="H12" s="66" t="n">
        <v>223</v>
      </c>
      <c r="I12" s="77" t="n">
        <f aca="false">IF(H12="","",G12-H12)</f>
        <v>4</v>
      </c>
      <c r="J12" s="47" t="n">
        <f aca="false">IF(OR(D12="",D12+G12=0),"",D12/(D12+G12))</f>
        <v>0.200704225352113</v>
      </c>
      <c r="K12" s="47" t="n">
        <f aca="false">IF(E12="","",E12/(E12+H12))</f>
        <v>0.186131386861314</v>
      </c>
      <c r="L12" s="78" t="n">
        <f aca="false">IF(OR(K12="",J12=""),"",(J12-K12)*100)</f>
        <v>1.45728384907988</v>
      </c>
      <c r="M12" s="36" t="n">
        <v>2.60296228516591</v>
      </c>
      <c r="N12" s="36" t="n">
        <v>0.322127322494862</v>
      </c>
      <c r="O12" s="36" t="n">
        <f aca="false">SQRT(M12^2+N12^2)</f>
        <v>2.62281884046418</v>
      </c>
      <c r="P12" s="47" t="n">
        <f aca="false">IF(J12="","",MAX(0,J12-1.96*O12/100))</f>
        <v>0.149296976079015</v>
      </c>
      <c r="Q12" s="47" t="n">
        <f aca="false">IF(J12="","",MIN(1,J12+1.96*O12/100))</f>
        <v>0.252111474625211</v>
      </c>
      <c r="R12" s="32" t="str">
        <f aca="false">IF(L12="","",IF(ABS(L12)&lt;=O12,"Yes","No"))</f>
        <v>Yes</v>
      </c>
      <c r="S12" s="32" t="str">
        <f aca="false">IF(L12="","",IF(ABS(L12)&lt;=1.96*O12,"Yes","No"))</f>
        <v>Yes</v>
      </c>
      <c r="T12" s="66" t="n">
        <f aca="false">IF(D12="","",ROUND(SQRT(((D12+G12)*O12/100)^2+(J12*(D12+G12)*0.07717)^2),0))</f>
        <v>9</v>
      </c>
      <c r="U12" s="32" t="s">
        <v>468</v>
      </c>
    </row>
    <row r="13" customFormat="false" ht="15" hidden="false" customHeight="false" outlineLevel="0" collapsed="false">
      <c r="A13" s="32" t="s">
        <v>189</v>
      </c>
      <c r="B13" s="32" t="s">
        <v>206</v>
      </c>
      <c r="C13" s="32" t="s">
        <v>191</v>
      </c>
      <c r="D13" s="66" t="n">
        <v>1049</v>
      </c>
      <c r="E13" s="66" t="n">
        <v>841</v>
      </c>
      <c r="F13" s="77" t="n">
        <f aca="false">IF(E13="","",D13-E13)</f>
        <v>208</v>
      </c>
      <c r="G13" s="66" t="n">
        <v>1367</v>
      </c>
      <c r="H13" s="66" t="n">
        <v>1410</v>
      </c>
      <c r="I13" s="77" t="n">
        <f aca="false">IF(H13="","",G13-H13)</f>
        <v>-43</v>
      </c>
      <c r="J13" s="47" t="n">
        <f aca="false">IF(OR(D13="",D13+G13=0),"",D13/(D13+G13))</f>
        <v>0.434188741721854</v>
      </c>
      <c r="K13" s="47" t="n">
        <f aca="false">IF(E13="","",E13/(E13+H13))</f>
        <v>0.373611728120835</v>
      </c>
      <c r="L13" s="78" t="n">
        <f aca="false">IF(OR(K13="",J13=""),"",(J13-K13)*100)</f>
        <v>6.05770136010191</v>
      </c>
      <c r="M13" s="36" t="n">
        <v>1.44715751761421</v>
      </c>
      <c r="N13" s="36" t="n">
        <v>0.322127322494862</v>
      </c>
      <c r="O13" s="36" t="n">
        <f aca="false">SQRT(M13^2+N13^2)</f>
        <v>1.48257576288196</v>
      </c>
      <c r="P13" s="47" t="n">
        <f aca="false">IF(J13="","",MAX(0,J13-1.96*O13/100))</f>
        <v>0.405130256769368</v>
      </c>
      <c r="Q13" s="47" t="n">
        <f aca="false">IF(J13="","",MIN(1,J13+1.96*O13/100))</f>
        <v>0.463247226674341</v>
      </c>
      <c r="R13" s="32" t="str">
        <f aca="false">IF(L13="","",IF(ABS(L13)&lt;=O13,"Yes","No"))</f>
        <v>No</v>
      </c>
      <c r="S13" s="32" t="str">
        <f aca="false">IF(L13="","",IF(ABS(L13)&lt;=1.96*O13,"Yes","No"))</f>
        <v>No</v>
      </c>
      <c r="T13" s="66" t="n">
        <f aca="false">IF(D13="","",ROUND(SQRT(((D13+G13)*O13/100)^2+(J13*(D13+G13)*0.05992)^2),0))</f>
        <v>72</v>
      </c>
      <c r="U13" s="32" t="s">
        <v>468</v>
      </c>
    </row>
    <row r="14" customFormat="false" ht="15" hidden="false" customHeight="false" outlineLevel="0" collapsed="false">
      <c r="A14" s="32" t="s">
        <v>189</v>
      </c>
      <c r="B14" s="32" t="s">
        <v>207</v>
      </c>
      <c r="C14" s="32" t="s">
        <v>191</v>
      </c>
      <c r="D14" s="66" t="n">
        <v>560</v>
      </c>
      <c r="E14" s="66" t="n">
        <v>489</v>
      </c>
      <c r="F14" s="77" t="n">
        <f aca="false">IF(E14="","",D14-E14)</f>
        <v>71</v>
      </c>
      <c r="G14" s="66" t="n">
        <v>1218</v>
      </c>
      <c r="H14" s="66" t="n">
        <v>1164</v>
      </c>
      <c r="I14" s="77" t="n">
        <f aca="false">IF(H14="","",G14-H14)</f>
        <v>54</v>
      </c>
      <c r="J14" s="47" t="n">
        <f aca="false">IF(OR(D14="",D14+G14=0),"",D14/(D14+G14))</f>
        <v>0.31496062992126</v>
      </c>
      <c r="K14" s="47" t="n">
        <f aca="false">IF(E14="","",E14/(E14+H14))</f>
        <v>0.295825771324864</v>
      </c>
      <c r="L14" s="78" t="n">
        <f aca="false">IF(OR(K14="",J14=""),"",(J14-K14)*100)</f>
        <v>1.9134858596396</v>
      </c>
      <c r="M14" s="36" t="n">
        <v>1.44715751761421</v>
      </c>
      <c r="N14" s="36" t="n">
        <v>0.322127322494862</v>
      </c>
      <c r="O14" s="36" t="n">
        <f aca="false">SQRT(M14^2+N14^2)</f>
        <v>1.48257576288196</v>
      </c>
      <c r="P14" s="47" t="n">
        <f aca="false">IF(J14="","",MAX(0,J14-1.96*O14/100))</f>
        <v>0.285902144968773</v>
      </c>
      <c r="Q14" s="47" t="n">
        <f aca="false">IF(J14="","",MIN(1,J14+1.96*O14/100))</f>
        <v>0.344019114873746</v>
      </c>
      <c r="R14" s="32" t="str">
        <f aca="false">IF(L14="","",IF(ABS(L14)&lt;=O14,"Yes","No"))</f>
        <v>No</v>
      </c>
      <c r="S14" s="32" t="str">
        <f aca="false">IF(L14="","",IF(ABS(L14)&lt;=1.96*O14,"Yes","No"))</f>
        <v>Yes</v>
      </c>
      <c r="T14" s="66" t="n">
        <f aca="false">IF(D14="","",ROUND(SQRT(((D14+G14)*O14/100)^2+(J14*(D14+G14)*0.05992)^2),0))</f>
        <v>43</v>
      </c>
      <c r="U14" s="32" t="s">
        <v>468</v>
      </c>
    </row>
    <row r="15" customFormat="false" ht="15" hidden="false" customHeight="false" outlineLevel="0" collapsed="false">
      <c r="A15" s="32" t="s">
        <v>189</v>
      </c>
      <c r="B15" s="32" t="s">
        <v>208</v>
      </c>
      <c r="C15" s="32" t="s">
        <v>191</v>
      </c>
      <c r="D15" s="66" t="n">
        <v>705</v>
      </c>
      <c r="E15" s="66" t="n">
        <v>563</v>
      </c>
      <c r="F15" s="77" t="n">
        <f aca="false">IF(E15="","",D15-E15)</f>
        <v>142</v>
      </c>
      <c r="G15" s="66" t="n">
        <v>1611</v>
      </c>
      <c r="H15" s="66" t="n">
        <v>1559</v>
      </c>
      <c r="I15" s="77" t="n">
        <f aca="false">IF(H15="","",G15-H15)</f>
        <v>52</v>
      </c>
      <c r="J15" s="47" t="n">
        <f aca="false">IF(OR(D15="",D15+G15=0),"",D15/(D15+G15))</f>
        <v>0.30440414507772</v>
      </c>
      <c r="K15" s="47" t="n">
        <f aca="false">IF(E15="","",E15/(E15+H15))</f>
        <v>0.265315739868049</v>
      </c>
      <c r="L15" s="78" t="n">
        <f aca="false">IF(OR(K15="",J15=""),"",(J15-K15)*100)</f>
        <v>3.90884052096712</v>
      </c>
      <c r="M15" s="36" t="n">
        <v>1.44715751761421</v>
      </c>
      <c r="N15" s="36" t="n">
        <v>0.322127322494862</v>
      </c>
      <c r="O15" s="36" t="n">
        <f aca="false">SQRT(M15^2+N15^2)</f>
        <v>1.48257576288196</v>
      </c>
      <c r="P15" s="47" t="n">
        <f aca="false">IF(J15="","",MAX(0,J15-1.96*O15/100))</f>
        <v>0.275345660125234</v>
      </c>
      <c r="Q15" s="47" t="n">
        <f aca="false">IF(J15="","",MIN(1,J15+1.96*O15/100))</f>
        <v>0.333462630030207</v>
      </c>
      <c r="R15" s="32" t="str">
        <f aca="false">IF(L15="","",IF(ABS(L15)&lt;=O15,"Yes","No"))</f>
        <v>No</v>
      </c>
      <c r="S15" s="32" t="str">
        <f aca="false">IF(L15="","",IF(ABS(L15)&lt;=1.96*O15,"Yes","No"))</f>
        <v>No</v>
      </c>
      <c r="T15" s="66" t="n">
        <f aca="false">IF(D15="","",ROUND(SQRT(((D15+G15)*O15/100)^2+(J15*(D15+G15)*0.05992)^2),0))</f>
        <v>54</v>
      </c>
      <c r="U15" s="32" t="s">
        <v>468</v>
      </c>
    </row>
    <row r="16" customFormat="false" ht="15" hidden="false" customHeight="false" outlineLevel="0" collapsed="false">
      <c r="A16" s="32" t="s">
        <v>189</v>
      </c>
      <c r="B16" s="32" t="s">
        <v>209</v>
      </c>
      <c r="C16" s="32" t="s">
        <v>191</v>
      </c>
      <c r="D16" s="66" t="n">
        <v>711</v>
      </c>
      <c r="E16" s="66" t="n">
        <v>574</v>
      </c>
      <c r="F16" s="77" t="n">
        <f aca="false">IF(E16="","",D16-E16)</f>
        <v>137</v>
      </c>
      <c r="G16" s="66" t="n">
        <v>932</v>
      </c>
      <c r="H16" s="66" t="n">
        <v>963</v>
      </c>
      <c r="I16" s="77" t="n">
        <f aca="false">IF(H16="","",G16-H16)</f>
        <v>-31</v>
      </c>
      <c r="J16" s="47" t="n">
        <f aca="false">IF(OR(D16="",D16+G16=0),"",D16/(D16+G16))</f>
        <v>0.432744978697505</v>
      </c>
      <c r="K16" s="47" t="n">
        <f aca="false">IF(E16="","",E16/(E16+H16))</f>
        <v>0.373454782042941</v>
      </c>
      <c r="L16" s="78" t="n">
        <f aca="false">IF(OR(K16="",J16=""),"",(J16-K16)*100)</f>
        <v>5.92901966545638</v>
      </c>
      <c r="M16" s="36" t="n">
        <v>1.44715751761421</v>
      </c>
      <c r="N16" s="36" t="n">
        <v>0.322127322494862</v>
      </c>
      <c r="O16" s="36" t="n">
        <f aca="false">SQRT(M16^2+N16^2)</f>
        <v>1.48257576288196</v>
      </c>
      <c r="P16" s="47" t="n">
        <f aca="false">IF(J16="","",MAX(0,J16-1.96*O16/100))</f>
        <v>0.403686493745018</v>
      </c>
      <c r="Q16" s="47" t="n">
        <f aca="false">IF(J16="","",MIN(1,J16+1.96*O16/100))</f>
        <v>0.461803463649991</v>
      </c>
      <c r="R16" s="32" t="str">
        <f aca="false">IF(L16="","",IF(ABS(L16)&lt;=O16,"Yes","No"))</f>
        <v>No</v>
      </c>
      <c r="S16" s="32" t="str">
        <f aca="false">IF(L16="","",IF(ABS(L16)&lt;=1.96*O16,"Yes","No"))</f>
        <v>No</v>
      </c>
      <c r="T16" s="66" t="n">
        <f aca="false">IF(D16="","",ROUND(SQRT(((D16+G16)*O16/100)^2+(J16*(D16+G16)*0.05992)^2),0))</f>
        <v>49</v>
      </c>
      <c r="U16" s="32" t="s">
        <v>468</v>
      </c>
    </row>
    <row r="17" customFormat="false" ht="15" hidden="false" customHeight="false" outlineLevel="0" collapsed="false">
      <c r="A17" s="32" t="s">
        <v>189</v>
      </c>
      <c r="B17" s="32" t="s">
        <v>210</v>
      </c>
      <c r="C17" s="32" t="s">
        <v>191</v>
      </c>
      <c r="D17" s="66" t="n">
        <v>137</v>
      </c>
      <c r="E17" s="66" t="n">
        <v>109</v>
      </c>
      <c r="F17" s="77" t="n">
        <f aca="false">IF(E17="","",D17-E17)</f>
        <v>28</v>
      </c>
      <c r="G17" s="66" t="n">
        <v>551</v>
      </c>
      <c r="H17" s="66" t="n">
        <v>531</v>
      </c>
      <c r="I17" s="77" t="n">
        <f aca="false">IF(H17="","",G17-H17)</f>
        <v>20</v>
      </c>
      <c r="J17" s="47" t="n">
        <f aca="false">IF(OR(D17="",D17+G17=0),"",D17/(D17+G17))</f>
        <v>0.199127906976744</v>
      </c>
      <c r="K17" s="47" t="n">
        <f aca="false">IF(E17="","",E17/(E17+H17))</f>
        <v>0.1703125</v>
      </c>
      <c r="L17" s="78" t="n">
        <f aca="false">IF(OR(K17="",J17=""),"",(J17-K17)*100)</f>
        <v>2.88154069767442</v>
      </c>
      <c r="M17" s="36" t="n">
        <v>2.60296228516591</v>
      </c>
      <c r="N17" s="36" t="n">
        <v>0.322127322494862</v>
      </c>
      <c r="O17" s="36" t="n">
        <f aca="false">SQRT(M17^2+N17^2)</f>
        <v>2.62281884046418</v>
      </c>
      <c r="P17" s="47" t="n">
        <f aca="false">IF(J17="","",MAX(0,J17-1.96*O17/100))</f>
        <v>0.147720657703646</v>
      </c>
      <c r="Q17" s="47" t="n">
        <f aca="false">IF(J17="","",MIN(1,J17+1.96*O17/100))</f>
        <v>0.250535156249842</v>
      </c>
      <c r="R17" s="32" t="str">
        <f aca="false">IF(L17="","",IF(ABS(L17)&lt;=O17,"Yes","No"))</f>
        <v>No</v>
      </c>
      <c r="S17" s="32" t="str">
        <f aca="false">IF(L17="","",IF(ABS(L17)&lt;=1.96*O17,"Yes","No"))</f>
        <v>Yes</v>
      </c>
      <c r="T17" s="66" t="n">
        <f aca="false">IF(D17="","",ROUND(SQRT(((D17+G17)*O17/100)^2+(J17*(D17+G17)*0.07717)^2),0))</f>
        <v>21</v>
      </c>
      <c r="U17" s="32" t="s">
        <v>468</v>
      </c>
    </row>
    <row r="18" customFormat="false" ht="15" hidden="false" customHeight="false" outlineLevel="0" collapsed="false">
      <c r="A18" s="32" t="s">
        <v>189</v>
      </c>
      <c r="B18" s="32" t="s">
        <v>211</v>
      </c>
      <c r="C18" s="32" t="s">
        <v>191</v>
      </c>
      <c r="D18" s="66" t="n">
        <v>1062</v>
      </c>
      <c r="E18" s="66" t="n">
        <v>863</v>
      </c>
      <c r="F18" s="77" t="n">
        <f aca="false">IF(E18="","",D18-E18)</f>
        <v>199</v>
      </c>
      <c r="G18" s="66" t="n">
        <v>1636</v>
      </c>
      <c r="H18" s="66" t="n">
        <v>1676</v>
      </c>
      <c r="I18" s="77" t="n">
        <f aca="false">IF(H18="","",G18-H18)</f>
        <v>-40</v>
      </c>
      <c r="J18" s="47" t="n">
        <f aca="false">IF(OR(D18="",D18+G18=0),"",D18/(D18+G18))</f>
        <v>0.39362490733877</v>
      </c>
      <c r="K18" s="47" t="n">
        <f aca="false">IF(E18="","",E18/(E18+H18))</f>
        <v>0.339897597479323</v>
      </c>
      <c r="L18" s="78" t="n">
        <f aca="false">IF(OR(K18="",J18=""),"",(J18-K18)*100)</f>
        <v>5.37273098594469</v>
      </c>
      <c r="M18" s="36" t="n">
        <v>1.44715751761421</v>
      </c>
      <c r="N18" s="36" t="n">
        <v>0.322127322494862</v>
      </c>
      <c r="O18" s="36" t="n">
        <f aca="false">SQRT(M18^2+N18^2)</f>
        <v>1.48257576288196</v>
      </c>
      <c r="P18" s="47" t="n">
        <f aca="false">IF(J18="","",MAX(0,J18-1.96*O18/100))</f>
        <v>0.364566422386283</v>
      </c>
      <c r="Q18" s="47" t="n">
        <f aca="false">IF(J18="","",MIN(1,J18+1.96*O18/100))</f>
        <v>0.422683392291256</v>
      </c>
      <c r="R18" s="32" t="str">
        <f aca="false">IF(L18="","",IF(ABS(L18)&lt;=O18,"Yes","No"))</f>
        <v>No</v>
      </c>
      <c r="S18" s="32" t="str">
        <f aca="false">IF(L18="","",IF(ABS(L18)&lt;=1.96*O18,"Yes","No"))</f>
        <v>No</v>
      </c>
      <c r="T18" s="66" t="n">
        <f aca="false">IF(D18="","",ROUND(SQRT(((D18+G18)*O18/100)^2+(J18*(D18+G18)*0.05992)^2),0))</f>
        <v>75</v>
      </c>
      <c r="U18" s="32" t="s">
        <v>468</v>
      </c>
    </row>
    <row r="19" customFormat="false" ht="15" hidden="false" customHeight="false" outlineLevel="0" collapsed="false">
      <c r="A19" s="32" t="s">
        <v>189</v>
      </c>
      <c r="B19" s="32" t="s">
        <v>212</v>
      </c>
      <c r="C19" s="32" t="s">
        <v>191</v>
      </c>
      <c r="D19" s="66" t="n">
        <v>77</v>
      </c>
      <c r="E19" s="66" t="n">
        <v>52</v>
      </c>
      <c r="F19" s="77" t="n">
        <f aca="false">IF(E19="","",D19-E19)</f>
        <v>25</v>
      </c>
      <c r="G19" s="66" t="n">
        <v>164</v>
      </c>
      <c r="H19" s="66" t="n">
        <v>167</v>
      </c>
      <c r="I19" s="77" t="n">
        <f aca="false">IF(H19="","",G19-H19)</f>
        <v>-3</v>
      </c>
      <c r="J19" s="47" t="n">
        <f aca="false">IF(OR(D19="",D19+G19=0),"",D19/(D19+G19))</f>
        <v>0.319502074688797</v>
      </c>
      <c r="K19" s="47" t="n">
        <f aca="false">IF(E19="","",E19/(E19+H19))</f>
        <v>0.237442922374429</v>
      </c>
      <c r="L19" s="78" t="n">
        <f aca="false">IF(OR(K19="",J19=""),"",(J19-K19)*100)</f>
        <v>8.20591523143675</v>
      </c>
      <c r="M19" s="36" t="n">
        <v>2.60296228516591</v>
      </c>
      <c r="N19" s="36" t="n">
        <v>0.322127322494862</v>
      </c>
      <c r="O19" s="36" t="n">
        <f aca="false">SQRT(M19^2+N19^2)</f>
        <v>2.62281884046418</v>
      </c>
      <c r="P19" s="47" t="n">
        <f aca="false">IF(J19="","",MAX(0,J19-1.96*O19/100))</f>
        <v>0.268094825415699</v>
      </c>
      <c r="Q19" s="47" t="n">
        <f aca="false">IF(J19="","",MIN(1,J19+1.96*O19/100))</f>
        <v>0.370909323961895</v>
      </c>
      <c r="R19" s="32" t="str">
        <f aca="false">IF(L19="","",IF(ABS(L19)&lt;=O19,"Yes","No"))</f>
        <v>No</v>
      </c>
      <c r="S19" s="32" t="str">
        <f aca="false">IF(L19="","",IF(ABS(L19)&lt;=1.96*O19,"Yes","No"))</f>
        <v>No</v>
      </c>
      <c r="T19" s="66" t="n">
        <f aca="false">IF(D19="","",ROUND(SQRT(((D19+G19)*O19/100)^2+(J19*(D19+G19)*0.07717)^2),0))</f>
        <v>9</v>
      </c>
      <c r="U19" s="32" t="s">
        <v>468</v>
      </c>
    </row>
    <row r="20" customFormat="false" ht="15" hidden="false" customHeight="false" outlineLevel="0" collapsed="false">
      <c r="A20" s="32" t="s">
        <v>189</v>
      </c>
      <c r="B20" s="32" t="s">
        <v>213</v>
      </c>
      <c r="C20" s="32" t="s">
        <v>191</v>
      </c>
      <c r="D20" s="66" t="n">
        <v>2320</v>
      </c>
      <c r="E20" s="66" t="n">
        <v>1997</v>
      </c>
      <c r="F20" s="77" t="n">
        <f aca="false">IF(E20="","",D20-E20)</f>
        <v>323</v>
      </c>
      <c r="G20" s="66" t="n">
        <v>3691</v>
      </c>
      <c r="H20" s="66" t="n">
        <v>3474</v>
      </c>
      <c r="I20" s="77" t="n">
        <f aca="false">IF(H20="","",G20-H20)</f>
        <v>217</v>
      </c>
      <c r="J20" s="47" t="n">
        <f aca="false">IF(OR(D20="",D20+G20=0),"",D20/(D20+G20))</f>
        <v>0.385959075029113</v>
      </c>
      <c r="K20" s="47" t="n">
        <f aca="false">IF(E20="","",E20/(E20+H20))</f>
        <v>0.365015536464997</v>
      </c>
      <c r="L20" s="78" t="n">
        <f aca="false">IF(OR(K20="",J20=""),"",(J20-K20)*100)</f>
        <v>2.09435385641161</v>
      </c>
      <c r="M20" s="36" t="n">
        <v>1.45633855732547</v>
      </c>
      <c r="N20" s="36" t="n">
        <v>0.322127322494862</v>
      </c>
      <c r="O20" s="36" t="n">
        <f aca="false">SQRT(M20^2+N20^2)</f>
        <v>1.49153880454064</v>
      </c>
      <c r="P20" s="47" t="n">
        <f aca="false">IF(J20="","",MAX(0,J20-1.96*O20/100))</f>
        <v>0.356724914460117</v>
      </c>
      <c r="Q20" s="47" t="n">
        <f aca="false">IF(J20="","",MIN(1,J20+1.96*O20/100))</f>
        <v>0.41519323559811</v>
      </c>
      <c r="R20" s="32" t="str">
        <f aca="false">IF(L20="","",IF(ABS(L20)&lt;=O20,"Yes","No"))</f>
        <v>No</v>
      </c>
      <c r="S20" s="32" t="str">
        <f aca="false">IF(L20="","",IF(ABS(L20)&lt;=1.96*O20,"Yes","No"))</f>
        <v>Yes</v>
      </c>
      <c r="T20" s="66" t="n">
        <f aca="false">IF(D20="","",ROUND(SQRT(((D20+G20)*O20/100)^2+(J20*(D20+G20)*0.05437)^2),0))</f>
        <v>155</v>
      </c>
      <c r="U20" s="32" t="s">
        <v>468</v>
      </c>
    </row>
    <row r="21" customFormat="false" ht="15" hidden="false" customHeight="false" outlineLevel="0" collapsed="false">
      <c r="A21" s="32" t="s">
        <v>189</v>
      </c>
      <c r="B21" s="32" t="s">
        <v>215</v>
      </c>
      <c r="C21" s="32" t="s">
        <v>191</v>
      </c>
      <c r="D21" s="66" t="n">
        <v>716</v>
      </c>
      <c r="E21" s="66" t="n">
        <v>620</v>
      </c>
      <c r="F21" s="77" t="n">
        <f aca="false">IF(E21="","",D21-E21)</f>
        <v>96</v>
      </c>
      <c r="G21" s="66" t="n">
        <v>856</v>
      </c>
      <c r="H21" s="66" t="n">
        <v>917</v>
      </c>
      <c r="I21" s="77" t="n">
        <f aca="false">IF(H21="","",G21-H21)</f>
        <v>-61</v>
      </c>
      <c r="J21" s="47" t="n">
        <f aca="false">IF(OR(D21="",D21+G21=0),"",D21/(D21+G21))</f>
        <v>0.455470737913486</v>
      </c>
      <c r="K21" s="47" t="n">
        <f aca="false">IF(E21="","",E21/(E21+H21))</f>
        <v>0.403383214053351</v>
      </c>
      <c r="L21" s="78" t="n">
        <f aca="false">IF(OR(K21="",J21=""),"",(J21-K21)*100)</f>
        <v>5.20875238601353</v>
      </c>
      <c r="M21" s="36" t="n">
        <v>1.44715751761421</v>
      </c>
      <c r="N21" s="36" t="n">
        <v>0.322127322494862</v>
      </c>
      <c r="O21" s="36" t="n">
        <f aca="false">SQRT(M21^2+N21^2)</f>
        <v>1.48257576288196</v>
      </c>
      <c r="P21" s="47" t="n">
        <f aca="false">IF(J21="","",MAX(0,J21-1.96*O21/100))</f>
        <v>0.426412252961</v>
      </c>
      <c r="Q21" s="47" t="n">
        <f aca="false">IF(J21="","",MIN(1,J21+1.96*O21/100))</f>
        <v>0.484529222865972</v>
      </c>
      <c r="R21" s="32" t="str">
        <f aca="false">IF(L21="","",IF(ABS(L21)&lt;=O21,"Yes","No"))</f>
        <v>No</v>
      </c>
      <c r="S21" s="32" t="str">
        <f aca="false">IF(L21="","",IF(ABS(L21)&lt;=1.96*O21,"Yes","No"))</f>
        <v>No</v>
      </c>
      <c r="T21" s="66" t="n">
        <f aca="false">IF(D21="","",ROUND(SQRT(((D21+G21)*O21/100)^2+(J21*(D21+G21)*0.05992)^2),0))</f>
        <v>49</v>
      </c>
      <c r="U21" s="32" t="s">
        <v>468</v>
      </c>
    </row>
    <row r="22" customFormat="false" ht="15" hidden="false" customHeight="false" outlineLevel="0" collapsed="false">
      <c r="A22" s="32" t="s">
        <v>189</v>
      </c>
      <c r="B22" s="32" t="s">
        <v>216</v>
      </c>
      <c r="C22" s="32" t="s">
        <v>191</v>
      </c>
      <c r="D22" s="66" t="n">
        <v>836</v>
      </c>
      <c r="E22" s="66" t="n">
        <v>723</v>
      </c>
      <c r="F22" s="77" t="n">
        <f aca="false">IF(E22="","",D22-E22)</f>
        <v>113</v>
      </c>
      <c r="G22" s="66" t="n">
        <v>1890</v>
      </c>
      <c r="H22" s="66" t="n">
        <v>1892</v>
      </c>
      <c r="I22" s="77" t="n">
        <f aca="false">IF(H22="","",G22-H22)</f>
        <v>-2</v>
      </c>
      <c r="J22" s="47" t="n">
        <f aca="false">IF(OR(D22="",D22+G22=0),"",D22/(D22+G22))</f>
        <v>0.306676449009538</v>
      </c>
      <c r="K22" s="47" t="n">
        <f aca="false">IF(E22="","",E22/(E22+H22))</f>
        <v>0.276481835564054</v>
      </c>
      <c r="L22" s="78" t="n">
        <f aca="false">IF(OR(K22="",J22=""),"",(J22-K22)*100)</f>
        <v>3.01946134454842</v>
      </c>
      <c r="M22" s="36" t="n">
        <v>1.44715751761421</v>
      </c>
      <c r="N22" s="36" t="n">
        <v>0.322127322494862</v>
      </c>
      <c r="O22" s="36" t="n">
        <f aca="false">SQRT(M22^2+N22^2)</f>
        <v>1.48257576288196</v>
      </c>
      <c r="P22" s="47" t="n">
        <f aca="false">IF(J22="","",MAX(0,J22-1.96*O22/100))</f>
        <v>0.277617964057051</v>
      </c>
      <c r="Q22" s="47" t="n">
        <f aca="false">IF(J22="","",MIN(1,J22+1.96*O22/100))</f>
        <v>0.335734933962024</v>
      </c>
      <c r="R22" s="32" t="str">
        <f aca="false">IF(L22="","",IF(ABS(L22)&lt;=O22,"Yes","No"))</f>
        <v>No</v>
      </c>
      <c r="S22" s="32" t="str">
        <f aca="false">IF(L22="","",IF(ABS(L22)&lt;=1.96*O22,"Yes","No"))</f>
        <v>No</v>
      </c>
      <c r="T22" s="66" t="n">
        <f aca="false">IF(D22="","",ROUND(SQRT(((D22+G22)*O22/100)^2+(J22*(D22+G22)*0.05992)^2),0))</f>
        <v>64</v>
      </c>
      <c r="U22" s="32" t="s">
        <v>468</v>
      </c>
    </row>
    <row r="23" customFormat="false" ht="15" hidden="false" customHeight="false" outlineLevel="0" collapsed="false">
      <c r="A23" s="32" t="s">
        <v>189</v>
      </c>
      <c r="B23" s="32" t="s">
        <v>217</v>
      </c>
      <c r="C23" s="32" t="s">
        <v>191</v>
      </c>
      <c r="D23" s="66" t="n">
        <v>382</v>
      </c>
      <c r="E23" s="66" t="n">
        <v>323</v>
      </c>
      <c r="F23" s="77" t="n">
        <f aca="false">IF(E23="","",D23-E23)</f>
        <v>59</v>
      </c>
      <c r="G23" s="66" t="n">
        <v>851</v>
      </c>
      <c r="H23" s="66" t="n">
        <v>898</v>
      </c>
      <c r="I23" s="77" t="n">
        <f aca="false">IF(H23="","",G23-H23)</f>
        <v>-47</v>
      </c>
      <c r="J23" s="47" t="n">
        <f aca="false">IF(OR(D23="",D23+G23=0),"",D23/(D23+G23))</f>
        <v>0.309813463098135</v>
      </c>
      <c r="K23" s="47" t="n">
        <f aca="false">IF(E23="","",E23/(E23+H23))</f>
        <v>0.264537264537265</v>
      </c>
      <c r="L23" s="78" t="n">
        <f aca="false">IF(OR(K23="",J23=""),"",(J23-K23)*100)</f>
        <v>4.52761985608701</v>
      </c>
      <c r="M23" s="36" t="n">
        <v>2.60296228516591</v>
      </c>
      <c r="N23" s="36" t="n">
        <v>0.322127322494862</v>
      </c>
      <c r="O23" s="36" t="n">
        <f aca="false">SQRT(M23^2+N23^2)</f>
        <v>2.62281884046418</v>
      </c>
      <c r="P23" s="47" t="n">
        <f aca="false">IF(J23="","",MAX(0,J23-1.96*O23/100))</f>
        <v>0.258406213825037</v>
      </c>
      <c r="Q23" s="47" t="n">
        <f aca="false">IF(J23="","",MIN(1,J23+1.96*O23/100))</f>
        <v>0.361220712371233</v>
      </c>
      <c r="R23" s="32" t="str">
        <f aca="false">IF(L23="","",IF(ABS(L23)&lt;=O23,"Yes","No"))</f>
        <v>No</v>
      </c>
      <c r="S23" s="32" t="str">
        <f aca="false">IF(L23="","",IF(ABS(L23)&lt;=1.96*O23,"Yes","No"))</f>
        <v>Yes</v>
      </c>
      <c r="T23" s="66" t="n">
        <f aca="false">IF(D23="","",ROUND(SQRT(((D23+G23)*O23/100)^2+(J23*(D23+G23)*0.07717)^2),0))</f>
        <v>44</v>
      </c>
      <c r="U23" s="32" t="s">
        <v>468</v>
      </c>
    </row>
    <row r="24" customFormat="false" ht="15" hidden="false" customHeight="false" outlineLevel="0" collapsed="false">
      <c r="A24" s="32" t="s">
        <v>189</v>
      </c>
      <c r="B24" s="32" t="s">
        <v>218</v>
      </c>
      <c r="C24" s="32" t="s">
        <v>191</v>
      </c>
      <c r="D24" s="66" t="n">
        <v>75</v>
      </c>
      <c r="E24" s="66" t="n">
        <v>62</v>
      </c>
      <c r="F24" s="77" t="n">
        <f aca="false">IF(E24="","",D24-E24)</f>
        <v>13</v>
      </c>
      <c r="G24" s="66" t="n">
        <v>99</v>
      </c>
      <c r="H24" s="66" t="n">
        <v>91</v>
      </c>
      <c r="I24" s="77" t="n">
        <f aca="false">IF(H24="","",G24-H24)</f>
        <v>8</v>
      </c>
      <c r="J24" s="47" t="n">
        <f aca="false">IF(OR(D24="",D24+G24=0),"",D24/(D24+G24))</f>
        <v>0.431034482758621</v>
      </c>
      <c r="K24" s="47" t="n">
        <f aca="false">IF(E24="","",E24/(E24+H24))</f>
        <v>0.405228758169935</v>
      </c>
      <c r="L24" s="78" t="n">
        <f aca="false">IF(OR(K24="",J24=""),"",(J24-K24)*100)</f>
        <v>2.5805724588686</v>
      </c>
      <c r="M24" s="36" t="n">
        <v>2.60296228516591</v>
      </c>
      <c r="N24" s="36" t="n">
        <v>0.322127322494862</v>
      </c>
      <c r="O24" s="36" t="n">
        <f aca="false">SQRT(M24^2+N24^2)</f>
        <v>2.62281884046418</v>
      </c>
      <c r="P24" s="47" t="n">
        <f aca="false">IF(J24="","",MAX(0,J24-1.96*O24/100))</f>
        <v>0.379627233485523</v>
      </c>
      <c r="Q24" s="47" t="n">
        <f aca="false">IF(J24="","",MIN(1,J24+1.96*O24/100))</f>
        <v>0.482441732031719</v>
      </c>
      <c r="R24" s="32" t="str">
        <f aca="false">IF(L24="","",IF(ABS(L24)&lt;=O24,"Yes","No"))</f>
        <v>Yes</v>
      </c>
      <c r="S24" s="32" t="str">
        <f aca="false">IF(L24="","",IF(ABS(L24)&lt;=1.96*O24,"Yes","No"))</f>
        <v>Yes</v>
      </c>
      <c r="T24" s="66" t="n">
        <f aca="false">IF(D24="","",ROUND(SQRT(((D24+G24)*O24/100)^2+(J24*(D24+G24)*0.07717)^2),0))</f>
        <v>7</v>
      </c>
      <c r="U24" s="32" t="s">
        <v>468</v>
      </c>
    </row>
    <row r="25" customFormat="false" ht="15" hidden="false" customHeight="false" outlineLevel="0" collapsed="false">
      <c r="A25" s="32" t="s">
        <v>219</v>
      </c>
      <c r="B25" s="32" t="s">
        <v>220</v>
      </c>
      <c r="C25" s="32" t="s">
        <v>191</v>
      </c>
      <c r="D25" s="66" t="n">
        <v>658</v>
      </c>
      <c r="E25" s="66" t="n">
        <v>644</v>
      </c>
      <c r="F25" s="77" t="n">
        <f aca="false">IF(E25="","",D25-E25)</f>
        <v>14</v>
      </c>
      <c r="G25" s="66" t="n">
        <v>675</v>
      </c>
      <c r="H25" s="66" t="n">
        <v>735</v>
      </c>
      <c r="I25" s="77" t="n">
        <f aca="false">IF(H25="","",G25-H25)</f>
        <v>-60</v>
      </c>
      <c r="J25" s="47" t="n">
        <f aca="false">IF(OR(D25="",D25+G25=0),"",D25/(D25+G25))</f>
        <v>0.493623405851463</v>
      </c>
      <c r="K25" s="47" t="n">
        <f aca="false">IF(E25="","",E25/(E25+H25))</f>
        <v>0.467005076142132</v>
      </c>
      <c r="L25" s="78" t="n">
        <f aca="false">IF(OR(K25="",J25=""),"",(J25-K25)*100)</f>
        <v>2.66183297093309</v>
      </c>
      <c r="M25" s="36" t="n">
        <v>2.60296228516591</v>
      </c>
      <c r="N25" s="36" t="n">
        <v>0.322127322494862</v>
      </c>
      <c r="O25" s="36" t="n">
        <f aca="false">SQRT(M25^2+N25^2)</f>
        <v>2.62281884046418</v>
      </c>
      <c r="P25" s="47" t="n">
        <f aca="false">IF(J25="","",MAX(0,J25-1.96*O25/100))</f>
        <v>0.442216156578365</v>
      </c>
      <c r="Q25" s="47" t="n">
        <f aca="false">IF(J25="","",MIN(1,J25+1.96*O25/100))</f>
        <v>0.545030655124561</v>
      </c>
      <c r="R25" s="32" t="str">
        <f aca="false">IF(L25="","",IF(ABS(L25)&lt;=O25,"Yes","No"))</f>
        <v>No</v>
      </c>
      <c r="S25" s="32" t="str">
        <f aca="false">IF(L25="","",IF(ABS(L25)&lt;=1.96*O25,"Yes","No"))</f>
        <v>Yes</v>
      </c>
      <c r="T25" s="66" t="n">
        <f aca="false">IF(D25="","",ROUND(SQRT(((D25+G25)*O25/100)^2+(J25*(D25+G25)*0.07717)^2),0))</f>
        <v>62</v>
      </c>
      <c r="U25" s="32"/>
    </row>
    <row r="26" customFormat="false" ht="15" hidden="false" customHeight="false" outlineLevel="0" collapsed="false">
      <c r="A26" s="32" t="s">
        <v>219</v>
      </c>
      <c r="B26" s="32" t="s">
        <v>221</v>
      </c>
      <c r="C26" s="32" t="s">
        <v>191</v>
      </c>
      <c r="D26" s="66" t="n">
        <v>27727</v>
      </c>
      <c r="E26" s="66" t="n">
        <v>27952</v>
      </c>
      <c r="F26" s="77" t="n">
        <f aca="false">IF(E26="","",D26-E26)</f>
        <v>-225</v>
      </c>
      <c r="G26" s="66" t="n">
        <v>12639</v>
      </c>
      <c r="H26" s="66" t="n">
        <v>12938</v>
      </c>
      <c r="I26" s="77" t="n">
        <f aca="false">IF(H26="","",G26-H26)</f>
        <v>-299</v>
      </c>
      <c r="J26" s="47" t="n">
        <f aca="false">IF(OR(D26="",D26+G26=0),"",D26/(D26+G26))</f>
        <v>0.686889956894416</v>
      </c>
      <c r="K26" s="47" t="n">
        <f aca="false">IF(E26="","",E26/(E26+H26))</f>
        <v>0.6835901198337</v>
      </c>
      <c r="L26" s="78" t="n">
        <f aca="false">IF(OR(K26="",J26=""),"",(J26-K26)*100)</f>
        <v>0.32998370607159</v>
      </c>
      <c r="M26" s="36" t="n">
        <v>1.45633855732547</v>
      </c>
      <c r="N26" s="36" t="n">
        <v>0.322127322494862</v>
      </c>
      <c r="O26" s="36" t="n">
        <f aca="false">SQRT(M26^2+N26^2)</f>
        <v>1.49153880454064</v>
      </c>
      <c r="P26" s="47" t="n">
        <f aca="false">IF(J26="","",MAX(0,J26-1.96*O26/100))</f>
        <v>0.65765579632542</v>
      </c>
      <c r="Q26" s="47" t="n">
        <f aca="false">IF(J26="","",MIN(1,J26+1.96*O26/100))</f>
        <v>0.716124117463413</v>
      </c>
      <c r="R26" s="32" t="str">
        <f aca="false">IF(L26="","",IF(ABS(L26)&lt;=O26,"Yes","No"))</f>
        <v>Yes</v>
      </c>
      <c r="S26" s="32" t="str">
        <f aca="false">IF(L26="","",IF(ABS(L26)&lt;=1.96*O26,"Yes","No"))</f>
        <v>Yes</v>
      </c>
      <c r="T26" s="66" t="n">
        <f aca="false">IF(D26="","",ROUND(SQRT(((D26+G26)*O26/100)^2+(J26*(D26+G26)*0.05437)^2),0))</f>
        <v>1623</v>
      </c>
      <c r="U26" s="32"/>
    </row>
    <row r="27" customFormat="false" ht="15" hidden="false" customHeight="false" outlineLevel="0" collapsed="false">
      <c r="A27" s="32" t="s">
        <v>219</v>
      </c>
      <c r="B27" s="32" t="s">
        <v>222</v>
      </c>
      <c r="C27" s="32" t="s">
        <v>191</v>
      </c>
      <c r="D27" s="66" t="n">
        <v>6601</v>
      </c>
      <c r="E27" s="66" t="n">
        <v>6475</v>
      </c>
      <c r="F27" s="77" t="n">
        <f aca="false">IF(E27="","",D27-E27)</f>
        <v>126</v>
      </c>
      <c r="G27" s="66" t="n">
        <v>3471</v>
      </c>
      <c r="H27" s="66" t="n">
        <v>3784</v>
      </c>
      <c r="I27" s="77" t="n">
        <f aca="false">IF(H27="","",G27-H27)</f>
        <v>-313</v>
      </c>
      <c r="J27" s="47" t="n">
        <f aca="false">IF(OR(D27="",D27+G27=0),"",D27/(D27+G27))</f>
        <v>0.655381254964257</v>
      </c>
      <c r="K27" s="47" t="n">
        <f aca="false">IF(E27="","",E27/(E27+H27))</f>
        <v>0.631153133833707</v>
      </c>
      <c r="L27" s="78" t="n">
        <f aca="false">IF(OR(K27="",J27=""),"",(J27-K27)*100)</f>
        <v>2.42281211305504</v>
      </c>
      <c r="M27" s="36" t="n">
        <v>1.45633855732547</v>
      </c>
      <c r="N27" s="36" t="n">
        <v>0.322127322494862</v>
      </c>
      <c r="O27" s="36" t="n">
        <f aca="false">SQRT(M27^2+N27^2)</f>
        <v>1.49153880454064</v>
      </c>
      <c r="P27" s="47" t="n">
        <f aca="false">IF(J27="","",MAX(0,J27-1.96*O27/100))</f>
        <v>0.626147094395261</v>
      </c>
      <c r="Q27" s="47" t="n">
        <f aca="false">IF(J27="","",MIN(1,J27+1.96*O27/100))</f>
        <v>0.684615415533254</v>
      </c>
      <c r="R27" s="32" t="str">
        <f aca="false">IF(L27="","",IF(ABS(L27)&lt;=O27,"Yes","No"))</f>
        <v>No</v>
      </c>
      <c r="S27" s="32" t="str">
        <f aca="false">IF(L27="","",IF(ABS(L27)&lt;=1.96*O27,"Yes","No"))</f>
        <v>Yes</v>
      </c>
      <c r="T27" s="66" t="n">
        <f aca="false">IF(D27="","",ROUND(SQRT(((D27+G27)*O27/100)^2+(J27*(D27+G27)*0.05437)^2),0))</f>
        <v>389</v>
      </c>
      <c r="U27" s="32"/>
    </row>
    <row r="28" customFormat="false" ht="15" hidden="false" customHeight="false" outlineLevel="0" collapsed="false">
      <c r="A28" s="32" t="s">
        <v>219</v>
      </c>
      <c r="B28" s="32" t="s">
        <v>223</v>
      </c>
      <c r="C28" s="32" t="s">
        <v>191</v>
      </c>
      <c r="D28" s="66" t="n">
        <v>1665</v>
      </c>
      <c r="E28" s="66" t="n">
        <v>1582</v>
      </c>
      <c r="F28" s="77" t="n">
        <f aca="false">IF(E28="","",D28-E28)</f>
        <v>83</v>
      </c>
      <c r="G28" s="66" t="n">
        <v>1378</v>
      </c>
      <c r="H28" s="66" t="n">
        <v>1496</v>
      </c>
      <c r="I28" s="77" t="n">
        <f aca="false">IF(H28="","",G28-H28)</f>
        <v>-118</v>
      </c>
      <c r="J28" s="47" t="n">
        <f aca="false">IF(OR(D28="",D28+G28=0),"",D28/(D28+G28))</f>
        <v>0.547157410450214</v>
      </c>
      <c r="K28" s="47" t="n">
        <f aca="false">IF(E28="","",E28/(E28+H28))</f>
        <v>0.513970110461339</v>
      </c>
      <c r="L28" s="78" t="n">
        <f aca="false">IF(OR(K28="",J28=""),"",(J28-K28)*100)</f>
        <v>3.3187299988875</v>
      </c>
      <c r="M28" s="36" t="n">
        <v>1.44715751761421</v>
      </c>
      <c r="N28" s="36" t="n">
        <v>0.322127322494862</v>
      </c>
      <c r="O28" s="36" t="n">
        <f aca="false">SQRT(M28^2+N28^2)</f>
        <v>1.48257576288196</v>
      </c>
      <c r="P28" s="47" t="n">
        <f aca="false">IF(J28="","",MAX(0,J28-1.96*O28/100))</f>
        <v>0.518098925497727</v>
      </c>
      <c r="Q28" s="47" t="n">
        <f aca="false">IF(J28="","",MIN(1,J28+1.96*O28/100))</f>
        <v>0.5762158954027</v>
      </c>
      <c r="R28" s="32" t="str">
        <f aca="false">IF(L28="","",IF(ABS(L28)&lt;=O28,"Yes","No"))</f>
        <v>No</v>
      </c>
      <c r="S28" s="32" t="str">
        <f aca="false">IF(L28="","",IF(ABS(L28)&lt;=1.96*O28,"Yes","No"))</f>
        <v>No</v>
      </c>
      <c r="T28" s="66" t="n">
        <f aca="false">IF(D28="","",ROUND(SQRT(((D28+G28)*O28/100)^2+(J28*(D28+G28)*0.05992)^2),0))</f>
        <v>109</v>
      </c>
      <c r="U28" s="32"/>
    </row>
    <row r="29" customFormat="false" ht="15" hidden="false" customHeight="false" outlineLevel="0" collapsed="false">
      <c r="A29" s="32" t="s">
        <v>219</v>
      </c>
      <c r="B29" s="32" t="s">
        <v>224</v>
      </c>
      <c r="C29" s="32" t="s">
        <v>191</v>
      </c>
      <c r="D29" s="66" t="n">
        <v>747</v>
      </c>
      <c r="E29" s="66" t="n">
        <v>704</v>
      </c>
      <c r="F29" s="77" t="n">
        <f aca="false">IF(E29="","",D29-E29)</f>
        <v>43</v>
      </c>
      <c r="G29" s="66" t="n">
        <v>718</v>
      </c>
      <c r="H29" s="66" t="n">
        <v>791</v>
      </c>
      <c r="I29" s="77" t="n">
        <f aca="false">IF(H29="","",G29-H29)</f>
        <v>-73</v>
      </c>
      <c r="J29" s="47" t="n">
        <f aca="false">IF(OR(D29="",D29+G29=0),"",D29/(D29+G29))</f>
        <v>0.509897610921502</v>
      </c>
      <c r="K29" s="47" t="n">
        <f aca="false">IF(E29="","",E29/(E29+H29))</f>
        <v>0.470903010033445</v>
      </c>
      <c r="L29" s="78" t="n">
        <f aca="false">IF(OR(K29="",J29=""),"",(J29-K29)*100)</f>
        <v>3.89946008880568</v>
      </c>
      <c r="M29" s="36" t="n">
        <v>2.60296228516591</v>
      </c>
      <c r="N29" s="36" t="n">
        <v>0.322127322494862</v>
      </c>
      <c r="O29" s="36" t="n">
        <f aca="false">SQRT(M29^2+N29^2)</f>
        <v>2.62281884046418</v>
      </c>
      <c r="P29" s="47" t="n">
        <f aca="false">IF(J29="","",MAX(0,J29-1.96*O29/100))</f>
        <v>0.458490361648404</v>
      </c>
      <c r="Q29" s="47" t="n">
        <f aca="false">IF(J29="","",MIN(1,J29+1.96*O29/100))</f>
        <v>0.5613048601946</v>
      </c>
      <c r="R29" s="32" t="str">
        <f aca="false">IF(L29="","",IF(ABS(L29)&lt;=O29,"Yes","No"))</f>
        <v>No</v>
      </c>
      <c r="S29" s="32" t="str">
        <f aca="false">IF(L29="","",IF(ABS(L29)&lt;=1.96*O29,"Yes","No"))</f>
        <v>Yes</v>
      </c>
      <c r="T29" s="66" t="n">
        <f aca="false">IF(D29="","",ROUND(SQRT(((D29+G29)*O29/100)^2+(J29*(D29+G29)*0.07717)^2),0))</f>
        <v>69</v>
      </c>
      <c r="U29" s="32"/>
    </row>
    <row r="30" customFormat="false" ht="15" hidden="false" customHeight="false" outlineLevel="0" collapsed="false">
      <c r="A30" s="32" t="s">
        <v>219</v>
      </c>
      <c r="B30" s="32" t="s">
        <v>225</v>
      </c>
      <c r="C30" s="32" t="s">
        <v>191</v>
      </c>
      <c r="D30" s="66" t="n">
        <v>916</v>
      </c>
      <c r="E30" s="66" t="n">
        <v>878</v>
      </c>
      <c r="F30" s="77" t="n">
        <f aca="false">IF(E30="","",D30-E30)</f>
        <v>38</v>
      </c>
      <c r="G30" s="66" t="n">
        <v>794</v>
      </c>
      <c r="H30" s="66" t="n">
        <v>870</v>
      </c>
      <c r="I30" s="77" t="n">
        <f aca="false">IF(H30="","",G30-H30)</f>
        <v>-76</v>
      </c>
      <c r="J30" s="47" t="n">
        <f aca="false">IF(OR(D30="",D30+G30=0),"",D30/(D30+G30))</f>
        <v>0.535672514619883</v>
      </c>
      <c r="K30" s="47" t="n">
        <f aca="false">IF(E30="","",E30/(E30+H30))</f>
        <v>0.502288329519451</v>
      </c>
      <c r="L30" s="78" t="n">
        <f aca="false">IF(OR(K30="",J30=""),"",(J30-K30)*100)</f>
        <v>3.33841851004323</v>
      </c>
      <c r="M30" s="36" t="n">
        <v>1.44715751761421</v>
      </c>
      <c r="N30" s="36" t="n">
        <v>0.322127322494862</v>
      </c>
      <c r="O30" s="36" t="n">
        <f aca="false">SQRT(M30^2+N30^2)</f>
        <v>1.48257576288196</v>
      </c>
      <c r="P30" s="47" t="n">
        <f aca="false">IF(J30="","",MAX(0,J30-1.96*O30/100))</f>
        <v>0.506614029667397</v>
      </c>
      <c r="Q30" s="47" t="n">
        <f aca="false">IF(J30="","",MIN(1,J30+1.96*O30/100))</f>
        <v>0.56473099957237</v>
      </c>
      <c r="R30" s="32" t="str">
        <f aca="false">IF(L30="","",IF(ABS(L30)&lt;=O30,"Yes","No"))</f>
        <v>No</v>
      </c>
      <c r="S30" s="32" t="str">
        <f aca="false">IF(L30="","",IF(ABS(L30)&lt;=1.96*O30,"Yes","No"))</f>
        <v>No</v>
      </c>
      <c r="T30" s="66" t="n">
        <f aca="false">IF(D30="","",ROUND(SQRT(((D30+G30)*O30/100)^2+(J30*(D30+G30)*0.05992)^2),0))</f>
        <v>60</v>
      </c>
      <c r="U30" s="32"/>
    </row>
    <row r="31" customFormat="false" ht="15" hidden="false" customHeight="false" outlineLevel="0" collapsed="false">
      <c r="A31" s="32" t="s">
        <v>219</v>
      </c>
      <c r="B31" s="32" t="s">
        <v>226</v>
      </c>
      <c r="C31" s="32" t="s">
        <v>191</v>
      </c>
      <c r="D31" s="66" t="n">
        <v>3506</v>
      </c>
      <c r="E31" s="66" t="n">
        <v>3393</v>
      </c>
      <c r="F31" s="77" t="n">
        <f aca="false">IF(E31="","",D31-E31)</f>
        <v>113</v>
      </c>
      <c r="G31" s="66" t="n">
        <v>3003</v>
      </c>
      <c r="H31" s="66" t="n">
        <v>3078</v>
      </c>
      <c r="I31" s="77" t="n">
        <f aca="false">IF(H31="","",G31-H31)</f>
        <v>-75</v>
      </c>
      <c r="J31" s="47" t="n">
        <f aca="false">IF(OR(D31="",D31+G31=0),"",D31/(D31+G31))</f>
        <v>0.538638807804578</v>
      </c>
      <c r="K31" s="47" t="n">
        <f aca="false">IF(E31="","",E31/(E31+H31))</f>
        <v>0.524339360222531</v>
      </c>
      <c r="L31" s="78" t="n">
        <f aca="false">IF(OR(K31="",J31=""),"",(J31-K31)*100)</f>
        <v>1.4299447582047</v>
      </c>
      <c r="M31" s="36" t="n">
        <v>1.45633855732547</v>
      </c>
      <c r="N31" s="36" t="n">
        <v>0.322127322494862</v>
      </c>
      <c r="O31" s="36" t="n">
        <f aca="false">SQRT(M31^2+N31^2)</f>
        <v>1.49153880454064</v>
      </c>
      <c r="P31" s="47" t="n">
        <f aca="false">IF(J31="","",MAX(0,J31-1.96*O31/100))</f>
        <v>0.509404647235582</v>
      </c>
      <c r="Q31" s="47" t="n">
        <f aca="false">IF(J31="","",MIN(1,J31+1.96*O31/100))</f>
        <v>0.567872968373575</v>
      </c>
      <c r="R31" s="32" t="str">
        <f aca="false">IF(L31="","",IF(ABS(L31)&lt;=O31,"Yes","No"))</f>
        <v>Yes</v>
      </c>
      <c r="S31" s="32" t="str">
        <f aca="false">IF(L31="","",IF(ABS(L31)&lt;=1.96*O31,"Yes","No"))</f>
        <v>Yes</v>
      </c>
      <c r="T31" s="66" t="n">
        <f aca="false">IF(D31="","",ROUND(SQRT(((D31+G31)*O31/100)^2+(J31*(D31+G31)*0.05437)^2),0))</f>
        <v>214</v>
      </c>
      <c r="U31" s="32"/>
    </row>
    <row r="32" customFormat="false" ht="15" hidden="false" customHeight="false" outlineLevel="0" collapsed="false">
      <c r="A32" s="32" t="s">
        <v>219</v>
      </c>
      <c r="B32" s="32" t="s">
        <v>227</v>
      </c>
      <c r="C32" s="32" t="s">
        <v>191</v>
      </c>
      <c r="D32" s="66" t="n">
        <v>1451</v>
      </c>
      <c r="E32" s="66" t="n">
        <v>1481</v>
      </c>
      <c r="F32" s="77" t="n">
        <f aca="false">IF(E32="","",D32-E32)</f>
        <v>-30</v>
      </c>
      <c r="G32" s="66" t="n">
        <v>658</v>
      </c>
      <c r="H32" s="66" t="n">
        <v>737</v>
      </c>
      <c r="I32" s="77" t="n">
        <f aca="false">IF(H32="","",G32-H32)</f>
        <v>-79</v>
      </c>
      <c r="J32" s="47" t="n">
        <f aca="false">IF(OR(D32="",D32+G32=0),"",D32/(D32+G32))</f>
        <v>0.688003793266951</v>
      </c>
      <c r="K32" s="47" t="n">
        <f aca="false">IF(E32="","",E32/(E32+H32))</f>
        <v>0.667718665464382</v>
      </c>
      <c r="L32" s="78" t="n">
        <f aca="false">IF(OR(K32="",J32=""),"",(J32-K32)*100)</f>
        <v>2.02851278025689</v>
      </c>
      <c r="M32" s="36" t="n">
        <v>1.44715751761421</v>
      </c>
      <c r="N32" s="36" t="n">
        <v>0.322127322494862</v>
      </c>
      <c r="O32" s="36" t="n">
        <f aca="false">SQRT(M32^2+N32^2)</f>
        <v>1.48257576288196</v>
      </c>
      <c r="P32" s="47" t="n">
        <f aca="false">IF(J32="","",MAX(0,J32-1.96*O32/100))</f>
        <v>0.658945308314465</v>
      </c>
      <c r="Q32" s="47" t="n">
        <f aca="false">IF(J32="","",MIN(1,J32+1.96*O32/100))</f>
        <v>0.717062278219438</v>
      </c>
      <c r="R32" s="32" t="str">
        <f aca="false">IF(L32="","",IF(ABS(L32)&lt;=O32,"Yes","No"))</f>
        <v>No</v>
      </c>
      <c r="S32" s="32" t="str">
        <f aca="false">IF(L32="","",IF(ABS(L32)&lt;=1.96*O32,"Yes","No"))</f>
        <v>Yes</v>
      </c>
      <c r="T32" s="66" t="n">
        <f aca="false">IF(D32="","",ROUND(SQRT(((D32+G32)*O32/100)^2+(J32*(D32+G32)*0.05992)^2),0))</f>
        <v>92</v>
      </c>
      <c r="U32" s="32"/>
    </row>
    <row r="33" customFormat="false" ht="15" hidden="false" customHeight="false" outlineLevel="0" collapsed="false">
      <c r="A33" s="32" t="s">
        <v>219</v>
      </c>
      <c r="B33" s="32" t="s">
        <v>228</v>
      </c>
      <c r="C33" s="32" t="s">
        <v>191</v>
      </c>
      <c r="D33" s="66" t="n">
        <v>385</v>
      </c>
      <c r="E33" s="66" t="n">
        <v>405</v>
      </c>
      <c r="F33" s="77" t="n">
        <f aca="false">IF(E33="","",D33-E33)</f>
        <v>-20</v>
      </c>
      <c r="G33" s="66" t="n">
        <v>295</v>
      </c>
      <c r="H33" s="66" t="n">
        <v>304</v>
      </c>
      <c r="I33" s="77" t="n">
        <f aca="false">IF(H33="","",G33-H33)</f>
        <v>-9</v>
      </c>
      <c r="J33" s="47" t="n">
        <f aca="false">IF(OR(D33="",D33+G33=0),"",D33/(D33+G33))</f>
        <v>0.566176470588235</v>
      </c>
      <c r="K33" s="47" t="n">
        <f aca="false">IF(E33="","",E33/(E33+H33))</f>
        <v>0.571227080394922</v>
      </c>
      <c r="L33" s="78" t="n">
        <f aca="false">IF(OR(K33="",J33=""),"",(J33-K33)*100)</f>
        <v>-0.505060980668715</v>
      </c>
      <c r="M33" s="36" t="n">
        <v>2.60296228516591</v>
      </c>
      <c r="N33" s="36" t="n">
        <v>0.322127322494862</v>
      </c>
      <c r="O33" s="36" t="n">
        <f aca="false">SQRT(M33^2+N33^2)</f>
        <v>2.62281884046418</v>
      </c>
      <c r="P33" s="47" t="n">
        <f aca="false">IF(J33="","",MAX(0,J33-1.96*O33/100))</f>
        <v>0.514769221315137</v>
      </c>
      <c r="Q33" s="47" t="n">
        <f aca="false">IF(J33="","",MIN(1,J33+1.96*O33/100))</f>
        <v>0.617583719861333</v>
      </c>
      <c r="R33" s="32" t="str">
        <f aca="false">IF(L33="","",IF(ABS(L33)&lt;=O33,"Yes","No"))</f>
        <v>Yes</v>
      </c>
      <c r="S33" s="32" t="str">
        <f aca="false">IF(L33="","",IF(ABS(L33)&lt;=1.96*O33,"Yes","No"))</f>
        <v>Yes</v>
      </c>
      <c r="T33" s="66" t="n">
        <f aca="false">IF(D33="","",ROUND(SQRT(((D33+G33)*O33/100)^2+(J33*(D33+G33)*0.07717)^2),0))</f>
        <v>35</v>
      </c>
      <c r="U33" s="32"/>
    </row>
    <row r="34" customFormat="false" ht="15" hidden="false" customHeight="false" outlineLevel="0" collapsed="false">
      <c r="A34" s="32" t="s">
        <v>219</v>
      </c>
      <c r="B34" s="32" t="s">
        <v>229</v>
      </c>
      <c r="C34" s="32" t="s">
        <v>191</v>
      </c>
      <c r="D34" s="66" t="n">
        <v>669</v>
      </c>
      <c r="E34" s="66" t="n">
        <v>602</v>
      </c>
      <c r="F34" s="77" t="n">
        <f aca="false">IF(E34="","",D34-E34)</f>
        <v>67</v>
      </c>
      <c r="G34" s="66" t="n">
        <v>1309</v>
      </c>
      <c r="H34" s="66" t="n">
        <v>1339</v>
      </c>
      <c r="I34" s="77" t="n">
        <f aca="false">IF(H34="","",G34-H34)</f>
        <v>-30</v>
      </c>
      <c r="J34" s="47" t="n">
        <f aca="false">IF(OR(D34="",D34+G34=0),"",D34/(D34+G34))</f>
        <v>0.338220424671385</v>
      </c>
      <c r="K34" s="47" t="n">
        <f aca="false">IF(E34="","",E34/(E34+H34))</f>
        <v>0.310149407521896</v>
      </c>
      <c r="L34" s="78" t="n">
        <f aca="false">IF(OR(K34="",J34=""),"",(J34-K34)*100)</f>
        <v>2.80710171494893</v>
      </c>
      <c r="M34" s="36" t="n">
        <v>1.44715751761421</v>
      </c>
      <c r="N34" s="36" t="n">
        <v>0.322127322494862</v>
      </c>
      <c r="O34" s="36" t="n">
        <f aca="false">SQRT(M34^2+N34^2)</f>
        <v>1.48257576288196</v>
      </c>
      <c r="P34" s="47" t="n">
        <f aca="false">IF(J34="","",MAX(0,J34-1.96*O34/100))</f>
        <v>0.309161939718899</v>
      </c>
      <c r="Q34" s="47" t="n">
        <f aca="false">IF(J34="","",MIN(1,J34+1.96*O34/100))</f>
        <v>0.367278909623872</v>
      </c>
      <c r="R34" s="32" t="str">
        <f aca="false">IF(L34="","",IF(ABS(L34)&lt;=O34,"Yes","No"))</f>
        <v>No</v>
      </c>
      <c r="S34" s="32" t="str">
        <f aca="false">IF(L34="","",IF(ABS(L34)&lt;=1.96*O34,"Yes","No"))</f>
        <v>Yes</v>
      </c>
      <c r="T34" s="66" t="n">
        <f aca="false">IF(D34="","",ROUND(SQRT(((D34+G34)*O34/100)^2+(J34*(D34+G34)*0.05992)^2),0))</f>
        <v>50</v>
      </c>
      <c r="U34" s="32"/>
    </row>
    <row r="35" customFormat="false" ht="15" hidden="false" customHeight="false" outlineLevel="0" collapsed="false">
      <c r="A35" s="32" t="s">
        <v>219</v>
      </c>
      <c r="B35" s="32" t="s">
        <v>230</v>
      </c>
      <c r="C35" s="32" t="s">
        <v>191</v>
      </c>
      <c r="D35" s="66" t="n">
        <v>9922</v>
      </c>
      <c r="E35" s="66" t="n">
        <v>9782</v>
      </c>
      <c r="F35" s="77" t="n">
        <f aca="false">IF(E35="","",D35-E35)</f>
        <v>140</v>
      </c>
      <c r="G35" s="66" t="n">
        <v>9665</v>
      </c>
      <c r="H35" s="66" t="n">
        <v>10014</v>
      </c>
      <c r="I35" s="77" t="n">
        <f aca="false">IF(H35="","",G35-H35)</f>
        <v>-349</v>
      </c>
      <c r="J35" s="47" t="n">
        <f aca="false">IF(OR(D35="",D35+G35=0),"",D35/(D35+G35))</f>
        <v>0.506560473783632</v>
      </c>
      <c r="K35" s="47" t="n">
        <f aca="false">IF(E35="","",E35/(E35+H35))</f>
        <v>0.494140230349566</v>
      </c>
      <c r="L35" s="78" t="n">
        <f aca="false">IF(OR(K35="",J35=""),"",(J35-K35)*100)</f>
        <v>1.24202434340664</v>
      </c>
      <c r="M35" s="36" t="n">
        <v>1.45633855732547</v>
      </c>
      <c r="N35" s="36" t="n">
        <v>0.322127322494862</v>
      </c>
      <c r="O35" s="36" t="n">
        <f aca="false">SQRT(M35^2+N35^2)</f>
        <v>1.49153880454064</v>
      </c>
      <c r="P35" s="47" t="n">
        <f aca="false">IF(J35="","",MAX(0,J35-1.96*O35/100))</f>
        <v>0.477326313214635</v>
      </c>
      <c r="Q35" s="47" t="n">
        <f aca="false">IF(J35="","",MIN(1,J35+1.96*O35/100))</f>
        <v>0.535794634352629</v>
      </c>
      <c r="R35" s="32" t="str">
        <f aca="false">IF(L35="","",IF(ABS(L35)&lt;=O35,"Yes","No"))</f>
        <v>Yes</v>
      </c>
      <c r="S35" s="32" t="str">
        <f aca="false">IF(L35="","",IF(ABS(L35)&lt;=1.96*O35,"Yes","No"))</f>
        <v>Yes</v>
      </c>
      <c r="T35" s="66" t="n">
        <f aca="false">IF(D35="","",ROUND(SQRT(((D35+G35)*O35/100)^2+(J35*(D35+G35)*0.05437)^2),0))</f>
        <v>613</v>
      </c>
      <c r="U35" s="32"/>
    </row>
    <row r="36" customFormat="false" ht="15" hidden="false" customHeight="false" outlineLevel="0" collapsed="false">
      <c r="A36" s="32" t="s">
        <v>219</v>
      </c>
      <c r="B36" s="32" t="s">
        <v>231</v>
      </c>
      <c r="C36" s="32" t="s">
        <v>191</v>
      </c>
      <c r="D36" s="66" t="n">
        <v>965</v>
      </c>
      <c r="E36" s="66" t="n">
        <v>920</v>
      </c>
      <c r="F36" s="77" t="n">
        <f aca="false">IF(E36="","",D36-E36)</f>
        <v>45</v>
      </c>
      <c r="G36" s="66" t="n">
        <v>1522</v>
      </c>
      <c r="H36" s="66" t="n">
        <v>1596</v>
      </c>
      <c r="I36" s="77" t="n">
        <f aca="false">IF(H36="","",G36-H36)</f>
        <v>-74</v>
      </c>
      <c r="J36" s="47" t="n">
        <f aca="false">IF(OR(D36="",D36+G36=0),"",D36/(D36+G36))</f>
        <v>0.388017691998392</v>
      </c>
      <c r="K36" s="47" t="n">
        <f aca="false">IF(E36="","",E36/(E36+H36))</f>
        <v>0.365659777424483</v>
      </c>
      <c r="L36" s="78" t="n">
        <f aca="false">IF(OR(K36="",J36=""),"",(J36-K36)*100)</f>
        <v>2.23579145739083</v>
      </c>
      <c r="M36" s="36" t="n">
        <v>1.44715751761421</v>
      </c>
      <c r="N36" s="36" t="n">
        <v>0.322127322494862</v>
      </c>
      <c r="O36" s="36" t="n">
        <f aca="false">SQRT(M36^2+N36^2)</f>
        <v>1.48257576288196</v>
      </c>
      <c r="P36" s="47" t="n">
        <f aca="false">IF(J36="","",MAX(0,J36-1.96*O36/100))</f>
        <v>0.358959207045905</v>
      </c>
      <c r="Q36" s="47" t="n">
        <f aca="false">IF(J36="","",MIN(1,J36+1.96*O36/100))</f>
        <v>0.417076176950878</v>
      </c>
      <c r="R36" s="32" t="str">
        <f aca="false">IF(L36="","",IF(ABS(L36)&lt;=O36,"Yes","No"))</f>
        <v>No</v>
      </c>
      <c r="S36" s="32" t="str">
        <f aca="false">IF(L36="","",IF(ABS(L36)&lt;=1.96*O36,"Yes","No"))</f>
        <v>Yes</v>
      </c>
      <c r="T36" s="66" t="n">
        <f aca="false">IF(D36="","",ROUND(SQRT(((D36+G36)*O36/100)^2+(J36*(D36+G36)*0.05992)^2),0))</f>
        <v>69</v>
      </c>
      <c r="U36" s="32"/>
    </row>
    <row r="37" customFormat="false" ht="15" hidden="false" customHeight="false" outlineLevel="0" collapsed="false">
      <c r="A37" s="32" t="s">
        <v>219</v>
      </c>
      <c r="B37" s="32" t="s">
        <v>232</v>
      </c>
      <c r="C37" s="32" t="s">
        <v>191</v>
      </c>
      <c r="D37" s="66" t="n">
        <v>520</v>
      </c>
      <c r="E37" s="66" t="n">
        <v>533</v>
      </c>
      <c r="F37" s="77" t="n">
        <f aca="false">IF(E37="","",D37-E37)</f>
        <v>-13</v>
      </c>
      <c r="G37" s="66" t="n">
        <v>939</v>
      </c>
      <c r="H37" s="66" t="n">
        <v>955</v>
      </c>
      <c r="I37" s="77" t="n">
        <f aca="false">IF(H37="","",G37-H37)</f>
        <v>-16</v>
      </c>
      <c r="J37" s="47" t="n">
        <f aca="false">IF(OR(D37="",D37+G37=0),"",D37/(D37+G37))</f>
        <v>0.356408498971899</v>
      </c>
      <c r="K37" s="47" t="n">
        <f aca="false">IF(E37="","",E37/(E37+H37))</f>
        <v>0.358198924731183</v>
      </c>
      <c r="L37" s="78" t="n">
        <f aca="false">IF(OR(K37="",J37=""),"",(J37-K37)*100)</f>
        <v>-0.179042575928423</v>
      </c>
      <c r="M37" s="36" t="n">
        <v>2.60296228516591</v>
      </c>
      <c r="N37" s="36" t="n">
        <v>0.322127322494862</v>
      </c>
      <c r="O37" s="36" t="n">
        <f aca="false">SQRT(M37^2+N37^2)</f>
        <v>2.62281884046418</v>
      </c>
      <c r="P37" s="47" t="n">
        <f aca="false">IF(J37="","",MAX(0,J37-1.96*O37/100))</f>
        <v>0.305001249698801</v>
      </c>
      <c r="Q37" s="47" t="n">
        <f aca="false">IF(J37="","",MIN(1,J37+1.96*O37/100))</f>
        <v>0.407815748244996</v>
      </c>
      <c r="R37" s="32" t="str">
        <f aca="false">IF(L37="","",IF(ABS(L37)&lt;=O37,"Yes","No"))</f>
        <v>Yes</v>
      </c>
      <c r="S37" s="32" t="str">
        <f aca="false">IF(L37="","",IF(ABS(L37)&lt;=1.96*O37,"Yes","No"))</f>
        <v>Yes</v>
      </c>
      <c r="T37" s="66" t="n">
        <f aca="false">IF(D37="","",ROUND(SQRT(((D37+G37)*O37/100)^2+(J37*(D37+G37)*0.07717)^2),0))</f>
        <v>55</v>
      </c>
      <c r="U37" s="32"/>
    </row>
    <row r="38" customFormat="false" ht="15" hidden="false" customHeight="false" outlineLevel="0" collapsed="false">
      <c r="A38" s="32" t="s">
        <v>219</v>
      </c>
      <c r="B38" s="32" t="s">
        <v>233</v>
      </c>
      <c r="C38" s="32" t="s">
        <v>191</v>
      </c>
      <c r="D38" s="66" t="n">
        <v>878</v>
      </c>
      <c r="E38" s="66" t="n">
        <v>846</v>
      </c>
      <c r="F38" s="77" t="n">
        <f aca="false">IF(E38="","",D38-E38)</f>
        <v>32</v>
      </c>
      <c r="G38" s="66" t="n">
        <v>1758</v>
      </c>
      <c r="H38" s="66" t="n">
        <v>1783</v>
      </c>
      <c r="I38" s="77" t="n">
        <f aca="false">IF(H38="","",G38-H38)</f>
        <v>-25</v>
      </c>
      <c r="J38" s="47" t="n">
        <f aca="false">IF(OR(D38="",D38+G38=0),"",D38/(D38+G38))</f>
        <v>0.333080424886191</v>
      </c>
      <c r="K38" s="47" t="n">
        <f aca="false">IF(E38="","",E38/(E38+H38))</f>
        <v>0.321795359452263</v>
      </c>
      <c r="L38" s="78" t="n">
        <f aca="false">IF(OR(K38="",J38=""),"",(J38-K38)*100)</f>
        <v>1.1285065433928</v>
      </c>
      <c r="M38" s="36" t="n">
        <v>1.44715751761421</v>
      </c>
      <c r="N38" s="36" t="n">
        <v>0.322127322494862</v>
      </c>
      <c r="O38" s="36" t="n">
        <f aca="false">SQRT(M38^2+N38^2)</f>
        <v>1.48257576288196</v>
      </c>
      <c r="P38" s="47" t="n">
        <f aca="false">IF(J38="","",MAX(0,J38-1.96*O38/100))</f>
        <v>0.304021939933705</v>
      </c>
      <c r="Q38" s="47" t="n">
        <f aca="false">IF(J38="","",MIN(1,J38+1.96*O38/100))</f>
        <v>0.362138909838678</v>
      </c>
      <c r="R38" s="32" t="str">
        <f aca="false">IF(L38="","",IF(ABS(L38)&lt;=O38,"Yes","No"))</f>
        <v>Yes</v>
      </c>
      <c r="S38" s="32" t="str">
        <f aca="false">IF(L38="","",IF(ABS(L38)&lt;=1.96*O38,"Yes","No"))</f>
        <v>Yes</v>
      </c>
      <c r="T38" s="66" t="n">
        <f aca="false">IF(D38="","",ROUND(SQRT(((D38+G38)*O38/100)^2+(J38*(D38+G38)*0.05992)^2),0))</f>
        <v>66</v>
      </c>
      <c r="U38" s="32"/>
    </row>
    <row r="39" customFormat="false" ht="15" hidden="false" customHeight="false" outlineLevel="0" collapsed="false">
      <c r="A39" s="32" t="s">
        <v>219</v>
      </c>
      <c r="B39" s="32" t="s">
        <v>234</v>
      </c>
      <c r="C39" s="32" t="s">
        <v>191</v>
      </c>
      <c r="D39" s="66" t="n">
        <v>960</v>
      </c>
      <c r="E39" s="66" t="n">
        <v>997</v>
      </c>
      <c r="F39" s="77" t="n">
        <f aca="false">IF(E39="","",D39-E39)</f>
        <v>-37</v>
      </c>
      <c r="G39" s="66" t="n">
        <v>857</v>
      </c>
      <c r="H39" s="66" t="n">
        <v>860</v>
      </c>
      <c r="I39" s="77" t="n">
        <f aca="false">IF(H39="","",G39-H39)</f>
        <v>-3</v>
      </c>
      <c r="J39" s="47" t="n">
        <f aca="false">IF(OR(D39="",D39+G39=0),"",D39/(D39+G39))</f>
        <v>0.528343423225096</v>
      </c>
      <c r="K39" s="47" t="n">
        <f aca="false">IF(E39="","",E39/(E39+H39))</f>
        <v>0.536887452880991</v>
      </c>
      <c r="L39" s="78" t="n">
        <f aca="false">IF(OR(K39="",J39=""),"",(J39-K39)*100)</f>
        <v>-0.854402965589451</v>
      </c>
      <c r="M39" s="36" t="n">
        <v>1.44715751761421</v>
      </c>
      <c r="N39" s="36" t="n">
        <v>0.322127322494862</v>
      </c>
      <c r="O39" s="36" t="n">
        <f aca="false">SQRT(M39^2+N39^2)</f>
        <v>1.48257576288196</v>
      </c>
      <c r="P39" s="47" t="n">
        <f aca="false">IF(J39="","",MAX(0,J39-1.96*O39/100))</f>
        <v>0.49928493827261</v>
      </c>
      <c r="Q39" s="47" t="n">
        <f aca="false">IF(J39="","",MIN(1,J39+1.96*O39/100))</f>
        <v>0.557401908177583</v>
      </c>
      <c r="R39" s="32" t="str">
        <f aca="false">IF(L39="","",IF(ABS(L39)&lt;=O39,"Yes","No"))</f>
        <v>Yes</v>
      </c>
      <c r="S39" s="32" t="str">
        <f aca="false">IF(L39="","",IF(ABS(L39)&lt;=1.96*O39,"Yes","No"))</f>
        <v>Yes</v>
      </c>
      <c r="T39" s="66" t="n">
        <f aca="false">IF(D39="","",ROUND(SQRT(((D39+G39)*O39/100)^2+(J39*(D39+G39)*0.05992)^2),0))</f>
        <v>64</v>
      </c>
      <c r="U39" s="32"/>
    </row>
    <row r="40" customFormat="false" ht="15" hidden="false" customHeight="false" outlineLevel="0" collapsed="false">
      <c r="A40" s="32" t="s">
        <v>219</v>
      </c>
      <c r="B40" s="32" t="s">
        <v>235</v>
      </c>
      <c r="C40" s="32" t="s">
        <v>191</v>
      </c>
      <c r="D40" s="66" t="n">
        <v>4117</v>
      </c>
      <c r="E40" s="66" t="n">
        <v>3900</v>
      </c>
      <c r="F40" s="77" t="n">
        <f aca="false">IF(E40="","",D40-E40)</f>
        <v>217</v>
      </c>
      <c r="G40" s="66" t="n">
        <v>5545</v>
      </c>
      <c r="H40" s="66" t="n">
        <v>5859</v>
      </c>
      <c r="I40" s="77" t="n">
        <f aca="false">IF(H40="","",G40-H40)</f>
        <v>-314</v>
      </c>
      <c r="J40" s="47" t="n">
        <f aca="false">IF(OR(D40="",D40+G40=0),"",D40/(D40+G40))</f>
        <v>0.426102256261644</v>
      </c>
      <c r="K40" s="47" t="n">
        <f aca="false">IF(E40="","",E40/(E40+H40))</f>
        <v>0.399631109744851</v>
      </c>
      <c r="L40" s="78" t="n">
        <f aca="false">IF(OR(K40="",J40=""),"",(J40-K40)*100)</f>
        <v>2.64711465167927</v>
      </c>
      <c r="M40" s="36" t="n">
        <v>1.45633855732547</v>
      </c>
      <c r="N40" s="36" t="n">
        <v>0.322127322494862</v>
      </c>
      <c r="O40" s="36" t="n">
        <f aca="false">SQRT(M40^2+N40^2)</f>
        <v>1.49153880454064</v>
      </c>
      <c r="P40" s="47" t="n">
        <f aca="false">IF(J40="","",MAX(0,J40-1.96*O40/100))</f>
        <v>0.396868095692647</v>
      </c>
      <c r="Q40" s="47" t="n">
        <f aca="false">IF(J40="","",MIN(1,J40+1.96*O40/100))</f>
        <v>0.45533641683064</v>
      </c>
      <c r="R40" s="32" t="str">
        <f aca="false">IF(L40="","",IF(ABS(L40)&lt;=O40,"Yes","No"))</f>
        <v>No</v>
      </c>
      <c r="S40" s="32" t="str">
        <f aca="false">IF(L40="","",IF(ABS(L40)&lt;=1.96*O40,"Yes","No"))</f>
        <v>Yes</v>
      </c>
      <c r="T40" s="66" t="n">
        <f aca="false">IF(D40="","",ROUND(SQRT(((D40+G40)*O40/100)^2+(J40*(D40+G40)*0.05437)^2),0))</f>
        <v>266</v>
      </c>
      <c r="U40" s="32"/>
    </row>
    <row r="41" customFormat="false" ht="15" hidden="false" customHeight="false" outlineLevel="0" collapsed="false">
      <c r="A41" s="32" t="s">
        <v>219</v>
      </c>
      <c r="B41" s="32" t="s">
        <v>236</v>
      </c>
      <c r="C41" s="32" t="s">
        <v>191</v>
      </c>
      <c r="D41" s="66" t="n">
        <v>4061</v>
      </c>
      <c r="E41" s="66" t="n">
        <v>4029</v>
      </c>
      <c r="F41" s="77" t="n">
        <f aca="false">IF(E41="","",D41-E41)</f>
        <v>32</v>
      </c>
      <c r="G41" s="66" t="n">
        <v>4059</v>
      </c>
      <c r="H41" s="66" t="n">
        <v>4143</v>
      </c>
      <c r="I41" s="77" t="n">
        <f aca="false">IF(H41="","",G41-H41)</f>
        <v>-84</v>
      </c>
      <c r="J41" s="47" t="n">
        <f aca="false">IF(OR(D41="",D41+G41=0),"",D41/(D41+G41))</f>
        <v>0.50012315270936</v>
      </c>
      <c r="K41" s="47" t="n">
        <f aca="false">IF(E41="","",E41/(E41+H41))</f>
        <v>0.49302496328928</v>
      </c>
      <c r="L41" s="78" t="n">
        <f aca="false">IF(OR(K41="",J41=""),"",(J41-K41)*100)</f>
        <v>0.709818942007912</v>
      </c>
      <c r="M41" s="36" t="n">
        <v>1.45633855732547</v>
      </c>
      <c r="N41" s="36" t="n">
        <v>0.322127322494862</v>
      </c>
      <c r="O41" s="36" t="n">
        <f aca="false">SQRT(M41^2+N41^2)</f>
        <v>1.49153880454064</v>
      </c>
      <c r="P41" s="47" t="n">
        <f aca="false">IF(J41="","",MAX(0,J41-1.96*O41/100))</f>
        <v>0.470888992140363</v>
      </c>
      <c r="Q41" s="47" t="n">
        <f aca="false">IF(J41="","",MIN(1,J41+1.96*O41/100))</f>
        <v>0.529357313278356</v>
      </c>
      <c r="R41" s="32" t="str">
        <f aca="false">IF(L41="","",IF(ABS(L41)&lt;=O41,"Yes","No"))</f>
        <v>Yes</v>
      </c>
      <c r="S41" s="32" t="str">
        <f aca="false">IF(L41="","",IF(ABS(L41)&lt;=1.96*O41,"Yes","No"))</f>
        <v>Yes</v>
      </c>
      <c r="T41" s="66" t="n">
        <f aca="false">IF(D41="","",ROUND(SQRT(((D41+G41)*O41/100)^2+(J41*(D41+G41)*0.05437)^2),0))</f>
        <v>252</v>
      </c>
      <c r="U41" s="32"/>
    </row>
    <row r="42" customFormat="false" ht="15" hidden="false" customHeight="false" outlineLevel="0" collapsed="false">
      <c r="A42" s="32" t="s">
        <v>219</v>
      </c>
      <c r="B42" s="32" t="s">
        <v>237</v>
      </c>
      <c r="C42" s="32" t="s">
        <v>191</v>
      </c>
      <c r="D42" s="66" t="n">
        <v>838</v>
      </c>
      <c r="E42" s="66" t="n">
        <v>748</v>
      </c>
      <c r="F42" s="77" t="n">
        <f aca="false">IF(E42="","",D42-E42)</f>
        <v>90</v>
      </c>
      <c r="G42" s="66" t="n">
        <v>1019</v>
      </c>
      <c r="H42" s="66" t="n">
        <v>1149</v>
      </c>
      <c r="I42" s="77" t="n">
        <f aca="false">IF(H42="","",G42-H42)</f>
        <v>-130</v>
      </c>
      <c r="J42" s="47" t="n">
        <f aca="false">IF(OR(D42="",D42+G42=0),"",D42/(D42+G42))</f>
        <v>0.451265481960151</v>
      </c>
      <c r="K42" s="47" t="n">
        <f aca="false">IF(E42="","",E42/(E42+H42))</f>
        <v>0.394306800210859</v>
      </c>
      <c r="L42" s="78" t="n">
        <f aca="false">IF(OR(K42="",J42=""),"",(J42-K42)*100)</f>
        <v>5.69586817492915</v>
      </c>
      <c r="M42" s="36" t="n">
        <v>1.44715751761421</v>
      </c>
      <c r="N42" s="36" t="n">
        <v>0.322127322494862</v>
      </c>
      <c r="O42" s="36" t="n">
        <f aca="false">SQRT(M42^2+N42^2)</f>
        <v>1.48257576288196</v>
      </c>
      <c r="P42" s="47" t="n">
        <f aca="false">IF(J42="","",MAX(0,J42-1.96*O42/100))</f>
        <v>0.422206997007664</v>
      </c>
      <c r="Q42" s="47" t="n">
        <f aca="false">IF(J42="","",MIN(1,J42+1.96*O42/100))</f>
        <v>0.480323966912637</v>
      </c>
      <c r="R42" s="32" t="str">
        <f aca="false">IF(L42="","",IF(ABS(L42)&lt;=O42,"Yes","No"))</f>
        <v>No</v>
      </c>
      <c r="S42" s="32" t="str">
        <f aca="false">IF(L42="","",IF(ABS(L42)&lt;=1.96*O42,"Yes","No"))</f>
        <v>No</v>
      </c>
      <c r="T42" s="66" t="n">
        <f aca="false">IF(D42="","",ROUND(SQRT(((D42+G42)*O42/100)^2+(J42*(D42+G42)*0.05992)^2),0))</f>
        <v>57</v>
      </c>
      <c r="U42" s="32"/>
    </row>
    <row r="43" customFormat="false" ht="15" hidden="false" customHeight="false" outlineLevel="0" collapsed="false">
      <c r="A43" s="32" t="s">
        <v>219</v>
      </c>
      <c r="B43" s="32" t="s">
        <v>238</v>
      </c>
      <c r="C43" s="32" t="s">
        <v>191</v>
      </c>
      <c r="D43" s="66" t="n">
        <v>6792</v>
      </c>
      <c r="E43" s="66" t="n">
        <v>6668</v>
      </c>
      <c r="F43" s="77" t="n">
        <f aca="false">IF(E43="","",D43-E43)</f>
        <v>124</v>
      </c>
      <c r="G43" s="66" t="n">
        <v>5666</v>
      </c>
      <c r="H43" s="66" t="n">
        <v>5856</v>
      </c>
      <c r="I43" s="77" t="n">
        <f aca="false">IF(H43="","",G43-H43)</f>
        <v>-190</v>
      </c>
      <c r="J43" s="47" t="n">
        <f aca="false">IF(OR(D43="",D43+G43=0),"",D43/(D43+G43))</f>
        <v>0.545191844597849</v>
      </c>
      <c r="K43" s="47" t="n">
        <f aca="false">IF(E43="","",E43/(E43+H43))</f>
        <v>0.532417757904823</v>
      </c>
      <c r="L43" s="78" t="n">
        <f aca="false">IF(OR(K43="",J43=""),"",(J43-K43)*100)</f>
        <v>1.2774086693026</v>
      </c>
      <c r="M43" s="36" t="n">
        <v>1.45633855732547</v>
      </c>
      <c r="N43" s="36" t="n">
        <v>0.322127322494862</v>
      </c>
      <c r="O43" s="36" t="n">
        <f aca="false">SQRT(M43^2+N43^2)</f>
        <v>1.49153880454064</v>
      </c>
      <c r="P43" s="47" t="n">
        <f aca="false">IF(J43="","",MAX(0,J43-1.96*O43/100))</f>
        <v>0.515957684028852</v>
      </c>
      <c r="Q43" s="47" t="n">
        <f aca="false">IF(J43="","",MIN(1,J43+1.96*O43/100))</f>
        <v>0.574426005166845</v>
      </c>
      <c r="R43" s="32" t="str">
        <f aca="false">IF(L43="","",IF(ABS(L43)&lt;=O43,"Yes","No"))</f>
        <v>Yes</v>
      </c>
      <c r="S43" s="32" t="str">
        <f aca="false">IF(L43="","",IF(ABS(L43)&lt;=1.96*O43,"Yes","No"))</f>
        <v>Yes</v>
      </c>
      <c r="T43" s="66" t="n">
        <f aca="false">IF(D43="","",ROUND(SQRT(((D43+G43)*O43/100)^2+(J43*(D43+G43)*0.05437)^2),0))</f>
        <v>413</v>
      </c>
      <c r="U43" s="32"/>
    </row>
    <row r="44" customFormat="false" ht="15" hidden="false" customHeight="false" outlineLevel="0" collapsed="false">
      <c r="A44" s="32" t="s">
        <v>219</v>
      </c>
      <c r="B44" s="32" t="s">
        <v>239</v>
      </c>
      <c r="C44" s="32" t="s">
        <v>191</v>
      </c>
      <c r="D44" s="66" t="n">
        <v>7416</v>
      </c>
      <c r="E44" s="66" t="n">
        <v>7495</v>
      </c>
      <c r="F44" s="77" t="n">
        <f aca="false">IF(E44="","",D44-E44)</f>
        <v>-79</v>
      </c>
      <c r="G44" s="66" t="n">
        <v>6787</v>
      </c>
      <c r="H44" s="66" t="n">
        <v>7011</v>
      </c>
      <c r="I44" s="77" t="n">
        <f aca="false">IF(H44="","",G44-H44)</f>
        <v>-224</v>
      </c>
      <c r="J44" s="47" t="n">
        <f aca="false">IF(OR(D44="",D44+G44=0),"",D44/(D44+G44))</f>
        <v>0.522143209181159</v>
      </c>
      <c r="K44" s="47" t="n">
        <f aca="false">IF(E44="","",E44/(E44+H44))</f>
        <v>0.516682751964704</v>
      </c>
      <c r="L44" s="78" t="n">
        <f aca="false">IF(OR(K44="",J44=""),"",(J44-K44)*100)</f>
        <v>0.546045721645461</v>
      </c>
      <c r="M44" s="36" t="n">
        <v>1.45633855732547</v>
      </c>
      <c r="N44" s="36" t="n">
        <v>0.322127322494862</v>
      </c>
      <c r="O44" s="36" t="n">
        <f aca="false">SQRT(M44^2+N44^2)</f>
        <v>1.49153880454064</v>
      </c>
      <c r="P44" s="47" t="n">
        <f aca="false">IF(J44="","",MAX(0,J44-1.96*O44/100))</f>
        <v>0.492909048612162</v>
      </c>
      <c r="Q44" s="47" t="n">
        <f aca="false">IF(J44="","",MIN(1,J44+1.96*O44/100))</f>
        <v>0.551377369750155</v>
      </c>
      <c r="R44" s="32" t="str">
        <f aca="false">IF(L44="","",IF(ABS(L44)&lt;=O44,"Yes","No"))</f>
        <v>Yes</v>
      </c>
      <c r="S44" s="32" t="str">
        <f aca="false">IF(L44="","",IF(ABS(L44)&lt;=1.96*O44,"Yes","No"))</f>
        <v>Yes</v>
      </c>
      <c r="T44" s="66" t="n">
        <f aca="false">IF(D44="","",ROUND(SQRT(((D44+G44)*O44/100)^2+(J44*(D44+G44)*0.05437)^2),0))</f>
        <v>455</v>
      </c>
      <c r="U44" s="32"/>
    </row>
    <row r="45" customFormat="false" ht="15" hidden="false" customHeight="false" outlineLevel="0" collapsed="false">
      <c r="A45" s="32" t="s">
        <v>219</v>
      </c>
      <c r="B45" s="32" t="s">
        <v>240</v>
      </c>
      <c r="C45" s="32" t="s">
        <v>191</v>
      </c>
      <c r="D45" s="66" t="n">
        <v>2254</v>
      </c>
      <c r="E45" s="66" t="n">
        <v>2222</v>
      </c>
      <c r="F45" s="77" t="n">
        <f aca="false">IF(E45="","",D45-E45)</f>
        <v>32</v>
      </c>
      <c r="G45" s="66" t="n">
        <v>2981</v>
      </c>
      <c r="H45" s="66" t="n">
        <v>2955</v>
      </c>
      <c r="I45" s="77" t="n">
        <f aca="false">IF(H45="","",G45-H45)</f>
        <v>26</v>
      </c>
      <c r="J45" s="47" t="n">
        <f aca="false">IF(OR(D45="",D45+G45=0),"",D45/(D45+G45))</f>
        <v>0.430563514804202</v>
      </c>
      <c r="K45" s="47" t="n">
        <f aca="false">IF(E45="","",E45/(E45+H45))</f>
        <v>0.42920610392119</v>
      </c>
      <c r="L45" s="78" t="n">
        <f aca="false">IF(OR(K45="",J45=""),"",(J45-K45)*100)</f>
        <v>0.135741088301261</v>
      </c>
      <c r="M45" s="36" t="n">
        <v>1.45633855732547</v>
      </c>
      <c r="N45" s="36" t="n">
        <v>0.322127322494862</v>
      </c>
      <c r="O45" s="36" t="n">
        <f aca="false">SQRT(M45^2+N45^2)</f>
        <v>1.49153880454064</v>
      </c>
      <c r="P45" s="47" t="n">
        <f aca="false">IF(J45="","",MAX(0,J45-1.96*O45/100))</f>
        <v>0.401329354235206</v>
      </c>
      <c r="Q45" s="47" t="n">
        <f aca="false">IF(J45="","",MIN(1,J45+1.96*O45/100))</f>
        <v>0.459797675373199</v>
      </c>
      <c r="R45" s="32" t="str">
        <f aca="false">IF(L45="","",IF(ABS(L45)&lt;=O45,"Yes","No"))</f>
        <v>Yes</v>
      </c>
      <c r="S45" s="32" t="str">
        <f aca="false">IF(L45="","",IF(ABS(L45)&lt;=1.96*O45,"Yes","No"))</f>
        <v>Yes</v>
      </c>
      <c r="T45" s="66" t="n">
        <f aca="false">IF(D45="","",ROUND(SQRT(((D45+G45)*O45/100)^2+(J45*(D45+G45)*0.05437)^2),0))</f>
        <v>145</v>
      </c>
      <c r="U45" s="32"/>
    </row>
    <row r="46" customFormat="false" ht="15" hidden="false" customHeight="false" outlineLevel="0" collapsed="false">
      <c r="A46" s="32" t="s">
        <v>219</v>
      </c>
      <c r="B46" s="32" t="s">
        <v>241</v>
      </c>
      <c r="C46" s="32" t="s">
        <v>191</v>
      </c>
      <c r="D46" s="66" t="n">
        <v>4964</v>
      </c>
      <c r="E46" s="66" t="n">
        <v>4817</v>
      </c>
      <c r="F46" s="77" t="n">
        <f aca="false">IF(E46="","",D46-E46)</f>
        <v>147</v>
      </c>
      <c r="G46" s="66" t="n">
        <v>5369</v>
      </c>
      <c r="H46" s="66" t="n">
        <v>5501</v>
      </c>
      <c r="I46" s="77" t="n">
        <f aca="false">IF(H46="","",G46-H46)</f>
        <v>-132</v>
      </c>
      <c r="J46" s="47" t="n">
        <f aca="false">IF(OR(D46="",D46+G46=0),"",D46/(D46+G46))</f>
        <v>0.480402593632053</v>
      </c>
      <c r="K46" s="47" t="n">
        <f aca="false">IF(E46="","",E46/(E46+H46))</f>
        <v>0.466854041480907</v>
      </c>
      <c r="L46" s="78" t="n">
        <f aca="false">IF(OR(K46="",J46=""),"",(J46-K46)*100)</f>
        <v>1.35485521511455</v>
      </c>
      <c r="M46" s="36" t="n">
        <v>1.45633855732547</v>
      </c>
      <c r="N46" s="36" t="n">
        <v>0.322127322494862</v>
      </c>
      <c r="O46" s="36" t="n">
        <f aca="false">SQRT(M46^2+N46^2)</f>
        <v>1.49153880454064</v>
      </c>
      <c r="P46" s="47" t="n">
        <f aca="false">IF(J46="","",MAX(0,J46-1.96*O46/100))</f>
        <v>0.451168433063056</v>
      </c>
      <c r="Q46" s="47" t="n">
        <f aca="false">IF(J46="","",MIN(1,J46+1.96*O46/100))</f>
        <v>0.509636754201049</v>
      </c>
      <c r="R46" s="32" t="str">
        <f aca="false">IF(L46="","",IF(ABS(L46)&lt;=O46,"Yes","No"))</f>
        <v>Yes</v>
      </c>
      <c r="S46" s="32" t="str">
        <f aca="false">IF(L46="","",IF(ABS(L46)&lt;=1.96*O46,"Yes","No"))</f>
        <v>Yes</v>
      </c>
      <c r="T46" s="66" t="n">
        <f aca="false">IF(D46="","",ROUND(SQRT(((D46+G46)*O46/100)^2+(J46*(D46+G46)*0.05437)^2),0))</f>
        <v>311</v>
      </c>
      <c r="U46" s="32"/>
    </row>
    <row r="47" customFormat="false" ht="15" hidden="false" customHeight="false" outlineLevel="0" collapsed="false">
      <c r="A47" s="32" t="s">
        <v>219</v>
      </c>
      <c r="B47" s="32" t="s">
        <v>242</v>
      </c>
      <c r="C47" s="32" t="s">
        <v>191</v>
      </c>
      <c r="D47" s="66" t="n">
        <v>1317</v>
      </c>
      <c r="E47" s="66" t="n">
        <v>1231</v>
      </c>
      <c r="F47" s="77" t="n">
        <f aca="false">IF(E47="","",D47-E47)</f>
        <v>86</v>
      </c>
      <c r="G47" s="66" t="n">
        <v>2494</v>
      </c>
      <c r="H47" s="66" t="n">
        <v>2578</v>
      </c>
      <c r="I47" s="77" t="n">
        <f aca="false">IF(H47="","",G47-H47)</f>
        <v>-84</v>
      </c>
      <c r="J47" s="47" t="n">
        <f aca="false">IF(OR(D47="",D47+G47=0),"",D47/(D47+G47))</f>
        <v>0.345578588297035</v>
      </c>
      <c r="K47" s="47" t="n">
        <f aca="false">IF(E47="","",E47/(E47+H47))</f>
        <v>0.323181937516409</v>
      </c>
      <c r="L47" s="78" t="n">
        <f aca="false">IF(OR(K47="",J47=""),"",(J47-K47)*100)</f>
        <v>2.23966507806264</v>
      </c>
      <c r="M47" s="36" t="n">
        <v>1.45633855732547</v>
      </c>
      <c r="N47" s="36" t="n">
        <v>0.322127322494862</v>
      </c>
      <c r="O47" s="36" t="n">
        <f aca="false">SQRT(M47^2+N47^2)</f>
        <v>1.49153880454064</v>
      </c>
      <c r="P47" s="47" t="n">
        <f aca="false">IF(J47="","",MAX(0,J47-1.96*O47/100))</f>
        <v>0.316344427728038</v>
      </c>
      <c r="Q47" s="47" t="n">
        <f aca="false">IF(J47="","",MIN(1,J47+1.96*O47/100))</f>
        <v>0.374812748866032</v>
      </c>
      <c r="R47" s="32" t="str">
        <f aca="false">IF(L47="","",IF(ABS(L47)&lt;=O47,"Yes","No"))</f>
        <v>No</v>
      </c>
      <c r="S47" s="32" t="str">
        <f aca="false">IF(L47="","",IF(ABS(L47)&lt;=1.96*O47,"Yes","No"))</f>
        <v>Yes</v>
      </c>
      <c r="T47" s="66" t="n">
        <f aca="false">IF(D47="","",ROUND(SQRT(((D47+G47)*O47/100)^2+(J47*(D47+G47)*0.05437)^2),0))</f>
        <v>91</v>
      </c>
      <c r="U47" s="32"/>
    </row>
    <row r="48" customFormat="false" ht="15" hidden="false" customHeight="false" outlineLevel="0" collapsed="false">
      <c r="A48" s="32" t="s">
        <v>219</v>
      </c>
      <c r="B48" s="32" t="s">
        <v>243</v>
      </c>
      <c r="C48" s="32" t="s">
        <v>191</v>
      </c>
      <c r="D48" s="66" t="n">
        <v>1145</v>
      </c>
      <c r="E48" s="66" t="n">
        <v>1073</v>
      </c>
      <c r="F48" s="77" t="n">
        <f aca="false">IF(E48="","",D48-E48)</f>
        <v>72</v>
      </c>
      <c r="G48" s="66" t="n">
        <v>2080</v>
      </c>
      <c r="H48" s="66" t="n">
        <v>2156</v>
      </c>
      <c r="I48" s="77" t="n">
        <f aca="false">IF(H48="","",G48-H48)</f>
        <v>-76</v>
      </c>
      <c r="J48" s="47" t="n">
        <f aca="false">IF(OR(D48="",D48+G48=0),"",D48/(D48+G48))</f>
        <v>0.355038759689923</v>
      </c>
      <c r="K48" s="47" t="n">
        <f aca="false">IF(E48="","",E48/(E48+H48))</f>
        <v>0.332301021988232</v>
      </c>
      <c r="L48" s="78" t="n">
        <f aca="false">IF(OR(K48="",J48=""),"",(J48-K48)*100)</f>
        <v>2.27377377016909</v>
      </c>
      <c r="M48" s="36" t="n">
        <v>1.44715751761421</v>
      </c>
      <c r="N48" s="36" t="n">
        <v>0.322127322494862</v>
      </c>
      <c r="O48" s="36" t="n">
        <f aca="false">SQRT(M48^2+N48^2)</f>
        <v>1.48257576288196</v>
      </c>
      <c r="P48" s="47" t="n">
        <f aca="false">IF(J48="","",MAX(0,J48-1.96*O48/100))</f>
        <v>0.325980274737436</v>
      </c>
      <c r="Q48" s="47" t="n">
        <f aca="false">IF(J48="","",MIN(1,J48+1.96*O48/100))</f>
        <v>0.384097244642409</v>
      </c>
      <c r="R48" s="32" t="str">
        <f aca="false">IF(L48="","",IF(ABS(L48)&lt;=O48,"Yes","No"))</f>
        <v>No</v>
      </c>
      <c r="S48" s="32" t="str">
        <f aca="false">IF(L48="","",IF(ABS(L48)&lt;=1.96*O48,"Yes","No"))</f>
        <v>Yes</v>
      </c>
      <c r="T48" s="66" t="n">
        <f aca="false">IF(D48="","",ROUND(SQRT(((D48+G48)*O48/100)^2+(J48*(D48+G48)*0.05992)^2),0))</f>
        <v>84</v>
      </c>
      <c r="U48" s="32"/>
    </row>
    <row r="49" customFormat="false" ht="15" hidden="false" customHeight="false" outlineLevel="0" collapsed="false">
      <c r="A49" s="32" t="s">
        <v>219</v>
      </c>
      <c r="B49" s="32" t="s">
        <v>244</v>
      </c>
      <c r="C49" s="32" t="s">
        <v>191</v>
      </c>
      <c r="D49" s="66" t="n">
        <v>7637</v>
      </c>
      <c r="E49" s="66" t="n">
        <v>7458</v>
      </c>
      <c r="F49" s="77" t="n">
        <f aca="false">IF(E49="","",D49-E49)</f>
        <v>179</v>
      </c>
      <c r="G49" s="66" t="n">
        <v>6492</v>
      </c>
      <c r="H49" s="66" t="n">
        <v>6731</v>
      </c>
      <c r="I49" s="77" t="n">
        <f aca="false">IF(H49="","",G49-H49)</f>
        <v>-239</v>
      </c>
      <c r="J49" s="47" t="n">
        <f aca="false">IF(OR(D49="",D49+G49=0),"",D49/(D49+G49))</f>
        <v>0.540519498902966</v>
      </c>
      <c r="K49" s="47" t="n">
        <f aca="false">IF(E49="","",E49/(E49+H49))</f>
        <v>0.525618436817253</v>
      </c>
      <c r="L49" s="78" t="n">
        <f aca="false">IF(OR(K49="",J49=""),"",(J49-K49)*100)</f>
        <v>1.49010620857127</v>
      </c>
      <c r="M49" s="36" t="n">
        <v>1.45633855732547</v>
      </c>
      <c r="N49" s="36" t="n">
        <v>0.322127322494862</v>
      </c>
      <c r="O49" s="36" t="n">
        <f aca="false">SQRT(M49^2+N49^2)</f>
        <v>1.49153880454064</v>
      </c>
      <c r="P49" s="47" t="n">
        <f aca="false">IF(J49="","",MAX(0,J49-1.96*O49/100))</f>
        <v>0.511285338333969</v>
      </c>
      <c r="Q49" s="47" t="n">
        <f aca="false">IF(J49="","",MIN(1,J49+1.96*O49/100))</f>
        <v>0.569753659471962</v>
      </c>
      <c r="R49" s="32" t="str">
        <f aca="false">IF(L49="","",IF(ABS(L49)&lt;=O49,"Yes","No"))</f>
        <v>Yes</v>
      </c>
      <c r="S49" s="32" t="str">
        <f aca="false">IF(L49="","",IF(ABS(L49)&lt;=1.96*O49,"Yes","No"))</f>
        <v>Yes</v>
      </c>
      <c r="T49" s="66" t="n">
        <f aca="false">IF(D49="","",ROUND(SQRT(((D49+G49)*O49/100)^2+(J49*(D49+G49)*0.05437)^2),0))</f>
        <v>466</v>
      </c>
      <c r="U49" s="32"/>
    </row>
    <row r="50" customFormat="false" ht="15" hidden="false" customHeight="false" outlineLevel="0" collapsed="false">
      <c r="A50" s="32" t="s">
        <v>245</v>
      </c>
      <c r="B50" s="32" t="s">
        <v>246</v>
      </c>
      <c r="C50" s="32" t="s">
        <v>191</v>
      </c>
      <c r="D50" s="66" t="n">
        <v>476</v>
      </c>
      <c r="E50" s="66" t="n">
        <v>482</v>
      </c>
      <c r="F50" s="77" t="n">
        <f aca="false">IF(E50="","",D50-E50)</f>
        <v>-6</v>
      </c>
      <c r="G50" s="66" t="n">
        <v>1042</v>
      </c>
      <c r="H50" s="66" t="n">
        <v>987</v>
      </c>
      <c r="I50" s="77" t="n">
        <f aca="false">IF(H50="","",G50-H50)</f>
        <v>55</v>
      </c>
      <c r="J50" s="47" t="n">
        <f aca="false">IF(OR(D50="",D50+G50=0),"",D50/(D50+G50))</f>
        <v>0.313570487483531</v>
      </c>
      <c r="K50" s="47" t="n">
        <f aca="false">IF(E50="","",E50/(E50+H50))</f>
        <v>0.328114363512594</v>
      </c>
      <c r="L50" s="78" t="n">
        <f aca="false">IF(OR(K50="",J50=""),"",(J50-K50)*100)</f>
        <v>-1.45438760290627</v>
      </c>
      <c r="M50" s="36" t="n">
        <v>2.60296228516591</v>
      </c>
      <c r="N50" s="36" t="n">
        <v>0.322127322494862</v>
      </c>
      <c r="O50" s="36" t="n">
        <f aca="false">SQRT(M50^2+N50^2)</f>
        <v>2.62281884046418</v>
      </c>
      <c r="P50" s="47" t="n">
        <f aca="false">IF(J50="","",MAX(0,J50-1.96*O50/100))</f>
        <v>0.262163238210433</v>
      </c>
      <c r="Q50" s="47" t="n">
        <f aca="false">IF(J50="","",MIN(1,J50+1.96*O50/100))</f>
        <v>0.364977736756629</v>
      </c>
      <c r="R50" s="32" t="str">
        <f aca="false">IF(L50="","",IF(ABS(L50)&lt;=O50,"Yes","No"))</f>
        <v>Yes</v>
      </c>
      <c r="S50" s="32" t="str">
        <f aca="false">IF(L50="","",IF(ABS(L50)&lt;=1.96*O50,"Yes","No"))</f>
        <v>Yes</v>
      </c>
      <c r="T50" s="66" t="n">
        <f aca="false">IF(D50="","",ROUND(SQRT(((D50+G50)*O50/100)^2+(J50*(D50+G50)*0.07717)^2),0))</f>
        <v>54</v>
      </c>
      <c r="U50" s="32"/>
    </row>
    <row r="51" customFormat="false" ht="15" hidden="false" customHeight="false" outlineLevel="0" collapsed="false">
      <c r="A51" s="32" t="s">
        <v>245</v>
      </c>
      <c r="B51" s="32" t="s">
        <v>247</v>
      </c>
      <c r="C51" s="32" t="s">
        <v>191</v>
      </c>
      <c r="D51" s="66" t="n">
        <v>1491</v>
      </c>
      <c r="E51" s="66" t="n">
        <v>1425</v>
      </c>
      <c r="F51" s="77" t="n">
        <f aca="false">IF(E51="","",D51-E51)</f>
        <v>66</v>
      </c>
      <c r="G51" s="66" t="n">
        <v>2556</v>
      </c>
      <c r="H51" s="66" t="n">
        <v>2491</v>
      </c>
      <c r="I51" s="77" t="n">
        <f aca="false">IF(H51="","",G51-H51)</f>
        <v>65</v>
      </c>
      <c r="J51" s="47" t="n">
        <f aca="false">IF(OR(D51="",D51+G51=0),"",D51/(D51+G51))</f>
        <v>0.368421052631579</v>
      </c>
      <c r="K51" s="47" t="n">
        <f aca="false">IF(E51="","",E51/(E51+H51))</f>
        <v>0.363891726251277</v>
      </c>
      <c r="L51" s="78" t="n">
        <f aca="false">IF(OR(K51="",J51=""),"",(J51-K51)*100)</f>
        <v>0.452932638030212</v>
      </c>
      <c r="M51" s="36" t="n">
        <v>1.45633855732547</v>
      </c>
      <c r="N51" s="36" t="n">
        <v>0.322127322494862</v>
      </c>
      <c r="O51" s="36" t="n">
        <f aca="false">SQRT(M51^2+N51^2)</f>
        <v>1.49153880454064</v>
      </c>
      <c r="P51" s="47" t="n">
        <f aca="false">IF(J51="","",MAX(0,J51-1.96*O51/100))</f>
        <v>0.339186892062582</v>
      </c>
      <c r="Q51" s="47" t="n">
        <f aca="false">IF(J51="","",MIN(1,J51+1.96*O51/100))</f>
        <v>0.397655213200576</v>
      </c>
      <c r="R51" s="32" t="str">
        <f aca="false">IF(L51="","",IF(ABS(L51)&lt;=O51,"Yes","No"))</f>
        <v>Yes</v>
      </c>
      <c r="S51" s="32" t="str">
        <f aca="false">IF(L51="","",IF(ABS(L51)&lt;=1.96*O51,"Yes","No"))</f>
        <v>Yes</v>
      </c>
      <c r="T51" s="66" t="n">
        <f aca="false">IF(D51="","",ROUND(SQRT(((D51+G51)*O51/100)^2+(J51*(D51+G51)*0.05437)^2),0))</f>
        <v>101</v>
      </c>
      <c r="U51" s="32" t="s">
        <v>469</v>
      </c>
    </row>
    <row r="52" customFormat="false" ht="15" hidden="false" customHeight="false" outlineLevel="0" collapsed="false">
      <c r="A52" s="32" t="s">
        <v>245</v>
      </c>
      <c r="B52" s="32" t="s">
        <v>248</v>
      </c>
      <c r="C52" s="32" t="s">
        <v>191</v>
      </c>
      <c r="D52" s="66" t="n">
        <v>554</v>
      </c>
      <c r="E52" s="66" t="n">
        <v>502</v>
      </c>
      <c r="F52" s="77" t="n">
        <f aca="false">IF(E52="","",D52-E52)</f>
        <v>52</v>
      </c>
      <c r="G52" s="66" t="n">
        <v>949</v>
      </c>
      <c r="H52" s="66" t="n">
        <v>795</v>
      </c>
      <c r="I52" s="77" t="n">
        <f aca="false">IF(H52="","",G52-H52)</f>
        <v>154</v>
      </c>
      <c r="J52" s="47" t="n">
        <f aca="false">IF(OR(D52="",D52+G52=0),"",D52/(D52+G52))</f>
        <v>0.368596141051231</v>
      </c>
      <c r="K52" s="47" t="n">
        <f aca="false">IF(E52="","",E52/(E52+H52))</f>
        <v>0.387047031611411</v>
      </c>
      <c r="L52" s="78" t="n">
        <f aca="false">IF(OR(K52="",J52=""),"",(J52-K52)*100)</f>
        <v>-1.84508905601801</v>
      </c>
      <c r="M52" s="36" t="n">
        <v>2.60296228516591</v>
      </c>
      <c r="N52" s="36" t="n">
        <v>0.322127322494862</v>
      </c>
      <c r="O52" s="36" t="n">
        <f aca="false">SQRT(M52^2+N52^2)</f>
        <v>2.62281884046418</v>
      </c>
      <c r="P52" s="47" t="n">
        <f aca="false">IF(J52="","",MAX(0,J52-1.96*O52/100))</f>
        <v>0.317188891778133</v>
      </c>
      <c r="Q52" s="47" t="n">
        <f aca="false">IF(J52="","",MIN(1,J52+1.96*O52/100))</f>
        <v>0.420003390324329</v>
      </c>
      <c r="R52" s="32" t="str">
        <f aca="false">IF(L52="","",IF(ABS(L52)&lt;=O52,"Yes","No"))</f>
        <v>Yes</v>
      </c>
      <c r="S52" s="32" t="str">
        <f aca="false">IF(L52="","",IF(ABS(L52)&lt;=1.96*O52,"Yes","No"))</f>
        <v>Yes</v>
      </c>
      <c r="T52" s="66" t="n">
        <f aca="false">IF(D52="","",ROUND(SQRT(((D52+G52)*O52/100)^2+(J52*(D52+G52)*0.07717)^2),0))</f>
        <v>58</v>
      </c>
      <c r="U52" s="32" t="s">
        <v>470</v>
      </c>
    </row>
    <row r="53" customFormat="false" ht="15" hidden="false" customHeight="false" outlineLevel="0" collapsed="false">
      <c r="A53" s="32" t="s">
        <v>249</v>
      </c>
      <c r="B53" s="32" t="s">
        <v>250</v>
      </c>
      <c r="C53" s="32" t="s">
        <v>191</v>
      </c>
      <c r="D53" s="66" t="n">
        <v>1475</v>
      </c>
      <c r="E53" s="66" t="n">
        <v>1432</v>
      </c>
      <c r="F53" s="77" t="n">
        <f aca="false">IF(E53="","",D53-E53)</f>
        <v>43</v>
      </c>
      <c r="G53" s="66" t="n">
        <v>1901</v>
      </c>
      <c r="H53" s="66" t="n">
        <v>1882</v>
      </c>
      <c r="I53" s="77" t="n">
        <f aca="false">IF(H53="","",G53-H53)</f>
        <v>19</v>
      </c>
      <c r="J53" s="47" t="n">
        <f aca="false">IF(OR(D53="",D53+G53=0),"",D53/(D53+G53))</f>
        <v>0.436907582938389</v>
      </c>
      <c r="K53" s="47" t="n">
        <f aca="false">IF(E53="","",E53/(E53+H53))</f>
        <v>0.432106216053108</v>
      </c>
      <c r="L53" s="78" t="n">
        <f aca="false">IF(OR(K53="",J53=""),"",(J53-K53)*100)</f>
        <v>0.48013668852806</v>
      </c>
      <c r="M53" s="36" t="n">
        <v>1.44715751761421</v>
      </c>
      <c r="N53" s="36" t="n">
        <v>0.322127322494862</v>
      </c>
      <c r="O53" s="36" t="n">
        <f aca="false">SQRT(M53^2+N53^2)</f>
        <v>1.48257576288196</v>
      </c>
      <c r="P53" s="47" t="n">
        <f aca="false">IF(J53="","",MAX(0,J53-1.96*O53/100))</f>
        <v>0.407849097985902</v>
      </c>
      <c r="Q53" s="47" t="n">
        <f aca="false">IF(J53="","",MIN(1,J53+1.96*O53/100))</f>
        <v>0.465966067890875</v>
      </c>
      <c r="R53" s="32" t="str">
        <f aca="false">IF(L53="","",IF(ABS(L53)&lt;=O53,"Yes","No"))</f>
        <v>Yes</v>
      </c>
      <c r="S53" s="32" t="str">
        <f aca="false">IF(L53="","",IF(ABS(L53)&lt;=1.96*O53,"Yes","No"))</f>
        <v>Yes</v>
      </c>
      <c r="T53" s="66" t="n">
        <f aca="false">IF(D53="","",ROUND(SQRT(((D53+G53)*O53/100)^2+(J53*(D53+G53)*0.05992)^2),0))</f>
        <v>102</v>
      </c>
      <c r="U53" s="32"/>
    </row>
    <row r="54" customFormat="false" ht="15" hidden="false" customHeight="false" outlineLevel="0" collapsed="false">
      <c r="A54" s="32" t="s">
        <v>249</v>
      </c>
      <c r="B54" s="32" t="s">
        <v>251</v>
      </c>
      <c r="C54" s="32" t="s">
        <v>191</v>
      </c>
      <c r="D54" s="66" t="n">
        <v>1032</v>
      </c>
      <c r="E54" s="66" t="n">
        <v>965</v>
      </c>
      <c r="F54" s="77" t="n">
        <f aca="false">IF(E54="","",D54-E54)</f>
        <v>67</v>
      </c>
      <c r="G54" s="66" t="n">
        <v>1263</v>
      </c>
      <c r="H54" s="66" t="n">
        <v>1342</v>
      </c>
      <c r="I54" s="77" t="n">
        <f aca="false">IF(H54="","",G54-H54)</f>
        <v>-79</v>
      </c>
      <c r="J54" s="47" t="n">
        <f aca="false">IF(OR(D54="",D54+G54=0),"",D54/(D54+G54))</f>
        <v>0.449673202614379</v>
      </c>
      <c r="K54" s="47" t="n">
        <f aca="false">IF(E54="","",E54/(E54+H54))</f>
        <v>0.418292154312961</v>
      </c>
      <c r="L54" s="78" t="n">
        <f aca="false">IF(OR(K54="",J54=""),"",(J54-K54)*100)</f>
        <v>3.13810483014185</v>
      </c>
      <c r="M54" s="36" t="n">
        <v>1.44715751761421</v>
      </c>
      <c r="N54" s="36" t="n">
        <v>0.322127322494862</v>
      </c>
      <c r="O54" s="36" t="n">
        <f aca="false">SQRT(M54^2+N54^2)</f>
        <v>1.48257576288196</v>
      </c>
      <c r="P54" s="47" t="n">
        <f aca="false">IF(J54="","",MAX(0,J54-1.96*O54/100))</f>
        <v>0.420614717661893</v>
      </c>
      <c r="Q54" s="47" t="n">
        <f aca="false">IF(J54="","",MIN(1,J54+1.96*O54/100))</f>
        <v>0.478731687566866</v>
      </c>
      <c r="R54" s="32" t="str">
        <f aca="false">IF(L54="","",IF(ABS(L54)&lt;=O54,"Yes","No"))</f>
        <v>No</v>
      </c>
      <c r="S54" s="32" t="str">
        <f aca="false">IF(L54="","",IF(ABS(L54)&lt;=1.96*O54,"Yes","No"))</f>
        <v>No</v>
      </c>
      <c r="T54" s="66" t="n">
        <f aca="false">IF(D54="","",ROUND(SQRT(((D54+G54)*O54/100)^2+(J54*(D54+G54)*0.05992)^2),0))</f>
        <v>71</v>
      </c>
      <c r="U54" s="32"/>
    </row>
    <row r="55" customFormat="false" ht="15" hidden="false" customHeight="false" outlineLevel="0" collapsed="false">
      <c r="A55" s="32" t="s">
        <v>249</v>
      </c>
      <c r="B55" s="32" t="s">
        <v>252</v>
      </c>
      <c r="C55" s="32" t="s">
        <v>191</v>
      </c>
      <c r="D55" s="66" t="n">
        <v>596</v>
      </c>
      <c r="E55" s="66" t="n">
        <v>579</v>
      </c>
      <c r="F55" s="77" t="n">
        <f aca="false">IF(E55="","",D55-E55)</f>
        <v>17</v>
      </c>
      <c r="G55" s="66" t="n">
        <v>659</v>
      </c>
      <c r="H55" s="66" t="n">
        <v>695</v>
      </c>
      <c r="I55" s="77" t="n">
        <f aca="false">IF(H55="","",G55-H55)</f>
        <v>-36</v>
      </c>
      <c r="J55" s="47" t="n">
        <f aca="false">IF(OR(D55="",D55+G55=0),"",D55/(D55+G55))</f>
        <v>0.474900398406375</v>
      </c>
      <c r="K55" s="47" t="n">
        <f aca="false">IF(E55="","",E55/(E55+H55))</f>
        <v>0.45447409733124</v>
      </c>
      <c r="L55" s="78" t="n">
        <f aca="false">IF(OR(K55="",J55=""),"",(J55-K55)*100)</f>
        <v>2.04263010751343</v>
      </c>
      <c r="M55" s="36" t="n">
        <v>2.60296228516591</v>
      </c>
      <c r="N55" s="36" t="n">
        <v>0.322127322494862</v>
      </c>
      <c r="O55" s="36" t="n">
        <f aca="false">SQRT(M55^2+N55^2)</f>
        <v>2.62281884046418</v>
      </c>
      <c r="P55" s="47" t="n">
        <f aca="false">IF(J55="","",MAX(0,J55-1.96*O55/100))</f>
        <v>0.423493149133277</v>
      </c>
      <c r="Q55" s="47" t="n">
        <f aca="false">IF(J55="","",MIN(1,J55+1.96*O55/100))</f>
        <v>0.526307647679472</v>
      </c>
      <c r="R55" s="32" t="str">
        <f aca="false">IF(L55="","",IF(ABS(L55)&lt;=O55,"Yes","No"))</f>
        <v>Yes</v>
      </c>
      <c r="S55" s="32" t="str">
        <f aca="false">IF(L55="","",IF(ABS(L55)&lt;=1.96*O55,"Yes","No"))</f>
        <v>Yes</v>
      </c>
      <c r="T55" s="66" t="n">
        <f aca="false">IF(D55="","",ROUND(SQRT(((D55+G55)*O55/100)^2+(J55*(D55+G55)*0.07717)^2),0))</f>
        <v>57</v>
      </c>
      <c r="U55" s="32"/>
    </row>
    <row r="56" customFormat="false" ht="15" hidden="false" customHeight="false" outlineLevel="0" collapsed="false">
      <c r="A56" s="32" t="s">
        <v>249</v>
      </c>
      <c r="B56" s="32" t="s">
        <v>222</v>
      </c>
      <c r="C56" s="32" t="s">
        <v>191</v>
      </c>
      <c r="D56" s="66" t="n">
        <v>17350</v>
      </c>
      <c r="E56" s="66" t="n">
        <v>16692</v>
      </c>
      <c r="F56" s="77" t="n">
        <f aca="false">IF(E56="","",D56-E56)</f>
        <v>658</v>
      </c>
      <c r="G56" s="66" t="n">
        <v>7978</v>
      </c>
      <c r="H56" s="66" t="n">
        <v>8176</v>
      </c>
      <c r="I56" s="77" t="n">
        <f aca="false">IF(H56="","",G56-H56)</f>
        <v>-198</v>
      </c>
      <c r="J56" s="47" t="n">
        <f aca="false">IF(OR(D56="",D56+G56=0),"",D56/(D56+G56))</f>
        <v>0.685012634238787</v>
      </c>
      <c r="K56" s="47" t="n">
        <f aca="false">IF(E56="","",E56/(E56+H56))</f>
        <v>0.671224063052919</v>
      </c>
      <c r="L56" s="78" t="n">
        <f aca="false">IF(OR(K56="",J56=""),"",(J56-K56)*100)</f>
        <v>1.37885711858677</v>
      </c>
      <c r="M56" s="36" t="n">
        <v>1.45633855732547</v>
      </c>
      <c r="N56" s="36" t="n">
        <v>0.322127322494862</v>
      </c>
      <c r="O56" s="36" t="n">
        <f aca="false">SQRT(M56^2+N56^2)</f>
        <v>1.49153880454064</v>
      </c>
      <c r="P56" s="47" t="n">
        <f aca="false">IF(J56="","",MAX(0,J56-1.96*O56/100))</f>
        <v>0.655778473669791</v>
      </c>
      <c r="Q56" s="47" t="n">
        <f aca="false">IF(J56="","",MIN(1,J56+1.96*O56/100))</f>
        <v>0.714246794807784</v>
      </c>
      <c r="R56" s="32" t="str">
        <f aca="false">IF(L56="","",IF(ABS(L56)&lt;=O56,"Yes","No"))</f>
        <v>Yes</v>
      </c>
      <c r="S56" s="32" t="str">
        <f aca="false">IF(L56="","",IF(ABS(L56)&lt;=1.96*O56,"Yes","No"))</f>
        <v>Yes</v>
      </c>
      <c r="T56" s="66" t="n">
        <f aca="false">IF(D56="","",ROUND(SQRT(((D56+G56)*O56/100)^2+(J56*(D56+G56)*0.05437)^2),0))</f>
        <v>1016</v>
      </c>
      <c r="U56" s="32"/>
    </row>
    <row r="57" customFormat="false" ht="15" hidden="false" customHeight="false" outlineLevel="0" collapsed="false">
      <c r="A57" s="32" t="s">
        <v>249</v>
      </c>
      <c r="B57" s="32" t="s">
        <v>253</v>
      </c>
      <c r="C57" s="32" t="s">
        <v>191</v>
      </c>
      <c r="D57" s="66" t="n">
        <v>8377</v>
      </c>
      <c r="E57" s="66" t="n">
        <v>8164</v>
      </c>
      <c r="F57" s="77" t="n">
        <f aca="false">IF(E57="","",D57-E57)</f>
        <v>213</v>
      </c>
      <c r="G57" s="66" t="n">
        <v>7163</v>
      </c>
      <c r="H57" s="66" t="n">
        <v>7277</v>
      </c>
      <c r="I57" s="77" t="n">
        <f aca="false">IF(H57="","",G57-H57)</f>
        <v>-114</v>
      </c>
      <c r="J57" s="47" t="n">
        <f aca="false">IF(OR(D57="",D57+G57=0),"",D57/(D57+G57))</f>
        <v>0.539060489060489</v>
      </c>
      <c r="K57" s="47" t="n">
        <f aca="false">IF(E57="","",E57/(E57+H57))</f>
        <v>0.528722233015996</v>
      </c>
      <c r="L57" s="78" t="n">
        <f aca="false">IF(OR(K57="",J57=""),"",(J57-K57)*100)</f>
        <v>1.03382560444927</v>
      </c>
      <c r="M57" s="36" t="n">
        <v>1.45633855732547</v>
      </c>
      <c r="N57" s="36" t="n">
        <v>0.322127322494862</v>
      </c>
      <c r="O57" s="36" t="n">
        <f aca="false">SQRT(M57^2+N57^2)</f>
        <v>1.49153880454064</v>
      </c>
      <c r="P57" s="47" t="n">
        <f aca="false">IF(J57="","",MAX(0,J57-1.96*O57/100))</f>
        <v>0.509826328491493</v>
      </c>
      <c r="Q57" s="47" t="n">
        <f aca="false">IF(J57="","",MIN(1,J57+1.96*O57/100))</f>
        <v>0.568294649629486</v>
      </c>
      <c r="R57" s="32" t="str">
        <f aca="false">IF(L57="","",IF(ABS(L57)&lt;=O57,"Yes","No"))</f>
        <v>Yes</v>
      </c>
      <c r="S57" s="32" t="str">
        <f aca="false">IF(L57="","",IF(ABS(L57)&lt;=1.96*O57,"Yes","No"))</f>
        <v>Yes</v>
      </c>
      <c r="T57" s="66" t="n">
        <f aca="false">IF(D57="","",ROUND(SQRT(((D57+G57)*O57/100)^2+(J57*(D57+G57)*0.05437)^2),0))</f>
        <v>511</v>
      </c>
      <c r="U57" s="32"/>
    </row>
    <row r="58" customFormat="false" ht="15" hidden="false" customHeight="false" outlineLevel="0" collapsed="false">
      <c r="A58" s="32" t="s">
        <v>249</v>
      </c>
      <c r="B58" s="32" t="s">
        <v>254</v>
      </c>
      <c r="C58" s="32" t="s">
        <v>191</v>
      </c>
      <c r="D58" s="66" t="n">
        <v>2110</v>
      </c>
      <c r="E58" s="66" t="n">
        <v>1988</v>
      </c>
      <c r="F58" s="77" t="n">
        <f aca="false">IF(E58="","",D58-E58)</f>
        <v>122</v>
      </c>
      <c r="G58" s="66" t="n">
        <v>3275</v>
      </c>
      <c r="H58" s="66" t="n">
        <v>3385</v>
      </c>
      <c r="I58" s="77" t="n">
        <f aca="false">IF(H58="","",G58-H58)</f>
        <v>-110</v>
      </c>
      <c r="J58" s="47" t="n">
        <f aca="false">IF(OR(D58="",D58+G58=0),"",D58/(D58+G58))</f>
        <v>0.391829155060353</v>
      </c>
      <c r="K58" s="47" t="n">
        <f aca="false">IF(E58="","",E58/(E58+H58))</f>
        <v>0.36999813884236</v>
      </c>
      <c r="L58" s="78" t="n">
        <f aca="false">IF(OR(K58="",J58=""),"",(J58-K58)*100)</f>
        <v>2.18310162179929</v>
      </c>
      <c r="M58" s="36" t="n">
        <v>1.45633855732547</v>
      </c>
      <c r="N58" s="36" t="n">
        <v>0.322127322494862</v>
      </c>
      <c r="O58" s="36" t="n">
        <f aca="false">SQRT(M58^2+N58^2)</f>
        <v>1.49153880454064</v>
      </c>
      <c r="P58" s="47" t="n">
        <f aca="false">IF(J58="","",MAX(0,J58-1.96*O58/100))</f>
        <v>0.362594994491356</v>
      </c>
      <c r="Q58" s="47" t="n">
        <f aca="false">IF(J58="","",MIN(1,J58+1.96*O58/100))</f>
        <v>0.421063315629349</v>
      </c>
      <c r="R58" s="32" t="str">
        <f aca="false">IF(L58="","",IF(ABS(L58)&lt;=O58,"Yes","No"))</f>
        <v>No</v>
      </c>
      <c r="S58" s="32" t="str">
        <f aca="false">IF(L58="","",IF(ABS(L58)&lt;=1.96*O58,"Yes","No"))</f>
        <v>Yes</v>
      </c>
      <c r="T58" s="66" t="n">
        <f aca="false">IF(D58="","",ROUND(SQRT(((D58+G58)*O58/100)^2+(J58*(D58+G58)*0.05437)^2),0))</f>
        <v>140</v>
      </c>
      <c r="U58" s="32"/>
    </row>
    <row r="59" customFormat="false" ht="15" hidden="false" customHeight="false" outlineLevel="0" collapsed="false">
      <c r="A59" s="32" t="s">
        <v>249</v>
      </c>
      <c r="B59" s="32" t="s">
        <v>255</v>
      </c>
      <c r="C59" s="32" t="s">
        <v>191</v>
      </c>
      <c r="D59" s="66" t="n">
        <v>47</v>
      </c>
      <c r="E59" s="66" t="n">
        <v>39</v>
      </c>
      <c r="F59" s="77" t="n">
        <f aca="false">IF(E59="","",D59-E59)</f>
        <v>8</v>
      </c>
      <c r="G59" s="66" t="n">
        <v>73</v>
      </c>
      <c r="H59" s="66" t="n">
        <v>79</v>
      </c>
      <c r="I59" s="77" t="n">
        <f aca="false">IF(H59="","",G59-H59)</f>
        <v>-6</v>
      </c>
      <c r="J59" s="47" t="n">
        <f aca="false">IF(OR(D59="",D59+G59=0),"",D59/(D59+G59))</f>
        <v>0.391666666666667</v>
      </c>
      <c r="K59" s="47" t="n">
        <f aca="false">IF(E59="","",E59/(E59+H59))</f>
        <v>0.330508474576271</v>
      </c>
      <c r="L59" s="78" t="n">
        <f aca="false">IF(OR(K59="",J59=""),"",(J59-K59)*100)</f>
        <v>6.11581920903955</v>
      </c>
      <c r="M59" s="36" t="n">
        <v>2.60296228516591</v>
      </c>
      <c r="N59" s="36" t="n">
        <v>0.322127322494862</v>
      </c>
      <c r="O59" s="36" t="n">
        <f aca="false">SQRT(M59^2+N59^2)</f>
        <v>2.62281884046418</v>
      </c>
      <c r="P59" s="47" t="n">
        <f aca="false">IF(J59="","",MAX(0,J59-1.96*O59/100))</f>
        <v>0.340259417393569</v>
      </c>
      <c r="Q59" s="47" t="n">
        <f aca="false">IF(J59="","",MIN(1,J59+1.96*O59/100))</f>
        <v>0.443073915939765</v>
      </c>
      <c r="R59" s="32" t="str">
        <f aca="false">IF(L59="","",IF(ABS(L59)&lt;=O59,"Yes","No"))</f>
        <v>No</v>
      </c>
      <c r="S59" s="32" t="str">
        <f aca="false">IF(L59="","",IF(ABS(L59)&lt;=1.96*O59,"Yes","No"))</f>
        <v>No</v>
      </c>
      <c r="T59" s="66" t="n">
        <f aca="false">IF(D59="","",ROUND(SQRT(((D59+G59)*O59/100)^2+(J59*(D59+G59)*0.07717)^2),0))</f>
        <v>5</v>
      </c>
      <c r="U59" s="32"/>
    </row>
    <row r="60" customFormat="false" ht="15" hidden="false" customHeight="false" outlineLevel="0" collapsed="false">
      <c r="A60" s="32" t="s">
        <v>249</v>
      </c>
      <c r="B60" s="32" t="s">
        <v>256</v>
      </c>
      <c r="C60" s="32" t="s">
        <v>191</v>
      </c>
      <c r="D60" s="66" t="n">
        <v>1295</v>
      </c>
      <c r="E60" s="66" t="n">
        <v>1215</v>
      </c>
      <c r="F60" s="77" t="n">
        <f aca="false">IF(E60="","",D60-E60)</f>
        <v>80</v>
      </c>
      <c r="G60" s="66" t="n">
        <v>1770</v>
      </c>
      <c r="H60" s="66" t="n">
        <v>1784</v>
      </c>
      <c r="I60" s="77" t="n">
        <f aca="false">IF(H60="","",G60-H60)</f>
        <v>-14</v>
      </c>
      <c r="J60" s="47" t="n">
        <f aca="false">IF(OR(D60="",D60+G60=0),"",D60/(D60+G60))</f>
        <v>0.422512234910277</v>
      </c>
      <c r="K60" s="47" t="n">
        <f aca="false">IF(E60="","",E60/(E60+H60))</f>
        <v>0.405135045015005</v>
      </c>
      <c r="L60" s="78" t="n">
        <f aca="false">IF(OR(K60="",J60=""),"",(J60-K60)*100)</f>
        <v>1.73771898952723</v>
      </c>
      <c r="M60" s="36" t="n">
        <v>1.44715751761421</v>
      </c>
      <c r="N60" s="36" t="n">
        <v>0.322127322494862</v>
      </c>
      <c r="O60" s="36" t="n">
        <f aca="false">SQRT(M60^2+N60^2)</f>
        <v>1.48257576288196</v>
      </c>
      <c r="P60" s="47" t="n">
        <f aca="false">IF(J60="","",MAX(0,J60-1.96*O60/100))</f>
        <v>0.393453749957791</v>
      </c>
      <c r="Q60" s="47" t="n">
        <f aca="false">IF(J60="","",MIN(1,J60+1.96*O60/100))</f>
        <v>0.451570719862764</v>
      </c>
      <c r="R60" s="32" t="str">
        <f aca="false">IF(L60="","",IF(ABS(L60)&lt;=O60,"Yes","No"))</f>
        <v>No</v>
      </c>
      <c r="S60" s="32" t="str">
        <f aca="false">IF(L60="","",IF(ABS(L60)&lt;=1.96*O60,"Yes","No"))</f>
        <v>Yes</v>
      </c>
      <c r="T60" s="66" t="n">
        <f aca="false">IF(D60="","",ROUND(SQRT(((D60+G60)*O60/100)^2+(J60*(D60+G60)*0.05992)^2),0))</f>
        <v>90</v>
      </c>
      <c r="U60" s="32"/>
    </row>
    <row r="61" customFormat="false" ht="15" hidden="false" customHeight="false" outlineLevel="0" collapsed="false">
      <c r="A61" s="32" t="s">
        <v>249</v>
      </c>
      <c r="B61" s="32" t="s">
        <v>257</v>
      </c>
      <c r="C61" s="32" t="s">
        <v>191</v>
      </c>
      <c r="D61" s="66" t="n">
        <v>210</v>
      </c>
      <c r="E61" s="66" t="n">
        <v>166</v>
      </c>
      <c r="F61" s="77" t="n">
        <f aca="false">IF(E61="","",D61-E61)</f>
        <v>44</v>
      </c>
      <c r="G61" s="66" t="n">
        <v>302</v>
      </c>
      <c r="H61" s="66" t="n">
        <v>332</v>
      </c>
      <c r="I61" s="77" t="n">
        <f aca="false">IF(H61="","",G61-H61)</f>
        <v>-30</v>
      </c>
      <c r="J61" s="47" t="n">
        <f aca="false">IF(OR(D61="",D61+G61=0),"",D61/(D61+G61))</f>
        <v>0.41015625</v>
      </c>
      <c r="K61" s="47" t="n">
        <f aca="false">IF(E61="","",E61/(E61+H61))</f>
        <v>0.333333333333333</v>
      </c>
      <c r="L61" s="78" t="n">
        <f aca="false">IF(OR(K61="",J61=""),"",(J61-K61)*100)</f>
        <v>7.68229166666667</v>
      </c>
      <c r="M61" s="36" t="n">
        <v>2.60296228516591</v>
      </c>
      <c r="N61" s="36" t="n">
        <v>0.322127322494862</v>
      </c>
      <c r="O61" s="36" t="n">
        <f aca="false">SQRT(M61^2+N61^2)</f>
        <v>2.62281884046418</v>
      </c>
      <c r="P61" s="47" t="n">
        <f aca="false">IF(J61="","",MAX(0,J61-1.96*O61/100))</f>
        <v>0.358749000726902</v>
      </c>
      <c r="Q61" s="47" t="n">
        <f aca="false">IF(J61="","",MIN(1,J61+1.96*O61/100))</f>
        <v>0.461563499273098</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249</v>
      </c>
      <c r="B62" s="32" t="s">
        <v>258</v>
      </c>
      <c r="C62" s="32" t="s">
        <v>191</v>
      </c>
      <c r="D62" s="66" t="n">
        <v>7578</v>
      </c>
      <c r="E62" s="66" t="n">
        <v>7095</v>
      </c>
      <c r="F62" s="77" t="n">
        <f aca="false">IF(E62="","",D62-E62)</f>
        <v>483</v>
      </c>
      <c r="G62" s="66" t="n">
        <v>2829</v>
      </c>
      <c r="H62" s="66" t="n">
        <v>2953</v>
      </c>
      <c r="I62" s="77" t="n">
        <f aca="false">IF(H62="","",G62-H62)</f>
        <v>-124</v>
      </c>
      <c r="J62" s="47" t="n">
        <f aca="false">IF(OR(D62="",D62+G62=0),"",D62/(D62+G62))</f>
        <v>0.728163735946959</v>
      </c>
      <c r="K62" s="47" t="n">
        <f aca="false">IF(E62="","",E62/(E62+H62))</f>
        <v>0.706110668789809</v>
      </c>
      <c r="L62" s="78" t="n">
        <f aca="false">IF(OR(K62="",J62=""),"",(J62-K62)*100)</f>
        <v>2.20530671571499</v>
      </c>
      <c r="M62" s="36" t="n">
        <v>1.45633855732547</v>
      </c>
      <c r="N62" s="36" t="n">
        <v>0.322127322494862</v>
      </c>
      <c r="O62" s="36" t="n">
        <f aca="false">SQRT(M62^2+N62^2)</f>
        <v>1.49153880454064</v>
      </c>
      <c r="P62" s="47" t="n">
        <f aca="false">IF(J62="","",MAX(0,J62-1.96*O62/100))</f>
        <v>0.698929575377962</v>
      </c>
      <c r="Q62" s="47" t="n">
        <f aca="false">IF(J62="","",MIN(1,J62+1.96*O62/100))</f>
        <v>0.757397896515955</v>
      </c>
      <c r="R62" s="32" t="str">
        <f aca="false">IF(L62="","",IF(ABS(L62)&lt;=O62,"Yes","No"))</f>
        <v>No</v>
      </c>
      <c r="S62" s="32" t="str">
        <f aca="false">IF(L62="","",IF(ABS(L62)&lt;=1.96*O62,"Yes","No"))</f>
        <v>Yes</v>
      </c>
      <c r="T62" s="66" t="n">
        <f aca="false">IF(D62="","",ROUND(SQRT(((D62+G62)*O62/100)^2+(J62*(D62+G62)*0.05437)^2),0))</f>
        <v>440</v>
      </c>
      <c r="U62" s="32"/>
    </row>
    <row r="63" customFormat="false" ht="15" hidden="false" customHeight="false" outlineLevel="0" collapsed="false">
      <c r="A63" s="32" t="s">
        <v>249</v>
      </c>
      <c r="B63" s="32" t="s">
        <v>259</v>
      </c>
      <c r="C63" s="32" t="s">
        <v>191</v>
      </c>
      <c r="D63" s="66" t="n">
        <v>5316</v>
      </c>
      <c r="E63" s="66" t="n">
        <v>5038</v>
      </c>
      <c r="F63" s="77" t="n">
        <f aca="false">IF(E63="","",D63-E63)</f>
        <v>278</v>
      </c>
      <c r="G63" s="66" t="n">
        <v>4639</v>
      </c>
      <c r="H63" s="66" t="n">
        <v>4815</v>
      </c>
      <c r="I63" s="77" t="n">
        <f aca="false">IF(H63="","",G63-H63)</f>
        <v>-176</v>
      </c>
      <c r="J63" s="47" t="n">
        <f aca="false">IF(OR(D63="",D63+G63=0),"",D63/(D63+G63))</f>
        <v>0.534003013561025</v>
      </c>
      <c r="K63" s="47" t="n">
        <f aca="false">IF(E63="","",E63/(E63+H63))</f>
        <v>0.511316350350147</v>
      </c>
      <c r="L63" s="78" t="n">
        <f aca="false">IF(OR(K63="",J63=""),"",(J63-K63)*100)</f>
        <v>2.26866632108775</v>
      </c>
      <c r="M63" s="36" t="n">
        <v>1.45633855732547</v>
      </c>
      <c r="N63" s="36" t="n">
        <v>0.322127322494862</v>
      </c>
      <c r="O63" s="36" t="n">
        <f aca="false">SQRT(M63^2+N63^2)</f>
        <v>1.49153880454064</v>
      </c>
      <c r="P63" s="47" t="n">
        <f aca="false">IF(J63="","",MAX(0,J63-1.96*O63/100))</f>
        <v>0.504768852992028</v>
      </c>
      <c r="Q63" s="47" t="n">
        <f aca="false">IF(J63="","",MIN(1,J63+1.96*O63/100))</f>
        <v>0.563237174130021</v>
      </c>
      <c r="R63" s="32" t="str">
        <f aca="false">IF(L63="","",IF(ABS(L63)&lt;=O63,"Yes","No"))</f>
        <v>No</v>
      </c>
      <c r="S63" s="32" t="str">
        <f aca="false">IF(L63="","",IF(ABS(L63)&lt;=1.96*O63,"Yes","No"))</f>
        <v>Yes</v>
      </c>
      <c r="T63" s="66" t="n">
        <f aca="false">IF(D63="","",ROUND(SQRT(((D63+G63)*O63/100)^2+(J63*(D63+G63)*0.05437)^2),0))</f>
        <v>325</v>
      </c>
      <c r="U63" s="32"/>
    </row>
    <row r="64" customFormat="false" ht="15" hidden="false" customHeight="false" outlineLevel="0" collapsed="false">
      <c r="A64" s="32" t="s">
        <v>249</v>
      </c>
      <c r="B64" s="32" t="s">
        <v>260</v>
      </c>
      <c r="C64" s="32" t="s">
        <v>191</v>
      </c>
      <c r="D64" s="66" t="n">
        <v>726</v>
      </c>
      <c r="E64" s="66" t="n">
        <v>768</v>
      </c>
      <c r="F64" s="77" t="n">
        <f aca="false">IF(E64="","",D64-E64)</f>
        <v>-42</v>
      </c>
      <c r="G64" s="66" t="n">
        <v>437</v>
      </c>
      <c r="H64" s="66" t="n">
        <v>460</v>
      </c>
      <c r="I64" s="77" t="n">
        <f aca="false">IF(H64="","",G64-H64)</f>
        <v>-23</v>
      </c>
      <c r="J64" s="47" t="n">
        <f aca="false">IF(OR(D64="",D64+G64=0),"",D64/(D64+G64))</f>
        <v>0.624247635425623</v>
      </c>
      <c r="K64" s="47" t="n">
        <f aca="false">IF(E64="","",E64/(E64+H64))</f>
        <v>0.625407166123778</v>
      </c>
      <c r="L64" s="78" t="n">
        <f aca="false">IF(OR(K64="",J64=""),"",(J64-K64)*100)</f>
        <v>-0.115953069815511</v>
      </c>
      <c r="M64" s="36" t="n">
        <v>2.60296228516591</v>
      </c>
      <c r="N64" s="36" t="n">
        <v>0.322127322494862</v>
      </c>
      <c r="O64" s="36" t="n">
        <f aca="false">SQRT(M64^2+N64^2)</f>
        <v>2.62281884046418</v>
      </c>
      <c r="P64" s="47" t="n">
        <f aca="false">IF(J64="","",MAX(0,J64-1.96*O64/100))</f>
        <v>0.572840386152526</v>
      </c>
      <c r="Q64" s="47" t="n">
        <f aca="false">IF(J64="","",MIN(1,J64+1.96*O64/100))</f>
        <v>0.675654884698721</v>
      </c>
      <c r="R64" s="32" t="str">
        <f aca="false">IF(L64="","",IF(ABS(L64)&lt;=O64,"Yes","No"))</f>
        <v>Yes</v>
      </c>
      <c r="S64" s="32" t="str">
        <f aca="false">IF(L64="","",IF(ABS(L64)&lt;=1.96*O64,"Yes","No"))</f>
        <v>Yes</v>
      </c>
      <c r="T64" s="66" t="n">
        <f aca="false">IF(D64="","",ROUND(SQRT(((D64+G64)*O64/100)^2+(J64*(D64+G64)*0.07717)^2),0))</f>
        <v>64</v>
      </c>
      <c r="U64" s="32"/>
    </row>
    <row r="65" customFormat="false" ht="15" hidden="false" customHeight="false" outlineLevel="0" collapsed="false">
      <c r="A65" s="32" t="s">
        <v>249</v>
      </c>
      <c r="B65" s="32" t="s">
        <v>261</v>
      </c>
      <c r="C65" s="32" t="s">
        <v>191</v>
      </c>
      <c r="D65" s="66" t="n">
        <v>109</v>
      </c>
      <c r="E65" s="66" t="n">
        <v>101</v>
      </c>
      <c r="F65" s="77" t="n">
        <f aca="false">IF(E65="","",D65-E65)</f>
        <v>8</v>
      </c>
      <c r="G65" s="66" t="n">
        <v>93</v>
      </c>
      <c r="H65" s="66" t="n">
        <v>100</v>
      </c>
      <c r="I65" s="77" t="n">
        <f aca="false">IF(H65="","",G65-H65)</f>
        <v>-7</v>
      </c>
      <c r="J65" s="47" t="n">
        <f aca="false">IF(OR(D65="",D65+G65=0),"",D65/(D65+G65))</f>
        <v>0.53960396039604</v>
      </c>
      <c r="K65" s="47" t="n">
        <f aca="false">IF(E65="","",E65/(E65+H65))</f>
        <v>0.502487562189055</v>
      </c>
      <c r="L65" s="78" t="n">
        <f aca="false">IF(OR(K65="",J65=""),"",(J65-K65)*100)</f>
        <v>3.71163982069849</v>
      </c>
      <c r="M65" s="36" t="n">
        <v>2.60296228516591</v>
      </c>
      <c r="N65" s="36" t="n">
        <v>0.322127322494862</v>
      </c>
      <c r="O65" s="36" t="n">
        <f aca="false">SQRT(M65^2+N65^2)</f>
        <v>2.62281884046418</v>
      </c>
      <c r="P65" s="47" t="n">
        <f aca="false">IF(J65="","",MAX(0,J65-1.96*O65/100))</f>
        <v>0.488196711122942</v>
      </c>
      <c r="Q65" s="47" t="n">
        <f aca="false">IF(J65="","",MIN(1,J65+1.96*O65/100))</f>
        <v>0.591011209669138</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249</v>
      </c>
      <c r="B66" s="32" t="s">
        <v>228</v>
      </c>
      <c r="C66" s="32" t="s">
        <v>191</v>
      </c>
      <c r="D66" s="66" t="n">
        <v>4258</v>
      </c>
      <c r="E66" s="66" t="n">
        <v>4234</v>
      </c>
      <c r="F66" s="77" t="n">
        <f aca="false">IF(E66="","",D66-E66)</f>
        <v>24</v>
      </c>
      <c r="G66" s="66" t="n">
        <v>3687</v>
      </c>
      <c r="H66" s="66" t="n">
        <v>3699</v>
      </c>
      <c r="I66" s="77" t="n">
        <f aca="false">IF(H66="","",G66-H66)</f>
        <v>-12</v>
      </c>
      <c r="J66" s="47" t="n">
        <f aca="false">IF(OR(D66="",D66+G66=0),"",D66/(D66+G66))</f>
        <v>0.535934550031466</v>
      </c>
      <c r="K66" s="47" t="n">
        <f aca="false">IF(E66="","",E66/(E66+H66))</f>
        <v>0.533719904197655</v>
      </c>
      <c r="L66" s="78" t="n">
        <f aca="false">IF(OR(K66="",J66=""),"",(J66-K66)*100)</f>
        <v>0.221464583381092</v>
      </c>
      <c r="M66" s="36" t="n">
        <v>1.45633855732547</v>
      </c>
      <c r="N66" s="36" t="n">
        <v>0.322127322494862</v>
      </c>
      <c r="O66" s="36" t="n">
        <f aca="false">SQRT(M66^2+N66^2)</f>
        <v>1.49153880454064</v>
      </c>
      <c r="P66" s="47" t="n">
        <f aca="false">IF(J66="","",MAX(0,J66-1.96*O66/100))</f>
        <v>0.50670038946247</v>
      </c>
      <c r="Q66" s="47" t="n">
        <f aca="false">IF(J66="","",MIN(1,J66+1.96*O66/100))</f>
        <v>0.565168710600463</v>
      </c>
      <c r="R66" s="32" t="str">
        <f aca="false">IF(L66="","",IF(ABS(L66)&lt;=O66,"Yes","No"))</f>
        <v>Yes</v>
      </c>
      <c r="S66" s="32" t="str">
        <f aca="false">IF(L66="","",IF(ABS(L66)&lt;=1.96*O66,"Yes","No"))</f>
        <v>Yes</v>
      </c>
      <c r="T66" s="66" t="n">
        <f aca="false">IF(D66="","",ROUND(SQRT(((D66+G66)*O66/100)^2+(J66*(D66+G66)*0.05437)^2),0))</f>
        <v>260</v>
      </c>
      <c r="U66" s="32"/>
    </row>
    <row r="67" customFormat="false" ht="15" hidden="false" customHeight="false" outlineLevel="0" collapsed="false">
      <c r="A67" s="32" t="s">
        <v>249</v>
      </c>
      <c r="B67" s="32" t="s">
        <v>262</v>
      </c>
      <c r="C67" s="32" t="s">
        <v>191</v>
      </c>
      <c r="D67" s="66" t="n">
        <v>1766</v>
      </c>
      <c r="E67" s="66" t="n">
        <v>1646</v>
      </c>
      <c r="F67" s="77" t="n">
        <f aca="false">IF(E67="","",D67-E67)</f>
        <v>120</v>
      </c>
      <c r="G67" s="66" t="n">
        <v>1539</v>
      </c>
      <c r="H67" s="66" t="n">
        <v>1608</v>
      </c>
      <c r="I67" s="77" t="n">
        <f aca="false">IF(H67="","",G67-H67)</f>
        <v>-69</v>
      </c>
      <c r="J67" s="47" t="n">
        <f aca="false">IF(OR(D67="",D67+G67=0),"",D67/(D67+G67))</f>
        <v>0.534341906202723</v>
      </c>
      <c r="K67" s="47" t="n">
        <f aca="false">IF(E67="","",E67/(E67+H67))</f>
        <v>0.505838967424708</v>
      </c>
      <c r="L67" s="78" t="n">
        <f aca="false">IF(OR(K67="",J67=""),"",(J67-K67)*100)</f>
        <v>2.85029387780151</v>
      </c>
      <c r="M67" s="36" t="n">
        <v>1.44715751761421</v>
      </c>
      <c r="N67" s="36" t="n">
        <v>0.322127322494862</v>
      </c>
      <c r="O67" s="36" t="n">
        <f aca="false">SQRT(M67^2+N67^2)</f>
        <v>1.48257576288196</v>
      </c>
      <c r="P67" s="47" t="n">
        <f aca="false">IF(J67="","",MAX(0,J67-1.96*O67/100))</f>
        <v>0.505283421250237</v>
      </c>
      <c r="Q67" s="47" t="n">
        <f aca="false">IF(J67="","",MIN(1,J67+1.96*O67/100))</f>
        <v>0.56340039115521</v>
      </c>
      <c r="R67" s="32" t="str">
        <f aca="false">IF(L67="","",IF(ABS(L67)&lt;=O67,"Yes","No"))</f>
        <v>No</v>
      </c>
      <c r="S67" s="32" t="str">
        <f aca="false">IF(L67="","",IF(ABS(L67)&lt;=1.96*O67,"Yes","No"))</f>
        <v>Yes</v>
      </c>
      <c r="T67" s="66" t="n">
        <f aca="false">IF(D67="","",ROUND(SQRT(((D67+G67)*O67/100)^2+(J67*(D67+G67)*0.05992)^2),0))</f>
        <v>117</v>
      </c>
      <c r="U67" s="32"/>
    </row>
    <row r="68" customFormat="false" ht="15" hidden="false" customHeight="false" outlineLevel="0" collapsed="false">
      <c r="A68" s="32" t="s">
        <v>249</v>
      </c>
      <c r="B68" s="32" t="s">
        <v>263</v>
      </c>
      <c r="C68" s="32" t="s">
        <v>191</v>
      </c>
      <c r="D68" s="66" t="n">
        <v>2347</v>
      </c>
      <c r="E68" s="66" t="n">
        <v>2137</v>
      </c>
      <c r="F68" s="77" t="n">
        <f aca="false">IF(E68="","",D68-E68)</f>
        <v>210</v>
      </c>
      <c r="G68" s="66" t="n">
        <v>4080</v>
      </c>
      <c r="H68" s="66" t="n">
        <v>4258</v>
      </c>
      <c r="I68" s="77" t="n">
        <f aca="false">IF(H68="","",G68-H68)</f>
        <v>-178</v>
      </c>
      <c r="J68" s="47" t="n">
        <f aca="false">IF(OR(D68="",D68+G68=0),"",D68/(D68+G68))</f>
        <v>0.365178154660028</v>
      </c>
      <c r="K68" s="47" t="n">
        <f aca="false">IF(E68="","",E68/(E68+H68))</f>
        <v>0.334167318217357</v>
      </c>
      <c r="L68" s="78" t="n">
        <f aca="false">IF(OR(K68="",J68=""),"",(J68-K68)*100)</f>
        <v>3.10108364426707</v>
      </c>
      <c r="M68" s="36" t="n">
        <v>1.45633855732547</v>
      </c>
      <c r="N68" s="36" t="n">
        <v>0.322127322494862</v>
      </c>
      <c r="O68" s="36" t="n">
        <f aca="false">SQRT(M68^2+N68^2)</f>
        <v>1.49153880454064</v>
      </c>
      <c r="P68" s="47" t="n">
        <f aca="false">IF(J68="","",MAX(0,J68-1.96*O68/100))</f>
        <v>0.335943994091031</v>
      </c>
      <c r="Q68" s="47" t="n">
        <f aca="false">IF(J68="","",MIN(1,J68+1.96*O68/100))</f>
        <v>0.394412315229025</v>
      </c>
      <c r="R68" s="32" t="str">
        <f aca="false">IF(L68="","",IF(ABS(L68)&lt;=O68,"Yes","No"))</f>
        <v>No</v>
      </c>
      <c r="S68" s="32" t="str">
        <f aca="false">IF(L68="","",IF(ABS(L68)&lt;=1.96*O68,"Yes","No"))</f>
        <v>No</v>
      </c>
      <c r="T68" s="66" t="n">
        <f aca="false">IF(D68="","",ROUND(SQRT(((D68+G68)*O68/100)^2+(J68*(D68+G68)*0.05437)^2),0))</f>
        <v>160</v>
      </c>
      <c r="U68" s="32"/>
    </row>
    <row r="69" customFormat="false" ht="15" hidden="false" customHeight="false" outlineLevel="0" collapsed="false">
      <c r="A69" s="32" t="s">
        <v>249</v>
      </c>
      <c r="B69" s="32" t="s">
        <v>264</v>
      </c>
      <c r="C69" s="32" t="s">
        <v>191</v>
      </c>
      <c r="D69" s="66" t="n">
        <v>669</v>
      </c>
      <c r="E69" s="66" t="n">
        <v>580</v>
      </c>
      <c r="F69" s="77" t="n">
        <f aca="false">IF(E69="","",D69-E69)</f>
        <v>89</v>
      </c>
      <c r="G69" s="66" t="n">
        <v>1116</v>
      </c>
      <c r="H69" s="66" t="n">
        <v>1159</v>
      </c>
      <c r="I69" s="77" t="n">
        <f aca="false">IF(H69="","",G69-H69)</f>
        <v>-43</v>
      </c>
      <c r="J69" s="47" t="n">
        <f aca="false">IF(OR(D69="",D69+G69=0),"",D69/(D69+G69))</f>
        <v>0.374789915966387</v>
      </c>
      <c r="K69" s="47" t="n">
        <f aca="false">IF(E69="","",E69/(E69+H69))</f>
        <v>0.333525014376078</v>
      </c>
      <c r="L69" s="78" t="n">
        <f aca="false">IF(OR(K69="",J69=""),"",(J69-K69)*100)</f>
        <v>4.12649015903083</v>
      </c>
      <c r="M69" s="36" t="n">
        <v>1.44715751761421</v>
      </c>
      <c r="N69" s="36" t="n">
        <v>0.322127322494862</v>
      </c>
      <c r="O69" s="36" t="n">
        <f aca="false">SQRT(M69^2+N69^2)</f>
        <v>1.48257576288196</v>
      </c>
      <c r="P69" s="47" t="n">
        <f aca="false">IF(J69="","",MAX(0,J69-1.96*O69/100))</f>
        <v>0.3457314310139</v>
      </c>
      <c r="Q69" s="47" t="n">
        <f aca="false">IF(J69="","",MIN(1,J69+1.96*O69/100))</f>
        <v>0.403848400918873</v>
      </c>
      <c r="R69" s="32" t="str">
        <f aca="false">IF(L69="","",IF(ABS(L69)&lt;=O69,"Yes","No"))</f>
        <v>No</v>
      </c>
      <c r="S69" s="32" t="str">
        <f aca="false">IF(L69="","",IF(ABS(L69)&lt;=1.96*O69,"Yes","No"))</f>
        <v>No</v>
      </c>
      <c r="T69" s="66" t="n">
        <f aca="false">IF(D69="","",ROUND(SQRT(((D69+G69)*O69/100)^2+(J69*(D69+G69)*0.05992)^2),0))</f>
        <v>48</v>
      </c>
      <c r="U69" s="32"/>
    </row>
    <row r="70" customFormat="false" ht="15" hidden="false" customHeight="false" outlineLevel="0" collapsed="false">
      <c r="A70" s="32" t="s">
        <v>249</v>
      </c>
      <c r="B70" s="32" t="s">
        <v>265</v>
      </c>
      <c r="C70" s="32" t="s">
        <v>191</v>
      </c>
      <c r="D70" s="66" t="n">
        <v>1924</v>
      </c>
      <c r="E70" s="66" t="n">
        <v>1879</v>
      </c>
      <c r="F70" s="77" t="n">
        <f aca="false">IF(E70="","",D70-E70)</f>
        <v>45</v>
      </c>
      <c r="G70" s="66" t="n">
        <v>2511</v>
      </c>
      <c r="H70" s="66" t="n">
        <v>2565</v>
      </c>
      <c r="I70" s="77" t="n">
        <f aca="false">IF(H70="","",G70-H70)</f>
        <v>-54</v>
      </c>
      <c r="J70" s="47" t="n">
        <f aca="false">IF(OR(D70="",D70+G70=0),"",D70/(D70+G70))</f>
        <v>0.433821871476888</v>
      </c>
      <c r="K70" s="47" t="n">
        <f aca="false">IF(E70="","",E70/(E70+H70))</f>
        <v>0.422817281728173</v>
      </c>
      <c r="L70" s="78" t="n">
        <f aca="false">IF(OR(K70="",J70=""),"",(J70-K70)*100)</f>
        <v>1.10045897487155</v>
      </c>
      <c r="M70" s="36" t="n">
        <v>1.45633855732547</v>
      </c>
      <c r="N70" s="36" t="n">
        <v>0.322127322494862</v>
      </c>
      <c r="O70" s="36" t="n">
        <f aca="false">SQRT(M70^2+N70^2)</f>
        <v>1.49153880454064</v>
      </c>
      <c r="P70" s="47" t="n">
        <f aca="false">IF(J70="","",MAX(0,J70-1.96*O70/100))</f>
        <v>0.404587710907892</v>
      </c>
      <c r="Q70" s="47" t="n">
        <f aca="false">IF(J70="","",MIN(1,J70+1.96*O70/100))</f>
        <v>0.463056032045885</v>
      </c>
      <c r="R70" s="32" t="str">
        <f aca="false">IF(L70="","",IF(ABS(L70)&lt;=O70,"Yes","No"))</f>
        <v>Yes</v>
      </c>
      <c r="S70" s="32" t="str">
        <f aca="false">IF(L70="","",IF(ABS(L70)&lt;=1.96*O70,"Yes","No"))</f>
        <v>Yes</v>
      </c>
      <c r="T70" s="66" t="n">
        <f aca="false">IF(D70="","",ROUND(SQRT(((D70+G70)*O70/100)^2+(J70*(D70+G70)*0.05437)^2),0))</f>
        <v>124</v>
      </c>
      <c r="U70" s="32"/>
    </row>
    <row r="71" customFormat="false" ht="15" hidden="false" customHeight="false" outlineLevel="0" collapsed="false">
      <c r="A71" s="32" t="s">
        <v>249</v>
      </c>
      <c r="B71" s="32" t="s">
        <v>266</v>
      </c>
      <c r="C71" s="32" t="s">
        <v>191</v>
      </c>
      <c r="D71" s="66" t="n">
        <v>3536</v>
      </c>
      <c r="E71" s="66" t="n">
        <v>3370</v>
      </c>
      <c r="F71" s="77" t="n">
        <f aca="false">IF(E71="","",D71-E71)</f>
        <v>166</v>
      </c>
      <c r="G71" s="66" t="n">
        <v>3704</v>
      </c>
      <c r="H71" s="66" t="n">
        <v>3831</v>
      </c>
      <c r="I71" s="77" t="n">
        <f aca="false">IF(H71="","",G71-H71)</f>
        <v>-127</v>
      </c>
      <c r="J71" s="47" t="n">
        <f aca="false">IF(OR(D71="",D71+G71=0),"",D71/(D71+G71))</f>
        <v>0.488397790055249</v>
      </c>
      <c r="K71" s="47" t="n">
        <f aca="false">IF(E71="","",E71/(E71+H71))</f>
        <v>0.467990556867102</v>
      </c>
      <c r="L71" s="78" t="n">
        <f aca="false">IF(OR(K71="",J71=""),"",(J71-K71)*100)</f>
        <v>2.04072331881469</v>
      </c>
      <c r="M71" s="36" t="n">
        <v>1.45633855732547</v>
      </c>
      <c r="N71" s="36" t="n">
        <v>0.322127322494862</v>
      </c>
      <c r="O71" s="36" t="n">
        <f aca="false">SQRT(M71^2+N71^2)</f>
        <v>1.49153880454064</v>
      </c>
      <c r="P71" s="47" t="n">
        <f aca="false">IF(J71="","",MAX(0,J71-1.96*O71/100))</f>
        <v>0.459163629486252</v>
      </c>
      <c r="Q71" s="47" t="n">
        <f aca="false">IF(J71="","",MIN(1,J71+1.96*O71/100))</f>
        <v>0.517631950624245</v>
      </c>
      <c r="R71" s="32" t="str">
        <f aca="false">IF(L71="","",IF(ABS(L71)&lt;=O71,"Yes","No"))</f>
        <v>No</v>
      </c>
      <c r="S71" s="32" t="str">
        <f aca="false">IF(L71="","",IF(ABS(L71)&lt;=1.96*O71,"Yes","No"))</f>
        <v>Yes</v>
      </c>
      <c r="T71" s="66" t="n">
        <f aca="false">IF(D71="","",ROUND(SQRT(((D71+G71)*O71/100)^2+(J71*(D71+G71)*0.05437)^2),0))</f>
        <v>221</v>
      </c>
      <c r="U71" s="32"/>
    </row>
    <row r="72" customFormat="false" ht="15" hidden="false" customHeight="false" outlineLevel="0" collapsed="false">
      <c r="A72" s="32" t="s">
        <v>249</v>
      </c>
      <c r="B72" s="32" t="s">
        <v>267</v>
      </c>
      <c r="C72" s="32" t="s">
        <v>191</v>
      </c>
      <c r="D72" s="66" t="n">
        <v>2093</v>
      </c>
      <c r="E72" s="66" t="n">
        <v>1920</v>
      </c>
      <c r="F72" s="77" t="n">
        <f aca="false">IF(E72="","",D72-E72)</f>
        <v>173</v>
      </c>
      <c r="G72" s="66" t="n">
        <v>3804</v>
      </c>
      <c r="H72" s="66" t="n">
        <v>3865</v>
      </c>
      <c r="I72" s="77" t="n">
        <f aca="false">IF(H72="","",G72-H72)</f>
        <v>-61</v>
      </c>
      <c r="J72" s="47" t="n">
        <f aca="false">IF(OR(D72="",D72+G72=0),"",D72/(D72+G72))</f>
        <v>0.354926233678141</v>
      </c>
      <c r="K72" s="47" t="n">
        <f aca="false">IF(E72="","",E72/(E72+H72))</f>
        <v>0.331892826274849</v>
      </c>
      <c r="L72" s="78" t="n">
        <f aca="false">IF(OR(K72="",J72=""),"",(J72-K72)*100)</f>
        <v>2.30334074032927</v>
      </c>
      <c r="M72" s="36" t="n">
        <v>1.45633855732547</v>
      </c>
      <c r="N72" s="36" t="n">
        <v>0.322127322494862</v>
      </c>
      <c r="O72" s="36" t="n">
        <f aca="false">SQRT(M72^2+N72^2)</f>
        <v>1.49153880454064</v>
      </c>
      <c r="P72" s="47" t="n">
        <f aca="false">IF(J72="","",MAX(0,J72-1.96*O72/100))</f>
        <v>0.325692073109145</v>
      </c>
      <c r="Q72" s="47" t="n">
        <f aca="false">IF(J72="","",MIN(1,J72+1.96*O72/100))</f>
        <v>0.384160394247138</v>
      </c>
      <c r="R72" s="32" t="str">
        <f aca="false">IF(L72="","",IF(ABS(L72)&lt;=O72,"Yes","No"))</f>
        <v>No</v>
      </c>
      <c r="S72" s="32" t="str">
        <f aca="false">IF(L72="","",IF(ABS(L72)&lt;=1.96*O72,"Yes","No"))</f>
        <v>Yes</v>
      </c>
      <c r="T72" s="66" t="n">
        <f aca="false">IF(D72="","",ROUND(SQRT(((D72+G72)*O72/100)^2+(J72*(D72+G72)*0.05437)^2),0))</f>
        <v>144</v>
      </c>
      <c r="U72" s="32"/>
    </row>
    <row r="73" customFormat="false" ht="15" hidden="false" customHeight="false" outlineLevel="0" collapsed="false">
      <c r="A73" s="32" t="s">
        <v>249</v>
      </c>
      <c r="B73" s="32" t="s">
        <v>268</v>
      </c>
      <c r="C73" s="32" t="s">
        <v>191</v>
      </c>
      <c r="D73" s="66" t="n">
        <v>1636</v>
      </c>
      <c r="E73" s="66" t="n">
        <v>1490</v>
      </c>
      <c r="F73" s="77" t="n">
        <f aca="false">IF(E73="","",D73-E73)</f>
        <v>146</v>
      </c>
      <c r="G73" s="66" t="n">
        <v>1573</v>
      </c>
      <c r="H73" s="66" t="n">
        <v>1627</v>
      </c>
      <c r="I73" s="77" t="n">
        <f aca="false">IF(H73="","",G73-H73)</f>
        <v>-54</v>
      </c>
      <c r="J73" s="47" t="n">
        <f aca="false">IF(OR(D73="",D73+G73=0),"",D73/(D73+G73))</f>
        <v>0.509816142100343</v>
      </c>
      <c r="K73" s="47" t="n">
        <f aca="false">IF(E73="","",E73/(E73+H73))</f>
        <v>0.478023740776388</v>
      </c>
      <c r="L73" s="78" t="n">
        <f aca="false">IF(OR(K73="",J73=""),"",(J73-K73)*100)</f>
        <v>3.17924013239552</v>
      </c>
      <c r="M73" s="36" t="n">
        <v>1.44715751761421</v>
      </c>
      <c r="N73" s="36" t="n">
        <v>0.322127322494862</v>
      </c>
      <c r="O73" s="36" t="n">
        <f aca="false">SQRT(M73^2+N73^2)</f>
        <v>1.48257576288196</v>
      </c>
      <c r="P73" s="47" t="n">
        <f aca="false">IF(J73="","",MAX(0,J73-1.96*O73/100))</f>
        <v>0.480757657147856</v>
      </c>
      <c r="Q73" s="47" t="n">
        <f aca="false">IF(J73="","",MIN(1,J73+1.96*O73/100))</f>
        <v>0.538874627052829</v>
      </c>
      <c r="R73" s="32" t="str">
        <f aca="false">IF(L73="","",IF(ABS(L73)&lt;=O73,"Yes","No"))</f>
        <v>No</v>
      </c>
      <c r="S73" s="32" t="str">
        <f aca="false">IF(L73="","",IF(ABS(L73)&lt;=1.96*O73,"Yes","No"))</f>
        <v>No</v>
      </c>
      <c r="T73" s="66" t="n">
        <f aca="false">IF(D73="","",ROUND(SQRT(((D73+G73)*O73/100)^2+(J73*(D73+G73)*0.05992)^2),0))</f>
        <v>109</v>
      </c>
      <c r="U73" s="32"/>
    </row>
    <row r="74" customFormat="false" ht="15" hidden="false" customHeight="false" outlineLevel="0" collapsed="false">
      <c r="A74" s="32" t="s">
        <v>249</v>
      </c>
      <c r="B74" s="32" t="s">
        <v>269</v>
      </c>
      <c r="C74" s="32" t="s">
        <v>191</v>
      </c>
      <c r="D74" s="66" t="n">
        <v>763</v>
      </c>
      <c r="E74" s="66" t="n">
        <v>731</v>
      </c>
      <c r="F74" s="77" t="n">
        <f aca="false">IF(E74="","",D74-E74)</f>
        <v>32</v>
      </c>
      <c r="G74" s="66" t="n">
        <v>776</v>
      </c>
      <c r="H74" s="66" t="n">
        <v>843</v>
      </c>
      <c r="I74" s="77" t="n">
        <f aca="false">IF(H74="","",G74-H74)</f>
        <v>-67</v>
      </c>
      <c r="J74" s="47" t="n">
        <f aca="false">IF(OR(D74="",D74+G74=0),"",D74/(D74+G74))</f>
        <v>0.495776478232619</v>
      </c>
      <c r="K74" s="47" t="n">
        <f aca="false">IF(E74="","",E74/(E74+H74))</f>
        <v>0.464421855146125</v>
      </c>
      <c r="L74" s="78" t="n">
        <f aca="false">IF(OR(K74="",J74=""),"",(J74-K74)*100)</f>
        <v>3.13546230864941</v>
      </c>
      <c r="M74" s="36" t="n">
        <v>1.44715751761421</v>
      </c>
      <c r="N74" s="36" t="n">
        <v>0.322127322494862</v>
      </c>
      <c r="O74" s="36" t="n">
        <f aca="false">SQRT(M74^2+N74^2)</f>
        <v>1.48257576288196</v>
      </c>
      <c r="P74" s="47" t="n">
        <f aca="false">IF(J74="","",MAX(0,J74-1.96*O74/100))</f>
        <v>0.466717993280132</v>
      </c>
      <c r="Q74" s="47" t="n">
        <f aca="false">IF(J74="","",MIN(1,J74+1.96*O74/100))</f>
        <v>0.524834963185105</v>
      </c>
      <c r="R74" s="32" t="str">
        <f aca="false">IF(L74="","",IF(ABS(L74)&lt;=O74,"Yes","No"))</f>
        <v>No</v>
      </c>
      <c r="S74" s="32" t="str">
        <f aca="false">IF(L74="","",IF(ABS(L74)&lt;=1.96*O74,"Yes","No"))</f>
        <v>No</v>
      </c>
      <c r="T74" s="66" t="n">
        <f aca="false">IF(D74="","",ROUND(SQRT(((D74+G74)*O74/100)^2+(J74*(D74+G74)*0.05992)^2),0))</f>
        <v>51</v>
      </c>
      <c r="U74" s="32"/>
    </row>
    <row r="75" customFormat="false" ht="15" hidden="false" customHeight="false" outlineLevel="0" collapsed="false">
      <c r="A75" s="32" t="s">
        <v>249</v>
      </c>
      <c r="B75" s="32" t="s">
        <v>270</v>
      </c>
      <c r="C75" s="32" t="s">
        <v>191</v>
      </c>
      <c r="D75" s="66" t="n">
        <v>2583</v>
      </c>
      <c r="E75" s="66" t="n">
        <v>2355</v>
      </c>
      <c r="F75" s="77" t="n">
        <f aca="false">IF(E75="","",D75-E75)</f>
        <v>228</v>
      </c>
      <c r="G75" s="66" t="n">
        <v>2606</v>
      </c>
      <c r="H75" s="66" t="n">
        <v>2934</v>
      </c>
      <c r="I75" s="77" t="n">
        <f aca="false">IF(H75="","",G75-H75)</f>
        <v>-328</v>
      </c>
      <c r="J75" s="47" t="n">
        <f aca="false">IF(OR(D75="",D75+G75=0),"",D75/(D75+G75))</f>
        <v>0.497783773366737</v>
      </c>
      <c r="K75" s="47" t="n">
        <f aca="false">IF(E75="","",E75/(E75+H75))</f>
        <v>0.445263754963131</v>
      </c>
      <c r="L75" s="78" t="n">
        <f aca="false">IF(OR(K75="",J75=""),"",(J75-K75)*100)</f>
        <v>5.25200184036063</v>
      </c>
      <c r="M75" s="36" t="n">
        <v>1.45633855732547</v>
      </c>
      <c r="N75" s="36" t="n">
        <v>0.322127322494862</v>
      </c>
      <c r="O75" s="36" t="n">
        <f aca="false">SQRT(M75^2+N75^2)</f>
        <v>1.49153880454064</v>
      </c>
      <c r="P75" s="47" t="n">
        <f aca="false">IF(J75="","",MAX(0,J75-1.96*O75/100))</f>
        <v>0.468549612797741</v>
      </c>
      <c r="Q75" s="47" t="n">
        <f aca="false">IF(J75="","",MIN(1,J75+1.96*O75/100))</f>
        <v>0.527017933935734</v>
      </c>
      <c r="R75" s="32" t="str">
        <f aca="false">IF(L75="","",IF(ABS(L75)&lt;=O75,"Yes","No"))</f>
        <v>No</v>
      </c>
      <c r="S75" s="32" t="str">
        <f aca="false">IF(L75="","",IF(ABS(L75)&lt;=1.96*O75,"Yes","No"))</f>
        <v>No</v>
      </c>
      <c r="T75" s="66" t="n">
        <f aca="false">IF(D75="","",ROUND(SQRT(((D75+G75)*O75/100)^2+(J75*(D75+G75)*0.05437)^2),0))</f>
        <v>160</v>
      </c>
      <c r="U75" s="32"/>
    </row>
    <row r="76" customFormat="false" ht="15" hidden="false" customHeight="false" outlineLevel="0" collapsed="false">
      <c r="A76" s="32" t="s">
        <v>249</v>
      </c>
      <c r="B76" s="32" t="s">
        <v>271</v>
      </c>
      <c r="C76" s="32" t="s">
        <v>191</v>
      </c>
      <c r="D76" s="66" t="n">
        <v>7083</v>
      </c>
      <c r="E76" s="66" t="n">
        <v>6698</v>
      </c>
      <c r="F76" s="77" t="n">
        <f aca="false">IF(E76="","",D76-E76)</f>
        <v>385</v>
      </c>
      <c r="G76" s="66" t="n">
        <v>6164</v>
      </c>
      <c r="H76" s="66" t="n">
        <v>6630</v>
      </c>
      <c r="I76" s="77" t="n">
        <f aca="false">IF(H76="","",G76-H76)</f>
        <v>-466</v>
      </c>
      <c r="J76" s="47" t="n">
        <f aca="false">IF(OR(D76="",D76+G76=0),"",D76/(D76+G76))</f>
        <v>0.534687098965804</v>
      </c>
      <c r="K76" s="47" t="n">
        <f aca="false">IF(E76="","",E76/(E76+H76))</f>
        <v>0.502551020408163</v>
      </c>
      <c r="L76" s="78" t="n">
        <f aca="false">IF(OR(K76="",J76=""),"",(J76-K76)*100)</f>
        <v>3.21360785576403</v>
      </c>
      <c r="M76" s="36" t="n">
        <v>1.45633855732547</v>
      </c>
      <c r="N76" s="36" t="n">
        <v>0.322127322494862</v>
      </c>
      <c r="O76" s="36" t="n">
        <f aca="false">SQRT(M76^2+N76^2)</f>
        <v>1.49153880454064</v>
      </c>
      <c r="P76" s="47" t="n">
        <f aca="false">IF(J76="","",MAX(0,J76-1.96*O76/100))</f>
        <v>0.505452938396807</v>
      </c>
      <c r="Q76" s="47" t="n">
        <f aca="false">IF(J76="","",MIN(1,J76+1.96*O76/100))</f>
        <v>0.5639212595348</v>
      </c>
      <c r="R76" s="32" t="str">
        <f aca="false">IF(L76="","",IF(ABS(L76)&lt;=O76,"Yes","No"))</f>
        <v>No</v>
      </c>
      <c r="S76" s="32" t="str">
        <f aca="false">IF(L76="","",IF(ABS(L76)&lt;=1.96*O76,"Yes","No"))</f>
        <v>No</v>
      </c>
      <c r="T76" s="66" t="n">
        <f aca="false">IF(D76="","",ROUND(SQRT(((D76+G76)*O76/100)^2+(J76*(D76+G76)*0.05437)^2),0))</f>
        <v>433</v>
      </c>
      <c r="U76" s="32"/>
    </row>
    <row r="77" customFormat="false" ht="15" hidden="false" customHeight="false" outlineLevel="0" collapsed="false">
      <c r="A77" s="32" t="s">
        <v>249</v>
      </c>
      <c r="B77" s="32" t="s">
        <v>272</v>
      </c>
      <c r="C77" s="32" t="s">
        <v>191</v>
      </c>
      <c r="D77" s="66" t="n">
        <v>709</v>
      </c>
      <c r="E77" s="66" t="n">
        <v>678</v>
      </c>
      <c r="F77" s="77" t="n">
        <f aca="false">IF(E77="","",D77-E77)</f>
        <v>31</v>
      </c>
      <c r="G77" s="66" t="n">
        <v>1094</v>
      </c>
      <c r="H77" s="66" t="n">
        <v>1089</v>
      </c>
      <c r="I77" s="77" t="n">
        <f aca="false">IF(H77="","",G77-H77)</f>
        <v>5</v>
      </c>
      <c r="J77" s="47" t="n">
        <f aca="false">IF(OR(D77="",D77+G77=0),"",D77/(D77+G77))</f>
        <v>0.393233499722684</v>
      </c>
      <c r="K77" s="47" t="n">
        <f aca="false">IF(E77="","",E77/(E77+H77))</f>
        <v>0.383701188455009</v>
      </c>
      <c r="L77" s="78" t="n">
        <f aca="false">IF(OR(K77="",J77=""),"",(J77-K77)*100)</f>
        <v>0.95323112676759</v>
      </c>
      <c r="M77" s="36" t="n">
        <v>1.44715751761421</v>
      </c>
      <c r="N77" s="36" t="n">
        <v>0.322127322494862</v>
      </c>
      <c r="O77" s="36" t="n">
        <f aca="false">SQRT(M77^2+N77^2)</f>
        <v>1.48257576288196</v>
      </c>
      <c r="P77" s="47" t="n">
        <f aca="false">IF(J77="","",MAX(0,J77-1.96*O77/100))</f>
        <v>0.364175014770198</v>
      </c>
      <c r="Q77" s="47" t="n">
        <f aca="false">IF(J77="","",MIN(1,J77+1.96*O77/100))</f>
        <v>0.422291984675171</v>
      </c>
      <c r="R77" s="32" t="str">
        <f aca="false">IF(L77="","",IF(ABS(L77)&lt;=O77,"Yes","No"))</f>
        <v>Yes</v>
      </c>
      <c r="S77" s="32" t="str">
        <f aca="false">IF(L77="","",IF(ABS(L77)&lt;=1.96*O77,"Yes","No"))</f>
        <v>Yes</v>
      </c>
      <c r="T77" s="66" t="n">
        <f aca="false">IF(D77="","",ROUND(SQRT(((D77+G77)*O77/100)^2+(J77*(D77+G77)*0.05992)^2),0))</f>
        <v>50</v>
      </c>
      <c r="U77" s="32"/>
    </row>
    <row r="78" customFormat="false" ht="15" hidden="false" customHeight="false" outlineLevel="0" collapsed="false">
      <c r="A78" s="32" t="s">
        <v>249</v>
      </c>
      <c r="B78" s="32" t="s">
        <v>273</v>
      </c>
      <c r="C78" s="32" t="s">
        <v>191</v>
      </c>
      <c r="D78" s="66" t="n">
        <v>1400</v>
      </c>
      <c r="E78" s="66" t="n">
        <v>1368</v>
      </c>
      <c r="F78" s="77" t="n">
        <f aca="false">IF(E78="","",D78-E78)</f>
        <v>32</v>
      </c>
      <c r="G78" s="66" t="n">
        <v>2460</v>
      </c>
      <c r="H78" s="66" t="n">
        <v>2520</v>
      </c>
      <c r="I78" s="77" t="n">
        <f aca="false">IF(H78="","",G78-H78)</f>
        <v>-60</v>
      </c>
      <c r="J78" s="47" t="n">
        <f aca="false">IF(OR(D78="",D78+G78=0),"",D78/(D78+G78))</f>
        <v>0.362694300518135</v>
      </c>
      <c r="K78" s="47" t="n">
        <f aca="false">IF(E78="","",E78/(E78+H78))</f>
        <v>0.351851851851852</v>
      </c>
      <c r="L78" s="78" t="n">
        <f aca="false">IF(OR(K78="",J78=""),"",(J78-K78)*100)</f>
        <v>1.08424486662829</v>
      </c>
      <c r="M78" s="36" t="n">
        <v>1.45633855732547</v>
      </c>
      <c r="N78" s="36" t="n">
        <v>0.322127322494862</v>
      </c>
      <c r="O78" s="36" t="n">
        <f aca="false">SQRT(M78^2+N78^2)</f>
        <v>1.49153880454064</v>
      </c>
      <c r="P78" s="47" t="n">
        <f aca="false">IF(J78="","",MAX(0,J78-1.96*O78/100))</f>
        <v>0.333460139949138</v>
      </c>
      <c r="Q78" s="47" t="n">
        <f aca="false">IF(J78="","",MIN(1,J78+1.96*O78/100))</f>
        <v>0.391928461087131</v>
      </c>
      <c r="R78" s="32" t="str">
        <f aca="false">IF(L78="","",IF(ABS(L78)&lt;=O78,"Yes","No"))</f>
        <v>Yes</v>
      </c>
      <c r="S78" s="32" t="str">
        <f aca="false">IF(L78="","",IF(ABS(L78)&lt;=1.96*O78,"Yes","No"))</f>
        <v>Yes</v>
      </c>
      <c r="T78" s="66" t="n">
        <f aca="false">IF(D78="","",ROUND(SQRT(((D78+G78)*O78/100)^2+(J78*(D78+G78)*0.05437)^2),0))</f>
        <v>95</v>
      </c>
      <c r="U78" s="32"/>
    </row>
    <row r="79" customFormat="false" ht="15" hidden="false" customHeight="false" outlineLevel="0" collapsed="false">
      <c r="A79" s="32" t="s">
        <v>249</v>
      </c>
      <c r="B79" s="32" t="s">
        <v>274</v>
      </c>
      <c r="C79" s="32" t="s">
        <v>191</v>
      </c>
      <c r="D79" s="66" t="n">
        <v>95</v>
      </c>
      <c r="E79" s="66" t="n">
        <v>82</v>
      </c>
      <c r="F79" s="77" t="n">
        <f aca="false">IF(E79="","",D79-E79)</f>
        <v>13</v>
      </c>
      <c r="G79" s="66" t="n">
        <v>168</v>
      </c>
      <c r="H79" s="66" t="n">
        <v>171</v>
      </c>
      <c r="I79" s="77" t="n">
        <f aca="false">IF(H79="","",G79-H79)</f>
        <v>-3</v>
      </c>
      <c r="J79" s="47" t="n">
        <f aca="false">IF(OR(D79="",D79+G79=0),"",D79/(D79+G79))</f>
        <v>0.361216730038023</v>
      </c>
      <c r="K79" s="47" t="n">
        <f aca="false">IF(E79="","",E79/(E79+H79))</f>
        <v>0.324110671936759</v>
      </c>
      <c r="L79" s="78" t="n">
        <f aca="false">IF(OR(K79="",J79=""),"",(J79-K79)*100)</f>
        <v>3.71060581012639</v>
      </c>
      <c r="M79" s="36" t="n">
        <v>2.60296228516591</v>
      </c>
      <c r="N79" s="36" t="n">
        <v>0.322127322494862</v>
      </c>
      <c r="O79" s="36" t="n">
        <f aca="false">SQRT(M79^2+N79^2)</f>
        <v>2.62281884046418</v>
      </c>
      <c r="P79" s="47" t="n">
        <f aca="false">IF(J79="","",MAX(0,J79-1.96*O79/100))</f>
        <v>0.309809480764925</v>
      </c>
      <c r="Q79" s="47" t="n">
        <f aca="false">IF(J79="","",MIN(1,J79+1.96*O79/100))</f>
        <v>0.412623979311121</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249</v>
      </c>
      <c r="B80" s="32" t="s">
        <v>275</v>
      </c>
      <c r="C80" s="32" t="s">
        <v>191</v>
      </c>
      <c r="D80" s="66" t="n">
        <v>351</v>
      </c>
      <c r="E80" s="66" t="n">
        <v>331</v>
      </c>
      <c r="F80" s="77" t="n">
        <f aca="false">IF(E80="","",D80-E80)</f>
        <v>20</v>
      </c>
      <c r="G80" s="66" t="n">
        <v>536</v>
      </c>
      <c r="H80" s="66" t="n">
        <v>571</v>
      </c>
      <c r="I80" s="77" t="n">
        <f aca="false">IF(H80="","",G80-H80)</f>
        <v>-35</v>
      </c>
      <c r="J80" s="47" t="n">
        <f aca="false">IF(OR(D80="",D80+G80=0),"",D80/(D80+G80))</f>
        <v>0.395715896279594</v>
      </c>
      <c r="K80" s="47" t="n">
        <f aca="false">IF(E80="","",E80/(E80+H80))</f>
        <v>0.366962305986696</v>
      </c>
      <c r="L80" s="78" t="n">
        <f aca="false">IF(OR(K80="",J80=""),"",(J80-K80)*100)</f>
        <v>2.87535902928979</v>
      </c>
      <c r="M80" s="36" t="n">
        <v>2.60296228516591</v>
      </c>
      <c r="N80" s="36" t="n">
        <v>0.322127322494862</v>
      </c>
      <c r="O80" s="36" t="n">
        <f aca="false">SQRT(M80^2+N80^2)</f>
        <v>2.62281884046418</v>
      </c>
      <c r="P80" s="47" t="n">
        <f aca="false">IF(J80="","",MAX(0,J80-1.96*O80/100))</f>
        <v>0.344308647006496</v>
      </c>
      <c r="Q80" s="47" t="n">
        <f aca="false">IF(J80="","",MIN(1,J80+1.96*O80/100))</f>
        <v>0.447123145552692</v>
      </c>
      <c r="R80" s="32" t="str">
        <f aca="false">IF(L80="","",IF(ABS(L80)&lt;=O80,"Yes","No"))</f>
        <v>No</v>
      </c>
      <c r="S80" s="32" t="str">
        <f aca="false">IF(L80="","",IF(ABS(L80)&lt;=1.96*O80,"Yes","No"))</f>
        <v>Yes</v>
      </c>
      <c r="T80" s="66" t="n">
        <f aca="false">IF(D80="","",ROUND(SQRT(((D80+G80)*O80/100)^2+(J80*(D80+G80)*0.07717)^2),0))</f>
        <v>36</v>
      </c>
      <c r="U80" s="32"/>
    </row>
    <row r="81" customFormat="false" ht="15" hidden="false" customHeight="false" outlineLevel="0" collapsed="false">
      <c r="A81" s="32" t="s">
        <v>249</v>
      </c>
      <c r="B81" s="32" t="s">
        <v>276</v>
      </c>
      <c r="C81" s="32" t="s">
        <v>191</v>
      </c>
      <c r="D81" s="66" t="n">
        <v>226</v>
      </c>
      <c r="E81" s="66" t="n">
        <v>212</v>
      </c>
      <c r="F81" s="77" t="n">
        <f aca="false">IF(E81="","",D81-E81)</f>
        <v>14</v>
      </c>
      <c r="G81" s="66" t="n">
        <v>299</v>
      </c>
      <c r="H81" s="66" t="n">
        <v>308</v>
      </c>
      <c r="I81" s="77" t="n">
        <f aca="false">IF(H81="","",G81-H81)</f>
        <v>-9</v>
      </c>
      <c r="J81" s="47" t="n">
        <f aca="false">IF(OR(D81="",D81+G81=0),"",D81/(D81+G81))</f>
        <v>0.43047619047619</v>
      </c>
      <c r="K81" s="47" t="n">
        <f aca="false">IF(E81="","",E81/(E81+H81))</f>
        <v>0.407692307692308</v>
      </c>
      <c r="L81" s="78" t="n">
        <f aca="false">IF(OR(K81="",J81=""),"",(J81-K81)*100)</f>
        <v>2.27838827838828</v>
      </c>
      <c r="M81" s="36" t="n">
        <v>2.60296228516591</v>
      </c>
      <c r="N81" s="36" t="n">
        <v>0.322127322494862</v>
      </c>
      <c r="O81" s="36" t="n">
        <f aca="false">SQRT(M81^2+N81^2)</f>
        <v>2.62281884046418</v>
      </c>
      <c r="P81" s="47" t="n">
        <f aca="false">IF(J81="","",MAX(0,J81-1.96*O81/100))</f>
        <v>0.379068941203093</v>
      </c>
      <c r="Q81" s="47" t="n">
        <f aca="false">IF(J81="","",MIN(1,J81+1.96*O81/100))</f>
        <v>0.481883439749288</v>
      </c>
      <c r="R81" s="32" t="str">
        <f aca="false">IF(L81="","",IF(ABS(L81)&lt;=O81,"Yes","No"))</f>
        <v>Yes</v>
      </c>
      <c r="S81" s="32" t="str">
        <f aca="false">IF(L81="","",IF(ABS(L81)&lt;=1.96*O81,"Yes","No"))</f>
        <v>Yes</v>
      </c>
      <c r="T81" s="66" t="n">
        <f aca="false">IF(D81="","",ROUND(SQRT(((D81+G81)*O81/100)^2+(J81*(D81+G81)*0.07717)^2),0))</f>
        <v>22</v>
      </c>
      <c r="U81" s="32"/>
    </row>
    <row r="82" customFormat="false" ht="15" hidden="false" customHeight="false" outlineLevel="0" collapsed="false">
      <c r="A82" s="32" t="s">
        <v>249</v>
      </c>
      <c r="B82" s="32" t="s">
        <v>277</v>
      </c>
      <c r="C82" s="32" t="s">
        <v>191</v>
      </c>
      <c r="D82" s="66" t="n">
        <v>298</v>
      </c>
      <c r="E82" s="66" t="n">
        <v>272</v>
      </c>
      <c r="F82" s="77" t="n">
        <f aca="false">IF(E82="","",D82-E82)</f>
        <v>26</v>
      </c>
      <c r="G82" s="66" t="n">
        <v>389</v>
      </c>
      <c r="H82" s="66" t="n">
        <v>400</v>
      </c>
      <c r="I82" s="77" t="n">
        <f aca="false">IF(H82="","",G82-H82)</f>
        <v>-11</v>
      </c>
      <c r="J82" s="47" t="n">
        <f aca="false">IF(OR(D82="",D82+G82=0),"",D82/(D82+G82))</f>
        <v>0.433770014556041</v>
      </c>
      <c r="K82" s="47" t="n">
        <f aca="false">IF(E82="","",E82/(E82+H82))</f>
        <v>0.404761904761905</v>
      </c>
      <c r="L82" s="78" t="n">
        <f aca="false">IF(OR(K82="",J82=""),"",(J82-K82)*100)</f>
        <v>2.9008109794136</v>
      </c>
      <c r="M82" s="36" t="n">
        <v>2.60296228516591</v>
      </c>
      <c r="N82" s="36" t="n">
        <v>0.322127322494862</v>
      </c>
      <c r="O82" s="36" t="n">
        <f aca="false">SQRT(M82^2+N82^2)</f>
        <v>2.62281884046418</v>
      </c>
      <c r="P82" s="47" t="n">
        <f aca="false">IF(J82="","",MAX(0,J82-1.96*O82/100))</f>
        <v>0.382362765282943</v>
      </c>
      <c r="Q82" s="47" t="n">
        <f aca="false">IF(J82="","",MIN(1,J82+1.96*O82/100))</f>
        <v>0.485177263829139</v>
      </c>
      <c r="R82" s="32" t="str">
        <f aca="false">IF(L82="","",IF(ABS(L82)&lt;=O82,"Yes","No"))</f>
        <v>No</v>
      </c>
      <c r="S82" s="32" t="str">
        <f aca="false">IF(L82="","",IF(ABS(L82)&lt;=1.96*O82,"Yes","No"))</f>
        <v>Yes</v>
      </c>
      <c r="T82" s="66" t="n">
        <f aca="false">IF(D82="","",ROUND(SQRT(((D82+G82)*O82/100)^2+(J82*(D82+G82)*0.07717)^2),0))</f>
        <v>29</v>
      </c>
      <c r="U82" s="32"/>
    </row>
    <row r="83" customFormat="false" ht="15" hidden="false" customHeight="false" outlineLevel="0" collapsed="false">
      <c r="A83" s="32" t="s">
        <v>249</v>
      </c>
      <c r="B83" s="32" t="s">
        <v>278</v>
      </c>
      <c r="C83" s="32" t="s">
        <v>191</v>
      </c>
      <c r="D83" s="66" t="n">
        <v>1324</v>
      </c>
      <c r="E83" s="66" t="n">
        <v>1207</v>
      </c>
      <c r="F83" s="77" t="n">
        <f aca="false">IF(E83="","",D83-E83)</f>
        <v>117</v>
      </c>
      <c r="G83" s="66" t="n">
        <v>2582</v>
      </c>
      <c r="H83" s="66" t="n">
        <v>2601</v>
      </c>
      <c r="I83" s="77" t="n">
        <f aca="false">IF(H83="","",G83-H83)</f>
        <v>-19</v>
      </c>
      <c r="J83" s="47" t="n">
        <f aca="false">IF(OR(D83="",D83+G83=0),"",D83/(D83+G83))</f>
        <v>0.338965693804404</v>
      </c>
      <c r="K83" s="47" t="n">
        <f aca="false">IF(E83="","",E83/(E83+H83))</f>
        <v>0.316964285714286</v>
      </c>
      <c r="L83" s="78" t="n">
        <f aca="false">IF(OR(K83="",J83=""),"",(J83-K83)*100)</f>
        <v>2.20014080901178</v>
      </c>
      <c r="M83" s="36" t="n">
        <v>1.45633855732547</v>
      </c>
      <c r="N83" s="36" t="n">
        <v>0.322127322494862</v>
      </c>
      <c r="O83" s="36" t="n">
        <f aca="false">SQRT(M83^2+N83^2)</f>
        <v>1.49153880454064</v>
      </c>
      <c r="P83" s="47" t="n">
        <f aca="false">IF(J83="","",MAX(0,J83-1.96*O83/100))</f>
        <v>0.309731533235407</v>
      </c>
      <c r="Q83" s="47" t="n">
        <f aca="false">IF(J83="","",MIN(1,J83+1.96*O83/100))</f>
        <v>0.3681998543734</v>
      </c>
      <c r="R83" s="32" t="str">
        <f aca="false">IF(L83="","",IF(ABS(L83)&lt;=O83,"Yes","No"))</f>
        <v>No</v>
      </c>
      <c r="S83" s="32" t="str">
        <f aca="false">IF(L83="","",IF(ABS(L83)&lt;=1.96*O83,"Yes","No"))</f>
        <v>Yes</v>
      </c>
      <c r="T83" s="66" t="n">
        <f aca="false">IF(D83="","",ROUND(SQRT(((D83+G83)*O83/100)^2+(J83*(D83+G83)*0.05437)^2),0))</f>
        <v>93</v>
      </c>
      <c r="U83" s="32"/>
    </row>
    <row r="84" customFormat="false" ht="15" hidden="false" customHeight="false" outlineLevel="0" collapsed="false">
      <c r="A84" s="32" t="s">
        <v>249</v>
      </c>
      <c r="B84" s="32" t="s">
        <v>279</v>
      </c>
      <c r="C84" s="32" t="s">
        <v>191</v>
      </c>
      <c r="D84" s="66" t="n">
        <v>1931</v>
      </c>
      <c r="E84" s="66" t="n">
        <v>1838</v>
      </c>
      <c r="F84" s="77" t="n">
        <f aca="false">IF(E84="","",D84-E84)</f>
        <v>93</v>
      </c>
      <c r="G84" s="66" t="n">
        <v>2059</v>
      </c>
      <c r="H84" s="66" t="n">
        <v>2112</v>
      </c>
      <c r="I84" s="77" t="n">
        <f aca="false">IF(H84="","",G84-H84)</f>
        <v>-53</v>
      </c>
      <c r="J84" s="47" t="n">
        <f aca="false">IF(OR(D84="",D84+G84=0),"",D84/(D84+G84))</f>
        <v>0.483959899749373</v>
      </c>
      <c r="K84" s="47" t="n">
        <f aca="false">IF(E84="","",E84/(E84+H84))</f>
        <v>0.465316455696203</v>
      </c>
      <c r="L84" s="78" t="n">
        <f aca="false">IF(OR(K84="",J84=""),"",(J84-K84)*100)</f>
        <v>1.86434440531709</v>
      </c>
      <c r="M84" s="36" t="n">
        <v>1.45633855732547</v>
      </c>
      <c r="N84" s="36" t="n">
        <v>0.322127322494862</v>
      </c>
      <c r="O84" s="36" t="n">
        <f aca="false">SQRT(M84^2+N84^2)</f>
        <v>1.49153880454064</v>
      </c>
      <c r="P84" s="47" t="n">
        <f aca="false">IF(J84="","",MAX(0,J84-1.96*O84/100))</f>
        <v>0.454725739180377</v>
      </c>
      <c r="Q84" s="47" t="n">
        <f aca="false">IF(J84="","",MIN(1,J84+1.96*O84/100))</f>
        <v>0.51319406031837</v>
      </c>
      <c r="R84" s="32" t="str">
        <f aca="false">IF(L84="","",IF(ABS(L84)&lt;=O84,"Yes","No"))</f>
        <v>No</v>
      </c>
      <c r="S84" s="32" t="str">
        <f aca="false">IF(L84="","",IF(ABS(L84)&lt;=1.96*O84,"Yes","No"))</f>
        <v>Yes</v>
      </c>
      <c r="T84" s="66" t="n">
        <f aca="false">IF(D84="","",ROUND(SQRT(((D84+G84)*O84/100)^2+(J84*(D84+G84)*0.05437)^2),0))</f>
        <v>121</v>
      </c>
      <c r="U84" s="32"/>
    </row>
    <row r="85" customFormat="false" ht="15" hidden="false" customHeight="false" outlineLevel="0" collapsed="false">
      <c r="A85" s="32" t="s">
        <v>249</v>
      </c>
      <c r="B85" s="32" t="s">
        <v>280</v>
      </c>
      <c r="C85" s="32" t="s">
        <v>191</v>
      </c>
      <c r="D85" s="66" t="n">
        <v>429</v>
      </c>
      <c r="E85" s="66" t="n">
        <v>379</v>
      </c>
      <c r="F85" s="77" t="n">
        <f aca="false">IF(E85="","",D85-E85)</f>
        <v>50</v>
      </c>
      <c r="G85" s="66" t="n">
        <v>567</v>
      </c>
      <c r="H85" s="66" t="n">
        <v>605</v>
      </c>
      <c r="I85" s="77" t="n">
        <f aca="false">IF(H85="","",G85-H85)</f>
        <v>-38</v>
      </c>
      <c r="J85" s="47" t="n">
        <f aca="false">IF(OR(D85="",D85+G85=0),"",D85/(D85+G85))</f>
        <v>0.430722891566265</v>
      </c>
      <c r="K85" s="47" t="n">
        <f aca="false">IF(E85="","",E85/(E85+H85))</f>
        <v>0.385162601626016</v>
      </c>
      <c r="L85" s="78" t="n">
        <f aca="false">IF(OR(K85="",J85=""),"",(J85-K85)*100)</f>
        <v>4.55602899402488</v>
      </c>
      <c r="M85" s="36" t="n">
        <v>2.60296228516591</v>
      </c>
      <c r="N85" s="36" t="n">
        <v>0.322127322494862</v>
      </c>
      <c r="O85" s="36" t="n">
        <f aca="false">SQRT(M85^2+N85^2)</f>
        <v>2.62281884046418</v>
      </c>
      <c r="P85" s="47" t="n">
        <f aca="false">IF(J85="","",MAX(0,J85-1.96*O85/100))</f>
        <v>0.379315642293167</v>
      </c>
      <c r="Q85" s="47" t="n">
        <f aca="false">IF(J85="","",MIN(1,J85+1.96*O85/100))</f>
        <v>0.482130140839363</v>
      </c>
      <c r="R85" s="32" t="str">
        <f aca="false">IF(L85="","",IF(ABS(L85)&lt;=O85,"Yes","No"))</f>
        <v>No</v>
      </c>
      <c r="S85" s="32" t="str">
        <f aca="false">IF(L85="","",IF(ABS(L85)&lt;=1.96*O85,"Yes","No"))</f>
        <v>Yes</v>
      </c>
      <c r="T85" s="66" t="n">
        <f aca="false">IF(D85="","",ROUND(SQRT(((D85+G85)*O85/100)^2+(J85*(D85+G85)*0.07717)^2),0))</f>
        <v>42</v>
      </c>
      <c r="U85" s="32"/>
    </row>
    <row r="86" customFormat="false" ht="15" hidden="false" customHeight="false" outlineLevel="0" collapsed="false">
      <c r="A86" s="32" t="s">
        <v>249</v>
      </c>
      <c r="B86" s="32" t="s">
        <v>242</v>
      </c>
      <c r="C86" s="32" t="s">
        <v>191</v>
      </c>
      <c r="D86" s="66" t="n">
        <v>1109</v>
      </c>
      <c r="E86" s="66" t="n">
        <v>1032</v>
      </c>
      <c r="F86" s="77" t="n">
        <f aca="false">IF(E86="","",D86-E86)</f>
        <v>77</v>
      </c>
      <c r="G86" s="66" t="n">
        <v>1945</v>
      </c>
      <c r="H86" s="66" t="n">
        <v>1971</v>
      </c>
      <c r="I86" s="77" t="n">
        <f aca="false">IF(H86="","",G86-H86)</f>
        <v>-26</v>
      </c>
      <c r="J86" s="47" t="n">
        <f aca="false">IF(OR(D86="",D86+G86=0),"",D86/(D86+G86))</f>
        <v>0.363130320890635</v>
      </c>
      <c r="K86" s="47" t="n">
        <f aca="false">IF(E86="","",E86/(E86+H86))</f>
        <v>0.343656343656344</v>
      </c>
      <c r="L86" s="78" t="n">
        <f aca="false">IF(OR(K86="",J86=""),"",(J86-K86)*100)</f>
        <v>1.94739772342916</v>
      </c>
      <c r="M86" s="36" t="n">
        <v>1.44715751761421</v>
      </c>
      <c r="N86" s="36" t="n">
        <v>0.322127322494862</v>
      </c>
      <c r="O86" s="36" t="n">
        <f aca="false">SQRT(M86^2+N86^2)</f>
        <v>1.48257576288196</v>
      </c>
      <c r="P86" s="47" t="n">
        <f aca="false">IF(J86="","",MAX(0,J86-1.96*O86/100))</f>
        <v>0.334071835938149</v>
      </c>
      <c r="Q86" s="47" t="n">
        <f aca="false">IF(J86="","",MIN(1,J86+1.96*O86/100))</f>
        <v>0.392188805843122</v>
      </c>
      <c r="R86" s="32" t="str">
        <f aca="false">IF(L86="","",IF(ABS(L86)&lt;=O86,"Yes","No"))</f>
        <v>No</v>
      </c>
      <c r="S86" s="32" t="str">
        <f aca="false">IF(L86="","",IF(ABS(L86)&lt;=1.96*O86,"Yes","No"))</f>
        <v>Yes</v>
      </c>
      <c r="T86" s="66" t="n">
        <f aca="false">IF(D86="","",ROUND(SQRT(((D86+G86)*O86/100)^2+(J86*(D86+G86)*0.05992)^2),0))</f>
        <v>80</v>
      </c>
      <c r="U86" s="32"/>
    </row>
    <row r="87" customFormat="false" ht="15" hidden="false" customHeight="false" outlineLevel="0" collapsed="false">
      <c r="A87" s="32" t="s">
        <v>249</v>
      </c>
      <c r="B87" s="32" t="s">
        <v>281</v>
      </c>
      <c r="C87" s="32" t="s">
        <v>191</v>
      </c>
      <c r="D87" s="66" t="n">
        <v>275</v>
      </c>
      <c r="E87" s="66" t="n">
        <v>249</v>
      </c>
      <c r="F87" s="77" t="n">
        <f aca="false">IF(E87="","",D87-E87)</f>
        <v>26</v>
      </c>
      <c r="G87" s="66" t="n">
        <v>285</v>
      </c>
      <c r="H87" s="66" t="n">
        <v>326</v>
      </c>
      <c r="I87" s="77" t="n">
        <f aca="false">IF(H87="","",G87-H87)</f>
        <v>-41</v>
      </c>
      <c r="J87" s="47" t="n">
        <f aca="false">IF(OR(D87="",D87+G87=0),"",D87/(D87+G87))</f>
        <v>0.491071428571429</v>
      </c>
      <c r="K87" s="47" t="n">
        <f aca="false">IF(E87="","",E87/(E87+H87))</f>
        <v>0.43304347826087</v>
      </c>
      <c r="L87" s="78" t="n">
        <f aca="false">IF(OR(K87="",J87=""),"",(J87-K87)*100)</f>
        <v>5.8027950310559</v>
      </c>
      <c r="M87" s="36" t="n">
        <v>2.60296228516591</v>
      </c>
      <c r="N87" s="36" t="n">
        <v>0.322127322494862</v>
      </c>
      <c r="O87" s="36" t="n">
        <f aca="false">SQRT(M87^2+N87^2)</f>
        <v>2.62281884046418</v>
      </c>
      <c r="P87" s="47" t="n">
        <f aca="false">IF(J87="","",MAX(0,J87-1.96*O87/100))</f>
        <v>0.439664179298331</v>
      </c>
      <c r="Q87" s="47" t="n">
        <f aca="false">IF(J87="","",MIN(1,J87+1.96*O87/100))</f>
        <v>0.542478677844526</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249</v>
      </c>
      <c r="B88" s="32" t="s">
        <v>282</v>
      </c>
      <c r="C88" s="32" t="s">
        <v>191</v>
      </c>
      <c r="D88" s="66" t="n">
        <v>1849</v>
      </c>
      <c r="E88" s="66" t="n">
        <v>1767</v>
      </c>
      <c r="F88" s="77" t="n">
        <f aca="false">IF(E88="","",D88-E88)</f>
        <v>82</v>
      </c>
      <c r="G88" s="66" t="n">
        <v>2355</v>
      </c>
      <c r="H88" s="66" t="n">
        <v>2379</v>
      </c>
      <c r="I88" s="77" t="n">
        <f aca="false">IF(H88="","",G88-H88)</f>
        <v>-24</v>
      </c>
      <c r="J88" s="47" t="n">
        <f aca="false">IF(OR(D88="",D88+G88=0),"",D88/(D88+G88))</f>
        <v>0.439819219790676</v>
      </c>
      <c r="K88" s="47" t="n">
        <f aca="false">IF(E88="","",E88/(E88+H88))</f>
        <v>0.426193921852388</v>
      </c>
      <c r="L88" s="78" t="n">
        <f aca="false">IF(OR(K88="",J88=""),"",(J88-K88)*100)</f>
        <v>1.36252979382877</v>
      </c>
      <c r="M88" s="36" t="n">
        <v>1.45633855732547</v>
      </c>
      <c r="N88" s="36" t="n">
        <v>0.322127322494862</v>
      </c>
      <c r="O88" s="36" t="n">
        <f aca="false">SQRT(M88^2+N88^2)</f>
        <v>1.49153880454064</v>
      </c>
      <c r="P88" s="47" t="n">
        <f aca="false">IF(J88="","",MAX(0,J88-1.96*O88/100))</f>
        <v>0.410585059221679</v>
      </c>
      <c r="Q88" s="47" t="n">
        <f aca="false">IF(J88="","",MIN(1,J88+1.96*O88/100))</f>
        <v>0.469053380359672</v>
      </c>
      <c r="R88" s="32" t="str">
        <f aca="false">IF(L88="","",IF(ABS(L88)&lt;=O88,"Yes","No"))</f>
        <v>Yes</v>
      </c>
      <c r="S88" s="32" t="str">
        <f aca="false">IF(L88="","",IF(ABS(L88)&lt;=1.96*O88,"Yes","No"))</f>
        <v>Yes</v>
      </c>
      <c r="T88" s="66" t="n">
        <f aca="false">IF(D88="","",ROUND(SQRT(((D88+G88)*O88/100)^2+(J88*(D88+G88)*0.05437)^2),0))</f>
        <v>118</v>
      </c>
      <c r="U88" s="32"/>
    </row>
    <row r="89" customFormat="false" ht="15" hidden="false" customHeight="false" outlineLevel="0" collapsed="false">
      <c r="A89" s="32" t="s">
        <v>249</v>
      </c>
      <c r="B89" s="32" t="s">
        <v>283</v>
      </c>
      <c r="C89" s="32" t="s">
        <v>191</v>
      </c>
      <c r="D89" s="66" t="n">
        <v>2001</v>
      </c>
      <c r="E89" s="66" t="n">
        <v>1908</v>
      </c>
      <c r="F89" s="77" t="n">
        <f aca="false">IF(E89="","",D89-E89)</f>
        <v>93</v>
      </c>
      <c r="G89" s="66" t="n">
        <v>1454</v>
      </c>
      <c r="H89" s="66" t="n">
        <v>1518</v>
      </c>
      <c r="I89" s="77" t="n">
        <f aca="false">IF(H89="","",G89-H89)</f>
        <v>-64</v>
      </c>
      <c r="J89" s="47" t="n">
        <f aca="false">IF(OR(D89="",D89+G89=0),"",D89/(D89+G89))</f>
        <v>0.579160636758321</v>
      </c>
      <c r="K89" s="47" t="n">
        <f aca="false">IF(E89="","",E89/(E89+H89))</f>
        <v>0.5569176882662</v>
      </c>
      <c r="L89" s="78" t="n">
        <f aca="false">IF(OR(K89="",J89=""),"",(J89-K89)*100)</f>
        <v>2.22429484921216</v>
      </c>
      <c r="M89" s="36" t="n">
        <v>1.44715751761421</v>
      </c>
      <c r="N89" s="36" t="n">
        <v>0.322127322494862</v>
      </c>
      <c r="O89" s="36" t="n">
        <f aca="false">SQRT(M89^2+N89^2)</f>
        <v>1.48257576288196</v>
      </c>
      <c r="P89" s="47" t="n">
        <f aca="false">IF(J89="","",MAX(0,J89-1.96*O89/100))</f>
        <v>0.550102151805835</v>
      </c>
      <c r="Q89" s="47" t="n">
        <f aca="false">IF(J89="","",MIN(1,J89+1.96*O89/100))</f>
        <v>0.608219121710808</v>
      </c>
      <c r="R89" s="32" t="str">
        <f aca="false">IF(L89="","",IF(ABS(L89)&lt;=O89,"Yes","No"))</f>
        <v>No</v>
      </c>
      <c r="S89" s="32" t="str">
        <f aca="false">IF(L89="","",IF(ABS(L89)&lt;=1.96*O89,"Yes","No"))</f>
        <v>Yes</v>
      </c>
      <c r="T89" s="66" t="n">
        <f aca="false">IF(D89="","",ROUND(SQRT(((D89+G89)*O89/100)^2+(J89*(D89+G89)*0.05992)^2),0))</f>
        <v>130</v>
      </c>
      <c r="U89" s="32"/>
    </row>
    <row r="90" customFormat="false" ht="15" hidden="false" customHeight="false" outlineLevel="0" collapsed="false">
      <c r="A90" s="32" t="s">
        <v>249</v>
      </c>
      <c r="B90" s="32" t="s">
        <v>284</v>
      </c>
      <c r="C90" s="32" t="s">
        <v>191</v>
      </c>
      <c r="D90" s="66" t="n">
        <v>561</v>
      </c>
      <c r="E90" s="66" t="n">
        <v>508</v>
      </c>
      <c r="F90" s="77" t="n">
        <f aca="false">IF(E90="","",D90-E90)</f>
        <v>53</v>
      </c>
      <c r="G90" s="66" t="n">
        <v>707</v>
      </c>
      <c r="H90" s="66" t="n">
        <v>791</v>
      </c>
      <c r="I90" s="77" t="n">
        <f aca="false">IF(H90="","",G90-H90)</f>
        <v>-84</v>
      </c>
      <c r="J90" s="47" t="n">
        <f aca="false">IF(OR(D90="",D90+G90=0),"",D90/(D90+G90))</f>
        <v>0.442429022082019</v>
      </c>
      <c r="K90" s="47" t="n">
        <f aca="false">IF(E90="","",E90/(E90+H90))</f>
        <v>0.391070053887606</v>
      </c>
      <c r="L90" s="78" t="n">
        <f aca="false">IF(OR(K90="",J90=""),"",(J90-K90)*100)</f>
        <v>5.13589681944131</v>
      </c>
      <c r="M90" s="36" t="n">
        <v>2.60296228516591</v>
      </c>
      <c r="N90" s="36" t="n">
        <v>0.322127322494862</v>
      </c>
      <c r="O90" s="36" t="n">
        <f aca="false">SQRT(M90^2+N90^2)</f>
        <v>2.62281884046418</v>
      </c>
      <c r="P90" s="47" t="n">
        <f aca="false">IF(J90="","",MAX(0,J90-1.96*O90/100))</f>
        <v>0.391021772808921</v>
      </c>
      <c r="Q90" s="47" t="n">
        <f aca="false">IF(J90="","",MIN(1,J90+1.96*O90/100))</f>
        <v>0.493836271355117</v>
      </c>
      <c r="R90" s="32" t="str">
        <f aca="false">IF(L90="","",IF(ABS(L90)&lt;=O90,"Yes","No"))</f>
        <v>No</v>
      </c>
      <c r="S90" s="32" t="str">
        <f aca="false">IF(L90="","",IF(ABS(L90)&lt;=1.96*O90,"Yes","No"))</f>
        <v>Yes</v>
      </c>
      <c r="T90" s="66" t="n">
        <f aca="false">IF(D90="","",ROUND(SQRT(((D90+G90)*O90/100)^2+(J90*(D90+G90)*0.07717)^2),0))</f>
        <v>55</v>
      </c>
      <c r="U90" s="32"/>
    </row>
    <row r="92" customFormat="false" ht="15" hidden="false" customHeight="false" outlineLevel="0" collapsed="false">
      <c r="A92" s="20" t="s">
        <v>419</v>
      </c>
      <c r="B92" s="44"/>
      <c r="C92" s="44"/>
      <c r="D92" s="79" t="n">
        <f aca="false">SUMIF(E2:E90,"&lt;&gt;",D2:D90)</f>
        <v>200954</v>
      </c>
      <c r="E92" s="79" t="n">
        <f aca="false">SUM(E2:E90)</f>
        <v>193125</v>
      </c>
      <c r="F92" s="80" t="n">
        <f aca="false">D92-E92</f>
        <v>7829</v>
      </c>
      <c r="G92" s="79" t="n">
        <f aca="false">SUMIF(H2:H90,"&lt;&gt;",G2:G90)</f>
        <v>189801</v>
      </c>
      <c r="H92" s="79" t="n">
        <f aca="false">SUM(H2:H90)</f>
        <v>195380</v>
      </c>
      <c r="I92" s="80" t="n">
        <f aca="false">G92-H92</f>
        <v>-5579</v>
      </c>
      <c r="J92" s="46" t="n">
        <f aca="false">D92/(D92+G92)</f>
        <v>0.514271090581055</v>
      </c>
      <c r="K92" s="46" t="n">
        <f aca="false">E92/(E92+H92)</f>
        <v>0.497097849448527</v>
      </c>
      <c r="L92" s="81" t="n">
        <f aca="false">(J92-K92)*100</f>
        <v>1.71732411325276</v>
      </c>
      <c r="M92" s="45" t="n">
        <v>0</v>
      </c>
      <c r="N92" s="45" t="n">
        <v>0.322127322494862</v>
      </c>
      <c r="O92" s="45" t="n">
        <f aca="false">SQRT(M92^2+N92^2)</f>
        <v>0.322127322494862</v>
      </c>
      <c r="P92" s="46" t="n">
        <f aca="false">J92-1.96*O92/100</f>
        <v>0.507957395060155</v>
      </c>
      <c r="Q92" s="46" t="n">
        <f aca="false">J92+1.96*O92/100</f>
        <v>0.520584786101954</v>
      </c>
      <c r="R92" s="44" t="str">
        <f aca="false">IF(ABS(L92)&lt;=O92,"Yes","No")</f>
        <v>No</v>
      </c>
      <c r="S92" s="44" t="str">
        <f aca="false">IF(ABS(L92)&lt;=1.96*O92,"Yes","No")</f>
        <v>No</v>
      </c>
      <c r="T92" s="79" t="n">
        <f aca="false">ROUND(SQRT(((D92+G92)*O92/100)^2+(J92*(D92+G92)*0.04267)^2),0)</f>
        <v>8667</v>
      </c>
    </row>
    <row r="93" customFormat="false" ht="15" hidden="false" customHeight="false" outlineLevel="0" collapsed="false">
      <c r="A93" s="20" t="s">
        <v>420</v>
      </c>
      <c r="B93" s="44"/>
      <c r="C93" s="44"/>
      <c r="D93" s="79" t="n">
        <f aca="false">SUM(D2:D90)</f>
        <v>200954</v>
      </c>
      <c r="E93" s="79"/>
      <c r="F93" s="80"/>
      <c r="G93" s="79" t="n">
        <f aca="false">SUM(G2:G90)</f>
        <v>189801</v>
      </c>
      <c r="H93" s="79"/>
      <c r="I93" s="80"/>
      <c r="J93" s="46" t="n">
        <f aca="false">D93/(D93+G93)</f>
        <v>0.514271090581055</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98.123595505618</v>
      </c>
    </row>
    <row r="96" customFormat="false" ht="15" hidden="false" customHeight="false" outlineLevel="0" collapsed="false">
      <c r="A96" s="2" t="s">
        <v>422</v>
      </c>
      <c r="F96" s="82" t="n">
        <f aca="false">(SUMIF(I2:I90,"&gt;0")-SUMIF(I2:I90,"&lt;0"))/COUNT(I2:I90)</f>
        <v>78.123595505618</v>
      </c>
    </row>
    <row r="97" customFormat="false" ht="15" hidden="false" customHeight="false" outlineLevel="0" collapsed="false">
      <c r="A97" s="2" t="s">
        <v>423</v>
      </c>
      <c r="F97" s="83" t="n">
        <f aca="false">(SUMIF(L2:L90,"&gt;0")-SUMIF(L2:L90,"&lt;0"))/COUNT(L2:L90)</f>
        <v>2.80159270688358</v>
      </c>
    </row>
    <row r="98" customFormat="false" ht="15" hidden="false" customHeight="false" outlineLevel="0" collapsed="false">
      <c r="A98" s="5" t="s">
        <v>424</v>
      </c>
      <c r="F98" s="84" t="n">
        <f aca="false">SQRT(SUMSQ(L2:L90)/COUNT(L2:L90))</f>
        <v>3.40942534840349</v>
      </c>
    </row>
    <row r="99" customFormat="false" ht="15" hidden="false" customHeight="false" outlineLevel="0" collapsed="false">
      <c r="A99" s="5" t="s">
        <v>425</v>
      </c>
      <c r="F99" s="85" t="n">
        <f aca="false">L92</f>
        <v>1.71732411325276</v>
      </c>
    </row>
    <row r="100" customFormat="false" ht="15" hidden="false" customHeight="false" outlineLevel="0" collapsed="false">
      <c r="A100" s="5" t="s">
        <v>426</v>
      </c>
      <c r="F100" s="84" t="n">
        <f aca="false">SQRT((SUMSQ(L2:L90)-2*L92*SUM(L2:L90)+COUNT(L2:L90)*L92^2)/COUNT(L2:L90))</f>
        <v>2.32184641070956</v>
      </c>
    </row>
    <row r="101" customFormat="false" ht="15" hidden="false" customHeight="false" outlineLevel="0" collapsed="false">
      <c r="A101" s="2" t="s">
        <v>427</v>
      </c>
      <c r="F101" s="86" t="n">
        <f aca="false">D92/E92-1</f>
        <v>0.0405385113268608</v>
      </c>
    </row>
    <row r="102" customFormat="false" ht="15" hidden="false" customHeight="false" outlineLevel="0" collapsed="false">
      <c r="A102" s="5" t="s">
        <v>428</v>
      </c>
      <c r="F102" s="87" t="n">
        <f aca="false">G92/H92-1</f>
        <v>-0.0285546115262565</v>
      </c>
    </row>
    <row r="103" customFormat="false" ht="15" hidden="false" customHeight="false" outlineLevel="0" collapsed="false">
      <c r="A103" s="2" t="s">
        <v>429</v>
      </c>
      <c r="F103" s="86" t="n">
        <f aca="false">(D92+G92)/(E92+H92)-1</f>
        <v>0.00579143125571102</v>
      </c>
    </row>
    <row r="104" customFormat="false" ht="15" hidden="false" customHeight="false" outlineLevel="0" collapsed="false">
      <c r="A104" s="2" t="s">
        <v>430</v>
      </c>
      <c r="F104" s="83" t="n">
        <f aca="false">AVERAGE(O2:O90)</f>
        <v>1.86994861206429</v>
      </c>
    </row>
    <row r="105" customFormat="false" ht="15" hidden="false" customHeight="false" outlineLevel="0" collapsed="false">
      <c r="A105" s="5" t="s">
        <v>431</v>
      </c>
      <c r="F105" s="88" t="n">
        <f aca="false">COUNTIF(R2:R90,"Yes")/(COUNTIF(R2:R90,"Yes")+COUNTIF(R2:R90,"No"))</f>
        <v>0.348314606741573</v>
      </c>
    </row>
    <row r="106" customFormat="false" ht="15" hidden="false" customHeight="false" outlineLevel="0" collapsed="false">
      <c r="A106" s="5" t="s">
        <v>432</v>
      </c>
      <c r="F106" s="88" t="n">
        <f aca="false">COUNTIF(S2:S90,"Yes")/(COUNTIF(S2:S90,"Yes")+COUNTIF(S2:S90,"No"))</f>
        <v>0.719101123595506</v>
      </c>
    </row>
    <row r="107" customFormat="false" ht="15" hidden="false" customHeight="false" outlineLevel="0" collapsed="false">
      <c r="A107" s="2" t="s">
        <v>433</v>
      </c>
      <c r="F107" s="89" t="n">
        <f aca="false">COUNTIFS(L2:L90,"&gt;=-3",L2:L90,"&lt;=3")/COUNT(L2:L90)</f>
        <v>0.629213483146067</v>
      </c>
    </row>
    <row r="108" customFormat="false" ht="15" hidden="false" customHeight="false" outlineLevel="0" collapsed="false">
      <c r="A108" s="2" t="s">
        <v>471</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1118.47016125919</v>
      </c>
    </row>
    <row r="112" customFormat="false" ht="15" hidden="false" customHeight="false" outlineLevel="0" collapsed="false">
      <c r="A112" s="2" t="s">
        <v>438</v>
      </c>
      <c r="F112" s="91" t="n">
        <f aca="false">F92-((D92+G92)-(E92+H92))*K92</f>
        <v>6710.52983874082</v>
      </c>
    </row>
    <row r="113" customFormat="false" ht="15" hidden="false" customHeight="false" outlineLevel="0" collapsed="false">
      <c r="A113" s="2" t="s">
        <v>439</v>
      </c>
      <c r="F113" s="91" t="n">
        <f aca="false">((D92+G92)-(E92+H92))*(1-K92)</f>
        <v>1131.52983874081</v>
      </c>
    </row>
    <row r="114" customFormat="false" ht="15" hidden="false" customHeight="false" outlineLevel="0" collapsed="false">
      <c r="A114" s="2" t="s">
        <v>440</v>
      </c>
      <c r="F114" s="91" t="n">
        <f aca="false">I92-((D92+G92)-(E92+H92))*(1-K92)</f>
        <v>-6710.52983874082</v>
      </c>
    </row>
    <row r="115" customFormat="false" ht="15" hidden="false" customHeight="false" outlineLevel="0" collapsed="false">
      <c r="A115" s="2" t="s">
        <v>441</v>
      </c>
      <c r="F115" s="86" t="n">
        <f aca="false">(F92-((D92+G92)-(E92+H92))*K92)/E92</f>
        <v>0.0347470800711499</v>
      </c>
    </row>
    <row r="116" customFormat="false" ht="15" hidden="false" customHeight="false" outlineLevel="0" collapsed="false">
      <c r="A116" s="2" t="s">
        <v>442</v>
      </c>
      <c r="F116" s="86" t="n">
        <f aca="false">(I92-((D92+G92)-(E92+H92))*(1-K92))/H92</f>
        <v>-0.0343460427819675</v>
      </c>
    </row>
    <row r="118" customFormat="false" ht="15" hidden="false" customHeight="false" outlineLevel="0" collapsed="false">
      <c r="U118" s="5" t="s">
        <v>166</v>
      </c>
    </row>
    <row r="119" customFormat="false" ht="41.75" hidden="false" customHeight="false" outlineLevel="0" collapsed="false">
      <c r="U119" s="76" t="s">
        <v>472</v>
      </c>
    </row>
    <row r="120" customFormat="false" ht="41.75" hidden="false" customHeight="false" outlineLevel="0" collapsed="false">
      <c r="U120" s="76" t="s">
        <v>473</v>
      </c>
    </row>
    <row r="121" customFormat="false" ht="95.5" hidden="false" customHeight="false" outlineLevel="0" collapsed="false">
      <c r="U121" s="76" t="s">
        <v>479</v>
      </c>
    </row>
    <row r="122" customFormat="false" ht="28.35" hidden="false" customHeight="false" outlineLevel="0" collapsed="false">
      <c r="U122" s="76" t="s">
        <v>474</v>
      </c>
    </row>
    <row r="123" customFormat="false" ht="41.75" hidden="false" customHeight="false" outlineLevel="0" collapsed="false">
      <c r="U123" s="76" t="s">
        <v>475</v>
      </c>
    </row>
    <row r="124" customFormat="false" ht="28.35" hidden="false" customHeight="false" outlineLevel="0" collapsed="false">
      <c r="U124" s="76" t="s">
        <v>476</v>
      </c>
    </row>
    <row r="125" customFormat="false" ht="28.35" hidden="false" customHeight="false" outlineLevel="0" collapsed="false">
      <c r="U125" s="76" t="s">
        <v>449</v>
      </c>
    </row>
    <row r="126" customFormat="false" ht="41.75" hidden="false" customHeight="false" outlineLevel="0" collapsed="false">
      <c r="U126" s="76" t="s">
        <v>477</v>
      </c>
    </row>
    <row r="127" customFormat="false" ht="15" hidden="false" customHeight="false" outlineLevel="0" collapsed="false">
      <c r="U127" s="76" t="s">
        <v>478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U127"/>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pane xSplit="3" ySplit="1" topLeftCell="D2" activePane="bottomRight" state="frozen"/>
      <selection pane="topLeft" activeCell="A1" activeCellId="0" sqref="A1"/>
      <selection pane="topRight" activeCell="D1" activeCellId="0" sqref="D1"/>
      <selection pane="bottomLeft" activeCell="A2" activeCellId="0" sqref="A2"/>
      <selection pane="bottomRight" activeCell="A1" activeCellId="0" sqref="A1"/>
    </sheetView>
  </sheetViews>
  <sheetFormatPr defaultColWidth="8.6796875" defaultRowHeight="15" zeroHeight="false" outlineLevelRow="0" outlineLevelCol="0"/>
  <cols>
    <col collapsed="false" customWidth="true" hidden="false" outlineLevel="0" max="1" min="1" style="0" width="14"/>
    <col collapsed="false" customWidth="true" hidden="false" outlineLevel="0" max="2" min="2" style="0" width="26"/>
    <col collapsed="false" customWidth="true" hidden="false" outlineLevel="0" max="3" min="3" style="0" width="20"/>
    <col collapsed="false" customWidth="true" hidden="false" outlineLevel="0" max="4" min="4" style="0" width="13"/>
    <col collapsed="false" customWidth="true" hidden="false" outlineLevel="0" max="5" min="5" style="0" width="12"/>
    <col collapsed="false" customWidth="true" hidden="false" outlineLevel="0" max="7" min="6" style="0" width="13"/>
    <col collapsed="false" customWidth="true" hidden="false" outlineLevel="0" max="8" min="8" style="0" width="12"/>
    <col collapsed="false" customWidth="true" hidden="false" outlineLevel="0" max="11" min="9" style="0" width="13"/>
    <col collapsed="false" customWidth="true" hidden="false" outlineLevel="0" max="12" min="12" style="0" width="14"/>
    <col collapsed="false" customWidth="true" hidden="false" outlineLevel="0" max="14" min="13" style="0" width="13"/>
    <col collapsed="false" customWidth="true" hidden="false" outlineLevel="0" max="19" min="15" style="0" width="11"/>
    <col collapsed="false" customWidth="true" hidden="false" outlineLevel="0" max="20" min="20" style="0" width="13"/>
    <col collapsed="false" customWidth="true" hidden="false" outlineLevel="0" max="21" min="21" style="0" width="90"/>
  </cols>
  <sheetData>
    <row r="1" customFormat="false" ht="75" hidden="false" customHeight="true" outlineLevel="0" collapsed="false">
      <c r="A1" s="8" t="s">
        <v>140</v>
      </c>
      <c r="B1" s="8" t="s">
        <v>141</v>
      </c>
      <c r="C1" s="8" t="s">
        <v>142</v>
      </c>
      <c r="D1" s="8" t="s">
        <v>402</v>
      </c>
      <c r="E1" s="8" t="s">
        <v>403</v>
      </c>
      <c r="F1" s="8" t="s">
        <v>404</v>
      </c>
      <c r="G1" s="8" t="s">
        <v>454</v>
      </c>
      <c r="H1" s="8" t="s">
        <v>406</v>
      </c>
      <c r="I1" s="8" t="s">
        <v>407</v>
      </c>
      <c r="J1" s="8" t="s">
        <v>408</v>
      </c>
      <c r="K1" s="8" t="s">
        <v>409</v>
      </c>
      <c r="L1" s="8" t="s">
        <v>410</v>
      </c>
      <c r="M1" s="8" t="s">
        <v>466</v>
      </c>
      <c r="N1" s="8" t="s">
        <v>467</v>
      </c>
      <c r="O1" s="8" t="s">
        <v>169</v>
      </c>
      <c r="P1" s="8" t="s">
        <v>413</v>
      </c>
      <c r="Q1" s="8" t="s">
        <v>414</v>
      </c>
      <c r="R1" s="8" t="s">
        <v>415</v>
      </c>
      <c r="S1" s="8" t="s">
        <v>416</v>
      </c>
      <c r="T1" s="8" t="s">
        <v>417</v>
      </c>
      <c r="U1" s="8" t="s">
        <v>418</v>
      </c>
    </row>
    <row r="2" customFormat="false" ht="15" hidden="false" customHeight="false" outlineLevel="0" collapsed="false">
      <c r="A2" s="32" t="s">
        <v>189</v>
      </c>
      <c r="B2" s="32" t="s">
        <v>190</v>
      </c>
      <c r="C2" s="32" t="s">
        <v>191</v>
      </c>
      <c r="D2" s="66" t="n">
        <v>205</v>
      </c>
      <c r="E2" s="66" t="n">
        <v>171</v>
      </c>
      <c r="F2" s="77" t="n">
        <f aca="false">IF(E2="","",D2-E2)</f>
        <v>34</v>
      </c>
      <c r="G2" s="66" t="n">
        <v>331</v>
      </c>
      <c r="H2" s="66" t="n">
        <v>332</v>
      </c>
      <c r="I2" s="77" t="n">
        <f aca="false">IF(H2="","",G2-H2)</f>
        <v>-1</v>
      </c>
      <c r="J2" s="47" t="n">
        <f aca="false">IF(OR(D2="",D2+G2=0),"",D2/(D2+G2))</f>
        <v>0.382462686567164</v>
      </c>
      <c r="K2" s="47" t="n">
        <f aca="false">IF(E2="","",E2/(E2+H2))</f>
        <v>0.339960238568589</v>
      </c>
      <c r="L2" s="78" t="n">
        <f aca="false">IF(OR(K2="",J2=""),"",(J2-K2)*100)</f>
        <v>4.25024479985757</v>
      </c>
      <c r="M2" s="36" t="n">
        <v>2.73724997661239</v>
      </c>
      <c r="N2" s="36" t="n">
        <v>0.321485924643753</v>
      </c>
      <c r="O2" s="36" t="n">
        <f aca="false">SQRT(M2^2+N2^2)</f>
        <v>2.75606433782098</v>
      </c>
      <c r="P2" s="47" t="n">
        <f aca="false">IF(J2="","",MAX(0,J2-1.96*O2/100))</f>
        <v>0.328443825545873</v>
      </c>
      <c r="Q2" s="47" t="n">
        <f aca="false">IF(J2="","",MIN(1,J2+1.96*O2/100))</f>
        <v>0.436481547588455</v>
      </c>
      <c r="R2" s="32" t="str">
        <f aca="false">IF(L2="","",IF(ABS(L2)&lt;=O2,"Yes","No"))</f>
        <v>No</v>
      </c>
      <c r="S2" s="32" t="str">
        <f aca="false">IF(L2="","",IF(ABS(L2)&lt;=1.96*O2,"Yes","No"))</f>
        <v>Yes</v>
      </c>
      <c r="T2" s="66" t="n">
        <f aca="false">IF(D2="","",ROUND(SQRT(((D2+G2)*O2/100)^2+(J2*(D2+G2)*0.07717)^2),0))</f>
        <v>22</v>
      </c>
      <c r="U2" s="32" t="s">
        <v>468</v>
      </c>
    </row>
    <row r="3" customFormat="false" ht="15" hidden="false" customHeight="false" outlineLevel="0" collapsed="false">
      <c r="A3" s="32" t="s">
        <v>189</v>
      </c>
      <c r="B3" s="32" t="s">
        <v>195</v>
      </c>
      <c r="C3" s="32" t="s">
        <v>191</v>
      </c>
      <c r="D3" s="66" t="n">
        <v>128</v>
      </c>
      <c r="E3" s="66" t="n">
        <v>100</v>
      </c>
      <c r="F3" s="77" t="n">
        <f aca="false">IF(E3="","",D3-E3)</f>
        <v>28</v>
      </c>
      <c r="G3" s="66" t="n">
        <v>289</v>
      </c>
      <c r="H3" s="66" t="n">
        <v>303</v>
      </c>
      <c r="I3" s="77" t="n">
        <f aca="false">IF(H3="","",G3-H3)</f>
        <v>-14</v>
      </c>
      <c r="J3" s="47" t="n">
        <f aca="false">IF(OR(D3="",D3+G3=0),"",D3/(D3+G3))</f>
        <v>0.306954436450839</v>
      </c>
      <c r="K3" s="47" t="n">
        <f aca="false">IF(E3="","",E3/(E3+H3))</f>
        <v>0.248138957816377</v>
      </c>
      <c r="L3" s="78" t="n">
        <f aca="false">IF(OR(K3="",J3=""),"",(J3-K3)*100)</f>
        <v>5.88154786344621</v>
      </c>
      <c r="M3" s="36" t="n">
        <v>2.73724997661239</v>
      </c>
      <c r="N3" s="36" t="n">
        <v>0.321485924643753</v>
      </c>
      <c r="O3" s="36" t="n">
        <f aca="false">SQRT(M3^2+N3^2)</f>
        <v>2.75606433782098</v>
      </c>
      <c r="P3" s="47" t="n">
        <f aca="false">IF(J3="","",MAX(0,J3-1.96*O3/100))</f>
        <v>0.252935575429548</v>
      </c>
      <c r="Q3" s="47" t="n">
        <f aca="false">IF(J3="","",MIN(1,J3+1.96*O3/100))</f>
        <v>0.36097329747213</v>
      </c>
      <c r="R3" s="32" t="str">
        <f aca="false">IF(L3="","",IF(ABS(L3)&lt;=O3,"Yes","No"))</f>
        <v>No</v>
      </c>
      <c r="S3" s="32" t="str">
        <f aca="false">IF(L3="","",IF(ABS(L3)&lt;=1.96*O3,"Yes","No"))</f>
        <v>No</v>
      </c>
      <c r="T3" s="66" t="n">
        <f aca="false">IF(D3="","",ROUND(SQRT(((D3+G3)*O3/100)^2+(J3*(D3+G3)*0.07717)^2),0))</f>
        <v>15</v>
      </c>
      <c r="U3" s="32" t="s">
        <v>468</v>
      </c>
    </row>
    <row r="4" customFormat="false" ht="15" hidden="false" customHeight="false" outlineLevel="0" collapsed="false">
      <c r="A4" s="32" t="s">
        <v>189</v>
      </c>
      <c r="B4" s="32" t="s">
        <v>196</v>
      </c>
      <c r="C4" s="32" t="s">
        <v>191</v>
      </c>
      <c r="D4" s="66" t="n">
        <v>173</v>
      </c>
      <c r="E4" s="66" t="n">
        <v>111</v>
      </c>
      <c r="F4" s="77" t="n">
        <f aca="false">IF(E4="","",D4-E4)</f>
        <v>62</v>
      </c>
      <c r="G4" s="66" t="n">
        <v>309</v>
      </c>
      <c r="H4" s="66" t="n">
        <v>317</v>
      </c>
      <c r="I4" s="77" t="n">
        <f aca="false">IF(H4="","",G4-H4)</f>
        <v>-8</v>
      </c>
      <c r="J4" s="47" t="n">
        <f aca="false">IF(OR(D4="",D4+G4=0),"",D4/(D4+G4))</f>
        <v>0.358921161825726</v>
      </c>
      <c r="K4" s="47" t="n">
        <f aca="false">IF(E4="","",E4/(E4+H4))</f>
        <v>0.259345794392523</v>
      </c>
      <c r="L4" s="78" t="n">
        <f aca="false">IF(OR(K4="",J4=""),"",(J4-K4)*100)</f>
        <v>9.95753674332028</v>
      </c>
      <c r="M4" s="36" t="n">
        <v>2.73724997661239</v>
      </c>
      <c r="N4" s="36" t="n">
        <v>0.321485924643753</v>
      </c>
      <c r="O4" s="36" t="n">
        <f aca="false">SQRT(M4^2+N4^2)</f>
        <v>2.75606433782098</v>
      </c>
      <c r="P4" s="47" t="n">
        <f aca="false">IF(J4="","",MAX(0,J4-1.96*O4/100))</f>
        <v>0.304902300804435</v>
      </c>
      <c r="Q4" s="47" t="n">
        <f aca="false">IF(J4="","",MIN(1,J4+1.96*O4/100))</f>
        <v>0.412940022847017</v>
      </c>
      <c r="R4" s="32" t="str">
        <f aca="false">IF(L4="","",IF(ABS(L4)&lt;=O4,"Yes","No"))</f>
        <v>No</v>
      </c>
      <c r="S4" s="32" t="str">
        <f aca="false">IF(L4="","",IF(ABS(L4)&lt;=1.96*O4,"Yes","No"))</f>
        <v>No</v>
      </c>
      <c r="T4" s="66" t="n">
        <f aca="false">IF(D4="","",ROUND(SQRT(((D4+G4)*O4/100)^2+(J4*(D4+G4)*0.07717)^2),0))</f>
        <v>19</v>
      </c>
      <c r="U4" s="32" t="s">
        <v>468</v>
      </c>
    </row>
    <row r="5" customFormat="false" ht="15" hidden="false" customHeight="false" outlineLevel="0" collapsed="false">
      <c r="A5" s="32" t="s">
        <v>189</v>
      </c>
      <c r="B5" s="32" t="s">
        <v>197</v>
      </c>
      <c r="C5" s="32" t="s">
        <v>191</v>
      </c>
      <c r="D5" s="66" t="n">
        <v>519</v>
      </c>
      <c r="E5" s="66" t="n">
        <v>390</v>
      </c>
      <c r="F5" s="77" t="n">
        <f aca="false">IF(E5="","",D5-E5)</f>
        <v>129</v>
      </c>
      <c r="G5" s="66" t="n">
        <v>1166</v>
      </c>
      <c r="H5" s="66" t="n">
        <v>1180</v>
      </c>
      <c r="I5" s="77" t="n">
        <f aca="false">IF(H5="","",G5-H5)</f>
        <v>-14</v>
      </c>
      <c r="J5" s="47" t="n">
        <f aca="false">IF(OR(D5="",D5+G5=0),"",D5/(D5+G5))</f>
        <v>0.308011869436202</v>
      </c>
      <c r="K5" s="47" t="n">
        <f aca="false">IF(E5="","",E5/(E5+H5))</f>
        <v>0.248407643312102</v>
      </c>
      <c r="L5" s="78" t="n">
        <f aca="false">IF(OR(K5="",J5=""),"",(J5-K5)*100)</f>
        <v>5.96042261240999</v>
      </c>
      <c r="M5" s="36" t="n">
        <v>1.72069707213054</v>
      </c>
      <c r="N5" s="36" t="n">
        <v>0.321485924643753</v>
      </c>
      <c r="O5" s="36" t="n">
        <f aca="false">SQRT(M5^2+N5^2)</f>
        <v>1.75047182604653</v>
      </c>
      <c r="P5" s="47" t="n">
        <f aca="false">IF(J5="","",MAX(0,J5-1.96*O5/100))</f>
        <v>0.27370262164569</v>
      </c>
      <c r="Q5" s="47" t="n">
        <f aca="false">IF(J5="","",MIN(1,J5+1.96*O5/100))</f>
        <v>0.342321117226714</v>
      </c>
      <c r="R5" s="32" t="str">
        <f aca="false">IF(L5="","",IF(ABS(L5)&lt;=O5,"Yes","No"))</f>
        <v>No</v>
      </c>
      <c r="S5" s="32" t="str">
        <f aca="false">IF(L5="","",IF(ABS(L5)&lt;=1.96*O5,"Yes","No"))</f>
        <v>No</v>
      </c>
      <c r="T5" s="66" t="n">
        <f aca="false">IF(D5="","",ROUND(SQRT(((D5+G5)*O5/100)^2+(J5*(D5+G5)*0.05992)^2),0))</f>
        <v>43</v>
      </c>
      <c r="U5" s="32" t="s">
        <v>468</v>
      </c>
    </row>
    <row r="6" customFormat="false" ht="15" hidden="false" customHeight="false" outlineLevel="0" collapsed="false">
      <c r="A6" s="32" t="s">
        <v>189</v>
      </c>
      <c r="B6" s="32" t="s">
        <v>199</v>
      </c>
      <c r="C6" s="32" t="s">
        <v>191</v>
      </c>
      <c r="D6" s="66" t="n">
        <v>48</v>
      </c>
      <c r="E6" s="66" t="n">
        <v>47</v>
      </c>
      <c r="F6" s="77" t="n">
        <f aca="false">IF(E6="","",D6-E6)</f>
        <v>1</v>
      </c>
      <c r="G6" s="66" t="n">
        <v>78</v>
      </c>
      <c r="H6" s="66" t="n">
        <v>74</v>
      </c>
      <c r="I6" s="77" t="n">
        <f aca="false">IF(H6="","",G6-H6)</f>
        <v>4</v>
      </c>
      <c r="J6" s="47" t="n">
        <f aca="false">IF(OR(D6="",D6+G6=0),"",D6/(D6+G6))</f>
        <v>0.380952380952381</v>
      </c>
      <c r="K6" s="47" t="n">
        <f aca="false">IF(E6="","",E6/(E6+H6))</f>
        <v>0.388429752066116</v>
      </c>
      <c r="L6" s="78" t="n">
        <f aca="false">IF(OR(K6="",J6=""),"",(J6-K6)*100)</f>
        <v>-0.747737111373475</v>
      </c>
      <c r="M6" s="36" t="n">
        <v>2.73724997661239</v>
      </c>
      <c r="N6" s="36" t="n">
        <v>0.321485924643753</v>
      </c>
      <c r="O6" s="36" t="n">
        <f aca="false">SQRT(M6^2+N6^2)</f>
        <v>2.75606433782098</v>
      </c>
      <c r="P6" s="47" t="n">
        <f aca="false">IF(J6="","",MAX(0,J6-1.96*O6/100))</f>
        <v>0.32693351993109</v>
      </c>
      <c r="Q6" s="47" t="n">
        <f aca="false">IF(J6="","",MIN(1,J6+1.96*O6/100))</f>
        <v>0.434971241973672</v>
      </c>
      <c r="R6" s="32" t="str">
        <f aca="false">IF(L6="","",IF(ABS(L6)&lt;=O6,"Yes","No"))</f>
        <v>Yes</v>
      </c>
      <c r="S6" s="32" t="str">
        <f aca="false">IF(L6="","",IF(ABS(L6)&lt;=1.96*O6,"Yes","No"))</f>
        <v>Yes</v>
      </c>
      <c r="T6" s="66" t="n">
        <f aca="false">IF(D6="","",ROUND(SQRT(((D6+G6)*O6/100)^2+(J6*(D6+G6)*0.07717)^2),0))</f>
        <v>5</v>
      </c>
      <c r="U6" s="32" t="s">
        <v>468</v>
      </c>
    </row>
    <row r="7" customFormat="false" ht="15" hidden="false" customHeight="false" outlineLevel="0" collapsed="false">
      <c r="A7" s="32" t="s">
        <v>189</v>
      </c>
      <c r="B7" s="32" t="s">
        <v>200</v>
      </c>
      <c r="C7" s="32" t="s">
        <v>191</v>
      </c>
      <c r="D7" s="66" t="n">
        <v>798</v>
      </c>
      <c r="E7" s="66" t="n">
        <v>631</v>
      </c>
      <c r="F7" s="77" t="n">
        <f aca="false">IF(E7="","",D7-E7)</f>
        <v>167</v>
      </c>
      <c r="G7" s="66" t="n">
        <v>1784</v>
      </c>
      <c r="H7" s="66" t="n">
        <v>1828</v>
      </c>
      <c r="I7" s="77" t="n">
        <f aca="false">IF(H7="","",G7-H7)</f>
        <v>-44</v>
      </c>
      <c r="J7" s="47" t="n">
        <f aca="false">IF(OR(D7="",D7+G7=0),"",D7/(D7+G7))</f>
        <v>0.309062742060418</v>
      </c>
      <c r="K7" s="47" t="n">
        <f aca="false">IF(E7="","",E7/(E7+H7))</f>
        <v>0.256608377389183</v>
      </c>
      <c r="L7" s="78" t="n">
        <f aca="false">IF(OR(K7="",J7=""),"",(J7-K7)*100)</f>
        <v>5.24543646712357</v>
      </c>
      <c r="M7" s="36" t="n">
        <v>1.72069707213054</v>
      </c>
      <c r="N7" s="36" t="n">
        <v>0.321485924643753</v>
      </c>
      <c r="O7" s="36" t="n">
        <f aca="false">SQRT(M7^2+N7^2)</f>
        <v>1.75047182604653</v>
      </c>
      <c r="P7" s="47" t="n">
        <f aca="false">IF(J7="","",MAX(0,J7-1.96*O7/100))</f>
        <v>0.274753494269906</v>
      </c>
      <c r="Q7" s="47" t="n">
        <f aca="false">IF(J7="","",MIN(1,J7+1.96*O7/100))</f>
        <v>0.34337198985093</v>
      </c>
      <c r="R7" s="32" t="str">
        <f aca="false">IF(L7="","",IF(ABS(L7)&lt;=O7,"Yes","No"))</f>
        <v>No</v>
      </c>
      <c r="S7" s="32" t="str">
        <f aca="false">IF(L7="","",IF(ABS(L7)&lt;=1.96*O7,"Yes","No"))</f>
        <v>No</v>
      </c>
      <c r="T7" s="66" t="n">
        <f aca="false">IF(D7="","",ROUND(SQRT(((D7+G7)*O7/100)^2+(J7*(D7+G7)*0.05992)^2),0))</f>
        <v>66</v>
      </c>
      <c r="U7" s="32" t="s">
        <v>468</v>
      </c>
    </row>
    <row r="8" customFormat="false" ht="15" hidden="false" customHeight="false" outlineLevel="0" collapsed="false">
      <c r="A8" s="32" t="s">
        <v>189</v>
      </c>
      <c r="B8" s="32" t="s">
        <v>201</v>
      </c>
      <c r="C8" s="32" t="s">
        <v>191</v>
      </c>
      <c r="D8" s="66" t="n">
        <v>1247</v>
      </c>
      <c r="E8" s="66" t="n">
        <v>1060</v>
      </c>
      <c r="F8" s="77" t="n">
        <f aca="false">IF(E8="","",D8-E8)</f>
        <v>187</v>
      </c>
      <c r="G8" s="66" t="n">
        <v>1500</v>
      </c>
      <c r="H8" s="66" t="n">
        <v>1517</v>
      </c>
      <c r="I8" s="77" t="n">
        <f aca="false">IF(H8="","",G8-H8)</f>
        <v>-17</v>
      </c>
      <c r="J8" s="47" t="n">
        <f aca="false">IF(OR(D8="",D8+G8=0),"",D8/(D8+G8))</f>
        <v>0.453949763378231</v>
      </c>
      <c r="K8" s="47" t="n">
        <f aca="false">IF(E8="","",E8/(E8+H8))</f>
        <v>0.411331005044626</v>
      </c>
      <c r="L8" s="78" t="n">
        <f aca="false">IF(OR(K8="",J8=""),"",(J8-K8)*100)</f>
        <v>4.26187583336052</v>
      </c>
      <c r="M8" s="36" t="n">
        <v>1.72069707213054</v>
      </c>
      <c r="N8" s="36" t="n">
        <v>0.321485924643753</v>
      </c>
      <c r="O8" s="36" t="n">
        <f aca="false">SQRT(M8^2+N8^2)</f>
        <v>1.75047182604653</v>
      </c>
      <c r="P8" s="47" t="n">
        <f aca="false">IF(J8="","",MAX(0,J8-1.96*O8/100))</f>
        <v>0.419640515587719</v>
      </c>
      <c r="Q8" s="47" t="n">
        <f aca="false">IF(J8="","",MIN(1,J8+1.96*O8/100))</f>
        <v>0.488259011168743</v>
      </c>
      <c r="R8" s="32" t="str">
        <f aca="false">IF(L8="","",IF(ABS(L8)&lt;=O8,"Yes","No"))</f>
        <v>No</v>
      </c>
      <c r="S8" s="32" t="str">
        <f aca="false">IF(L8="","",IF(ABS(L8)&lt;=1.96*O8,"Yes","No"))</f>
        <v>No</v>
      </c>
      <c r="T8" s="66" t="n">
        <f aca="false">IF(D8="","",ROUND(SQRT(((D8+G8)*O8/100)^2+(J8*(D8+G8)*0.05992)^2),0))</f>
        <v>89</v>
      </c>
      <c r="U8" s="32" t="s">
        <v>468</v>
      </c>
    </row>
    <row r="9" customFormat="false" ht="15" hidden="false" customHeight="false" outlineLevel="0" collapsed="false">
      <c r="A9" s="32" t="s">
        <v>189</v>
      </c>
      <c r="B9" s="32" t="s">
        <v>202</v>
      </c>
      <c r="C9" s="32" t="s">
        <v>191</v>
      </c>
      <c r="D9" s="66" t="n">
        <v>391</v>
      </c>
      <c r="E9" s="66" t="n">
        <v>335</v>
      </c>
      <c r="F9" s="77" t="n">
        <f aca="false">IF(E9="","",D9-E9)</f>
        <v>56</v>
      </c>
      <c r="G9" s="66" t="n">
        <v>723</v>
      </c>
      <c r="H9" s="66" t="n">
        <v>766</v>
      </c>
      <c r="I9" s="77" t="n">
        <f aca="false">IF(H9="","",G9-H9)</f>
        <v>-43</v>
      </c>
      <c r="J9" s="47" t="n">
        <f aca="false">IF(OR(D9="",D9+G9=0),"",D9/(D9+G9))</f>
        <v>0.350987432675045</v>
      </c>
      <c r="K9" s="47" t="n">
        <f aca="false">IF(E9="","",E9/(E9+H9))</f>
        <v>0.304268846503179</v>
      </c>
      <c r="L9" s="78" t="n">
        <f aca="false">IF(OR(K9="",J9=""),"",(J9-K9)*100)</f>
        <v>4.6718586171866</v>
      </c>
      <c r="M9" s="36" t="n">
        <v>2.73724997661239</v>
      </c>
      <c r="N9" s="36" t="n">
        <v>0.321485924643753</v>
      </c>
      <c r="O9" s="36" t="n">
        <f aca="false">SQRT(M9^2+N9^2)</f>
        <v>2.75606433782098</v>
      </c>
      <c r="P9" s="47" t="n">
        <f aca="false">IF(J9="","",MAX(0,J9-1.96*O9/100))</f>
        <v>0.296968571653754</v>
      </c>
      <c r="Q9" s="47" t="n">
        <f aca="false">IF(J9="","",MIN(1,J9+1.96*O9/100))</f>
        <v>0.405006293696336</v>
      </c>
      <c r="R9" s="32" t="str">
        <f aca="false">IF(L9="","",IF(ABS(L9)&lt;=O9,"Yes","No"))</f>
        <v>No</v>
      </c>
      <c r="S9" s="32" t="str">
        <f aca="false">IF(L9="","",IF(ABS(L9)&lt;=1.96*O9,"Yes","No"))</f>
        <v>Yes</v>
      </c>
      <c r="T9" s="66" t="n">
        <f aca="false">IF(D9="","",ROUND(SQRT(((D9+G9)*O9/100)^2+(J9*(D9+G9)*0.07717)^2),0))</f>
        <v>43</v>
      </c>
      <c r="U9" s="32" t="s">
        <v>468</v>
      </c>
    </row>
    <row r="10" customFormat="false" ht="15" hidden="false" customHeight="false" outlineLevel="0" collapsed="false">
      <c r="A10" s="32" t="s">
        <v>189</v>
      </c>
      <c r="B10" s="32" t="s">
        <v>203</v>
      </c>
      <c r="C10" s="32" t="s">
        <v>191</v>
      </c>
      <c r="D10" s="66" t="n">
        <v>674</v>
      </c>
      <c r="E10" s="66" t="n">
        <v>614</v>
      </c>
      <c r="F10" s="77" t="n">
        <f aca="false">IF(E10="","",D10-E10)</f>
        <v>60</v>
      </c>
      <c r="G10" s="66" t="n">
        <v>834</v>
      </c>
      <c r="H10" s="66" t="n">
        <v>846</v>
      </c>
      <c r="I10" s="77" t="n">
        <f aca="false">IF(H10="","",G10-H10)</f>
        <v>-12</v>
      </c>
      <c r="J10" s="47" t="n">
        <f aca="false">IF(OR(D10="",D10+G10=0),"",D10/(D10+G10))</f>
        <v>0.446949602122016</v>
      </c>
      <c r="K10" s="47" t="n">
        <f aca="false">IF(E10="","",E10/(E10+H10))</f>
        <v>0.420547945205479</v>
      </c>
      <c r="L10" s="78" t="n">
        <f aca="false">IF(OR(K10="",J10=""),"",(J10-K10)*100)</f>
        <v>2.64016569165365</v>
      </c>
      <c r="M10" s="36" t="n">
        <v>2.73724997661239</v>
      </c>
      <c r="N10" s="36" t="n">
        <v>0.321485924643753</v>
      </c>
      <c r="O10" s="36" t="n">
        <f aca="false">SQRT(M10^2+N10^2)</f>
        <v>2.75606433782098</v>
      </c>
      <c r="P10" s="47" t="n">
        <f aca="false">IF(J10="","",MAX(0,J10-1.96*O10/100))</f>
        <v>0.392930741100725</v>
      </c>
      <c r="Q10" s="47" t="n">
        <f aca="false">IF(J10="","",MIN(1,J10+1.96*O10/100))</f>
        <v>0.500968463143307</v>
      </c>
      <c r="R10" s="32" t="str">
        <f aca="false">IF(L10="","",IF(ABS(L10)&lt;=O10,"Yes","No"))</f>
        <v>Yes</v>
      </c>
      <c r="S10" s="32" t="str">
        <f aca="false">IF(L10="","",IF(ABS(L10)&lt;=1.96*O10,"Yes","No"))</f>
        <v>Yes</v>
      </c>
      <c r="T10" s="66" t="n">
        <f aca="false">IF(D10="","",ROUND(SQRT(((D10+G10)*O10/100)^2+(J10*(D10+G10)*0.07717)^2),0))</f>
        <v>67</v>
      </c>
      <c r="U10" s="32" t="s">
        <v>468</v>
      </c>
    </row>
    <row r="11" customFormat="false" ht="15" hidden="false" customHeight="false" outlineLevel="0" collapsed="false">
      <c r="A11" s="32" t="s">
        <v>189</v>
      </c>
      <c r="B11" s="32" t="s">
        <v>204</v>
      </c>
      <c r="C11" s="32" t="s">
        <v>191</v>
      </c>
      <c r="D11" s="66" t="n">
        <v>45</v>
      </c>
      <c r="E11" s="66" t="n">
        <v>42</v>
      </c>
      <c r="F11" s="77" t="n">
        <f aca="false">IF(E11="","",D11-E11)</f>
        <v>3</v>
      </c>
      <c r="G11" s="66" t="n">
        <v>102</v>
      </c>
      <c r="H11" s="66" t="n">
        <v>99</v>
      </c>
      <c r="I11" s="77" t="n">
        <f aca="false">IF(H11="","",G11-H11)</f>
        <v>3</v>
      </c>
      <c r="J11" s="47" t="n">
        <f aca="false">IF(OR(D11="",D11+G11=0),"",D11/(D11+G11))</f>
        <v>0.306122448979592</v>
      </c>
      <c r="K11" s="47" t="n">
        <f aca="false">IF(E11="","",E11/(E11+H11))</f>
        <v>0.297872340425532</v>
      </c>
      <c r="L11" s="78" t="n">
        <f aca="false">IF(OR(K11="",J11=""),"",(J11-K11)*100)</f>
        <v>0.825010855405994</v>
      </c>
      <c r="M11" s="36" t="n">
        <v>2.73724997661239</v>
      </c>
      <c r="N11" s="36" t="n">
        <v>0.321485924643753</v>
      </c>
      <c r="O11" s="36" t="n">
        <f aca="false">SQRT(M11^2+N11^2)</f>
        <v>2.75606433782098</v>
      </c>
      <c r="P11" s="47" t="n">
        <f aca="false">IF(J11="","",MAX(0,J11-1.96*O11/100))</f>
        <v>0.252103587958301</v>
      </c>
      <c r="Q11" s="47" t="n">
        <f aca="false">IF(J11="","",MIN(1,J11+1.96*O11/100))</f>
        <v>0.360141310000883</v>
      </c>
      <c r="R11" s="32" t="str">
        <f aca="false">IF(L11="","",IF(ABS(L11)&lt;=O11,"Yes","No"))</f>
        <v>Yes</v>
      </c>
      <c r="S11" s="32" t="str">
        <f aca="false">IF(L11="","",IF(ABS(L11)&lt;=1.96*O11,"Yes","No"))</f>
        <v>Yes</v>
      </c>
      <c r="T11" s="66" t="n">
        <f aca="false">IF(D11="","",ROUND(SQRT(((D11+G11)*O11/100)^2+(J11*(D11+G11)*0.07717)^2),0))</f>
        <v>5</v>
      </c>
      <c r="U11" s="32" t="s">
        <v>468</v>
      </c>
    </row>
    <row r="12" customFormat="false" ht="15" hidden="false" customHeight="false" outlineLevel="0" collapsed="false">
      <c r="A12" s="32" t="s">
        <v>189</v>
      </c>
      <c r="B12" s="32" t="s">
        <v>205</v>
      </c>
      <c r="C12" s="32" t="s">
        <v>191</v>
      </c>
      <c r="D12" s="66" t="n">
        <v>56</v>
      </c>
      <c r="E12" s="66" t="n">
        <v>51</v>
      </c>
      <c r="F12" s="77" t="n">
        <f aca="false">IF(E12="","",D12-E12)</f>
        <v>5</v>
      </c>
      <c r="G12" s="66" t="n">
        <v>228</v>
      </c>
      <c r="H12" s="66" t="n">
        <v>223</v>
      </c>
      <c r="I12" s="77" t="n">
        <f aca="false">IF(H12="","",G12-H12)</f>
        <v>5</v>
      </c>
      <c r="J12" s="47" t="n">
        <f aca="false">IF(OR(D12="",D12+G12=0),"",D12/(D12+G12))</f>
        <v>0.197183098591549</v>
      </c>
      <c r="K12" s="47" t="n">
        <f aca="false">IF(E12="","",E12/(E12+H12))</f>
        <v>0.186131386861314</v>
      </c>
      <c r="L12" s="78" t="n">
        <f aca="false">IF(OR(K12="",J12=""),"",(J12-K12)*100)</f>
        <v>1.10517117302354</v>
      </c>
      <c r="M12" s="36" t="n">
        <v>2.73724997661239</v>
      </c>
      <c r="N12" s="36" t="n">
        <v>0.321485924643753</v>
      </c>
      <c r="O12" s="36" t="n">
        <f aca="false">SQRT(M12^2+N12^2)</f>
        <v>2.75606433782098</v>
      </c>
      <c r="P12" s="47" t="n">
        <f aca="false">IF(J12="","",MAX(0,J12-1.96*O12/100))</f>
        <v>0.143164237570258</v>
      </c>
      <c r="Q12" s="47" t="n">
        <f aca="false">IF(J12="","",MIN(1,J12+1.96*O12/100))</f>
        <v>0.25120195961284</v>
      </c>
      <c r="R12" s="32" t="str">
        <f aca="false">IF(L12="","",IF(ABS(L12)&lt;=O12,"Yes","No"))</f>
        <v>Yes</v>
      </c>
      <c r="S12" s="32" t="str">
        <f aca="false">IF(L12="","",IF(ABS(L12)&lt;=1.96*O12,"Yes","No"))</f>
        <v>Yes</v>
      </c>
      <c r="T12" s="66" t="n">
        <f aca="false">IF(D12="","",ROUND(SQRT(((D12+G12)*O12/100)^2+(J12*(D12+G12)*0.07717)^2),0))</f>
        <v>9</v>
      </c>
      <c r="U12" s="32" t="s">
        <v>468</v>
      </c>
    </row>
    <row r="13" customFormat="false" ht="15" hidden="false" customHeight="false" outlineLevel="0" collapsed="false">
      <c r="A13" s="32" t="s">
        <v>189</v>
      </c>
      <c r="B13" s="32" t="s">
        <v>206</v>
      </c>
      <c r="C13" s="32" t="s">
        <v>191</v>
      </c>
      <c r="D13" s="66" t="n">
        <v>1047</v>
      </c>
      <c r="E13" s="66" t="n">
        <v>841</v>
      </c>
      <c r="F13" s="77" t="n">
        <f aca="false">IF(E13="","",D13-E13)</f>
        <v>206</v>
      </c>
      <c r="G13" s="66" t="n">
        <v>1369</v>
      </c>
      <c r="H13" s="66" t="n">
        <v>1410</v>
      </c>
      <c r="I13" s="77" t="n">
        <f aca="false">IF(H13="","",G13-H13)</f>
        <v>-41</v>
      </c>
      <c r="J13" s="47" t="n">
        <f aca="false">IF(OR(D13="",D13+G13=0),"",D13/(D13+G13))</f>
        <v>0.433360927152318</v>
      </c>
      <c r="K13" s="47" t="n">
        <f aca="false">IF(E13="","",E13/(E13+H13))</f>
        <v>0.373611728120835</v>
      </c>
      <c r="L13" s="78" t="n">
        <f aca="false">IF(OR(K13="",J13=""),"",(J13-K13)*100)</f>
        <v>5.97491990314827</v>
      </c>
      <c r="M13" s="36" t="n">
        <v>1.72069707213054</v>
      </c>
      <c r="N13" s="36" t="n">
        <v>0.321485924643753</v>
      </c>
      <c r="O13" s="36" t="n">
        <f aca="false">SQRT(M13^2+N13^2)</f>
        <v>1.75047182604653</v>
      </c>
      <c r="P13" s="47" t="n">
        <f aca="false">IF(J13="","",MAX(0,J13-1.96*O13/100))</f>
        <v>0.399051679361806</v>
      </c>
      <c r="Q13" s="47" t="n">
        <f aca="false">IF(J13="","",MIN(1,J13+1.96*O13/100))</f>
        <v>0.46767017494283</v>
      </c>
      <c r="R13" s="32" t="str">
        <f aca="false">IF(L13="","",IF(ABS(L13)&lt;=O13,"Yes","No"))</f>
        <v>No</v>
      </c>
      <c r="S13" s="32" t="str">
        <f aca="false">IF(L13="","",IF(ABS(L13)&lt;=1.96*O13,"Yes","No"))</f>
        <v>No</v>
      </c>
      <c r="T13" s="66" t="n">
        <f aca="false">IF(D13="","",ROUND(SQRT(((D13+G13)*O13/100)^2+(J13*(D13+G13)*0.05992)^2),0))</f>
        <v>76</v>
      </c>
      <c r="U13" s="32" t="s">
        <v>468</v>
      </c>
    </row>
    <row r="14" customFormat="false" ht="15" hidden="false" customHeight="false" outlineLevel="0" collapsed="false">
      <c r="A14" s="32" t="s">
        <v>189</v>
      </c>
      <c r="B14" s="32" t="s">
        <v>207</v>
      </c>
      <c r="C14" s="32" t="s">
        <v>191</v>
      </c>
      <c r="D14" s="66" t="n">
        <v>569</v>
      </c>
      <c r="E14" s="66" t="n">
        <v>489</v>
      </c>
      <c r="F14" s="77" t="n">
        <f aca="false">IF(E14="","",D14-E14)</f>
        <v>80</v>
      </c>
      <c r="G14" s="66" t="n">
        <v>1209</v>
      </c>
      <c r="H14" s="66" t="n">
        <v>1164</v>
      </c>
      <c r="I14" s="77" t="n">
        <f aca="false">IF(H14="","",G14-H14)</f>
        <v>45</v>
      </c>
      <c r="J14" s="47" t="n">
        <f aca="false">IF(OR(D14="",D14+G14=0),"",D14/(D14+G14))</f>
        <v>0.320022497187852</v>
      </c>
      <c r="K14" s="47" t="n">
        <f aca="false">IF(E14="","",E14/(E14+H14))</f>
        <v>0.295825771324864</v>
      </c>
      <c r="L14" s="78" t="n">
        <f aca="false">IF(OR(K14="",J14=""),"",(J14-K14)*100)</f>
        <v>2.41967258629877</v>
      </c>
      <c r="M14" s="36" t="n">
        <v>1.72069707213054</v>
      </c>
      <c r="N14" s="36" t="n">
        <v>0.321485924643753</v>
      </c>
      <c r="O14" s="36" t="n">
        <f aca="false">SQRT(M14^2+N14^2)</f>
        <v>1.75047182604653</v>
      </c>
      <c r="P14" s="47" t="n">
        <f aca="false">IF(J14="","",MAX(0,J14-1.96*O14/100))</f>
        <v>0.28571324939734</v>
      </c>
      <c r="Q14" s="47" t="n">
        <f aca="false">IF(J14="","",MIN(1,J14+1.96*O14/100))</f>
        <v>0.354331744978363</v>
      </c>
      <c r="R14" s="32" t="str">
        <f aca="false">IF(L14="","",IF(ABS(L14)&lt;=O14,"Yes","No"))</f>
        <v>No</v>
      </c>
      <c r="S14" s="32" t="str">
        <f aca="false">IF(L14="","",IF(ABS(L14)&lt;=1.96*O14,"Yes","No"))</f>
        <v>Yes</v>
      </c>
      <c r="T14" s="66" t="n">
        <f aca="false">IF(D14="","",ROUND(SQRT(((D14+G14)*O14/100)^2+(J14*(D14+G14)*0.05992)^2),0))</f>
        <v>46</v>
      </c>
      <c r="U14" s="32" t="s">
        <v>468</v>
      </c>
    </row>
    <row r="15" customFormat="false" ht="15" hidden="false" customHeight="false" outlineLevel="0" collapsed="false">
      <c r="A15" s="32" t="s">
        <v>189</v>
      </c>
      <c r="B15" s="32" t="s">
        <v>208</v>
      </c>
      <c r="C15" s="32" t="s">
        <v>191</v>
      </c>
      <c r="D15" s="66" t="n">
        <v>722</v>
      </c>
      <c r="E15" s="66" t="n">
        <v>563</v>
      </c>
      <c r="F15" s="77" t="n">
        <f aca="false">IF(E15="","",D15-E15)</f>
        <v>159</v>
      </c>
      <c r="G15" s="66" t="n">
        <v>1594</v>
      </c>
      <c r="H15" s="66" t="n">
        <v>1559</v>
      </c>
      <c r="I15" s="77" t="n">
        <f aca="false">IF(H15="","",G15-H15)</f>
        <v>35</v>
      </c>
      <c r="J15" s="47" t="n">
        <f aca="false">IF(OR(D15="",D15+G15=0),"",D15/(D15+G15))</f>
        <v>0.311744386873921</v>
      </c>
      <c r="K15" s="47" t="n">
        <f aca="false">IF(E15="","",E15/(E15+H15))</f>
        <v>0.265315739868049</v>
      </c>
      <c r="L15" s="78" t="n">
        <f aca="false">IF(OR(K15="",J15=""),"",(J15-K15)*100)</f>
        <v>4.64286470058715</v>
      </c>
      <c r="M15" s="36" t="n">
        <v>1.72069707213054</v>
      </c>
      <c r="N15" s="36" t="n">
        <v>0.321485924643753</v>
      </c>
      <c r="O15" s="36" t="n">
        <f aca="false">SQRT(M15^2+N15^2)</f>
        <v>1.75047182604653</v>
      </c>
      <c r="P15" s="47" t="n">
        <f aca="false">IF(J15="","",MAX(0,J15-1.96*O15/100))</f>
        <v>0.277435139083409</v>
      </c>
      <c r="Q15" s="47" t="n">
        <f aca="false">IF(J15="","",MIN(1,J15+1.96*O15/100))</f>
        <v>0.346053634664432</v>
      </c>
      <c r="R15" s="32" t="str">
        <f aca="false">IF(L15="","",IF(ABS(L15)&lt;=O15,"Yes","No"))</f>
        <v>No</v>
      </c>
      <c r="S15" s="32" t="str">
        <f aca="false">IF(L15="","",IF(ABS(L15)&lt;=1.96*O15,"Yes","No"))</f>
        <v>No</v>
      </c>
      <c r="T15" s="66" t="n">
        <f aca="false">IF(D15="","",ROUND(SQRT(((D15+G15)*O15/100)^2+(J15*(D15+G15)*0.05992)^2),0))</f>
        <v>59</v>
      </c>
      <c r="U15" s="32" t="s">
        <v>468</v>
      </c>
    </row>
    <row r="16" customFormat="false" ht="15" hidden="false" customHeight="false" outlineLevel="0" collapsed="false">
      <c r="A16" s="32" t="s">
        <v>189</v>
      </c>
      <c r="B16" s="32" t="s">
        <v>209</v>
      </c>
      <c r="C16" s="32" t="s">
        <v>191</v>
      </c>
      <c r="D16" s="66" t="n">
        <v>703</v>
      </c>
      <c r="E16" s="66" t="n">
        <v>574</v>
      </c>
      <c r="F16" s="77" t="n">
        <f aca="false">IF(E16="","",D16-E16)</f>
        <v>129</v>
      </c>
      <c r="G16" s="66" t="n">
        <v>940</v>
      </c>
      <c r="H16" s="66" t="n">
        <v>963</v>
      </c>
      <c r="I16" s="77" t="n">
        <f aca="false">IF(H16="","",G16-H16)</f>
        <v>-23</v>
      </c>
      <c r="J16" s="47" t="n">
        <f aca="false">IF(OR(D16="",D16+G16=0),"",D16/(D16+G16))</f>
        <v>0.427875836883749</v>
      </c>
      <c r="K16" s="47" t="n">
        <f aca="false">IF(E16="","",E16/(E16+H16))</f>
        <v>0.373454782042941</v>
      </c>
      <c r="L16" s="78" t="n">
        <f aca="false">IF(OR(K16="",J16=""),"",(J16-K16)*100)</f>
        <v>5.44210548408084</v>
      </c>
      <c r="M16" s="36" t="n">
        <v>1.72069707213054</v>
      </c>
      <c r="N16" s="36" t="n">
        <v>0.321485924643753</v>
      </c>
      <c r="O16" s="36" t="n">
        <f aca="false">SQRT(M16^2+N16^2)</f>
        <v>1.75047182604653</v>
      </c>
      <c r="P16" s="47" t="n">
        <f aca="false">IF(J16="","",MAX(0,J16-1.96*O16/100))</f>
        <v>0.393566589093237</v>
      </c>
      <c r="Q16" s="47" t="n">
        <f aca="false">IF(J16="","",MIN(1,J16+1.96*O16/100))</f>
        <v>0.462185084674261</v>
      </c>
      <c r="R16" s="32" t="str">
        <f aca="false">IF(L16="","",IF(ABS(L16)&lt;=O16,"Yes","No"))</f>
        <v>No</v>
      </c>
      <c r="S16" s="32" t="str">
        <f aca="false">IF(L16="","",IF(ABS(L16)&lt;=1.96*O16,"Yes","No"))</f>
        <v>No</v>
      </c>
      <c r="T16" s="66" t="n">
        <f aca="false">IF(D16="","",ROUND(SQRT(((D16+G16)*O16/100)^2+(J16*(D16+G16)*0.05992)^2),0))</f>
        <v>51</v>
      </c>
      <c r="U16" s="32" t="s">
        <v>468</v>
      </c>
    </row>
    <row r="17" customFormat="false" ht="15" hidden="false" customHeight="false" outlineLevel="0" collapsed="false">
      <c r="A17" s="32" t="s">
        <v>189</v>
      </c>
      <c r="B17" s="32" t="s">
        <v>210</v>
      </c>
      <c r="C17" s="32" t="s">
        <v>191</v>
      </c>
      <c r="D17" s="66" t="n">
        <v>134</v>
      </c>
      <c r="E17" s="66" t="n">
        <v>109</v>
      </c>
      <c r="F17" s="77" t="n">
        <f aca="false">IF(E17="","",D17-E17)</f>
        <v>25</v>
      </c>
      <c r="G17" s="66" t="n">
        <v>554</v>
      </c>
      <c r="H17" s="66" t="n">
        <v>531</v>
      </c>
      <c r="I17" s="77" t="n">
        <f aca="false">IF(H17="","",G17-H17)</f>
        <v>23</v>
      </c>
      <c r="J17" s="47" t="n">
        <f aca="false">IF(OR(D17="",D17+G17=0),"",D17/(D17+G17))</f>
        <v>0.194767441860465</v>
      </c>
      <c r="K17" s="47" t="n">
        <f aca="false">IF(E17="","",E17/(E17+H17))</f>
        <v>0.1703125</v>
      </c>
      <c r="L17" s="78" t="n">
        <f aca="false">IF(OR(K17="",J17=""),"",(J17-K17)*100)</f>
        <v>2.44549418604651</v>
      </c>
      <c r="M17" s="36" t="n">
        <v>2.73724997661239</v>
      </c>
      <c r="N17" s="36" t="n">
        <v>0.321485924643753</v>
      </c>
      <c r="O17" s="36" t="n">
        <f aca="false">SQRT(M17^2+N17^2)</f>
        <v>2.75606433782098</v>
      </c>
      <c r="P17" s="47" t="n">
        <f aca="false">IF(J17="","",MAX(0,J17-1.96*O17/100))</f>
        <v>0.140748580839174</v>
      </c>
      <c r="Q17" s="47" t="n">
        <f aca="false">IF(J17="","",MIN(1,J17+1.96*O17/100))</f>
        <v>0.248786302881756</v>
      </c>
      <c r="R17" s="32" t="str">
        <f aca="false">IF(L17="","",IF(ABS(L17)&lt;=O17,"Yes","No"))</f>
        <v>Yes</v>
      </c>
      <c r="S17" s="32" t="str">
        <f aca="false">IF(L17="","",IF(ABS(L17)&lt;=1.96*O17,"Yes","No"))</f>
        <v>Yes</v>
      </c>
      <c r="T17" s="66" t="n">
        <f aca="false">IF(D17="","",ROUND(SQRT(((D17+G17)*O17/100)^2+(J17*(D17+G17)*0.07717)^2),0))</f>
        <v>22</v>
      </c>
      <c r="U17" s="32" t="s">
        <v>468</v>
      </c>
    </row>
    <row r="18" customFormat="false" ht="15" hidden="false" customHeight="false" outlineLevel="0" collapsed="false">
      <c r="A18" s="32" t="s">
        <v>189</v>
      </c>
      <c r="B18" s="32" t="s">
        <v>211</v>
      </c>
      <c r="C18" s="32" t="s">
        <v>191</v>
      </c>
      <c r="D18" s="66" t="n">
        <v>1058</v>
      </c>
      <c r="E18" s="66" t="n">
        <v>863</v>
      </c>
      <c r="F18" s="77" t="n">
        <f aca="false">IF(E18="","",D18-E18)</f>
        <v>195</v>
      </c>
      <c r="G18" s="66" t="n">
        <v>1640</v>
      </c>
      <c r="H18" s="66" t="n">
        <v>1676</v>
      </c>
      <c r="I18" s="77" t="n">
        <f aca="false">IF(H18="","",G18-H18)</f>
        <v>-36</v>
      </c>
      <c r="J18" s="47" t="n">
        <f aca="false">IF(OR(D18="",D18+G18=0),"",D18/(D18+G18))</f>
        <v>0.392142327650111</v>
      </c>
      <c r="K18" s="47" t="n">
        <f aca="false">IF(E18="","",E18/(E18+H18))</f>
        <v>0.339897597479323</v>
      </c>
      <c r="L18" s="78" t="n">
        <f aca="false">IF(OR(K18="",J18=""),"",(J18-K18)*100)</f>
        <v>5.22447301707886</v>
      </c>
      <c r="M18" s="36" t="n">
        <v>1.72069707213054</v>
      </c>
      <c r="N18" s="36" t="n">
        <v>0.321485924643753</v>
      </c>
      <c r="O18" s="36" t="n">
        <f aca="false">SQRT(M18^2+N18^2)</f>
        <v>1.75047182604653</v>
      </c>
      <c r="P18" s="47" t="n">
        <f aca="false">IF(J18="","",MAX(0,J18-1.96*O18/100))</f>
        <v>0.357833079859599</v>
      </c>
      <c r="Q18" s="47" t="n">
        <f aca="false">IF(J18="","",MIN(1,J18+1.96*O18/100))</f>
        <v>0.426451575440623</v>
      </c>
      <c r="R18" s="32" t="str">
        <f aca="false">IF(L18="","",IF(ABS(L18)&lt;=O18,"Yes","No"))</f>
        <v>No</v>
      </c>
      <c r="S18" s="32" t="str">
        <f aca="false">IF(L18="","",IF(ABS(L18)&lt;=1.96*O18,"Yes","No"))</f>
        <v>No</v>
      </c>
      <c r="T18" s="66" t="n">
        <f aca="false">IF(D18="","",ROUND(SQRT(((D18+G18)*O18/100)^2+(J18*(D18+G18)*0.05992)^2),0))</f>
        <v>79</v>
      </c>
      <c r="U18" s="32" t="s">
        <v>468</v>
      </c>
    </row>
    <row r="19" customFormat="false" ht="15" hidden="false" customHeight="false" outlineLevel="0" collapsed="false">
      <c r="A19" s="32" t="s">
        <v>189</v>
      </c>
      <c r="B19" s="32" t="s">
        <v>212</v>
      </c>
      <c r="C19" s="32" t="s">
        <v>191</v>
      </c>
      <c r="D19" s="66" t="n">
        <v>77</v>
      </c>
      <c r="E19" s="66" t="n">
        <v>52</v>
      </c>
      <c r="F19" s="77" t="n">
        <f aca="false">IF(E19="","",D19-E19)</f>
        <v>25</v>
      </c>
      <c r="G19" s="66" t="n">
        <v>164</v>
      </c>
      <c r="H19" s="66" t="n">
        <v>167</v>
      </c>
      <c r="I19" s="77" t="n">
        <f aca="false">IF(H19="","",G19-H19)</f>
        <v>-3</v>
      </c>
      <c r="J19" s="47" t="n">
        <f aca="false">IF(OR(D19="",D19+G19=0),"",D19/(D19+G19))</f>
        <v>0.319502074688797</v>
      </c>
      <c r="K19" s="47" t="n">
        <f aca="false">IF(E19="","",E19/(E19+H19))</f>
        <v>0.237442922374429</v>
      </c>
      <c r="L19" s="78" t="n">
        <f aca="false">IF(OR(K19="",J19=""),"",(J19-K19)*100)</f>
        <v>8.20591523143675</v>
      </c>
      <c r="M19" s="36" t="n">
        <v>2.73724997661239</v>
      </c>
      <c r="N19" s="36" t="n">
        <v>0.321485924643753</v>
      </c>
      <c r="O19" s="36" t="n">
        <f aca="false">SQRT(M19^2+N19^2)</f>
        <v>2.75606433782098</v>
      </c>
      <c r="P19" s="47" t="n">
        <f aca="false">IF(J19="","",MAX(0,J19-1.96*O19/100))</f>
        <v>0.265483213667506</v>
      </c>
      <c r="Q19" s="47" t="n">
        <f aca="false">IF(J19="","",MIN(1,J19+1.96*O19/100))</f>
        <v>0.373520935710088</v>
      </c>
      <c r="R19" s="32" t="str">
        <f aca="false">IF(L19="","",IF(ABS(L19)&lt;=O19,"Yes","No"))</f>
        <v>No</v>
      </c>
      <c r="S19" s="32" t="str">
        <f aca="false">IF(L19="","",IF(ABS(L19)&lt;=1.96*O19,"Yes","No"))</f>
        <v>No</v>
      </c>
      <c r="T19" s="66" t="n">
        <f aca="false">IF(D19="","",ROUND(SQRT(((D19+G19)*O19/100)^2+(J19*(D19+G19)*0.07717)^2),0))</f>
        <v>9</v>
      </c>
      <c r="U19" s="32" t="s">
        <v>468</v>
      </c>
    </row>
    <row r="20" customFormat="false" ht="15" hidden="false" customHeight="false" outlineLevel="0" collapsed="false">
      <c r="A20" s="32" t="s">
        <v>189</v>
      </c>
      <c r="B20" s="32" t="s">
        <v>213</v>
      </c>
      <c r="C20" s="32" t="s">
        <v>191</v>
      </c>
      <c r="D20" s="66" t="n">
        <v>2286</v>
      </c>
      <c r="E20" s="66" t="n">
        <v>1997</v>
      </c>
      <c r="F20" s="77" t="n">
        <f aca="false">IF(E20="","",D20-E20)</f>
        <v>289</v>
      </c>
      <c r="G20" s="66" t="n">
        <v>3725</v>
      </c>
      <c r="H20" s="66" t="n">
        <v>3474</v>
      </c>
      <c r="I20" s="77" t="n">
        <f aca="false">IF(H20="","",G20-H20)</f>
        <v>251</v>
      </c>
      <c r="J20" s="47" t="n">
        <f aca="false">IF(OR(D20="",D20+G20=0),"",D20/(D20+G20))</f>
        <v>0.380302778239894</v>
      </c>
      <c r="K20" s="47" t="n">
        <f aca="false">IF(E20="","",E20/(E20+H20))</f>
        <v>0.365015536464997</v>
      </c>
      <c r="L20" s="78" t="n">
        <f aca="false">IF(OR(K20="",J20=""),"",(J20-K20)*100)</f>
        <v>1.52872417748963</v>
      </c>
      <c r="M20" s="36" t="n">
        <v>1.61293121864256</v>
      </c>
      <c r="N20" s="36" t="n">
        <v>0.321485924643753</v>
      </c>
      <c r="O20" s="36" t="n">
        <f aca="false">SQRT(M20^2+N20^2)</f>
        <v>1.64465811517647</v>
      </c>
      <c r="P20" s="47" t="n">
        <f aca="false">IF(J20="","",MAX(0,J20-1.96*O20/100))</f>
        <v>0.348067479182435</v>
      </c>
      <c r="Q20" s="47" t="n">
        <f aca="false">IF(J20="","",MIN(1,J20+1.96*O20/100))</f>
        <v>0.412538077297352</v>
      </c>
      <c r="R20" s="32" t="str">
        <f aca="false">IF(L20="","",IF(ABS(L20)&lt;=O20,"Yes","No"))</f>
        <v>Yes</v>
      </c>
      <c r="S20" s="32" t="str">
        <f aca="false">IF(L20="","",IF(ABS(L20)&lt;=1.96*O20,"Yes","No"))</f>
        <v>Yes</v>
      </c>
      <c r="T20" s="66" t="n">
        <f aca="false">IF(D20="","",ROUND(SQRT(((D20+G20)*O20/100)^2+(J20*(D20+G20)*0.05437)^2),0))</f>
        <v>159</v>
      </c>
      <c r="U20" s="32" t="s">
        <v>468</v>
      </c>
    </row>
    <row r="21" customFormat="false" ht="15" hidden="false" customHeight="false" outlineLevel="0" collapsed="false">
      <c r="A21" s="32" t="s">
        <v>189</v>
      </c>
      <c r="B21" s="32" t="s">
        <v>215</v>
      </c>
      <c r="C21" s="32" t="s">
        <v>191</v>
      </c>
      <c r="D21" s="66" t="n">
        <v>718</v>
      </c>
      <c r="E21" s="66" t="n">
        <v>620</v>
      </c>
      <c r="F21" s="77" t="n">
        <f aca="false">IF(E21="","",D21-E21)</f>
        <v>98</v>
      </c>
      <c r="G21" s="66" t="n">
        <v>854</v>
      </c>
      <c r="H21" s="66" t="n">
        <v>917</v>
      </c>
      <c r="I21" s="77" t="n">
        <f aca="false">IF(H21="","",G21-H21)</f>
        <v>-63</v>
      </c>
      <c r="J21" s="47" t="n">
        <f aca="false">IF(OR(D21="",D21+G21=0),"",D21/(D21+G21))</f>
        <v>0.456743002544529</v>
      </c>
      <c r="K21" s="47" t="n">
        <f aca="false">IF(E21="","",E21/(E21+H21))</f>
        <v>0.403383214053351</v>
      </c>
      <c r="L21" s="78" t="n">
        <f aca="false">IF(OR(K21="",J21=""),"",(J21-K21)*100)</f>
        <v>5.33597884911786</v>
      </c>
      <c r="M21" s="36" t="n">
        <v>1.72069707213054</v>
      </c>
      <c r="N21" s="36" t="n">
        <v>0.321485924643753</v>
      </c>
      <c r="O21" s="36" t="n">
        <f aca="false">SQRT(M21^2+N21^2)</f>
        <v>1.75047182604653</v>
      </c>
      <c r="P21" s="47" t="n">
        <f aca="false">IF(J21="","",MAX(0,J21-1.96*O21/100))</f>
        <v>0.422433754754017</v>
      </c>
      <c r="Q21" s="47" t="n">
        <f aca="false">IF(J21="","",MIN(1,J21+1.96*O21/100))</f>
        <v>0.491052250335041</v>
      </c>
      <c r="R21" s="32" t="str">
        <f aca="false">IF(L21="","",IF(ABS(L21)&lt;=O21,"Yes","No"))</f>
        <v>No</v>
      </c>
      <c r="S21" s="32" t="str">
        <f aca="false">IF(L21="","",IF(ABS(L21)&lt;=1.96*O21,"Yes","No"))</f>
        <v>No</v>
      </c>
      <c r="T21" s="66" t="n">
        <f aca="false">IF(D21="","",ROUND(SQRT(((D21+G21)*O21/100)^2+(J21*(D21+G21)*0.05992)^2),0))</f>
        <v>51</v>
      </c>
      <c r="U21" s="32" t="s">
        <v>468</v>
      </c>
    </row>
    <row r="22" customFormat="false" ht="15" hidden="false" customHeight="false" outlineLevel="0" collapsed="false">
      <c r="A22" s="32" t="s">
        <v>189</v>
      </c>
      <c r="B22" s="32" t="s">
        <v>216</v>
      </c>
      <c r="C22" s="32" t="s">
        <v>191</v>
      </c>
      <c r="D22" s="66" t="n">
        <v>857</v>
      </c>
      <c r="E22" s="66" t="n">
        <v>723</v>
      </c>
      <c r="F22" s="77" t="n">
        <f aca="false">IF(E22="","",D22-E22)</f>
        <v>134</v>
      </c>
      <c r="G22" s="66" t="n">
        <v>1869</v>
      </c>
      <c r="H22" s="66" t="n">
        <v>1892</v>
      </c>
      <c r="I22" s="77" t="n">
        <f aca="false">IF(H22="","",G22-H22)</f>
        <v>-23</v>
      </c>
      <c r="J22" s="47" t="n">
        <f aca="false">IF(OR(D22="",D22+G22=0),"",D22/(D22+G22))</f>
        <v>0.314380044020543</v>
      </c>
      <c r="K22" s="47" t="n">
        <f aca="false">IF(E22="","",E22/(E22+H22))</f>
        <v>0.276481835564054</v>
      </c>
      <c r="L22" s="78" t="n">
        <f aca="false">IF(OR(K22="",J22=""),"",(J22-K22)*100)</f>
        <v>3.78982084564894</v>
      </c>
      <c r="M22" s="36" t="n">
        <v>1.72069707213054</v>
      </c>
      <c r="N22" s="36" t="n">
        <v>0.321485924643753</v>
      </c>
      <c r="O22" s="36" t="n">
        <f aca="false">SQRT(M22^2+N22^2)</f>
        <v>1.75047182604653</v>
      </c>
      <c r="P22" s="47" t="n">
        <f aca="false">IF(J22="","",MAX(0,J22-1.96*O22/100))</f>
        <v>0.280070796230031</v>
      </c>
      <c r="Q22" s="47" t="n">
        <f aca="false">IF(J22="","",MIN(1,J22+1.96*O22/100))</f>
        <v>0.348689291811055</v>
      </c>
      <c r="R22" s="32" t="str">
        <f aca="false">IF(L22="","",IF(ABS(L22)&lt;=O22,"Yes","No"))</f>
        <v>No</v>
      </c>
      <c r="S22" s="32" t="str">
        <f aca="false">IF(L22="","",IF(ABS(L22)&lt;=1.96*O22,"Yes","No"))</f>
        <v>No</v>
      </c>
      <c r="T22" s="66" t="n">
        <f aca="false">IF(D22="","",ROUND(SQRT(((D22+G22)*O22/100)^2+(J22*(D22+G22)*0.05992)^2),0))</f>
        <v>70</v>
      </c>
      <c r="U22" s="32" t="s">
        <v>468</v>
      </c>
    </row>
    <row r="23" customFormat="false" ht="15" hidden="false" customHeight="false" outlineLevel="0" collapsed="false">
      <c r="A23" s="32" t="s">
        <v>189</v>
      </c>
      <c r="B23" s="32" t="s">
        <v>217</v>
      </c>
      <c r="C23" s="32" t="s">
        <v>191</v>
      </c>
      <c r="D23" s="66" t="n">
        <v>382</v>
      </c>
      <c r="E23" s="66" t="n">
        <v>323</v>
      </c>
      <c r="F23" s="77" t="n">
        <f aca="false">IF(E23="","",D23-E23)</f>
        <v>59</v>
      </c>
      <c r="G23" s="66" t="n">
        <v>851</v>
      </c>
      <c r="H23" s="66" t="n">
        <v>898</v>
      </c>
      <c r="I23" s="77" t="n">
        <f aca="false">IF(H23="","",G23-H23)</f>
        <v>-47</v>
      </c>
      <c r="J23" s="47" t="n">
        <f aca="false">IF(OR(D23="",D23+G23=0),"",D23/(D23+G23))</f>
        <v>0.309813463098135</v>
      </c>
      <c r="K23" s="47" t="n">
        <f aca="false">IF(E23="","",E23/(E23+H23))</f>
        <v>0.264537264537265</v>
      </c>
      <c r="L23" s="78" t="n">
        <f aca="false">IF(OR(K23="",J23=""),"",(J23-K23)*100)</f>
        <v>4.52761985608701</v>
      </c>
      <c r="M23" s="36" t="n">
        <v>2.73724997661239</v>
      </c>
      <c r="N23" s="36" t="n">
        <v>0.321485924643753</v>
      </c>
      <c r="O23" s="36" t="n">
        <f aca="false">SQRT(M23^2+N23^2)</f>
        <v>2.75606433782098</v>
      </c>
      <c r="P23" s="47" t="n">
        <f aca="false">IF(J23="","",MAX(0,J23-1.96*O23/100))</f>
        <v>0.255794602076844</v>
      </c>
      <c r="Q23" s="47" t="n">
        <f aca="false">IF(J23="","",MIN(1,J23+1.96*O23/100))</f>
        <v>0.363832324119426</v>
      </c>
      <c r="R23" s="32" t="str">
        <f aca="false">IF(L23="","",IF(ABS(L23)&lt;=O23,"Yes","No"))</f>
        <v>No</v>
      </c>
      <c r="S23" s="32" t="str">
        <f aca="false">IF(L23="","",IF(ABS(L23)&lt;=1.96*O23,"Yes","No"))</f>
        <v>Yes</v>
      </c>
      <c r="T23" s="66" t="n">
        <f aca="false">IF(D23="","",ROUND(SQRT(((D23+G23)*O23/100)^2+(J23*(D23+G23)*0.07717)^2),0))</f>
        <v>45</v>
      </c>
      <c r="U23" s="32" t="s">
        <v>468</v>
      </c>
    </row>
    <row r="24" customFormat="false" ht="15" hidden="false" customHeight="false" outlineLevel="0" collapsed="false">
      <c r="A24" s="32" t="s">
        <v>189</v>
      </c>
      <c r="B24" s="32" t="s">
        <v>218</v>
      </c>
      <c r="C24" s="32" t="s">
        <v>191</v>
      </c>
      <c r="D24" s="66" t="n">
        <v>74</v>
      </c>
      <c r="E24" s="66" t="n">
        <v>62</v>
      </c>
      <c r="F24" s="77" t="n">
        <f aca="false">IF(E24="","",D24-E24)</f>
        <v>12</v>
      </c>
      <c r="G24" s="66" t="n">
        <v>100</v>
      </c>
      <c r="H24" s="66" t="n">
        <v>91</v>
      </c>
      <c r="I24" s="77" t="n">
        <f aca="false">IF(H24="","",G24-H24)</f>
        <v>9</v>
      </c>
      <c r="J24" s="47" t="n">
        <f aca="false">IF(OR(D24="",D24+G24=0),"",D24/(D24+G24))</f>
        <v>0.425287356321839</v>
      </c>
      <c r="K24" s="47" t="n">
        <f aca="false">IF(E24="","",E24/(E24+H24))</f>
        <v>0.405228758169935</v>
      </c>
      <c r="L24" s="78" t="n">
        <f aca="false">IF(OR(K24="",J24=""),"",(J24-K24)*100)</f>
        <v>2.00585981519044</v>
      </c>
      <c r="M24" s="36" t="n">
        <v>2.73724997661239</v>
      </c>
      <c r="N24" s="36" t="n">
        <v>0.321485924643753</v>
      </c>
      <c r="O24" s="36" t="n">
        <f aca="false">SQRT(M24^2+N24^2)</f>
        <v>2.75606433782098</v>
      </c>
      <c r="P24" s="47" t="n">
        <f aca="false">IF(J24="","",MAX(0,J24-1.96*O24/100))</f>
        <v>0.371268495300548</v>
      </c>
      <c r="Q24" s="47" t="n">
        <f aca="false">IF(J24="","",MIN(1,J24+1.96*O24/100))</f>
        <v>0.47930621734313</v>
      </c>
      <c r="R24" s="32" t="str">
        <f aca="false">IF(L24="","",IF(ABS(L24)&lt;=O24,"Yes","No"))</f>
        <v>Yes</v>
      </c>
      <c r="S24" s="32" t="str">
        <f aca="false">IF(L24="","",IF(ABS(L24)&lt;=1.96*O24,"Yes","No"))</f>
        <v>Yes</v>
      </c>
      <c r="T24" s="66" t="n">
        <f aca="false">IF(D24="","",ROUND(SQRT(((D24+G24)*O24/100)^2+(J24*(D24+G24)*0.07717)^2),0))</f>
        <v>7</v>
      </c>
      <c r="U24" s="32" t="s">
        <v>468</v>
      </c>
    </row>
    <row r="25" customFormat="false" ht="15" hidden="false" customHeight="false" outlineLevel="0" collapsed="false">
      <c r="A25" s="32" t="s">
        <v>219</v>
      </c>
      <c r="B25" s="32" t="s">
        <v>220</v>
      </c>
      <c r="C25" s="32" t="s">
        <v>191</v>
      </c>
      <c r="D25" s="66" t="n">
        <v>651</v>
      </c>
      <c r="E25" s="66" t="n">
        <v>644</v>
      </c>
      <c r="F25" s="77" t="n">
        <f aca="false">IF(E25="","",D25-E25)</f>
        <v>7</v>
      </c>
      <c r="G25" s="66" t="n">
        <v>682</v>
      </c>
      <c r="H25" s="66" t="n">
        <v>735</v>
      </c>
      <c r="I25" s="77" t="n">
        <f aca="false">IF(H25="","",G25-H25)</f>
        <v>-53</v>
      </c>
      <c r="J25" s="47" t="n">
        <f aca="false">IF(OR(D25="",D25+G25=0),"",D25/(D25+G25))</f>
        <v>0.488372093023256</v>
      </c>
      <c r="K25" s="47" t="n">
        <f aca="false">IF(E25="","",E25/(E25+H25))</f>
        <v>0.467005076142132</v>
      </c>
      <c r="L25" s="78" t="n">
        <f aca="false">IF(OR(K25="",J25=""),"",(J25-K25)*100)</f>
        <v>2.13670168811238</v>
      </c>
      <c r="M25" s="36" t="n">
        <v>2.73724997661239</v>
      </c>
      <c r="N25" s="36" t="n">
        <v>0.321485924643753</v>
      </c>
      <c r="O25" s="36" t="n">
        <f aca="false">SQRT(M25^2+N25^2)</f>
        <v>2.75606433782098</v>
      </c>
      <c r="P25" s="47" t="n">
        <f aca="false">IF(J25="","",MAX(0,J25-1.96*O25/100))</f>
        <v>0.434353232001965</v>
      </c>
      <c r="Q25" s="47" t="n">
        <f aca="false">IF(J25="","",MIN(1,J25+1.96*O25/100))</f>
        <v>0.542390954044547</v>
      </c>
      <c r="R25" s="32" t="str">
        <f aca="false">IF(L25="","",IF(ABS(L25)&lt;=O25,"Yes","No"))</f>
        <v>Yes</v>
      </c>
      <c r="S25" s="32" t="str">
        <f aca="false">IF(L25="","",IF(ABS(L25)&lt;=1.96*O25,"Yes","No"))</f>
        <v>Yes</v>
      </c>
      <c r="T25" s="66" t="n">
        <f aca="false">IF(D25="","",ROUND(SQRT(((D25+G25)*O25/100)^2+(J25*(D25+G25)*0.07717)^2),0))</f>
        <v>62</v>
      </c>
      <c r="U25" s="32"/>
    </row>
    <row r="26" customFormat="false" ht="15" hidden="false" customHeight="false" outlineLevel="0" collapsed="false">
      <c r="A26" s="32" t="s">
        <v>219</v>
      </c>
      <c r="B26" s="32" t="s">
        <v>221</v>
      </c>
      <c r="C26" s="32" t="s">
        <v>191</v>
      </c>
      <c r="D26" s="66" t="n">
        <v>27977</v>
      </c>
      <c r="E26" s="66" t="n">
        <v>27952</v>
      </c>
      <c r="F26" s="77" t="n">
        <f aca="false">IF(E26="","",D26-E26)</f>
        <v>25</v>
      </c>
      <c r="G26" s="66" t="n">
        <v>12389</v>
      </c>
      <c r="H26" s="66" t="n">
        <v>12938</v>
      </c>
      <c r="I26" s="77" t="n">
        <f aca="false">IF(H26="","",G26-H26)</f>
        <v>-549</v>
      </c>
      <c r="J26" s="47" t="n">
        <f aca="false">IF(OR(D26="",D26+G26=0),"",D26/(D26+G26))</f>
        <v>0.693083287915573</v>
      </c>
      <c r="K26" s="47" t="n">
        <f aca="false">IF(E26="","",E26/(E26+H26))</f>
        <v>0.6835901198337</v>
      </c>
      <c r="L26" s="78" t="n">
        <f aca="false">IF(OR(K26="",J26=""),"",(J26-K26)*100)</f>
        <v>0.949316808187228</v>
      </c>
      <c r="M26" s="36" t="n">
        <v>1.61293121864256</v>
      </c>
      <c r="N26" s="36" t="n">
        <v>0.321485924643753</v>
      </c>
      <c r="O26" s="36" t="n">
        <f aca="false">SQRT(M26^2+N26^2)</f>
        <v>1.64465811517647</v>
      </c>
      <c r="P26" s="47" t="n">
        <f aca="false">IF(J26="","",MAX(0,J26-1.96*O26/100))</f>
        <v>0.660847988858114</v>
      </c>
      <c r="Q26" s="47" t="n">
        <f aca="false">IF(J26="","",MIN(1,J26+1.96*O26/100))</f>
        <v>0.725318586973031</v>
      </c>
      <c r="R26" s="32" t="str">
        <f aca="false">IF(L26="","",IF(ABS(L26)&lt;=O26,"Yes","No"))</f>
        <v>Yes</v>
      </c>
      <c r="S26" s="32" t="str">
        <f aca="false">IF(L26="","",IF(ABS(L26)&lt;=1.96*O26,"Yes","No"))</f>
        <v>Yes</v>
      </c>
      <c r="T26" s="66" t="n">
        <f aca="false">IF(D26="","",ROUND(SQRT(((D26+G26)*O26/100)^2+(J26*(D26+G26)*0.05437)^2),0))</f>
        <v>1660</v>
      </c>
      <c r="U26" s="32"/>
    </row>
    <row r="27" customFormat="false" ht="15" hidden="false" customHeight="false" outlineLevel="0" collapsed="false">
      <c r="A27" s="32" t="s">
        <v>219</v>
      </c>
      <c r="B27" s="32" t="s">
        <v>222</v>
      </c>
      <c r="C27" s="32" t="s">
        <v>191</v>
      </c>
      <c r="D27" s="66" t="n">
        <v>6635</v>
      </c>
      <c r="E27" s="66" t="n">
        <v>6475</v>
      </c>
      <c r="F27" s="77" t="n">
        <f aca="false">IF(E27="","",D27-E27)</f>
        <v>160</v>
      </c>
      <c r="G27" s="66" t="n">
        <v>3437</v>
      </c>
      <c r="H27" s="66" t="n">
        <v>3784</v>
      </c>
      <c r="I27" s="77" t="n">
        <f aca="false">IF(H27="","",G27-H27)</f>
        <v>-347</v>
      </c>
      <c r="J27" s="47" t="n">
        <f aca="false">IF(OR(D27="",D27+G27=0),"",D27/(D27+G27))</f>
        <v>0.658756949960286</v>
      </c>
      <c r="K27" s="47" t="n">
        <f aca="false">IF(E27="","",E27/(E27+H27))</f>
        <v>0.631153133833707</v>
      </c>
      <c r="L27" s="78" t="n">
        <f aca="false">IF(OR(K27="",J27=""),"",(J27-K27)*100)</f>
        <v>2.76038161265789</v>
      </c>
      <c r="M27" s="36" t="n">
        <v>1.61293121864256</v>
      </c>
      <c r="N27" s="36" t="n">
        <v>0.321485924643753</v>
      </c>
      <c r="O27" s="36" t="n">
        <f aca="false">SQRT(M27^2+N27^2)</f>
        <v>1.64465811517647</v>
      </c>
      <c r="P27" s="47" t="n">
        <f aca="false">IF(J27="","",MAX(0,J27-1.96*O27/100))</f>
        <v>0.626521650902827</v>
      </c>
      <c r="Q27" s="47" t="n">
        <f aca="false">IF(J27="","",MIN(1,J27+1.96*O27/100))</f>
        <v>0.690992249017745</v>
      </c>
      <c r="R27" s="32" t="str">
        <f aca="false">IF(L27="","",IF(ABS(L27)&lt;=O27,"Yes","No"))</f>
        <v>No</v>
      </c>
      <c r="S27" s="32" t="str">
        <f aca="false">IF(L27="","",IF(ABS(L27)&lt;=1.96*O27,"Yes","No"))</f>
        <v>Yes</v>
      </c>
      <c r="T27" s="66" t="n">
        <f aca="false">IF(D27="","",ROUND(SQRT(((D27+G27)*O27/100)^2+(J27*(D27+G27)*0.05437)^2),0))</f>
        <v>397</v>
      </c>
      <c r="U27" s="32"/>
    </row>
    <row r="28" customFormat="false" ht="15" hidden="false" customHeight="false" outlineLevel="0" collapsed="false">
      <c r="A28" s="32" t="s">
        <v>219</v>
      </c>
      <c r="B28" s="32" t="s">
        <v>223</v>
      </c>
      <c r="C28" s="32" t="s">
        <v>191</v>
      </c>
      <c r="D28" s="66" t="n">
        <v>1674</v>
      </c>
      <c r="E28" s="66" t="n">
        <v>1582</v>
      </c>
      <c r="F28" s="77" t="n">
        <f aca="false">IF(E28="","",D28-E28)</f>
        <v>92</v>
      </c>
      <c r="G28" s="66" t="n">
        <v>1369</v>
      </c>
      <c r="H28" s="66" t="n">
        <v>1496</v>
      </c>
      <c r="I28" s="77" t="n">
        <f aca="false">IF(H28="","",G28-H28)</f>
        <v>-127</v>
      </c>
      <c r="J28" s="47" t="n">
        <f aca="false">IF(OR(D28="",D28+G28=0),"",D28/(D28+G28))</f>
        <v>0.550115018074269</v>
      </c>
      <c r="K28" s="47" t="n">
        <f aca="false">IF(E28="","",E28/(E28+H28))</f>
        <v>0.513970110461339</v>
      </c>
      <c r="L28" s="78" t="n">
        <f aca="false">IF(OR(K28="",J28=""),"",(J28-K28)*100)</f>
        <v>3.61449076129302</v>
      </c>
      <c r="M28" s="36" t="n">
        <v>1.72069707213054</v>
      </c>
      <c r="N28" s="36" t="n">
        <v>0.321485924643753</v>
      </c>
      <c r="O28" s="36" t="n">
        <f aca="false">SQRT(M28^2+N28^2)</f>
        <v>1.75047182604653</v>
      </c>
      <c r="P28" s="47" t="n">
        <f aca="false">IF(J28="","",MAX(0,J28-1.96*O28/100))</f>
        <v>0.515805770283757</v>
      </c>
      <c r="Q28" s="47" t="n">
        <f aca="false">IF(J28="","",MIN(1,J28+1.96*O28/100))</f>
        <v>0.584424265864781</v>
      </c>
      <c r="R28" s="32" t="str">
        <f aca="false">IF(L28="","",IF(ABS(L28)&lt;=O28,"Yes","No"))</f>
        <v>No</v>
      </c>
      <c r="S28" s="32" t="str">
        <f aca="false">IF(L28="","",IF(ABS(L28)&lt;=1.96*O28,"Yes","No"))</f>
        <v>No</v>
      </c>
      <c r="T28" s="66" t="n">
        <f aca="false">IF(D28="","",ROUND(SQRT(((D28+G28)*O28/100)^2+(J28*(D28+G28)*0.05992)^2),0))</f>
        <v>114</v>
      </c>
      <c r="U28" s="32"/>
    </row>
    <row r="29" customFormat="false" ht="15" hidden="false" customHeight="false" outlineLevel="0" collapsed="false">
      <c r="A29" s="32" t="s">
        <v>219</v>
      </c>
      <c r="B29" s="32" t="s">
        <v>224</v>
      </c>
      <c r="C29" s="32" t="s">
        <v>191</v>
      </c>
      <c r="D29" s="66" t="n">
        <v>730</v>
      </c>
      <c r="E29" s="66" t="n">
        <v>704</v>
      </c>
      <c r="F29" s="77" t="n">
        <f aca="false">IF(E29="","",D29-E29)</f>
        <v>26</v>
      </c>
      <c r="G29" s="66" t="n">
        <v>735</v>
      </c>
      <c r="H29" s="66" t="n">
        <v>791</v>
      </c>
      <c r="I29" s="77" t="n">
        <f aca="false">IF(H29="","",G29-H29)</f>
        <v>-56</v>
      </c>
      <c r="J29" s="47" t="n">
        <f aca="false">IF(OR(D29="",D29+G29=0),"",D29/(D29+G29))</f>
        <v>0.498293515358362</v>
      </c>
      <c r="K29" s="47" t="n">
        <f aca="false">IF(E29="","",E29/(E29+H29))</f>
        <v>0.470903010033445</v>
      </c>
      <c r="L29" s="78" t="n">
        <f aca="false">IF(OR(K29="",J29=""),"",(J29-K29)*100)</f>
        <v>2.73905053249169</v>
      </c>
      <c r="M29" s="36" t="n">
        <v>2.73724997661239</v>
      </c>
      <c r="N29" s="36" t="n">
        <v>0.321485924643753</v>
      </c>
      <c r="O29" s="36" t="n">
        <f aca="false">SQRT(M29^2+N29^2)</f>
        <v>2.75606433782098</v>
      </c>
      <c r="P29" s="47" t="n">
        <f aca="false">IF(J29="","",MAX(0,J29-1.96*O29/100))</f>
        <v>0.444274654337071</v>
      </c>
      <c r="Q29" s="47" t="n">
        <f aca="false">IF(J29="","",MIN(1,J29+1.96*O29/100))</f>
        <v>0.552312376379653</v>
      </c>
      <c r="R29" s="32" t="str">
        <f aca="false">IF(L29="","",IF(ABS(L29)&lt;=O29,"Yes","No"))</f>
        <v>Yes</v>
      </c>
      <c r="S29" s="32" t="str">
        <f aca="false">IF(L29="","",IF(ABS(L29)&lt;=1.96*O29,"Yes","No"))</f>
        <v>Yes</v>
      </c>
      <c r="T29" s="66" t="n">
        <f aca="false">IF(D29="","",ROUND(SQRT(((D29+G29)*O29/100)^2+(J29*(D29+G29)*0.07717)^2),0))</f>
        <v>69</v>
      </c>
      <c r="U29" s="32"/>
    </row>
    <row r="30" customFormat="false" ht="15" hidden="false" customHeight="false" outlineLevel="0" collapsed="false">
      <c r="A30" s="32" t="s">
        <v>219</v>
      </c>
      <c r="B30" s="32" t="s">
        <v>225</v>
      </c>
      <c r="C30" s="32" t="s">
        <v>191</v>
      </c>
      <c r="D30" s="66" t="n">
        <v>926</v>
      </c>
      <c r="E30" s="66" t="n">
        <v>878</v>
      </c>
      <c r="F30" s="77" t="n">
        <f aca="false">IF(E30="","",D30-E30)</f>
        <v>48</v>
      </c>
      <c r="G30" s="66" t="n">
        <v>784</v>
      </c>
      <c r="H30" s="66" t="n">
        <v>870</v>
      </c>
      <c r="I30" s="77" t="n">
        <f aca="false">IF(H30="","",G30-H30)</f>
        <v>-86</v>
      </c>
      <c r="J30" s="47" t="n">
        <f aca="false">IF(OR(D30="",D30+G30=0),"",D30/(D30+G30))</f>
        <v>0.541520467836257</v>
      </c>
      <c r="K30" s="47" t="n">
        <f aca="false">IF(E30="","",E30/(E30+H30))</f>
        <v>0.502288329519451</v>
      </c>
      <c r="L30" s="78" t="n">
        <f aca="false">IF(OR(K30="",J30=""),"",(J30-K30)*100)</f>
        <v>3.92321383168065</v>
      </c>
      <c r="M30" s="36" t="n">
        <v>1.72069707213054</v>
      </c>
      <c r="N30" s="36" t="n">
        <v>0.321485924643753</v>
      </c>
      <c r="O30" s="36" t="n">
        <f aca="false">SQRT(M30^2+N30^2)</f>
        <v>1.75047182604653</v>
      </c>
      <c r="P30" s="47" t="n">
        <f aca="false">IF(J30="","",MAX(0,J30-1.96*O30/100))</f>
        <v>0.507211220045745</v>
      </c>
      <c r="Q30" s="47" t="n">
        <f aca="false">IF(J30="","",MIN(1,J30+1.96*O30/100))</f>
        <v>0.575829715626769</v>
      </c>
      <c r="R30" s="32" t="str">
        <f aca="false">IF(L30="","",IF(ABS(L30)&lt;=O30,"Yes","No"))</f>
        <v>No</v>
      </c>
      <c r="S30" s="32" t="str">
        <f aca="false">IF(L30="","",IF(ABS(L30)&lt;=1.96*O30,"Yes","No"))</f>
        <v>No</v>
      </c>
      <c r="T30" s="66" t="n">
        <f aca="false">IF(D30="","",ROUND(SQRT(((D30+G30)*O30/100)^2+(J30*(D30+G30)*0.05992)^2),0))</f>
        <v>63</v>
      </c>
      <c r="U30" s="32"/>
    </row>
    <row r="31" customFormat="false" ht="15" hidden="false" customHeight="false" outlineLevel="0" collapsed="false">
      <c r="A31" s="32" t="s">
        <v>219</v>
      </c>
      <c r="B31" s="32" t="s">
        <v>226</v>
      </c>
      <c r="C31" s="32" t="s">
        <v>191</v>
      </c>
      <c r="D31" s="66" t="n">
        <v>3519</v>
      </c>
      <c r="E31" s="66" t="n">
        <v>3393</v>
      </c>
      <c r="F31" s="77" t="n">
        <f aca="false">IF(E31="","",D31-E31)</f>
        <v>126</v>
      </c>
      <c r="G31" s="66" t="n">
        <v>2990</v>
      </c>
      <c r="H31" s="66" t="n">
        <v>3078</v>
      </c>
      <c r="I31" s="77" t="n">
        <f aca="false">IF(H31="","",G31-H31)</f>
        <v>-88</v>
      </c>
      <c r="J31" s="47" t="n">
        <f aca="false">IF(OR(D31="",D31+G31=0),"",D31/(D31+G31))</f>
        <v>0.540636042402827</v>
      </c>
      <c r="K31" s="47" t="n">
        <f aca="false">IF(E31="","",E31/(E31+H31))</f>
        <v>0.524339360222531</v>
      </c>
      <c r="L31" s="78" t="n">
        <f aca="false">IF(OR(K31="",J31=""),"",(J31-K31)*100)</f>
        <v>1.62966821802956</v>
      </c>
      <c r="M31" s="36" t="n">
        <v>1.61293121864256</v>
      </c>
      <c r="N31" s="36" t="n">
        <v>0.321485924643753</v>
      </c>
      <c r="O31" s="36" t="n">
        <f aca="false">SQRT(M31^2+N31^2)</f>
        <v>1.64465811517647</v>
      </c>
      <c r="P31" s="47" t="n">
        <f aca="false">IF(J31="","",MAX(0,J31-1.96*O31/100))</f>
        <v>0.508400743345368</v>
      </c>
      <c r="Q31" s="47" t="n">
        <f aca="false">IF(J31="","",MIN(1,J31+1.96*O31/100))</f>
        <v>0.572871341460286</v>
      </c>
      <c r="R31" s="32" t="str">
        <f aca="false">IF(L31="","",IF(ABS(L31)&lt;=O31,"Yes","No"))</f>
        <v>Yes</v>
      </c>
      <c r="S31" s="32" t="str">
        <f aca="false">IF(L31="","",IF(ABS(L31)&lt;=1.96*O31,"Yes","No"))</f>
        <v>Yes</v>
      </c>
      <c r="T31" s="66" t="n">
        <f aca="false">IF(D31="","",ROUND(SQRT(((D31+G31)*O31/100)^2+(J31*(D31+G31)*0.05437)^2),0))</f>
        <v>219</v>
      </c>
      <c r="U31" s="32"/>
    </row>
    <row r="32" customFormat="false" ht="15" hidden="false" customHeight="false" outlineLevel="0" collapsed="false">
      <c r="A32" s="32" t="s">
        <v>219</v>
      </c>
      <c r="B32" s="32" t="s">
        <v>227</v>
      </c>
      <c r="C32" s="32" t="s">
        <v>191</v>
      </c>
      <c r="D32" s="66" t="n">
        <v>1454</v>
      </c>
      <c r="E32" s="66" t="n">
        <v>1481</v>
      </c>
      <c r="F32" s="77" t="n">
        <f aca="false">IF(E32="","",D32-E32)</f>
        <v>-27</v>
      </c>
      <c r="G32" s="66" t="n">
        <v>655</v>
      </c>
      <c r="H32" s="66" t="n">
        <v>737</v>
      </c>
      <c r="I32" s="77" t="n">
        <f aca="false">IF(H32="","",G32-H32)</f>
        <v>-82</v>
      </c>
      <c r="J32" s="47" t="n">
        <f aca="false">IF(OR(D32="",D32+G32=0),"",D32/(D32+G32))</f>
        <v>0.689426268373637</v>
      </c>
      <c r="K32" s="47" t="n">
        <f aca="false">IF(E32="","",E32/(E32+H32))</f>
        <v>0.667718665464382</v>
      </c>
      <c r="L32" s="78" t="n">
        <f aca="false">IF(OR(K32="",J32=""),"",(J32-K32)*100)</f>
        <v>2.17076029092544</v>
      </c>
      <c r="M32" s="36" t="n">
        <v>1.72069707213054</v>
      </c>
      <c r="N32" s="36" t="n">
        <v>0.321485924643753</v>
      </c>
      <c r="O32" s="36" t="n">
        <f aca="false">SQRT(M32^2+N32^2)</f>
        <v>1.75047182604653</v>
      </c>
      <c r="P32" s="47" t="n">
        <f aca="false">IF(J32="","",MAX(0,J32-1.96*O32/100))</f>
        <v>0.655117020583125</v>
      </c>
      <c r="Q32" s="47" t="n">
        <f aca="false">IF(J32="","",MIN(1,J32+1.96*O32/100))</f>
        <v>0.723735516164149</v>
      </c>
      <c r="R32" s="32" t="str">
        <f aca="false">IF(L32="","",IF(ABS(L32)&lt;=O32,"Yes","No"))</f>
        <v>No</v>
      </c>
      <c r="S32" s="32" t="str">
        <f aca="false">IF(L32="","",IF(ABS(L32)&lt;=1.96*O32,"Yes","No"))</f>
        <v>Yes</v>
      </c>
      <c r="T32" s="66" t="n">
        <f aca="false">IF(D32="","",ROUND(SQRT(((D32+G32)*O32/100)^2+(J32*(D32+G32)*0.05992)^2),0))</f>
        <v>95</v>
      </c>
      <c r="U32" s="32"/>
    </row>
    <row r="33" customFormat="false" ht="15" hidden="false" customHeight="false" outlineLevel="0" collapsed="false">
      <c r="A33" s="32" t="s">
        <v>219</v>
      </c>
      <c r="B33" s="32" t="s">
        <v>228</v>
      </c>
      <c r="C33" s="32" t="s">
        <v>191</v>
      </c>
      <c r="D33" s="66" t="n">
        <v>391</v>
      </c>
      <c r="E33" s="66" t="n">
        <v>405</v>
      </c>
      <c r="F33" s="77" t="n">
        <f aca="false">IF(E33="","",D33-E33)</f>
        <v>-14</v>
      </c>
      <c r="G33" s="66" t="n">
        <v>289</v>
      </c>
      <c r="H33" s="66" t="n">
        <v>304</v>
      </c>
      <c r="I33" s="77" t="n">
        <f aca="false">IF(H33="","",G33-H33)</f>
        <v>-15</v>
      </c>
      <c r="J33" s="47" t="n">
        <f aca="false">IF(OR(D33="",D33+G33=0),"",D33/(D33+G33))</f>
        <v>0.575</v>
      </c>
      <c r="K33" s="47" t="n">
        <f aca="false">IF(E33="","",E33/(E33+H33))</f>
        <v>0.571227080394922</v>
      </c>
      <c r="L33" s="78" t="n">
        <f aca="false">IF(OR(K33="",J33=""),"",(J33-K33)*100)</f>
        <v>0.377291960507753</v>
      </c>
      <c r="M33" s="36" t="n">
        <v>2.73724997661239</v>
      </c>
      <c r="N33" s="36" t="n">
        <v>0.321485924643753</v>
      </c>
      <c r="O33" s="36" t="n">
        <f aca="false">SQRT(M33^2+N33^2)</f>
        <v>2.75606433782098</v>
      </c>
      <c r="P33" s="47" t="n">
        <f aca="false">IF(J33="","",MAX(0,J33-1.96*O33/100))</f>
        <v>0.520981138978709</v>
      </c>
      <c r="Q33" s="47" t="n">
        <f aca="false">IF(J33="","",MIN(1,J33+1.96*O33/100))</f>
        <v>0.629018861021291</v>
      </c>
      <c r="R33" s="32" t="str">
        <f aca="false">IF(L33="","",IF(ABS(L33)&lt;=O33,"Yes","No"))</f>
        <v>Yes</v>
      </c>
      <c r="S33" s="32" t="str">
        <f aca="false">IF(L33="","",IF(ABS(L33)&lt;=1.96*O33,"Yes","No"))</f>
        <v>Yes</v>
      </c>
      <c r="T33" s="66" t="n">
        <f aca="false">IF(D33="","",ROUND(SQRT(((D33+G33)*O33/100)^2+(J33*(D33+G33)*0.07717)^2),0))</f>
        <v>36</v>
      </c>
      <c r="U33" s="32"/>
    </row>
    <row r="34" customFormat="false" ht="15" hidden="false" customHeight="false" outlineLevel="0" collapsed="false">
      <c r="A34" s="32" t="s">
        <v>219</v>
      </c>
      <c r="B34" s="32" t="s">
        <v>229</v>
      </c>
      <c r="C34" s="32" t="s">
        <v>191</v>
      </c>
      <c r="D34" s="66" t="n">
        <v>669</v>
      </c>
      <c r="E34" s="66" t="n">
        <v>602</v>
      </c>
      <c r="F34" s="77" t="n">
        <f aca="false">IF(E34="","",D34-E34)</f>
        <v>67</v>
      </c>
      <c r="G34" s="66" t="n">
        <v>1309</v>
      </c>
      <c r="H34" s="66" t="n">
        <v>1339</v>
      </c>
      <c r="I34" s="77" t="n">
        <f aca="false">IF(H34="","",G34-H34)</f>
        <v>-30</v>
      </c>
      <c r="J34" s="47" t="n">
        <f aca="false">IF(OR(D34="",D34+G34=0),"",D34/(D34+G34))</f>
        <v>0.338220424671385</v>
      </c>
      <c r="K34" s="47" t="n">
        <f aca="false">IF(E34="","",E34/(E34+H34))</f>
        <v>0.310149407521896</v>
      </c>
      <c r="L34" s="78" t="n">
        <f aca="false">IF(OR(K34="",J34=""),"",(J34-K34)*100)</f>
        <v>2.80710171494893</v>
      </c>
      <c r="M34" s="36" t="n">
        <v>1.72069707213054</v>
      </c>
      <c r="N34" s="36" t="n">
        <v>0.321485924643753</v>
      </c>
      <c r="O34" s="36" t="n">
        <f aca="false">SQRT(M34^2+N34^2)</f>
        <v>1.75047182604653</v>
      </c>
      <c r="P34" s="47" t="n">
        <f aca="false">IF(J34="","",MAX(0,J34-1.96*O34/100))</f>
        <v>0.303911176880873</v>
      </c>
      <c r="Q34" s="47" t="n">
        <f aca="false">IF(J34="","",MIN(1,J34+1.96*O34/100))</f>
        <v>0.372529672461897</v>
      </c>
      <c r="R34" s="32" t="str">
        <f aca="false">IF(L34="","",IF(ABS(L34)&lt;=O34,"Yes","No"))</f>
        <v>No</v>
      </c>
      <c r="S34" s="32" t="str">
        <f aca="false">IF(L34="","",IF(ABS(L34)&lt;=1.96*O34,"Yes","No"))</f>
        <v>Yes</v>
      </c>
      <c r="T34" s="66" t="n">
        <f aca="false">IF(D34="","",ROUND(SQRT(((D34+G34)*O34/100)^2+(J34*(D34+G34)*0.05992)^2),0))</f>
        <v>53</v>
      </c>
      <c r="U34" s="32"/>
    </row>
    <row r="35" customFormat="false" ht="15" hidden="false" customHeight="false" outlineLevel="0" collapsed="false">
      <c r="A35" s="32" t="s">
        <v>219</v>
      </c>
      <c r="B35" s="32" t="s">
        <v>230</v>
      </c>
      <c r="C35" s="32" t="s">
        <v>191</v>
      </c>
      <c r="D35" s="66" t="n">
        <v>9761</v>
      </c>
      <c r="E35" s="66" t="n">
        <v>9782</v>
      </c>
      <c r="F35" s="77" t="n">
        <f aca="false">IF(E35="","",D35-E35)</f>
        <v>-21</v>
      </c>
      <c r="G35" s="66" t="n">
        <v>9826</v>
      </c>
      <c r="H35" s="66" t="n">
        <v>10014</v>
      </c>
      <c r="I35" s="77" t="n">
        <f aca="false">IF(H35="","",G35-H35)</f>
        <v>-188</v>
      </c>
      <c r="J35" s="47" t="n">
        <f aca="false">IF(OR(D35="",D35+G35=0),"",D35/(D35+G35))</f>
        <v>0.498340736202583</v>
      </c>
      <c r="K35" s="47" t="n">
        <f aca="false">IF(E35="","",E35/(E35+H35))</f>
        <v>0.494140230349566</v>
      </c>
      <c r="L35" s="78" t="n">
        <f aca="false">IF(OR(K35="",J35=""),"",(J35-K35)*100)</f>
        <v>0.420050585301779</v>
      </c>
      <c r="M35" s="36" t="n">
        <v>1.61293121864256</v>
      </c>
      <c r="N35" s="36" t="n">
        <v>0.321485924643753</v>
      </c>
      <c r="O35" s="36" t="n">
        <f aca="false">SQRT(M35^2+N35^2)</f>
        <v>1.64465811517647</v>
      </c>
      <c r="P35" s="47" t="n">
        <f aca="false">IF(J35="","",MAX(0,J35-1.96*O35/100))</f>
        <v>0.466105437145125</v>
      </c>
      <c r="Q35" s="47" t="n">
        <f aca="false">IF(J35="","",MIN(1,J35+1.96*O35/100))</f>
        <v>0.530576035260042</v>
      </c>
      <c r="R35" s="32" t="str">
        <f aca="false">IF(L35="","",IF(ABS(L35)&lt;=O35,"Yes","No"))</f>
        <v>Yes</v>
      </c>
      <c r="S35" s="32" t="str">
        <f aca="false">IF(L35="","",IF(ABS(L35)&lt;=1.96*O35,"Yes","No"))</f>
        <v>Yes</v>
      </c>
      <c r="T35" s="66" t="n">
        <f aca="false">IF(D35="","",ROUND(SQRT(((D35+G35)*O35/100)^2+(J35*(D35+G35)*0.05437)^2),0))</f>
        <v>621</v>
      </c>
      <c r="U35" s="32"/>
    </row>
    <row r="36" customFormat="false" ht="15" hidden="false" customHeight="false" outlineLevel="0" collapsed="false">
      <c r="A36" s="32" t="s">
        <v>219</v>
      </c>
      <c r="B36" s="32" t="s">
        <v>231</v>
      </c>
      <c r="C36" s="32" t="s">
        <v>191</v>
      </c>
      <c r="D36" s="66" t="n">
        <v>949</v>
      </c>
      <c r="E36" s="66" t="n">
        <v>920</v>
      </c>
      <c r="F36" s="77" t="n">
        <f aca="false">IF(E36="","",D36-E36)</f>
        <v>29</v>
      </c>
      <c r="G36" s="66" t="n">
        <v>1538</v>
      </c>
      <c r="H36" s="66" t="n">
        <v>1596</v>
      </c>
      <c r="I36" s="77" t="n">
        <f aca="false">IF(H36="","",G36-H36)</f>
        <v>-58</v>
      </c>
      <c r="J36" s="47" t="n">
        <f aca="false">IF(OR(D36="",D36+G36=0),"",D36/(D36+G36))</f>
        <v>0.381584238037797</v>
      </c>
      <c r="K36" s="47" t="n">
        <f aca="false">IF(E36="","",E36/(E36+H36))</f>
        <v>0.365659777424483</v>
      </c>
      <c r="L36" s="78" t="n">
        <f aca="false">IF(OR(K36="",J36=""),"",(J36-K36)*100)</f>
        <v>1.59244606133133</v>
      </c>
      <c r="M36" s="36" t="n">
        <v>1.72069707213054</v>
      </c>
      <c r="N36" s="36" t="n">
        <v>0.321485924643753</v>
      </c>
      <c r="O36" s="36" t="n">
        <f aca="false">SQRT(M36^2+N36^2)</f>
        <v>1.75047182604653</v>
      </c>
      <c r="P36" s="47" t="n">
        <f aca="false">IF(J36="","",MAX(0,J36-1.96*O36/100))</f>
        <v>0.347274990247285</v>
      </c>
      <c r="Q36" s="47" t="n">
        <f aca="false">IF(J36="","",MIN(1,J36+1.96*O36/100))</f>
        <v>0.415893485828309</v>
      </c>
      <c r="R36" s="32" t="str">
        <f aca="false">IF(L36="","",IF(ABS(L36)&lt;=O36,"Yes","No"))</f>
        <v>Yes</v>
      </c>
      <c r="S36" s="32" t="str">
        <f aca="false">IF(L36="","",IF(ABS(L36)&lt;=1.96*O36,"Yes","No"))</f>
        <v>Yes</v>
      </c>
      <c r="T36" s="66" t="n">
        <f aca="false">IF(D36="","",ROUND(SQRT(((D36+G36)*O36/100)^2+(J36*(D36+G36)*0.05992)^2),0))</f>
        <v>72</v>
      </c>
      <c r="U36" s="32"/>
    </row>
    <row r="37" customFormat="false" ht="15" hidden="false" customHeight="false" outlineLevel="0" collapsed="false">
      <c r="A37" s="32" t="s">
        <v>219</v>
      </c>
      <c r="B37" s="32" t="s">
        <v>232</v>
      </c>
      <c r="C37" s="32" t="s">
        <v>191</v>
      </c>
      <c r="D37" s="66" t="n">
        <v>527</v>
      </c>
      <c r="E37" s="66" t="n">
        <v>533</v>
      </c>
      <c r="F37" s="77" t="n">
        <f aca="false">IF(E37="","",D37-E37)</f>
        <v>-6</v>
      </c>
      <c r="G37" s="66" t="n">
        <v>932</v>
      </c>
      <c r="H37" s="66" t="n">
        <v>955</v>
      </c>
      <c r="I37" s="77" t="n">
        <f aca="false">IF(H37="","",G37-H37)</f>
        <v>-23</v>
      </c>
      <c r="J37" s="47" t="n">
        <f aca="false">IF(OR(D37="",D37+G37=0),"",D37/(D37+G37))</f>
        <v>0.361206305688828</v>
      </c>
      <c r="K37" s="47" t="n">
        <f aca="false">IF(E37="","",E37/(E37+H37))</f>
        <v>0.358198924731183</v>
      </c>
      <c r="L37" s="78" t="n">
        <f aca="false">IF(OR(K37="",J37=""),"",(J37-K37)*100)</f>
        <v>0.300738095764513</v>
      </c>
      <c r="M37" s="36" t="n">
        <v>2.73724997661239</v>
      </c>
      <c r="N37" s="36" t="n">
        <v>0.321485924643753</v>
      </c>
      <c r="O37" s="36" t="n">
        <f aca="false">SQRT(M37^2+N37^2)</f>
        <v>2.75606433782098</v>
      </c>
      <c r="P37" s="47" t="n">
        <f aca="false">IF(J37="","",MAX(0,J37-1.96*O37/100))</f>
        <v>0.307187444667537</v>
      </c>
      <c r="Q37" s="47" t="n">
        <f aca="false">IF(J37="","",MIN(1,J37+1.96*O37/100))</f>
        <v>0.415225166710119</v>
      </c>
      <c r="R37" s="32" t="str">
        <f aca="false">IF(L37="","",IF(ABS(L37)&lt;=O37,"Yes","No"))</f>
        <v>Yes</v>
      </c>
      <c r="S37" s="32" t="str">
        <f aca="false">IF(L37="","",IF(ABS(L37)&lt;=1.96*O37,"Yes","No"))</f>
        <v>Yes</v>
      </c>
      <c r="T37" s="66" t="n">
        <f aca="false">IF(D37="","",ROUND(SQRT(((D37+G37)*O37/100)^2+(J37*(D37+G37)*0.07717)^2),0))</f>
        <v>57</v>
      </c>
      <c r="U37" s="32"/>
    </row>
    <row r="38" customFormat="false" ht="15" hidden="false" customHeight="false" outlineLevel="0" collapsed="false">
      <c r="A38" s="32" t="s">
        <v>219</v>
      </c>
      <c r="B38" s="32" t="s">
        <v>233</v>
      </c>
      <c r="C38" s="32" t="s">
        <v>191</v>
      </c>
      <c r="D38" s="66" t="n">
        <v>876</v>
      </c>
      <c r="E38" s="66" t="n">
        <v>846</v>
      </c>
      <c r="F38" s="77" t="n">
        <f aca="false">IF(E38="","",D38-E38)</f>
        <v>30</v>
      </c>
      <c r="G38" s="66" t="n">
        <v>1760</v>
      </c>
      <c r="H38" s="66" t="n">
        <v>1783</v>
      </c>
      <c r="I38" s="77" t="n">
        <f aca="false">IF(H38="","",G38-H38)</f>
        <v>-23</v>
      </c>
      <c r="J38" s="47" t="n">
        <f aca="false">IF(OR(D38="",D38+G38=0),"",D38/(D38+G38))</f>
        <v>0.332321699544765</v>
      </c>
      <c r="K38" s="47" t="n">
        <f aca="false">IF(E38="","",E38/(E38+H38))</f>
        <v>0.321795359452263</v>
      </c>
      <c r="L38" s="78" t="n">
        <f aca="false">IF(OR(K38="",J38=""),"",(J38-K38)*100)</f>
        <v>1.05263400925016</v>
      </c>
      <c r="M38" s="36" t="n">
        <v>1.72069707213054</v>
      </c>
      <c r="N38" s="36" t="n">
        <v>0.321485924643753</v>
      </c>
      <c r="O38" s="36" t="n">
        <f aca="false">SQRT(M38^2+N38^2)</f>
        <v>1.75047182604653</v>
      </c>
      <c r="P38" s="47" t="n">
        <f aca="false">IF(J38="","",MAX(0,J38-1.96*O38/100))</f>
        <v>0.298012451754253</v>
      </c>
      <c r="Q38" s="47" t="n">
        <f aca="false">IF(J38="","",MIN(1,J38+1.96*O38/100))</f>
        <v>0.366630947335277</v>
      </c>
      <c r="R38" s="32" t="str">
        <f aca="false">IF(L38="","",IF(ABS(L38)&lt;=O38,"Yes","No"))</f>
        <v>Yes</v>
      </c>
      <c r="S38" s="32" t="str">
        <f aca="false">IF(L38="","",IF(ABS(L38)&lt;=1.96*O38,"Yes","No"))</f>
        <v>Yes</v>
      </c>
      <c r="T38" s="66" t="n">
        <f aca="false">IF(D38="","",ROUND(SQRT(((D38+G38)*O38/100)^2+(J38*(D38+G38)*0.05992)^2),0))</f>
        <v>70</v>
      </c>
      <c r="U38" s="32"/>
    </row>
    <row r="39" customFormat="false" ht="15" hidden="false" customHeight="false" outlineLevel="0" collapsed="false">
      <c r="A39" s="32" t="s">
        <v>219</v>
      </c>
      <c r="B39" s="32" t="s">
        <v>234</v>
      </c>
      <c r="C39" s="32" t="s">
        <v>191</v>
      </c>
      <c r="D39" s="66" t="n">
        <v>959</v>
      </c>
      <c r="E39" s="66" t="n">
        <v>997</v>
      </c>
      <c r="F39" s="77" t="n">
        <f aca="false">IF(E39="","",D39-E39)</f>
        <v>-38</v>
      </c>
      <c r="G39" s="66" t="n">
        <v>858</v>
      </c>
      <c r="H39" s="66" t="n">
        <v>860</v>
      </c>
      <c r="I39" s="77" t="n">
        <f aca="false">IF(H39="","",G39-H39)</f>
        <v>-2</v>
      </c>
      <c r="J39" s="47" t="n">
        <f aca="false">IF(OR(D39="",D39+G39=0),"",D39/(D39+G39))</f>
        <v>0.52779306549257</v>
      </c>
      <c r="K39" s="47" t="n">
        <f aca="false">IF(E39="","",E39/(E39+H39))</f>
        <v>0.536887452880991</v>
      </c>
      <c r="L39" s="78" t="n">
        <f aca="false">IF(OR(K39="",J39=""),"",(J39-K39)*100)</f>
        <v>-0.909438738842061</v>
      </c>
      <c r="M39" s="36" t="n">
        <v>1.72069707213054</v>
      </c>
      <c r="N39" s="36" t="n">
        <v>0.321485924643753</v>
      </c>
      <c r="O39" s="36" t="n">
        <f aca="false">SQRT(M39^2+N39^2)</f>
        <v>1.75047182604653</v>
      </c>
      <c r="P39" s="47" t="n">
        <f aca="false">IF(J39="","",MAX(0,J39-1.96*O39/100))</f>
        <v>0.493483817702058</v>
      </c>
      <c r="Q39" s="47" t="n">
        <f aca="false">IF(J39="","",MIN(1,J39+1.96*O39/100))</f>
        <v>0.562102313283082</v>
      </c>
      <c r="R39" s="32" t="str">
        <f aca="false">IF(L39="","",IF(ABS(L39)&lt;=O39,"Yes","No"))</f>
        <v>Yes</v>
      </c>
      <c r="S39" s="32" t="str">
        <f aca="false">IF(L39="","",IF(ABS(L39)&lt;=1.96*O39,"Yes","No"))</f>
        <v>Yes</v>
      </c>
      <c r="T39" s="66" t="n">
        <f aca="false">IF(D39="","",ROUND(SQRT(((D39+G39)*O39/100)^2+(J39*(D39+G39)*0.05992)^2),0))</f>
        <v>66</v>
      </c>
      <c r="U39" s="32"/>
    </row>
    <row r="40" customFormat="false" ht="15" hidden="false" customHeight="false" outlineLevel="0" collapsed="false">
      <c r="A40" s="32" t="s">
        <v>219</v>
      </c>
      <c r="B40" s="32" t="s">
        <v>235</v>
      </c>
      <c r="C40" s="32" t="s">
        <v>191</v>
      </c>
      <c r="D40" s="66" t="n">
        <v>4166</v>
      </c>
      <c r="E40" s="66" t="n">
        <v>3900</v>
      </c>
      <c r="F40" s="77" t="n">
        <f aca="false">IF(E40="","",D40-E40)</f>
        <v>266</v>
      </c>
      <c r="G40" s="66" t="n">
        <v>5496</v>
      </c>
      <c r="H40" s="66" t="n">
        <v>5859</v>
      </c>
      <c r="I40" s="77" t="n">
        <f aca="false">IF(H40="","",G40-H40)</f>
        <v>-363</v>
      </c>
      <c r="J40" s="47" t="n">
        <f aca="false">IF(OR(D40="",D40+G40=0),"",D40/(D40+G40))</f>
        <v>0.431173670047609</v>
      </c>
      <c r="K40" s="47" t="n">
        <f aca="false">IF(E40="","",E40/(E40+H40))</f>
        <v>0.399631109744851</v>
      </c>
      <c r="L40" s="78" t="n">
        <f aca="false">IF(OR(K40="",J40=""),"",(J40-K40)*100)</f>
        <v>3.15425603027583</v>
      </c>
      <c r="M40" s="36" t="n">
        <v>1.61293121864256</v>
      </c>
      <c r="N40" s="36" t="n">
        <v>0.321485924643753</v>
      </c>
      <c r="O40" s="36" t="n">
        <f aca="false">SQRT(M40^2+N40^2)</f>
        <v>1.64465811517647</v>
      </c>
      <c r="P40" s="47" t="n">
        <f aca="false">IF(J40="","",MAX(0,J40-1.96*O40/100))</f>
        <v>0.39893837099015</v>
      </c>
      <c r="Q40" s="47" t="n">
        <f aca="false">IF(J40="","",MIN(1,J40+1.96*O40/100))</f>
        <v>0.463408969105068</v>
      </c>
      <c r="R40" s="32" t="str">
        <f aca="false">IF(L40="","",IF(ABS(L40)&lt;=O40,"Yes","No"))</f>
        <v>No</v>
      </c>
      <c r="S40" s="32" t="str">
        <f aca="false">IF(L40="","",IF(ABS(L40)&lt;=1.96*O40,"Yes","No"))</f>
        <v>Yes</v>
      </c>
      <c r="T40" s="66" t="n">
        <f aca="false">IF(D40="","",ROUND(SQRT(((D40+G40)*O40/100)^2+(J40*(D40+G40)*0.05437)^2),0))</f>
        <v>277</v>
      </c>
      <c r="U40" s="32"/>
    </row>
    <row r="41" customFormat="false" ht="15" hidden="false" customHeight="false" outlineLevel="0" collapsed="false">
      <c r="A41" s="32" t="s">
        <v>219</v>
      </c>
      <c r="B41" s="32" t="s">
        <v>236</v>
      </c>
      <c r="C41" s="32" t="s">
        <v>191</v>
      </c>
      <c r="D41" s="66" t="n">
        <v>3965</v>
      </c>
      <c r="E41" s="66" t="n">
        <v>4029</v>
      </c>
      <c r="F41" s="77" t="n">
        <f aca="false">IF(E41="","",D41-E41)</f>
        <v>-64</v>
      </c>
      <c r="G41" s="66" t="n">
        <v>4155</v>
      </c>
      <c r="H41" s="66" t="n">
        <v>4143</v>
      </c>
      <c r="I41" s="77" t="n">
        <f aca="false">IF(H41="","",G41-H41)</f>
        <v>12</v>
      </c>
      <c r="J41" s="47" t="n">
        <f aca="false">IF(OR(D41="",D41+G41=0),"",D41/(D41+G41))</f>
        <v>0.488300492610837</v>
      </c>
      <c r="K41" s="47" t="n">
        <f aca="false">IF(E41="","",E41/(E41+H41))</f>
        <v>0.49302496328928</v>
      </c>
      <c r="L41" s="78" t="n">
        <f aca="false">IF(OR(K41="",J41=""),"",(J41-K41)*100)</f>
        <v>-0.472447067844306</v>
      </c>
      <c r="M41" s="36" t="n">
        <v>1.61293121864256</v>
      </c>
      <c r="N41" s="36" t="n">
        <v>0.321485924643753</v>
      </c>
      <c r="O41" s="36" t="n">
        <f aca="false">SQRT(M41^2+N41^2)</f>
        <v>1.64465811517647</v>
      </c>
      <c r="P41" s="47" t="n">
        <f aca="false">IF(J41="","",MAX(0,J41-1.96*O41/100))</f>
        <v>0.456065193553379</v>
      </c>
      <c r="Q41" s="47" t="n">
        <f aca="false">IF(J41="","",MIN(1,J41+1.96*O41/100))</f>
        <v>0.520535791668296</v>
      </c>
      <c r="R41" s="32" t="str">
        <f aca="false">IF(L41="","",IF(ABS(L41)&lt;=O41,"Yes","No"))</f>
        <v>Yes</v>
      </c>
      <c r="S41" s="32" t="str">
        <f aca="false">IF(L41="","",IF(ABS(L41)&lt;=1.96*O41,"Yes","No"))</f>
        <v>Yes</v>
      </c>
      <c r="T41" s="66" t="n">
        <f aca="false">IF(D41="","",ROUND(SQRT(((D41+G41)*O41/100)^2+(J41*(D41+G41)*0.05437)^2),0))</f>
        <v>254</v>
      </c>
      <c r="U41" s="32"/>
    </row>
    <row r="42" customFormat="false" ht="15" hidden="false" customHeight="false" outlineLevel="0" collapsed="false">
      <c r="A42" s="32" t="s">
        <v>219</v>
      </c>
      <c r="B42" s="32" t="s">
        <v>237</v>
      </c>
      <c r="C42" s="32" t="s">
        <v>191</v>
      </c>
      <c r="D42" s="66" t="n">
        <v>834</v>
      </c>
      <c r="E42" s="66" t="n">
        <v>748</v>
      </c>
      <c r="F42" s="77" t="n">
        <f aca="false">IF(E42="","",D42-E42)</f>
        <v>86</v>
      </c>
      <c r="G42" s="66" t="n">
        <v>1023</v>
      </c>
      <c r="H42" s="66" t="n">
        <v>1149</v>
      </c>
      <c r="I42" s="77" t="n">
        <f aca="false">IF(H42="","",G42-H42)</f>
        <v>-126</v>
      </c>
      <c r="J42" s="47" t="n">
        <f aca="false">IF(OR(D42="",D42+G42=0),"",D42/(D42+G42))</f>
        <v>0.449111470113086</v>
      </c>
      <c r="K42" s="47" t="n">
        <f aca="false">IF(E42="","",E42/(E42+H42))</f>
        <v>0.394306800210859</v>
      </c>
      <c r="L42" s="78" t="n">
        <f aca="false">IF(OR(K42="",J42=""),"",(J42-K42)*100)</f>
        <v>5.48046699022264</v>
      </c>
      <c r="M42" s="36" t="n">
        <v>1.72069707213054</v>
      </c>
      <c r="N42" s="36" t="n">
        <v>0.321485924643753</v>
      </c>
      <c r="O42" s="36" t="n">
        <f aca="false">SQRT(M42^2+N42^2)</f>
        <v>1.75047182604653</v>
      </c>
      <c r="P42" s="47" t="n">
        <f aca="false">IF(J42="","",MAX(0,J42-1.96*O42/100))</f>
        <v>0.414802222322574</v>
      </c>
      <c r="Q42" s="47" t="n">
        <f aca="false">IF(J42="","",MIN(1,J42+1.96*O42/100))</f>
        <v>0.483420717903598</v>
      </c>
      <c r="R42" s="32" t="str">
        <f aca="false">IF(L42="","",IF(ABS(L42)&lt;=O42,"Yes","No"))</f>
        <v>No</v>
      </c>
      <c r="S42" s="32" t="str">
        <f aca="false">IF(L42="","",IF(ABS(L42)&lt;=1.96*O42,"Yes","No"))</f>
        <v>No</v>
      </c>
      <c r="T42" s="66" t="n">
        <f aca="false">IF(D42="","",ROUND(SQRT(((D42+G42)*O42/100)^2+(J42*(D42+G42)*0.05992)^2),0))</f>
        <v>60</v>
      </c>
      <c r="U42" s="32"/>
    </row>
    <row r="43" customFormat="false" ht="15" hidden="false" customHeight="false" outlineLevel="0" collapsed="false">
      <c r="A43" s="32" t="s">
        <v>219</v>
      </c>
      <c r="B43" s="32" t="s">
        <v>238</v>
      </c>
      <c r="C43" s="32" t="s">
        <v>191</v>
      </c>
      <c r="D43" s="66" t="n">
        <v>6673</v>
      </c>
      <c r="E43" s="66" t="n">
        <v>6668</v>
      </c>
      <c r="F43" s="77" t="n">
        <f aca="false">IF(E43="","",D43-E43)</f>
        <v>5</v>
      </c>
      <c r="G43" s="66" t="n">
        <v>5785</v>
      </c>
      <c r="H43" s="66" t="n">
        <v>5856</v>
      </c>
      <c r="I43" s="77" t="n">
        <f aca="false">IF(H43="","",G43-H43)</f>
        <v>-71</v>
      </c>
      <c r="J43" s="47" t="n">
        <f aca="false">IF(OR(D43="",D43+G43=0),"",D43/(D43+G43))</f>
        <v>0.535639749558517</v>
      </c>
      <c r="K43" s="47" t="n">
        <f aca="false">IF(E43="","",E43/(E43+H43))</f>
        <v>0.532417757904823</v>
      </c>
      <c r="L43" s="78" t="n">
        <f aca="false">IF(OR(K43="",J43=""),"",(J43-K43)*100)</f>
        <v>0.322199165369386</v>
      </c>
      <c r="M43" s="36" t="n">
        <v>1.61293121864256</v>
      </c>
      <c r="N43" s="36" t="n">
        <v>0.321485924643753</v>
      </c>
      <c r="O43" s="36" t="n">
        <f aca="false">SQRT(M43^2+N43^2)</f>
        <v>1.64465811517647</v>
      </c>
      <c r="P43" s="47" t="n">
        <f aca="false">IF(J43="","",MAX(0,J43-1.96*O43/100))</f>
        <v>0.503404450501058</v>
      </c>
      <c r="Q43" s="47" t="n">
        <f aca="false">IF(J43="","",MIN(1,J43+1.96*O43/100))</f>
        <v>0.567875048615975</v>
      </c>
      <c r="R43" s="32" t="str">
        <f aca="false">IF(L43="","",IF(ABS(L43)&lt;=O43,"Yes","No"))</f>
        <v>Yes</v>
      </c>
      <c r="S43" s="32" t="str">
        <f aca="false">IF(L43="","",IF(ABS(L43)&lt;=1.96*O43,"Yes","No"))</f>
        <v>Yes</v>
      </c>
      <c r="T43" s="66" t="n">
        <f aca="false">IF(D43="","",ROUND(SQRT(((D43+G43)*O43/100)^2+(J43*(D43+G43)*0.05437)^2),0))</f>
        <v>417</v>
      </c>
      <c r="U43" s="32"/>
    </row>
    <row r="44" customFormat="false" ht="15" hidden="false" customHeight="false" outlineLevel="0" collapsed="false">
      <c r="A44" s="32" t="s">
        <v>219</v>
      </c>
      <c r="B44" s="32" t="s">
        <v>239</v>
      </c>
      <c r="C44" s="32" t="s">
        <v>191</v>
      </c>
      <c r="D44" s="66" t="n">
        <v>7415</v>
      </c>
      <c r="E44" s="66" t="n">
        <v>7495</v>
      </c>
      <c r="F44" s="77" t="n">
        <f aca="false">IF(E44="","",D44-E44)</f>
        <v>-80</v>
      </c>
      <c r="G44" s="66" t="n">
        <v>6788</v>
      </c>
      <c r="H44" s="66" t="n">
        <v>7011</v>
      </c>
      <c r="I44" s="77" t="n">
        <f aca="false">IF(H44="","",G44-H44)</f>
        <v>-223</v>
      </c>
      <c r="J44" s="47" t="n">
        <f aca="false">IF(OR(D44="",D44+G44=0),"",D44/(D44+G44))</f>
        <v>0.522072801520806</v>
      </c>
      <c r="K44" s="47" t="n">
        <f aca="false">IF(E44="","",E44/(E44+H44))</f>
        <v>0.516682751964704</v>
      </c>
      <c r="L44" s="78" t="n">
        <f aca="false">IF(OR(K44="",J44=""),"",(J44-K44)*100)</f>
        <v>0.539004955610123</v>
      </c>
      <c r="M44" s="36" t="n">
        <v>1.61293121864256</v>
      </c>
      <c r="N44" s="36" t="n">
        <v>0.321485924643753</v>
      </c>
      <c r="O44" s="36" t="n">
        <f aca="false">SQRT(M44^2+N44^2)</f>
        <v>1.64465811517647</v>
      </c>
      <c r="P44" s="47" t="n">
        <f aca="false">IF(J44="","",MAX(0,J44-1.96*O44/100))</f>
        <v>0.489837502463347</v>
      </c>
      <c r="Q44" s="47" t="n">
        <f aca="false">IF(J44="","",MIN(1,J44+1.96*O44/100))</f>
        <v>0.554308100578264</v>
      </c>
      <c r="R44" s="32" t="str">
        <f aca="false">IF(L44="","",IF(ABS(L44)&lt;=O44,"Yes","No"))</f>
        <v>Yes</v>
      </c>
      <c r="S44" s="32" t="str">
        <f aca="false">IF(L44="","",IF(ABS(L44)&lt;=1.96*O44,"Yes","No"))</f>
        <v>Yes</v>
      </c>
      <c r="T44" s="66" t="n">
        <f aca="false">IF(D44="","",ROUND(SQRT(((D44+G44)*O44/100)^2+(J44*(D44+G44)*0.05437)^2),0))</f>
        <v>466</v>
      </c>
      <c r="U44" s="32"/>
    </row>
    <row r="45" customFormat="false" ht="15" hidden="false" customHeight="false" outlineLevel="0" collapsed="false">
      <c r="A45" s="32" t="s">
        <v>219</v>
      </c>
      <c r="B45" s="32" t="s">
        <v>240</v>
      </c>
      <c r="C45" s="32" t="s">
        <v>191</v>
      </c>
      <c r="D45" s="66" t="n">
        <v>2267</v>
      </c>
      <c r="E45" s="66" t="n">
        <v>2222</v>
      </c>
      <c r="F45" s="77" t="n">
        <f aca="false">IF(E45="","",D45-E45)</f>
        <v>45</v>
      </c>
      <c r="G45" s="66" t="n">
        <v>2968</v>
      </c>
      <c r="H45" s="66" t="n">
        <v>2955</v>
      </c>
      <c r="I45" s="77" t="n">
        <f aca="false">IF(H45="","",G45-H45)</f>
        <v>13</v>
      </c>
      <c r="J45" s="47" t="n">
        <f aca="false">IF(OR(D45="",D45+G45=0),"",D45/(D45+G45))</f>
        <v>0.433046800382044</v>
      </c>
      <c r="K45" s="47" t="n">
        <f aca="false">IF(E45="","",E45/(E45+H45))</f>
        <v>0.42920610392119</v>
      </c>
      <c r="L45" s="78" t="n">
        <f aca="false">IF(OR(K45="",J45=""),"",(J45-K45)*100)</f>
        <v>0.384069646085411</v>
      </c>
      <c r="M45" s="36" t="n">
        <v>1.61293121864256</v>
      </c>
      <c r="N45" s="36" t="n">
        <v>0.321485924643753</v>
      </c>
      <c r="O45" s="36" t="n">
        <f aca="false">SQRT(M45^2+N45^2)</f>
        <v>1.64465811517647</v>
      </c>
      <c r="P45" s="47" t="n">
        <f aca="false">IF(J45="","",MAX(0,J45-1.96*O45/100))</f>
        <v>0.400811501324585</v>
      </c>
      <c r="Q45" s="47" t="n">
        <f aca="false">IF(J45="","",MIN(1,J45+1.96*O45/100))</f>
        <v>0.465282099439503</v>
      </c>
      <c r="R45" s="32" t="str">
        <f aca="false">IF(L45="","",IF(ABS(L45)&lt;=O45,"Yes","No"))</f>
        <v>Yes</v>
      </c>
      <c r="S45" s="32" t="str">
        <f aca="false">IF(L45="","",IF(ABS(L45)&lt;=1.96*O45,"Yes","No"))</f>
        <v>Yes</v>
      </c>
      <c r="T45" s="66" t="n">
        <f aca="false">IF(D45="","",ROUND(SQRT(((D45+G45)*O45/100)^2+(J45*(D45+G45)*0.05437)^2),0))</f>
        <v>150</v>
      </c>
      <c r="U45" s="32"/>
    </row>
    <row r="46" customFormat="false" ht="15" hidden="false" customHeight="false" outlineLevel="0" collapsed="false">
      <c r="A46" s="32" t="s">
        <v>219</v>
      </c>
      <c r="B46" s="32" t="s">
        <v>241</v>
      </c>
      <c r="C46" s="32" t="s">
        <v>191</v>
      </c>
      <c r="D46" s="66" t="n">
        <v>4961</v>
      </c>
      <c r="E46" s="66" t="n">
        <v>4817</v>
      </c>
      <c r="F46" s="77" t="n">
        <f aca="false">IF(E46="","",D46-E46)</f>
        <v>144</v>
      </c>
      <c r="G46" s="66" t="n">
        <v>5372</v>
      </c>
      <c r="H46" s="66" t="n">
        <v>5501</v>
      </c>
      <c r="I46" s="77" t="n">
        <f aca="false">IF(H46="","",G46-H46)</f>
        <v>-129</v>
      </c>
      <c r="J46" s="47" t="n">
        <f aca="false">IF(OR(D46="",D46+G46=0),"",D46/(D46+G46))</f>
        <v>0.480112261685861</v>
      </c>
      <c r="K46" s="47" t="n">
        <f aca="false">IF(E46="","",E46/(E46+H46))</f>
        <v>0.466854041480907</v>
      </c>
      <c r="L46" s="78" t="n">
        <f aca="false">IF(OR(K46="",J46=""),"",(J46-K46)*100)</f>
        <v>1.32582202049537</v>
      </c>
      <c r="M46" s="36" t="n">
        <v>1.61293121864256</v>
      </c>
      <c r="N46" s="36" t="n">
        <v>0.321485924643753</v>
      </c>
      <c r="O46" s="36" t="n">
        <f aca="false">SQRT(M46^2+N46^2)</f>
        <v>1.64465811517647</v>
      </c>
      <c r="P46" s="47" t="n">
        <f aca="false">IF(J46="","",MAX(0,J46-1.96*O46/100))</f>
        <v>0.447876962628402</v>
      </c>
      <c r="Q46" s="47" t="n">
        <f aca="false">IF(J46="","",MIN(1,J46+1.96*O46/100))</f>
        <v>0.51234756074332</v>
      </c>
      <c r="R46" s="32" t="str">
        <f aca="false">IF(L46="","",IF(ABS(L46)&lt;=O46,"Yes","No"))</f>
        <v>Yes</v>
      </c>
      <c r="S46" s="32" t="str">
        <f aca="false">IF(L46="","",IF(ABS(L46)&lt;=1.96*O46,"Yes","No"))</f>
        <v>Yes</v>
      </c>
      <c r="T46" s="66" t="n">
        <f aca="false">IF(D46="","",ROUND(SQRT(((D46+G46)*O46/100)^2+(J46*(D46+G46)*0.05437)^2),0))</f>
        <v>319</v>
      </c>
      <c r="U46" s="32"/>
    </row>
    <row r="47" customFormat="false" ht="15" hidden="false" customHeight="false" outlineLevel="0" collapsed="false">
      <c r="A47" s="32" t="s">
        <v>219</v>
      </c>
      <c r="B47" s="32" t="s">
        <v>242</v>
      </c>
      <c r="C47" s="32" t="s">
        <v>191</v>
      </c>
      <c r="D47" s="66" t="n">
        <v>1336</v>
      </c>
      <c r="E47" s="66" t="n">
        <v>1231</v>
      </c>
      <c r="F47" s="77" t="n">
        <f aca="false">IF(E47="","",D47-E47)</f>
        <v>105</v>
      </c>
      <c r="G47" s="66" t="n">
        <v>2475</v>
      </c>
      <c r="H47" s="66" t="n">
        <v>2578</v>
      </c>
      <c r="I47" s="77" t="n">
        <f aca="false">IF(H47="","",G47-H47)</f>
        <v>-103</v>
      </c>
      <c r="J47" s="47" t="n">
        <f aca="false">IF(OR(D47="",D47+G47=0),"",D47/(D47+G47))</f>
        <v>0.350564156389399</v>
      </c>
      <c r="K47" s="47" t="n">
        <f aca="false">IF(E47="","",E47/(E47+H47))</f>
        <v>0.323181937516409</v>
      </c>
      <c r="L47" s="78" t="n">
        <f aca="false">IF(OR(K47="",J47=""),"",(J47-K47)*100)</f>
        <v>2.73822188729906</v>
      </c>
      <c r="M47" s="36" t="n">
        <v>1.61293121864256</v>
      </c>
      <c r="N47" s="36" t="n">
        <v>0.321485924643753</v>
      </c>
      <c r="O47" s="36" t="n">
        <f aca="false">SQRT(M47^2+N47^2)</f>
        <v>1.64465811517647</v>
      </c>
      <c r="P47" s="47" t="n">
        <f aca="false">IF(J47="","",MAX(0,J47-1.96*O47/100))</f>
        <v>0.31832885733194</v>
      </c>
      <c r="Q47" s="47" t="n">
        <f aca="false">IF(J47="","",MIN(1,J47+1.96*O47/100))</f>
        <v>0.382799455446858</v>
      </c>
      <c r="R47" s="32" t="str">
        <f aca="false">IF(L47="","",IF(ABS(L47)&lt;=O47,"Yes","No"))</f>
        <v>No</v>
      </c>
      <c r="S47" s="32" t="str">
        <f aca="false">IF(L47="","",IF(ABS(L47)&lt;=1.96*O47,"Yes","No"))</f>
        <v>Yes</v>
      </c>
      <c r="T47" s="66" t="n">
        <f aca="false">IF(D47="","",ROUND(SQRT(((D47+G47)*O47/100)^2+(J47*(D47+G47)*0.05437)^2),0))</f>
        <v>96</v>
      </c>
      <c r="U47" s="32"/>
    </row>
    <row r="48" customFormat="false" ht="15" hidden="false" customHeight="false" outlineLevel="0" collapsed="false">
      <c r="A48" s="32" t="s">
        <v>219</v>
      </c>
      <c r="B48" s="32" t="s">
        <v>243</v>
      </c>
      <c r="C48" s="32" t="s">
        <v>191</v>
      </c>
      <c r="D48" s="66" t="n">
        <v>1146</v>
      </c>
      <c r="E48" s="66" t="n">
        <v>1073</v>
      </c>
      <c r="F48" s="77" t="n">
        <f aca="false">IF(E48="","",D48-E48)</f>
        <v>73</v>
      </c>
      <c r="G48" s="66" t="n">
        <v>2079</v>
      </c>
      <c r="H48" s="66" t="n">
        <v>2156</v>
      </c>
      <c r="I48" s="77" t="n">
        <f aca="false">IF(H48="","",G48-H48)</f>
        <v>-77</v>
      </c>
      <c r="J48" s="47" t="n">
        <f aca="false">IF(OR(D48="",D48+G48=0),"",D48/(D48+G48))</f>
        <v>0.355348837209302</v>
      </c>
      <c r="K48" s="47" t="n">
        <f aca="false">IF(E48="","",E48/(E48+H48))</f>
        <v>0.332301021988232</v>
      </c>
      <c r="L48" s="78" t="n">
        <f aca="false">IF(OR(K48="",J48=""),"",(J48-K48)*100)</f>
        <v>2.30478152210707</v>
      </c>
      <c r="M48" s="36" t="n">
        <v>1.72069707213054</v>
      </c>
      <c r="N48" s="36" t="n">
        <v>0.321485924643753</v>
      </c>
      <c r="O48" s="36" t="n">
        <f aca="false">SQRT(M48^2+N48^2)</f>
        <v>1.75047182604653</v>
      </c>
      <c r="P48" s="47" t="n">
        <f aca="false">IF(J48="","",MAX(0,J48-1.96*O48/100))</f>
        <v>0.32103958941879</v>
      </c>
      <c r="Q48" s="47" t="n">
        <f aca="false">IF(J48="","",MIN(1,J48+1.96*O48/100))</f>
        <v>0.389658084999814</v>
      </c>
      <c r="R48" s="32" t="str">
        <f aca="false">IF(L48="","",IF(ABS(L48)&lt;=O48,"Yes","No"))</f>
        <v>No</v>
      </c>
      <c r="S48" s="32" t="str">
        <f aca="false">IF(L48="","",IF(ABS(L48)&lt;=1.96*O48,"Yes","No"))</f>
        <v>Yes</v>
      </c>
      <c r="T48" s="66" t="n">
        <f aca="false">IF(D48="","",ROUND(SQRT(((D48+G48)*O48/100)^2+(J48*(D48+G48)*0.05992)^2),0))</f>
        <v>89</v>
      </c>
      <c r="U48" s="32"/>
    </row>
    <row r="49" customFormat="false" ht="15" hidden="false" customHeight="false" outlineLevel="0" collapsed="false">
      <c r="A49" s="32" t="s">
        <v>219</v>
      </c>
      <c r="B49" s="32" t="s">
        <v>244</v>
      </c>
      <c r="C49" s="32" t="s">
        <v>191</v>
      </c>
      <c r="D49" s="66" t="n">
        <v>7654</v>
      </c>
      <c r="E49" s="66" t="n">
        <v>7458</v>
      </c>
      <c r="F49" s="77" t="n">
        <f aca="false">IF(E49="","",D49-E49)</f>
        <v>196</v>
      </c>
      <c r="G49" s="66" t="n">
        <v>6475</v>
      </c>
      <c r="H49" s="66" t="n">
        <v>6731</v>
      </c>
      <c r="I49" s="77" t="n">
        <f aca="false">IF(H49="","",G49-H49)</f>
        <v>-256</v>
      </c>
      <c r="J49" s="47" t="n">
        <f aca="false">IF(OR(D49="",D49+G49=0),"",D49/(D49+G49))</f>
        <v>0.541722697997027</v>
      </c>
      <c r="K49" s="47" t="n">
        <f aca="false">IF(E49="","",E49/(E49+H49))</f>
        <v>0.525618436817253</v>
      </c>
      <c r="L49" s="78" t="n">
        <f aca="false">IF(OR(K49="",J49=""),"",(J49-K49)*100)</f>
        <v>1.61042611797746</v>
      </c>
      <c r="M49" s="36" t="n">
        <v>1.61293121864256</v>
      </c>
      <c r="N49" s="36" t="n">
        <v>0.321485924643753</v>
      </c>
      <c r="O49" s="36" t="n">
        <f aca="false">SQRT(M49^2+N49^2)</f>
        <v>1.64465811517647</v>
      </c>
      <c r="P49" s="47" t="n">
        <f aca="false">IF(J49="","",MAX(0,J49-1.96*O49/100))</f>
        <v>0.509487398939569</v>
      </c>
      <c r="Q49" s="47" t="n">
        <f aca="false">IF(J49="","",MIN(1,J49+1.96*O49/100))</f>
        <v>0.573957997054486</v>
      </c>
      <c r="R49" s="32" t="str">
        <f aca="false">IF(L49="","",IF(ABS(L49)&lt;=O49,"Yes","No"))</f>
        <v>Yes</v>
      </c>
      <c r="S49" s="32" t="str">
        <f aca="false">IF(L49="","",IF(ABS(L49)&lt;=1.96*O49,"Yes","No"))</f>
        <v>Yes</v>
      </c>
      <c r="T49" s="66" t="n">
        <f aca="false">IF(D49="","",ROUND(SQRT(((D49+G49)*O49/100)^2+(J49*(D49+G49)*0.05437)^2),0))</f>
        <v>477</v>
      </c>
      <c r="U49" s="32"/>
    </row>
    <row r="50" customFormat="false" ht="15" hidden="false" customHeight="false" outlineLevel="0" collapsed="false">
      <c r="A50" s="32" t="s">
        <v>245</v>
      </c>
      <c r="B50" s="32" t="s">
        <v>246</v>
      </c>
      <c r="C50" s="32" t="s">
        <v>191</v>
      </c>
      <c r="D50" s="66" t="n">
        <v>486</v>
      </c>
      <c r="E50" s="66" t="n">
        <v>482</v>
      </c>
      <c r="F50" s="77" t="n">
        <f aca="false">IF(E50="","",D50-E50)</f>
        <v>4</v>
      </c>
      <c r="G50" s="66" t="n">
        <v>1032</v>
      </c>
      <c r="H50" s="66" t="n">
        <v>987</v>
      </c>
      <c r="I50" s="77" t="n">
        <f aca="false">IF(H50="","",G50-H50)</f>
        <v>45</v>
      </c>
      <c r="J50" s="47" t="n">
        <f aca="false">IF(OR(D50="",D50+G50=0),"",D50/(D50+G50))</f>
        <v>0.320158102766798</v>
      </c>
      <c r="K50" s="47" t="n">
        <f aca="false">IF(E50="","",E50/(E50+H50))</f>
        <v>0.328114363512594</v>
      </c>
      <c r="L50" s="78" t="n">
        <f aca="false">IF(OR(K50="",J50=""),"",(J50-K50)*100)</f>
        <v>-0.79562607457952</v>
      </c>
      <c r="M50" s="36" t="n">
        <v>2.73724997661239</v>
      </c>
      <c r="N50" s="36" t="n">
        <v>0.321485924643753</v>
      </c>
      <c r="O50" s="36" t="n">
        <f aca="false">SQRT(M50^2+N50^2)</f>
        <v>2.75606433782098</v>
      </c>
      <c r="P50" s="47" t="n">
        <f aca="false">IF(J50="","",MAX(0,J50-1.96*O50/100))</f>
        <v>0.266139241745507</v>
      </c>
      <c r="Q50" s="47" t="n">
        <f aca="false">IF(J50="","",MIN(1,J50+1.96*O50/100))</f>
        <v>0.37417696378809</v>
      </c>
      <c r="R50" s="32" t="str">
        <f aca="false">IF(L50="","",IF(ABS(L50)&lt;=O50,"Yes","No"))</f>
        <v>Yes</v>
      </c>
      <c r="S50" s="32" t="str">
        <f aca="false">IF(L50="","",IF(ABS(L50)&lt;=1.96*O50,"Yes","No"))</f>
        <v>Yes</v>
      </c>
      <c r="T50" s="66" t="n">
        <f aca="false">IF(D50="","",ROUND(SQRT(((D50+G50)*O50/100)^2+(J50*(D50+G50)*0.07717)^2),0))</f>
        <v>56</v>
      </c>
      <c r="U50" s="32"/>
    </row>
    <row r="51" customFormat="false" ht="15" hidden="false" customHeight="false" outlineLevel="0" collapsed="false">
      <c r="A51" s="32" t="s">
        <v>245</v>
      </c>
      <c r="B51" s="32" t="s">
        <v>247</v>
      </c>
      <c r="C51" s="32" t="s">
        <v>191</v>
      </c>
      <c r="D51" s="66" t="n">
        <v>1488</v>
      </c>
      <c r="E51" s="66" t="n">
        <v>1425</v>
      </c>
      <c r="F51" s="77" t="n">
        <f aca="false">IF(E51="","",D51-E51)</f>
        <v>63</v>
      </c>
      <c r="G51" s="66" t="n">
        <v>2559</v>
      </c>
      <c r="H51" s="66" t="n">
        <v>2491</v>
      </c>
      <c r="I51" s="77" t="n">
        <f aca="false">IF(H51="","",G51-H51)</f>
        <v>68</v>
      </c>
      <c r="J51" s="47" t="n">
        <f aca="false">IF(OR(D51="",D51+G51=0),"",D51/(D51+G51))</f>
        <v>0.36767976278725</v>
      </c>
      <c r="K51" s="47" t="n">
        <f aca="false">IF(E51="","",E51/(E51+H51))</f>
        <v>0.363891726251277</v>
      </c>
      <c r="L51" s="78" t="n">
        <f aca="false">IF(OR(K51="",J51=""),"",(J51-K51)*100)</f>
        <v>0.378803653597304</v>
      </c>
      <c r="M51" s="36" t="n">
        <v>1.61293121864256</v>
      </c>
      <c r="N51" s="36" t="n">
        <v>0.321485924643753</v>
      </c>
      <c r="O51" s="36" t="n">
        <f aca="false">SQRT(M51^2+N51^2)</f>
        <v>1.64465811517647</v>
      </c>
      <c r="P51" s="47" t="n">
        <f aca="false">IF(J51="","",MAX(0,J51-1.96*O51/100))</f>
        <v>0.335444463729791</v>
      </c>
      <c r="Q51" s="47" t="n">
        <f aca="false">IF(J51="","",MIN(1,J51+1.96*O51/100))</f>
        <v>0.399915061844709</v>
      </c>
      <c r="R51" s="32" t="str">
        <f aca="false">IF(L51="","",IF(ABS(L51)&lt;=O51,"Yes","No"))</f>
        <v>Yes</v>
      </c>
      <c r="S51" s="32" t="str">
        <f aca="false">IF(L51="","",IF(ABS(L51)&lt;=1.96*O51,"Yes","No"))</f>
        <v>Yes</v>
      </c>
      <c r="T51" s="66" t="n">
        <f aca="false">IF(D51="","",ROUND(SQRT(((D51+G51)*O51/100)^2+(J51*(D51+G51)*0.05437)^2),0))</f>
        <v>105</v>
      </c>
      <c r="U51" s="32" t="s">
        <v>469</v>
      </c>
    </row>
    <row r="52" customFormat="false" ht="15" hidden="false" customHeight="false" outlineLevel="0" collapsed="false">
      <c r="A52" s="32" t="s">
        <v>245</v>
      </c>
      <c r="B52" s="32" t="s">
        <v>248</v>
      </c>
      <c r="C52" s="32" t="s">
        <v>191</v>
      </c>
      <c r="D52" s="66" t="n">
        <v>553</v>
      </c>
      <c r="E52" s="66" t="n">
        <v>502</v>
      </c>
      <c r="F52" s="77" t="n">
        <f aca="false">IF(E52="","",D52-E52)</f>
        <v>51</v>
      </c>
      <c r="G52" s="66" t="n">
        <v>950</v>
      </c>
      <c r="H52" s="66" t="n">
        <v>795</v>
      </c>
      <c r="I52" s="77" t="n">
        <f aca="false">IF(H52="","",G52-H52)</f>
        <v>155</v>
      </c>
      <c r="J52" s="47" t="n">
        <f aca="false">IF(OR(D52="",D52+G52=0),"",D52/(D52+G52))</f>
        <v>0.367930805056554</v>
      </c>
      <c r="K52" s="47" t="n">
        <f aca="false">IF(E52="","",E52/(E52+H52))</f>
        <v>0.387047031611411</v>
      </c>
      <c r="L52" s="78" t="n">
        <f aca="false">IF(OR(K52="",J52=""),"",(J52-K52)*100)</f>
        <v>-1.91162265548574</v>
      </c>
      <c r="M52" s="36" t="n">
        <v>2.73724997661239</v>
      </c>
      <c r="N52" s="36" t="n">
        <v>0.321485924643753</v>
      </c>
      <c r="O52" s="36" t="n">
        <f aca="false">SQRT(M52^2+N52^2)</f>
        <v>2.75606433782098</v>
      </c>
      <c r="P52" s="47" t="n">
        <f aca="false">IF(J52="","",MAX(0,J52-1.96*O52/100))</f>
        <v>0.313911944035262</v>
      </c>
      <c r="Q52" s="47" t="n">
        <f aca="false">IF(J52="","",MIN(1,J52+1.96*O52/100))</f>
        <v>0.421949666077845</v>
      </c>
      <c r="R52" s="32" t="str">
        <f aca="false">IF(L52="","",IF(ABS(L52)&lt;=O52,"Yes","No"))</f>
        <v>Yes</v>
      </c>
      <c r="S52" s="32" t="str">
        <f aca="false">IF(L52="","",IF(ABS(L52)&lt;=1.96*O52,"Yes","No"))</f>
        <v>Yes</v>
      </c>
      <c r="T52" s="66" t="n">
        <f aca="false">IF(D52="","",ROUND(SQRT(((D52+G52)*O52/100)^2+(J52*(D52+G52)*0.07717)^2),0))</f>
        <v>59</v>
      </c>
      <c r="U52" s="32" t="s">
        <v>470</v>
      </c>
    </row>
    <row r="53" customFormat="false" ht="15" hidden="false" customHeight="false" outlineLevel="0" collapsed="false">
      <c r="A53" s="32" t="s">
        <v>249</v>
      </c>
      <c r="B53" s="32" t="s">
        <v>250</v>
      </c>
      <c r="C53" s="32" t="s">
        <v>191</v>
      </c>
      <c r="D53" s="66" t="n">
        <v>1486</v>
      </c>
      <c r="E53" s="66" t="n">
        <v>1432</v>
      </c>
      <c r="F53" s="77" t="n">
        <f aca="false">IF(E53="","",D53-E53)</f>
        <v>54</v>
      </c>
      <c r="G53" s="66" t="n">
        <v>1890</v>
      </c>
      <c r="H53" s="66" t="n">
        <v>1882</v>
      </c>
      <c r="I53" s="77" t="n">
        <f aca="false">IF(H53="","",G53-H53)</f>
        <v>8</v>
      </c>
      <c r="J53" s="47" t="n">
        <f aca="false">IF(OR(D53="",D53+G53=0),"",D53/(D53+G53))</f>
        <v>0.440165876777251</v>
      </c>
      <c r="K53" s="47" t="n">
        <f aca="false">IF(E53="","",E53/(E53+H53))</f>
        <v>0.432106216053108</v>
      </c>
      <c r="L53" s="78" t="n">
        <f aca="false">IF(OR(K53="",J53=""),"",(J53-K53)*100)</f>
        <v>0.805966072414316</v>
      </c>
      <c r="M53" s="36" t="n">
        <v>1.72069707213054</v>
      </c>
      <c r="N53" s="36" t="n">
        <v>0.321485924643753</v>
      </c>
      <c r="O53" s="36" t="n">
        <f aca="false">SQRT(M53^2+N53^2)</f>
        <v>1.75047182604653</v>
      </c>
      <c r="P53" s="47" t="n">
        <f aca="false">IF(J53="","",MAX(0,J53-1.96*O53/100))</f>
        <v>0.405856628986739</v>
      </c>
      <c r="Q53" s="47" t="n">
        <f aca="false">IF(J53="","",MIN(1,J53+1.96*O53/100))</f>
        <v>0.474475124567763</v>
      </c>
      <c r="R53" s="32" t="str">
        <f aca="false">IF(L53="","",IF(ABS(L53)&lt;=O53,"Yes","No"))</f>
        <v>Yes</v>
      </c>
      <c r="S53" s="32" t="str">
        <f aca="false">IF(L53="","",IF(ABS(L53)&lt;=1.96*O53,"Yes","No"))</f>
        <v>Yes</v>
      </c>
      <c r="T53" s="66" t="n">
        <f aca="false">IF(D53="","",ROUND(SQRT(((D53+G53)*O53/100)^2+(J53*(D53+G53)*0.05992)^2),0))</f>
        <v>107</v>
      </c>
      <c r="U53" s="32"/>
    </row>
    <row r="54" customFormat="false" ht="15" hidden="false" customHeight="false" outlineLevel="0" collapsed="false">
      <c r="A54" s="32" t="s">
        <v>249</v>
      </c>
      <c r="B54" s="32" t="s">
        <v>251</v>
      </c>
      <c r="C54" s="32" t="s">
        <v>191</v>
      </c>
      <c r="D54" s="66" t="n">
        <v>1024</v>
      </c>
      <c r="E54" s="66" t="n">
        <v>965</v>
      </c>
      <c r="F54" s="77" t="n">
        <f aca="false">IF(E54="","",D54-E54)</f>
        <v>59</v>
      </c>
      <c r="G54" s="66" t="n">
        <v>1271</v>
      </c>
      <c r="H54" s="66" t="n">
        <v>1342</v>
      </c>
      <c r="I54" s="77" t="n">
        <f aca="false">IF(H54="","",G54-H54)</f>
        <v>-71</v>
      </c>
      <c r="J54" s="47" t="n">
        <f aca="false">IF(OR(D54="",D54+G54=0),"",D54/(D54+G54))</f>
        <v>0.446187363834423</v>
      </c>
      <c r="K54" s="47" t="n">
        <f aca="false">IF(E54="","",E54/(E54+H54))</f>
        <v>0.418292154312961</v>
      </c>
      <c r="L54" s="78" t="n">
        <f aca="false">IF(OR(K54="",J54=""),"",(J54-K54)*100)</f>
        <v>2.78952095214621</v>
      </c>
      <c r="M54" s="36" t="n">
        <v>1.72069707213054</v>
      </c>
      <c r="N54" s="36" t="n">
        <v>0.321485924643753</v>
      </c>
      <c r="O54" s="36" t="n">
        <f aca="false">SQRT(M54^2+N54^2)</f>
        <v>1.75047182604653</v>
      </c>
      <c r="P54" s="47" t="n">
        <f aca="false">IF(J54="","",MAX(0,J54-1.96*O54/100))</f>
        <v>0.411878116043911</v>
      </c>
      <c r="Q54" s="47" t="n">
        <f aca="false">IF(J54="","",MIN(1,J54+1.96*O54/100))</f>
        <v>0.480496611624935</v>
      </c>
      <c r="R54" s="32" t="str">
        <f aca="false">IF(L54="","",IF(ABS(L54)&lt;=O54,"Yes","No"))</f>
        <v>No</v>
      </c>
      <c r="S54" s="32" t="str">
        <f aca="false">IF(L54="","",IF(ABS(L54)&lt;=1.96*O54,"Yes","No"))</f>
        <v>Yes</v>
      </c>
      <c r="T54" s="66" t="n">
        <f aca="false">IF(D54="","",ROUND(SQRT(((D54+G54)*O54/100)^2+(J54*(D54+G54)*0.05992)^2),0))</f>
        <v>73</v>
      </c>
      <c r="U54" s="32"/>
    </row>
    <row r="55" customFormat="false" ht="15" hidden="false" customHeight="false" outlineLevel="0" collapsed="false">
      <c r="A55" s="32" t="s">
        <v>249</v>
      </c>
      <c r="B55" s="32" t="s">
        <v>252</v>
      </c>
      <c r="C55" s="32" t="s">
        <v>191</v>
      </c>
      <c r="D55" s="66" t="n">
        <v>596</v>
      </c>
      <c r="E55" s="66" t="n">
        <v>579</v>
      </c>
      <c r="F55" s="77" t="n">
        <f aca="false">IF(E55="","",D55-E55)</f>
        <v>17</v>
      </c>
      <c r="G55" s="66" t="n">
        <v>659</v>
      </c>
      <c r="H55" s="66" t="n">
        <v>695</v>
      </c>
      <c r="I55" s="77" t="n">
        <f aca="false">IF(H55="","",G55-H55)</f>
        <v>-36</v>
      </c>
      <c r="J55" s="47" t="n">
        <f aca="false">IF(OR(D55="",D55+G55=0),"",D55/(D55+G55))</f>
        <v>0.474900398406375</v>
      </c>
      <c r="K55" s="47" t="n">
        <f aca="false">IF(E55="","",E55/(E55+H55))</f>
        <v>0.45447409733124</v>
      </c>
      <c r="L55" s="78" t="n">
        <f aca="false">IF(OR(K55="",J55=""),"",(J55-K55)*100)</f>
        <v>2.04263010751343</v>
      </c>
      <c r="M55" s="36" t="n">
        <v>2.73724997661239</v>
      </c>
      <c r="N55" s="36" t="n">
        <v>0.321485924643753</v>
      </c>
      <c r="O55" s="36" t="n">
        <f aca="false">SQRT(M55^2+N55^2)</f>
        <v>2.75606433782098</v>
      </c>
      <c r="P55" s="47" t="n">
        <f aca="false">IF(J55="","",MAX(0,J55-1.96*O55/100))</f>
        <v>0.420881537385083</v>
      </c>
      <c r="Q55" s="47" t="n">
        <f aca="false">IF(J55="","",MIN(1,J55+1.96*O55/100))</f>
        <v>0.528919259427666</v>
      </c>
      <c r="R55" s="32" t="str">
        <f aca="false">IF(L55="","",IF(ABS(L55)&lt;=O55,"Yes","No"))</f>
        <v>Yes</v>
      </c>
      <c r="S55" s="32" t="str">
        <f aca="false">IF(L55="","",IF(ABS(L55)&lt;=1.96*O55,"Yes","No"))</f>
        <v>Yes</v>
      </c>
      <c r="T55" s="66" t="n">
        <f aca="false">IF(D55="","",ROUND(SQRT(((D55+G55)*O55/100)^2+(J55*(D55+G55)*0.07717)^2),0))</f>
        <v>58</v>
      </c>
      <c r="U55" s="32"/>
    </row>
    <row r="56" customFormat="false" ht="15" hidden="false" customHeight="false" outlineLevel="0" collapsed="false">
      <c r="A56" s="32" t="s">
        <v>249</v>
      </c>
      <c r="B56" s="32" t="s">
        <v>222</v>
      </c>
      <c r="C56" s="32" t="s">
        <v>191</v>
      </c>
      <c r="D56" s="66" t="n">
        <v>17558</v>
      </c>
      <c r="E56" s="66" t="n">
        <v>16692</v>
      </c>
      <c r="F56" s="77" t="n">
        <f aca="false">IF(E56="","",D56-E56)</f>
        <v>866</v>
      </c>
      <c r="G56" s="66" t="n">
        <v>7770</v>
      </c>
      <c r="H56" s="66" t="n">
        <v>8176</v>
      </c>
      <c r="I56" s="77" t="n">
        <f aca="false">IF(H56="","",G56-H56)</f>
        <v>-406</v>
      </c>
      <c r="J56" s="47" t="n">
        <f aca="false">IF(OR(D56="",D56+G56=0),"",D56/(D56+G56))</f>
        <v>0.693224889450411</v>
      </c>
      <c r="K56" s="47" t="n">
        <f aca="false">IF(E56="","",E56/(E56+H56))</f>
        <v>0.671224063052919</v>
      </c>
      <c r="L56" s="78" t="n">
        <f aca="false">IF(OR(K56="",J56=""),"",(J56-K56)*100)</f>
        <v>2.20008263974912</v>
      </c>
      <c r="M56" s="36" t="n">
        <v>1.61293121864256</v>
      </c>
      <c r="N56" s="36" t="n">
        <v>0.321485924643753</v>
      </c>
      <c r="O56" s="36" t="n">
        <f aca="false">SQRT(M56^2+N56^2)</f>
        <v>1.64465811517647</v>
      </c>
      <c r="P56" s="47" t="n">
        <f aca="false">IF(J56="","",MAX(0,J56-1.96*O56/100))</f>
        <v>0.660989590392952</v>
      </c>
      <c r="Q56" s="47" t="n">
        <f aca="false">IF(J56="","",MIN(1,J56+1.96*O56/100))</f>
        <v>0.725460188507869</v>
      </c>
      <c r="R56" s="32" t="str">
        <f aca="false">IF(L56="","",IF(ABS(L56)&lt;=O56,"Yes","No"))</f>
        <v>No</v>
      </c>
      <c r="S56" s="32" t="str">
        <f aca="false">IF(L56="","",IF(ABS(L56)&lt;=1.96*O56,"Yes","No"))</f>
        <v>Yes</v>
      </c>
      <c r="T56" s="66" t="n">
        <f aca="false">IF(D56="","",ROUND(SQRT(((D56+G56)*O56/100)^2+(J56*(D56+G56)*0.05437)^2),0))</f>
        <v>1042</v>
      </c>
      <c r="U56" s="32"/>
    </row>
    <row r="57" customFormat="false" ht="15" hidden="false" customHeight="false" outlineLevel="0" collapsed="false">
      <c r="A57" s="32" t="s">
        <v>249</v>
      </c>
      <c r="B57" s="32" t="s">
        <v>253</v>
      </c>
      <c r="C57" s="32" t="s">
        <v>191</v>
      </c>
      <c r="D57" s="66" t="n">
        <v>8334</v>
      </c>
      <c r="E57" s="66" t="n">
        <v>8164</v>
      </c>
      <c r="F57" s="77" t="n">
        <f aca="false">IF(E57="","",D57-E57)</f>
        <v>170</v>
      </c>
      <c r="G57" s="66" t="n">
        <v>7206</v>
      </c>
      <c r="H57" s="66" t="n">
        <v>7277</v>
      </c>
      <c r="I57" s="77" t="n">
        <f aca="false">IF(H57="","",G57-H57)</f>
        <v>-71</v>
      </c>
      <c r="J57" s="47" t="n">
        <f aca="false">IF(OR(D57="",D57+G57=0),"",D57/(D57+G57))</f>
        <v>0.536293436293436</v>
      </c>
      <c r="K57" s="47" t="n">
        <f aca="false">IF(E57="","",E57/(E57+H57))</f>
        <v>0.528722233015996</v>
      </c>
      <c r="L57" s="78" t="n">
        <f aca="false">IF(OR(K57="",J57=""),"",(J57-K57)*100)</f>
        <v>0.757120327743988</v>
      </c>
      <c r="M57" s="36" t="n">
        <v>1.61293121864256</v>
      </c>
      <c r="N57" s="36" t="n">
        <v>0.321485924643753</v>
      </c>
      <c r="O57" s="36" t="n">
        <f aca="false">SQRT(M57^2+N57^2)</f>
        <v>1.64465811517647</v>
      </c>
      <c r="P57" s="47" t="n">
        <f aca="false">IF(J57="","",MAX(0,J57-1.96*O57/100))</f>
        <v>0.504058137235978</v>
      </c>
      <c r="Q57" s="47" t="n">
        <f aca="false">IF(J57="","",MIN(1,J57+1.96*O57/100))</f>
        <v>0.568528735350895</v>
      </c>
      <c r="R57" s="32" t="str">
        <f aca="false">IF(L57="","",IF(ABS(L57)&lt;=O57,"Yes","No"))</f>
        <v>Yes</v>
      </c>
      <c r="S57" s="32" t="str">
        <f aca="false">IF(L57="","",IF(ABS(L57)&lt;=1.96*O57,"Yes","No"))</f>
        <v>Yes</v>
      </c>
      <c r="T57" s="66" t="n">
        <f aca="false">IF(D57="","",ROUND(SQRT(((D57+G57)*O57/100)^2+(J57*(D57+G57)*0.05437)^2),0))</f>
        <v>520</v>
      </c>
      <c r="U57" s="32"/>
    </row>
    <row r="58" customFormat="false" ht="15" hidden="false" customHeight="false" outlineLevel="0" collapsed="false">
      <c r="A58" s="32" t="s">
        <v>249</v>
      </c>
      <c r="B58" s="32" t="s">
        <v>254</v>
      </c>
      <c r="C58" s="32" t="s">
        <v>191</v>
      </c>
      <c r="D58" s="66" t="n">
        <v>2085</v>
      </c>
      <c r="E58" s="66" t="n">
        <v>1988</v>
      </c>
      <c r="F58" s="77" t="n">
        <f aca="false">IF(E58="","",D58-E58)</f>
        <v>97</v>
      </c>
      <c r="G58" s="66" t="n">
        <v>3300</v>
      </c>
      <c r="H58" s="66" t="n">
        <v>3385</v>
      </c>
      <c r="I58" s="77" t="n">
        <f aca="false">IF(H58="","",G58-H58)</f>
        <v>-85</v>
      </c>
      <c r="J58" s="47" t="n">
        <f aca="false">IF(OR(D58="",D58+G58=0),"",D58/(D58+G58))</f>
        <v>0.387186629526462</v>
      </c>
      <c r="K58" s="47" t="n">
        <f aca="false">IF(E58="","",E58/(E58+H58))</f>
        <v>0.36999813884236</v>
      </c>
      <c r="L58" s="78" t="n">
        <f aca="false">IF(OR(K58="",J58=""),"",(J58-K58)*100)</f>
        <v>1.71884906841024</v>
      </c>
      <c r="M58" s="36" t="n">
        <v>1.61293121864256</v>
      </c>
      <c r="N58" s="36" t="n">
        <v>0.321485924643753</v>
      </c>
      <c r="O58" s="36" t="n">
        <f aca="false">SQRT(M58^2+N58^2)</f>
        <v>1.64465811517647</v>
      </c>
      <c r="P58" s="47" t="n">
        <f aca="false">IF(J58="","",MAX(0,J58-1.96*O58/100))</f>
        <v>0.354951330469004</v>
      </c>
      <c r="Q58" s="47" t="n">
        <f aca="false">IF(J58="","",MIN(1,J58+1.96*O58/100))</f>
        <v>0.419421928583921</v>
      </c>
      <c r="R58" s="32" t="str">
        <f aca="false">IF(L58="","",IF(ABS(L58)&lt;=O58,"Yes","No"))</f>
        <v>No</v>
      </c>
      <c r="S58" s="32" t="str">
        <f aca="false">IF(L58="","",IF(ABS(L58)&lt;=1.96*O58,"Yes","No"))</f>
        <v>Yes</v>
      </c>
      <c r="T58" s="66" t="n">
        <f aca="false">IF(D58="","",ROUND(SQRT(((D58+G58)*O58/100)^2+(J58*(D58+G58)*0.05437)^2),0))</f>
        <v>144</v>
      </c>
      <c r="U58" s="32"/>
    </row>
    <row r="59" customFormat="false" ht="15" hidden="false" customHeight="false" outlineLevel="0" collapsed="false">
      <c r="A59" s="32" t="s">
        <v>249</v>
      </c>
      <c r="B59" s="32" t="s">
        <v>255</v>
      </c>
      <c r="C59" s="32" t="s">
        <v>191</v>
      </c>
      <c r="D59" s="66" t="n">
        <v>46</v>
      </c>
      <c r="E59" s="66" t="n">
        <v>39</v>
      </c>
      <c r="F59" s="77" t="n">
        <f aca="false">IF(E59="","",D59-E59)</f>
        <v>7</v>
      </c>
      <c r="G59" s="66" t="n">
        <v>74</v>
      </c>
      <c r="H59" s="66" t="n">
        <v>79</v>
      </c>
      <c r="I59" s="77" t="n">
        <f aca="false">IF(H59="","",G59-H59)</f>
        <v>-5</v>
      </c>
      <c r="J59" s="47" t="n">
        <f aca="false">IF(OR(D59="",D59+G59=0),"",D59/(D59+G59))</f>
        <v>0.383333333333333</v>
      </c>
      <c r="K59" s="47" t="n">
        <f aca="false">IF(E59="","",E59/(E59+H59))</f>
        <v>0.330508474576271</v>
      </c>
      <c r="L59" s="78" t="n">
        <f aca="false">IF(OR(K59="",J59=""),"",(J59-K59)*100)</f>
        <v>5.28248587570622</v>
      </c>
      <c r="M59" s="36" t="n">
        <v>2.73724997661239</v>
      </c>
      <c r="N59" s="36" t="n">
        <v>0.321485924643753</v>
      </c>
      <c r="O59" s="36" t="n">
        <f aca="false">SQRT(M59^2+N59^2)</f>
        <v>2.75606433782098</v>
      </c>
      <c r="P59" s="47" t="n">
        <f aca="false">IF(J59="","",MAX(0,J59-1.96*O59/100))</f>
        <v>0.329314472312042</v>
      </c>
      <c r="Q59" s="47" t="n">
        <f aca="false">IF(J59="","",MIN(1,J59+1.96*O59/100))</f>
        <v>0.437352194354624</v>
      </c>
      <c r="R59" s="32" t="str">
        <f aca="false">IF(L59="","",IF(ABS(L59)&lt;=O59,"Yes","No"))</f>
        <v>No</v>
      </c>
      <c r="S59" s="32" t="str">
        <f aca="false">IF(L59="","",IF(ABS(L59)&lt;=1.96*O59,"Yes","No"))</f>
        <v>Yes</v>
      </c>
      <c r="T59" s="66" t="n">
        <f aca="false">IF(D59="","",ROUND(SQRT(((D59+G59)*O59/100)^2+(J59*(D59+G59)*0.07717)^2),0))</f>
        <v>5</v>
      </c>
      <c r="U59" s="32"/>
    </row>
    <row r="60" customFormat="false" ht="15" hidden="false" customHeight="false" outlineLevel="0" collapsed="false">
      <c r="A60" s="32" t="s">
        <v>249</v>
      </c>
      <c r="B60" s="32" t="s">
        <v>256</v>
      </c>
      <c r="C60" s="32" t="s">
        <v>191</v>
      </c>
      <c r="D60" s="66" t="n">
        <v>1315</v>
      </c>
      <c r="E60" s="66" t="n">
        <v>1215</v>
      </c>
      <c r="F60" s="77" t="n">
        <f aca="false">IF(E60="","",D60-E60)</f>
        <v>100</v>
      </c>
      <c r="G60" s="66" t="n">
        <v>1750</v>
      </c>
      <c r="H60" s="66" t="n">
        <v>1784</v>
      </c>
      <c r="I60" s="77" t="n">
        <f aca="false">IF(H60="","",G60-H60)</f>
        <v>-34</v>
      </c>
      <c r="J60" s="47" t="n">
        <f aca="false">IF(OR(D60="",D60+G60=0),"",D60/(D60+G60))</f>
        <v>0.429037520391517</v>
      </c>
      <c r="K60" s="47" t="n">
        <f aca="false">IF(E60="","",E60/(E60+H60))</f>
        <v>0.405135045015005</v>
      </c>
      <c r="L60" s="78" t="n">
        <f aca="false">IF(OR(K60="",J60=""),"",(J60-K60)*100)</f>
        <v>2.39024753765121</v>
      </c>
      <c r="M60" s="36" t="n">
        <v>1.72069707213054</v>
      </c>
      <c r="N60" s="36" t="n">
        <v>0.321485924643753</v>
      </c>
      <c r="O60" s="36" t="n">
        <f aca="false">SQRT(M60^2+N60^2)</f>
        <v>1.75047182604653</v>
      </c>
      <c r="P60" s="47" t="n">
        <f aca="false">IF(J60="","",MAX(0,J60-1.96*O60/100))</f>
        <v>0.394728272601005</v>
      </c>
      <c r="Q60" s="47" t="n">
        <f aca="false">IF(J60="","",MIN(1,J60+1.96*O60/100))</f>
        <v>0.463346768182029</v>
      </c>
      <c r="R60" s="32" t="str">
        <f aca="false">IF(L60="","",IF(ABS(L60)&lt;=O60,"Yes","No"))</f>
        <v>No</v>
      </c>
      <c r="S60" s="32" t="str">
        <f aca="false">IF(L60="","",IF(ABS(L60)&lt;=1.96*O60,"Yes","No"))</f>
        <v>Yes</v>
      </c>
      <c r="T60" s="66" t="n">
        <f aca="false">IF(D60="","",ROUND(SQRT(((D60+G60)*O60/100)^2+(J60*(D60+G60)*0.05992)^2),0))</f>
        <v>95</v>
      </c>
      <c r="U60" s="32"/>
    </row>
    <row r="61" customFormat="false" ht="15" hidden="false" customHeight="false" outlineLevel="0" collapsed="false">
      <c r="A61" s="32" t="s">
        <v>249</v>
      </c>
      <c r="B61" s="32" t="s">
        <v>257</v>
      </c>
      <c r="C61" s="32" t="s">
        <v>191</v>
      </c>
      <c r="D61" s="66" t="n">
        <v>207</v>
      </c>
      <c r="E61" s="66" t="n">
        <v>166</v>
      </c>
      <c r="F61" s="77" t="n">
        <f aca="false">IF(E61="","",D61-E61)</f>
        <v>41</v>
      </c>
      <c r="G61" s="66" t="n">
        <v>305</v>
      </c>
      <c r="H61" s="66" t="n">
        <v>332</v>
      </c>
      <c r="I61" s="77" t="n">
        <f aca="false">IF(H61="","",G61-H61)</f>
        <v>-27</v>
      </c>
      <c r="J61" s="47" t="n">
        <f aca="false">IF(OR(D61="",D61+G61=0),"",D61/(D61+G61))</f>
        <v>0.404296875</v>
      </c>
      <c r="K61" s="47" t="n">
        <f aca="false">IF(E61="","",E61/(E61+H61))</f>
        <v>0.333333333333333</v>
      </c>
      <c r="L61" s="78" t="n">
        <f aca="false">IF(OR(K61="",J61=""),"",(J61-K61)*100)</f>
        <v>7.09635416666667</v>
      </c>
      <c r="M61" s="36" t="n">
        <v>2.73724997661239</v>
      </c>
      <c r="N61" s="36" t="n">
        <v>0.321485924643753</v>
      </c>
      <c r="O61" s="36" t="n">
        <f aca="false">SQRT(M61^2+N61^2)</f>
        <v>2.75606433782098</v>
      </c>
      <c r="P61" s="47" t="n">
        <f aca="false">IF(J61="","",MAX(0,J61-1.96*O61/100))</f>
        <v>0.350278013978709</v>
      </c>
      <c r="Q61" s="47" t="n">
        <f aca="false">IF(J61="","",MIN(1,J61+1.96*O61/100))</f>
        <v>0.458315736021291</v>
      </c>
      <c r="R61" s="32" t="str">
        <f aca="false">IF(L61="","",IF(ABS(L61)&lt;=O61,"Yes","No"))</f>
        <v>No</v>
      </c>
      <c r="S61" s="32" t="str">
        <f aca="false">IF(L61="","",IF(ABS(L61)&lt;=1.96*O61,"Yes","No"))</f>
        <v>No</v>
      </c>
      <c r="T61" s="66" t="n">
        <f aca="false">IF(D61="","",ROUND(SQRT(((D61+G61)*O61/100)^2+(J61*(D61+G61)*0.07717)^2),0))</f>
        <v>21</v>
      </c>
      <c r="U61" s="32"/>
    </row>
    <row r="62" customFormat="false" ht="15" hidden="false" customHeight="false" outlineLevel="0" collapsed="false">
      <c r="A62" s="32" t="s">
        <v>249</v>
      </c>
      <c r="B62" s="32" t="s">
        <v>258</v>
      </c>
      <c r="C62" s="32" t="s">
        <v>191</v>
      </c>
      <c r="D62" s="66" t="n">
        <v>7590</v>
      </c>
      <c r="E62" s="66" t="n">
        <v>7095</v>
      </c>
      <c r="F62" s="77" t="n">
        <f aca="false">IF(E62="","",D62-E62)</f>
        <v>495</v>
      </c>
      <c r="G62" s="66" t="n">
        <v>2817</v>
      </c>
      <c r="H62" s="66" t="n">
        <v>2953</v>
      </c>
      <c r="I62" s="77" t="n">
        <f aca="false">IF(H62="","",G62-H62)</f>
        <v>-136</v>
      </c>
      <c r="J62" s="47" t="n">
        <f aca="false">IF(OR(D62="",D62+G62=0),"",D62/(D62+G62))</f>
        <v>0.729316805995964</v>
      </c>
      <c r="K62" s="47" t="n">
        <f aca="false">IF(E62="","",E62/(E62+H62))</f>
        <v>0.706110668789809</v>
      </c>
      <c r="L62" s="78" t="n">
        <f aca="false">IF(OR(K62="",J62=""),"",(J62-K62)*100)</f>
        <v>2.32061372061554</v>
      </c>
      <c r="M62" s="36" t="n">
        <v>1.61293121864256</v>
      </c>
      <c r="N62" s="36" t="n">
        <v>0.321485924643753</v>
      </c>
      <c r="O62" s="36" t="n">
        <f aca="false">SQRT(M62^2+N62^2)</f>
        <v>1.64465811517647</v>
      </c>
      <c r="P62" s="47" t="n">
        <f aca="false">IF(J62="","",MAX(0,J62-1.96*O62/100))</f>
        <v>0.697081506938506</v>
      </c>
      <c r="Q62" s="47" t="n">
        <f aca="false">IF(J62="","",MIN(1,J62+1.96*O62/100))</f>
        <v>0.761552105053423</v>
      </c>
      <c r="R62" s="32" t="str">
        <f aca="false">IF(L62="","",IF(ABS(L62)&lt;=O62,"Yes","No"))</f>
        <v>No</v>
      </c>
      <c r="S62" s="32" t="str">
        <f aca="false">IF(L62="","",IF(ABS(L62)&lt;=1.96*O62,"Yes","No"))</f>
        <v>Yes</v>
      </c>
      <c r="T62" s="66" t="n">
        <f aca="false">IF(D62="","",ROUND(SQRT(((D62+G62)*O62/100)^2+(J62*(D62+G62)*0.05437)^2),0))</f>
        <v>447</v>
      </c>
      <c r="U62" s="32"/>
    </row>
    <row r="63" customFormat="false" ht="15" hidden="false" customHeight="false" outlineLevel="0" collapsed="false">
      <c r="A63" s="32" t="s">
        <v>249</v>
      </c>
      <c r="B63" s="32" t="s">
        <v>259</v>
      </c>
      <c r="C63" s="32" t="s">
        <v>191</v>
      </c>
      <c r="D63" s="66" t="n">
        <v>5257</v>
      </c>
      <c r="E63" s="66" t="n">
        <v>5038</v>
      </c>
      <c r="F63" s="77" t="n">
        <f aca="false">IF(E63="","",D63-E63)</f>
        <v>219</v>
      </c>
      <c r="G63" s="66" t="n">
        <v>4698</v>
      </c>
      <c r="H63" s="66" t="n">
        <v>4815</v>
      </c>
      <c r="I63" s="77" t="n">
        <f aca="false">IF(H63="","",G63-H63)</f>
        <v>-117</v>
      </c>
      <c r="J63" s="47" t="n">
        <f aca="false">IF(OR(D63="",D63+G63=0),"",D63/(D63+G63))</f>
        <v>0.528076343545957</v>
      </c>
      <c r="K63" s="47" t="n">
        <f aca="false">IF(E63="","",E63/(E63+H63))</f>
        <v>0.511316350350147</v>
      </c>
      <c r="L63" s="78" t="n">
        <f aca="false">IF(OR(K63="",J63=""),"",(J63-K63)*100)</f>
        <v>1.67599931958097</v>
      </c>
      <c r="M63" s="36" t="n">
        <v>1.61293121864256</v>
      </c>
      <c r="N63" s="36" t="n">
        <v>0.321485924643753</v>
      </c>
      <c r="O63" s="36" t="n">
        <f aca="false">SQRT(M63^2+N63^2)</f>
        <v>1.64465811517647</v>
      </c>
      <c r="P63" s="47" t="n">
        <f aca="false">IF(J63="","",MAX(0,J63-1.96*O63/100))</f>
        <v>0.495841044488498</v>
      </c>
      <c r="Q63" s="47" t="n">
        <f aca="false">IF(J63="","",MIN(1,J63+1.96*O63/100))</f>
        <v>0.560311642603416</v>
      </c>
      <c r="R63" s="32" t="str">
        <f aca="false">IF(L63="","",IF(ABS(L63)&lt;=O63,"Yes","No"))</f>
        <v>No</v>
      </c>
      <c r="S63" s="32" t="str">
        <f aca="false">IF(L63="","",IF(ABS(L63)&lt;=1.96*O63,"Yes","No"))</f>
        <v>Yes</v>
      </c>
      <c r="T63" s="66" t="n">
        <f aca="false">IF(D63="","",ROUND(SQRT(((D63+G63)*O63/100)^2+(J63*(D63+G63)*0.05437)^2),0))</f>
        <v>329</v>
      </c>
      <c r="U63" s="32"/>
    </row>
    <row r="64" customFormat="false" ht="15" hidden="false" customHeight="false" outlineLevel="0" collapsed="false">
      <c r="A64" s="32" t="s">
        <v>249</v>
      </c>
      <c r="B64" s="32" t="s">
        <v>260</v>
      </c>
      <c r="C64" s="32" t="s">
        <v>191</v>
      </c>
      <c r="D64" s="66" t="n">
        <v>740</v>
      </c>
      <c r="E64" s="66" t="n">
        <v>768</v>
      </c>
      <c r="F64" s="77" t="n">
        <f aca="false">IF(E64="","",D64-E64)</f>
        <v>-28</v>
      </c>
      <c r="G64" s="66" t="n">
        <v>423</v>
      </c>
      <c r="H64" s="66" t="n">
        <v>460</v>
      </c>
      <c r="I64" s="77" t="n">
        <f aca="false">IF(H64="","",G64-H64)</f>
        <v>-37</v>
      </c>
      <c r="J64" s="47" t="n">
        <f aca="false">IF(OR(D64="",D64+G64=0),"",D64/(D64+G64))</f>
        <v>0.636285468615649</v>
      </c>
      <c r="K64" s="47" t="n">
        <f aca="false">IF(E64="","",E64/(E64+H64))</f>
        <v>0.625407166123778</v>
      </c>
      <c r="L64" s="78" t="n">
        <f aca="false">IF(OR(K64="",J64=""),"",(J64-K64)*100)</f>
        <v>1.08783024918707</v>
      </c>
      <c r="M64" s="36" t="n">
        <v>2.73724997661239</v>
      </c>
      <c r="N64" s="36" t="n">
        <v>0.321485924643753</v>
      </c>
      <c r="O64" s="36" t="n">
        <f aca="false">SQRT(M64^2+N64^2)</f>
        <v>2.75606433782098</v>
      </c>
      <c r="P64" s="47" t="n">
        <f aca="false">IF(J64="","",MAX(0,J64-1.96*O64/100))</f>
        <v>0.582266607594358</v>
      </c>
      <c r="Q64" s="47" t="n">
        <f aca="false">IF(J64="","",MIN(1,J64+1.96*O64/100))</f>
        <v>0.69030432963694</v>
      </c>
      <c r="R64" s="32" t="str">
        <f aca="false">IF(L64="","",IF(ABS(L64)&lt;=O64,"Yes","No"))</f>
        <v>Yes</v>
      </c>
      <c r="S64" s="32" t="str">
        <f aca="false">IF(L64="","",IF(ABS(L64)&lt;=1.96*O64,"Yes","No"))</f>
        <v>Yes</v>
      </c>
      <c r="T64" s="66" t="n">
        <f aca="false">IF(D64="","",ROUND(SQRT(((D64+G64)*O64/100)^2+(J64*(D64+G64)*0.07717)^2),0))</f>
        <v>65</v>
      </c>
      <c r="U64" s="32"/>
    </row>
    <row r="65" customFormat="false" ht="15" hidden="false" customHeight="false" outlineLevel="0" collapsed="false">
      <c r="A65" s="32" t="s">
        <v>249</v>
      </c>
      <c r="B65" s="32" t="s">
        <v>261</v>
      </c>
      <c r="C65" s="32" t="s">
        <v>191</v>
      </c>
      <c r="D65" s="66" t="n">
        <v>109</v>
      </c>
      <c r="E65" s="66" t="n">
        <v>101</v>
      </c>
      <c r="F65" s="77" t="n">
        <f aca="false">IF(E65="","",D65-E65)</f>
        <v>8</v>
      </c>
      <c r="G65" s="66" t="n">
        <v>93</v>
      </c>
      <c r="H65" s="66" t="n">
        <v>100</v>
      </c>
      <c r="I65" s="77" t="n">
        <f aca="false">IF(H65="","",G65-H65)</f>
        <v>-7</v>
      </c>
      <c r="J65" s="47" t="n">
        <f aca="false">IF(OR(D65="",D65+G65=0),"",D65/(D65+G65))</f>
        <v>0.53960396039604</v>
      </c>
      <c r="K65" s="47" t="n">
        <f aca="false">IF(E65="","",E65/(E65+H65))</f>
        <v>0.502487562189055</v>
      </c>
      <c r="L65" s="78" t="n">
        <f aca="false">IF(OR(K65="",J65=""),"",(J65-K65)*100)</f>
        <v>3.71163982069849</v>
      </c>
      <c r="M65" s="36" t="n">
        <v>2.73724997661239</v>
      </c>
      <c r="N65" s="36" t="n">
        <v>0.321485924643753</v>
      </c>
      <c r="O65" s="36" t="n">
        <f aca="false">SQRT(M65^2+N65^2)</f>
        <v>2.75606433782098</v>
      </c>
      <c r="P65" s="47" t="n">
        <f aca="false">IF(J65="","",MAX(0,J65-1.96*O65/100))</f>
        <v>0.485585099374749</v>
      </c>
      <c r="Q65" s="47" t="n">
        <f aca="false">IF(J65="","",MIN(1,J65+1.96*O65/100))</f>
        <v>0.593622821417331</v>
      </c>
      <c r="R65" s="32" t="str">
        <f aca="false">IF(L65="","",IF(ABS(L65)&lt;=O65,"Yes","No"))</f>
        <v>No</v>
      </c>
      <c r="S65" s="32" t="str">
        <f aca="false">IF(L65="","",IF(ABS(L65)&lt;=1.96*O65,"Yes","No"))</f>
        <v>Yes</v>
      </c>
      <c r="T65" s="66" t="n">
        <f aca="false">IF(D65="","",ROUND(SQRT(((D65+G65)*O65/100)^2+(J65*(D65+G65)*0.07717)^2),0))</f>
        <v>10</v>
      </c>
      <c r="U65" s="32"/>
    </row>
    <row r="66" customFormat="false" ht="15" hidden="false" customHeight="false" outlineLevel="0" collapsed="false">
      <c r="A66" s="32" t="s">
        <v>249</v>
      </c>
      <c r="B66" s="32" t="s">
        <v>228</v>
      </c>
      <c r="C66" s="32" t="s">
        <v>191</v>
      </c>
      <c r="D66" s="66" t="n">
        <v>4199</v>
      </c>
      <c r="E66" s="66" t="n">
        <v>4234</v>
      </c>
      <c r="F66" s="77" t="n">
        <f aca="false">IF(E66="","",D66-E66)</f>
        <v>-35</v>
      </c>
      <c r="G66" s="66" t="n">
        <v>3746</v>
      </c>
      <c r="H66" s="66" t="n">
        <v>3699</v>
      </c>
      <c r="I66" s="77" t="n">
        <f aca="false">IF(H66="","",G66-H66)</f>
        <v>47</v>
      </c>
      <c r="J66" s="47" t="n">
        <f aca="false">IF(OR(D66="",D66+G66=0),"",D66/(D66+G66))</f>
        <v>0.528508495909377</v>
      </c>
      <c r="K66" s="47" t="n">
        <f aca="false">IF(E66="","",E66/(E66+H66))</f>
        <v>0.533719904197655</v>
      </c>
      <c r="L66" s="78" t="n">
        <f aca="false">IF(OR(K66="",J66=""),"",(J66-K66)*100)</f>
        <v>-0.521140828827837</v>
      </c>
      <c r="M66" s="36" t="n">
        <v>1.61293121864256</v>
      </c>
      <c r="N66" s="36" t="n">
        <v>0.321485924643753</v>
      </c>
      <c r="O66" s="36" t="n">
        <f aca="false">SQRT(M66^2+N66^2)</f>
        <v>1.64465811517647</v>
      </c>
      <c r="P66" s="47" t="n">
        <f aca="false">IF(J66="","",MAX(0,J66-1.96*O66/100))</f>
        <v>0.496273196851918</v>
      </c>
      <c r="Q66" s="47" t="n">
        <f aca="false">IF(J66="","",MIN(1,J66+1.96*O66/100))</f>
        <v>0.560743794966836</v>
      </c>
      <c r="R66" s="32" t="str">
        <f aca="false">IF(L66="","",IF(ABS(L66)&lt;=O66,"Yes","No"))</f>
        <v>Yes</v>
      </c>
      <c r="S66" s="32" t="str">
        <f aca="false">IF(L66="","",IF(ABS(L66)&lt;=1.96*O66,"Yes","No"))</f>
        <v>Yes</v>
      </c>
      <c r="T66" s="66" t="n">
        <f aca="false">IF(D66="","",ROUND(SQRT(((D66+G66)*O66/100)^2+(J66*(D66+G66)*0.05437)^2),0))</f>
        <v>263</v>
      </c>
      <c r="U66" s="32"/>
    </row>
    <row r="67" customFormat="false" ht="15" hidden="false" customHeight="false" outlineLevel="0" collapsed="false">
      <c r="A67" s="32" t="s">
        <v>249</v>
      </c>
      <c r="B67" s="32" t="s">
        <v>262</v>
      </c>
      <c r="C67" s="32" t="s">
        <v>191</v>
      </c>
      <c r="D67" s="66" t="n">
        <v>1787</v>
      </c>
      <c r="E67" s="66" t="n">
        <v>1646</v>
      </c>
      <c r="F67" s="77" t="n">
        <f aca="false">IF(E67="","",D67-E67)</f>
        <v>141</v>
      </c>
      <c r="G67" s="66" t="n">
        <v>1518</v>
      </c>
      <c r="H67" s="66" t="n">
        <v>1608</v>
      </c>
      <c r="I67" s="77" t="n">
        <f aca="false">IF(H67="","",G67-H67)</f>
        <v>-90</v>
      </c>
      <c r="J67" s="47" t="n">
        <f aca="false">IF(OR(D67="",D67+G67=0),"",D67/(D67+G67))</f>
        <v>0.540695915279879</v>
      </c>
      <c r="K67" s="47" t="n">
        <f aca="false">IF(E67="","",E67/(E67+H67))</f>
        <v>0.505838967424708</v>
      </c>
      <c r="L67" s="78" t="n">
        <f aca="false">IF(OR(K67="",J67=""),"",(J67-K67)*100)</f>
        <v>3.48569478551709</v>
      </c>
      <c r="M67" s="36" t="n">
        <v>1.72069707213054</v>
      </c>
      <c r="N67" s="36" t="n">
        <v>0.321485924643753</v>
      </c>
      <c r="O67" s="36" t="n">
        <f aca="false">SQRT(M67^2+N67^2)</f>
        <v>1.75047182604653</v>
      </c>
      <c r="P67" s="47" t="n">
        <f aca="false">IF(J67="","",MAX(0,J67-1.96*O67/100))</f>
        <v>0.506386667489367</v>
      </c>
      <c r="Q67" s="47" t="n">
        <f aca="false">IF(J67="","",MIN(1,J67+1.96*O67/100))</f>
        <v>0.575005163070391</v>
      </c>
      <c r="R67" s="32" t="str">
        <f aca="false">IF(L67="","",IF(ABS(L67)&lt;=O67,"Yes","No"))</f>
        <v>No</v>
      </c>
      <c r="S67" s="32" t="str">
        <f aca="false">IF(L67="","",IF(ABS(L67)&lt;=1.96*O67,"Yes","No"))</f>
        <v>No</v>
      </c>
      <c r="T67" s="66" t="n">
        <f aca="false">IF(D67="","",ROUND(SQRT(((D67+G67)*O67/100)^2+(J67*(D67+G67)*0.05992)^2),0))</f>
        <v>122</v>
      </c>
      <c r="U67" s="32"/>
    </row>
    <row r="68" customFormat="false" ht="15" hidden="false" customHeight="false" outlineLevel="0" collapsed="false">
      <c r="A68" s="32" t="s">
        <v>249</v>
      </c>
      <c r="B68" s="32" t="s">
        <v>263</v>
      </c>
      <c r="C68" s="32" t="s">
        <v>191</v>
      </c>
      <c r="D68" s="66" t="n">
        <v>2343</v>
      </c>
      <c r="E68" s="66" t="n">
        <v>2137</v>
      </c>
      <c r="F68" s="77" t="n">
        <f aca="false">IF(E68="","",D68-E68)</f>
        <v>206</v>
      </c>
      <c r="G68" s="66" t="n">
        <v>4084</v>
      </c>
      <c r="H68" s="66" t="n">
        <v>4258</v>
      </c>
      <c r="I68" s="77" t="n">
        <f aca="false">IF(H68="","",G68-H68)</f>
        <v>-174</v>
      </c>
      <c r="J68" s="47" t="n">
        <f aca="false">IF(OR(D68="",D68+G68=0),"",D68/(D68+G68))</f>
        <v>0.364555780301852</v>
      </c>
      <c r="K68" s="47" t="n">
        <f aca="false">IF(E68="","",E68/(E68+H68))</f>
        <v>0.334167318217357</v>
      </c>
      <c r="L68" s="78" t="n">
        <f aca="false">IF(OR(K68="",J68=""),"",(J68-K68)*100)</f>
        <v>3.03884620844943</v>
      </c>
      <c r="M68" s="36" t="n">
        <v>1.61293121864256</v>
      </c>
      <c r="N68" s="36" t="n">
        <v>0.321485924643753</v>
      </c>
      <c r="O68" s="36" t="n">
        <f aca="false">SQRT(M68^2+N68^2)</f>
        <v>1.64465811517647</v>
      </c>
      <c r="P68" s="47" t="n">
        <f aca="false">IF(J68="","",MAX(0,J68-1.96*O68/100))</f>
        <v>0.332320481244393</v>
      </c>
      <c r="Q68" s="47" t="n">
        <f aca="false">IF(J68="","",MIN(1,J68+1.96*O68/100))</f>
        <v>0.39679107935931</v>
      </c>
      <c r="R68" s="32" t="str">
        <f aca="false">IF(L68="","",IF(ABS(L68)&lt;=O68,"Yes","No"))</f>
        <v>No</v>
      </c>
      <c r="S68" s="32" t="str">
        <f aca="false">IF(L68="","",IF(ABS(L68)&lt;=1.96*O68,"Yes","No"))</f>
        <v>Yes</v>
      </c>
      <c r="T68" s="66" t="n">
        <f aca="false">IF(D68="","",ROUND(SQRT(((D68+G68)*O68/100)^2+(J68*(D68+G68)*0.05437)^2),0))</f>
        <v>166</v>
      </c>
      <c r="U68" s="32"/>
    </row>
    <row r="69" customFormat="false" ht="15" hidden="false" customHeight="false" outlineLevel="0" collapsed="false">
      <c r="A69" s="32" t="s">
        <v>249</v>
      </c>
      <c r="B69" s="32" t="s">
        <v>264</v>
      </c>
      <c r="C69" s="32" t="s">
        <v>191</v>
      </c>
      <c r="D69" s="66" t="n">
        <v>672</v>
      </c>
      <c r="E69" s="66" t="n">
        <v>580</v>
      </c>
      <c r="F69" s="77" t="n">
        <f aca="false">IF(E69="","",D69-E69)</f>
        <v>92</v>
      </c>
      <c r="G69" s="66" t="n">
        <v>1113</v>
      </c>
      <c r="H69" s="66" t="n">
        <v>1159</v>
      </c>
      <c r="I69" s="77" t="n">
        <f aca="false">IF(H69="","",G69-H69)</f>
        <v>-46</v>
      </c>
      <c r="J69" s="47" t="n">
        <f aca="false">IF(OR(D69="",D69+G69=0),"",D69/(D69+G69))</f>
        <v>0.376470588235294</v>
      </c>
      <c r="K69" s="47" t="n">
        <f aca="false">IF(E69="","",E69/(E69+H69))</f>
        <v>0.333525014376078</v>
      </c>
      <c r="L69" s="78" t="n">
        <f aca="false">IF(OR(K69="",J69=""),"",(J69-K69)*100)</f>
        <v>4.29455738592159</v>
      </c>
      <c r="M69" s="36" t="n">
        <v>1.72069707213054</v>
      </c>
      <c r="N69" s="36" t="n">
        <v>0.321485924643753</v>
      </c>
      <c r="O69" s="36" t="n">
        <f aca="false">SQRT(M69^2+N69^2)</f>
        <v>1.75047182604653</v>
      </c>
      <c r="P69" s="47" t="n">
        <f aca="false">IF(J69="","",MAX(0,J69-1.96*O69/100))</f>
        <v>0.342161340444782</v>
      </c>
      <c r="Q69" s="47" t="n">
        <f aca="false">IF(J69="","",MIN(1,J69+1.96*O69/100))</f>
        <v>0.410779836025806</v>
      </c>
      <c r="R69" s="32" t="str">
        <f aca="false">IF(L69="","",IF(ABS(L69)&lt;=O69,"Yes","No"))</f>
        <v>No</v>
      </c>
      <c r="S69" s="32" t="str">
        <f aca="false">IF(L69="","",IF(ABS(L69)&lt;=1.96*O69,"Yes","No"))</f>
        <v>No</v>
      </c>
      <c r="T69" s="66" t="n">
        <f aca="false">IF(D69="","",ROUND(SQRT(((D69+G69)*O69/100)^2+(J69*(D69+G69)*0.05992)^2),0))</f>
        <v>51</v>
      </c>
      <c r="U69" s="32"/>
    </row>
    <row r="70" customFormat="false" ht="15" hidden="false" customHeight="false" outlineLevel="0" collapsed="false">
      <c r="A70" s="32" t="s">
        <v>249</v>
      </c>
      <c r="B70" s="32" t="s">
        <v>265</v>
      </c>
      <c r="C70" s="32" t="s">
        <v>191</v>
      </c>
      <c r="D70" s="66" t="n">
        <v>1940</v>
      </c>
      <c r="E70" s="66" t="n">
        <v>1879</v>
      </c>
      <c r="F70" s="77" t="n">
        <f aca="false">IF(E70="","",D70-E70)</f>
        <v>61</v>
      </c>
      <c r="G70" s="66" t="n">
        <v>2495</v>
      </c>
      <c r="H70" s="66" t="n">
        <v>2565</v>
      </c>
      <c r="I70" s="77" t="n">
        <f aca="false">IF(H70="","",G70-H70)</f>
        <v>-70</v>
      </c>
      <c r="J70" s="47" t="n">
        <f aca="false">IF(OR(D70="",D70+G70=0),"",D70/(D70+G70))</f>
        <v>0.437429537767757</v>
      </c>
      <c r="K70" s="47" t="n">
        <f aca="false">IF(E70="","",E70/(E70+H70))</f>
        <v>0.422817281728173</v>
      </c>
      <c r="L70" s="78" t="n">
        <f aca="false">IF(OR(K70="",J70=""),"",(J70-K70)*100)</f>
        <v>1.46122560395837</v>
      </c>
      <c r="M70" s="36" t="n">
        <v>1.61293121864256</v>
      </c>
      <c r="N70" s="36" t="n">
        <v>0.321485924643753</v>
      </c>
      <c r="O70" s="36" t="n">
        <f aca="false">SQRT(M70^2+N70^2)</f>
        <v>1.64465811517647</v>
      </c>
      <c r="P70" s="47" t="n">
        <f aca="false">IF(J70="","",MAX(0,J70-1.96*O70/100))</f>
        <v>0.405194238710298</v>
      </c>
      <c r="Q70" s="47" t="n">
        <f aca="false">IF(J70="","",MIN(1,J70+1.96*O70/100))</f>
        <v>0.469664836825215</v>
      </c>
      <c r="R70" s="32" t="str">
        <f aca="false">IF(L70="","",IF(ABS(L70)&lt;=O70,"Yes","No"))</f>
        <v>Yes</v>
      </c>
      <c r="S70" s="32" t="str">
        <f aca="false">IF(L70="","",IF(ABS(L70)&lt;=1.96*O70,"Yes","No"))</f>
        <v>Yes</v>
      </c>
      <c r="T70" s="66" t="n">
        <f aca="false">IF(D70="","",ROUND(SQRT(((D70+G70)*O70/100)^2+(J70*(D70+G70)*0.05437)^2),0))</f>
        <v>128</v>
      </c>
      <c r="U70" s="32"/>
    </row>
    <row r="71" customFormat="false" ht="15" hidden="false" customHeight="false" outlineLevel="0" collapsed="false">
      <c r="A71" s="32" t="s">
        <v>249</v>
      </c>
      <c r="B71" s="32" t="s">
        <v>266</v>
      </c>
      <c r="C71" s="32" t="s">
        <v>191</v>
      </c>
      <c r="D71" s="66" t="n">
        <v>3482</v>
      </c>
      <c r="E71" s="66" t="n">
        <v>3370</v>
      </c>
      <c r="F71" s="77" t="n">
        <f aca="false">IF(E71="","",D71-E71)</f>
        <v>112</v>
      </c>
      <c r="G71" s="66" t="n">
        <v>3758</v>
      </c>
      <c r="H71" s="66" t="n">
        <v>3831</v>
      </c>
      <c r="I71" s="77" t="n">
        <f aca="false">IF(H71="","",G71-H71)</f>
        <v>-73</v>
      </c>
      <c r="J71" s="47" t="n">
        <f aca="false">IF(OR(D71="",D71+G71=0),"",D71/(D71+G71))</f>
        <v>0.480939226519337</v>
      </c>
      <c r="K71" s="47" t="n">
        <f aca="false">IF(E71="","",E71/(E71+H71))</f>
        <v>0.467990556867102</v>
      </c>
      <c r="L71" s="78" t="n">
        <f aca="false">IF(OR(K71="",J71=""),"",(J71-K71)*100)</f>
        <v>1.29486696522352</v>
      </c>
      <c r="M71" s="36" t="n">
        <v>1.61293121864256</v>
      </c>
      <c r="N71" s="36" t="n">
        <v>0.321485924643753</v>
      </c>
      <c r="O71" s="36" t="n">
        <f aca="false">SQRT(M71^2+N71^2)</f>
        <v>1.64465811517647</v>
      </c>
      <c r="P71" s="47" t="n">
        <f aca="false">IF(J71="","",MAX(0,J71-1.96*O71/100))</f>
        <v>0.448703927461878</v>
      </c>
      <c r="Q71" s="47" t="n">
        <f aca="false">IF(J71="","",MIN(1,J71+1.96*O71/100))</f>
        <v>0.513174525576796</v>
      </c>
      <c r="R71" s="32" t="str">
        <f aca="false">IF(L71="","",IF(ABS(L71)&lt;=O71,"Yes","No"))</f>
        <v>Yes</v>
      </c>
      <c r="S71" s="32" t="str">
        <f aca="false">IF(L71="","",IF(ABS(L71)&lt;=1.96*O71,"Yes","No"))</f>
        <v>Yes</v>
      </c>
      <c r="T71" s="66" t="n">
        <f aca="false">IF(D71="","",ROUND(SQRT(((D71+G71)*O71/100)^2+(J71*(D71+G71)*0.05437)^2),0))</f>
        <v>224</v>
      </c>
      <c r="U71" s="32"/>
    </row>
    <row r="72" customFormat="false" ht="15" hidden="false" customHeight="false" outlineLevel="0" collapsed="false">
      <c r="A72" s="32" t="s">
        <v>249</v>
      </c>
      <c r="B72" s="32" t="s">
        <v>267</v>
      </c>
      <c r="C72" s="32" t="s">
        <v>191</v>
      </c>
      <c r="D72" s="66" t="n">
        <v>2101</v>
      </c>
      <c r="E72" s="66" t="n">
        <v>1920</v>
      </c>
      <c r="F72" s="77" t="n">
        <f aca="false">IF(E72="","",D72-E72)</f>
        <v>181</v>
      </c>
      <c r="G72" s="66" t="n">
        <v>3796</v>
      </c>
      <c r="H72" s="66" t="n">
        <v>3865</v>
      </c>
      <c r="I72" s="77" t="n">
        <f aca="false">IF(H72="","",G72-H72)</f>
        <v>-69</v>
      </c>
      <c r="J72" s="47" t="n">
        <f aca="false">IF(OR(D72="",D72+G72=0),"",D72/(D72+G72))</f>
        <v>0.356282855689334</v>
      </c>
      <c r="K72" s="47" t="n">
        <f aca="false">IF(E72="","",E72/(E72+H72))</f>
        <v>0.331892826274849</v>
      </c>
      <c r="L72" s="78" t="n">
        <f aca="false">IF(OR(K72="",J72=""),"",(J72-K72)*100)</f>
        <v>2.43900294144848</v>
      </c>
      <c r="M72" s="36" t="n">
        <v>1.61293121864256</v>
      </c>
      <c r="N72" s="36" t="n">
        <v>0.321485924643753</v>
      </c>
      <c r="O72" s="36" t="n">
        <f aca="false">SQRT(M72^2+N72^2)</f>
        <v>1.64465811517647</v>
      </c>
      <c r="P72" s="47" t="n">
        <f aca="false">IF(J72="","",MAX(0,J72-1.96*O72/100))</f>
        <v>0.324047556631875</v>
      </c>
      <c r="Q72" s="47" t="n">
        <f aca="false">IF(J72="","",MIN(1,J72+1.96*O72/100))</f>
        <v>0.388518154746792</v>
      </c>
      <c r="R72" s="32" t="str">
        <f aca="false">IF(L72="","",IF(ABS(L72)&lt;=O72,"Yes","No"))</f>
        <v>No</v>
      </c>
      <c r="S72" s="32" t="str">
        <f aca="false">IF(L72="","",IF(ABS(L72)&lt;=1.96*O72,"Yes","No"))</f>
        <v>Yes</v>
      </c>
      <c r="T72" s="66" t="n">
        <f aca="false">IF(D72="","",ROUND(SQRT(((D72+G72)*O72/100)^2+(J72*(D72+G72)*0.05437)^2),0))</f>
        <v>150</v>
      </c>
      <c r="U72" s="32"/>
    </row>
    <row r="73" customFormat="false" ht="15" hidden="false" customHeight="false" outlineLevel="0" collapsed="false">
      <c r="A73" s="32" t="s">
        <v>249</v>
      </c>
      <c r="B73" s="32" t="s">
        <v>268</v>
      </c>
      <c r="C73" s="32" t="s">
        <v>191</v>
      </c>
      <c r="D73" s="66" t="n">
        <v>1615</v>
      </c>
      <c r="E73" s="66" t="n">
        <v>1490</v>
      </c>
      <c r="F73" s="77" t="n">
        <f aca="false">IF(E73="","",D73-E73)</f>
        <v>125</v>
      </c>
      <c r="G73" s="66" t="n">
        <v>1594</v>
      </c>
      <c r="H73" s="66" t="n">
        <v>1627</v>
      </c>
      <c r="I73" s="77" t="n">
        <f aca="false">IF(H73="","",G73-H73)</f>
        <v>-33</v>
      </c>
      <c r="J73" s="47" t="n">
        <f aca="false">IF(OR(D73="",D73+G73=0),"",D73/(D73+G73))</f>
        <v>0.503272047366781</v>
      </c>
      <c r="K73" s="47" t="n">
        <f aca="false">IF(E73="","",E73/(E73+H73))</f>
        <v>0.478023740776388</v>
      </c>
      <c r="L73" s="78" t="n">
        <f aca="false">IF(OR(K73="",J73=""),"",(J73-K73)*100)</f>
        <v>2.52483065903933</v>
      </c>
      <c r="M73" s="36" t="n">
        <v>1.72069707213054</v>
      </c>
      <c r="N73" s="36" t="n">
        <v>0.321485924643753</v>
      </c>
      <c r="O73" s="36" t="n">
        <f aca="false">SQRT(M73^2+N73^2)</f>
        <v>1.75047182604653</v>
      </c>
      <c r="P73" s="47" t="n">
        <f aca="false">IF(J73="","",MAX(0,J73-1.96*O73/100))</f>
        <v>0.468962799576269</v>
      </c>
      <c r="Q73" s="47" t="n">
        <f aca="false">IF(J73="","",MIN(1,J73+1.96*O73/100))</f>
        <v>0.537581295157293</v>
      </c>
      <c r="R73" s="32" t="str">
        <f aca="false">IF(L73="","",IF(ABS(L73)&lt;=O73,"Yes","No"))</f>
        <v>No</v>
      </c>
      <c r="S73" s="32" t="str">
        <f aca="false">IF(L73="","",IF(ABS(L73)&lt;=1.96*O73,"Yes","No"))</f>
        <v>Yes</v>
      </c>
      <c r="T73" s="66" t="n">
        <f aca="false">IF(D73="","",ROUND(SQRT(((D73+G73)*O73/100)^2+(J73*(D73+G73)*0.05992)^2),0))</f>
        <v>112</v>
      </c>
      <c r="U73" s="32"/>
    </row>
    <row r="74" customFormat="false" ht="15" hidden="false" customHeight="false" outlineLevel="0" collapsed="false">
      <c r="A74" s="32" t="s">
        <v>249</v>
      </c>
      <c r="B74" s="32" t="s">
        <v>269</v>
      </c>
      <c r="C74" s="32" t="s">
        <v>191</v>
      </c>
      <c r="D74" s="66" t="n">
        <v>763</v>
      </c>
      <c r="E74" s="66" t="n">
        <v>731</v>
      </c>
      <c r="F74" s="77" t="n">
        <f aca="false">IF(E74="","",D74-E74)</f>
        <v>32</v>
      </c>
      <c r="G74" s="66" t="n">
        <v>776</v>
      </c>
      <c r="H74" s="66" t="n">
        <v>843</v>
      </c>
      <c r="I74" s="77" t="n">
        <f aca="false">IF(H74="","",G74-H74)</f>
        <v>-67</v>
      </c>
      <c r="J74" s="47" t="n">
        <f aca="false">IF(OR(D74="",D74+G74=0),"",D74/(D74+G74))</f>
        <v>0.495776478232619</v>
      </c>
      <c r="K74" s="47" t="n">
        <f aca="false">IF(E74="","",E74/(E74+H74))</f>
        <v>0.464421855146125</v>
      </c>
      <c r="L74" s="78" t="n">
        <f aca="false">IF(OR(K74="",J74=""),"",(J74-K74)*100)</f>
        <v>3.13546230864941</v>
      </c>
      <c r="M74" s="36" t="n">
        <v>1.72069707213054</v>
      </c>
      <c r="N74" s="36" t="n">
        <v>0.321485924643753</v>
      </c>
      <c r="O74" s="36" t="n">
        <f aca="false">SQRT(M74^2+N74^2)</f>
        <v>1.75047182604653</v>
      </c>
      <c r="P74" s="47" t="n">
        <f aca="false">IF(J74="","",MAX(0,J74-1.96*O74/100))</f>
        <v>0.461467230442107</v>
      </c>
      <c r="Q74" s="47" t="n">
        <f aca="false">IF(J74="","",MIN(1,J74+1.96*O74/100))</f>
        <v>0.530085726023131</v>
      </c>
      <c r="R74" s="32" t="str">
        <f aca="false">IF(L74="","",IF(ABS(L74)&lt;=O74,"Yes","No"))</f>
        <v>No</v>
      </c>
      <c r="S74" s="32" t="str">
        <f aca="false">IF(L74="","",IF(ABS(L74)&lt;=1.96*O74,"Yes","No"))</f>
        <v>Yes</v>
      </c>
      <c r="T74" s="66" t="n">
        <f aca="false">IF(D74="","",ROUND(SQRT(((D74+G74)*O74/100)^2+(J74*(D74+G74)*0.05992)^2),0))</f>
        <v>53</v>
      </c>
      <c r="U74" s="32"/>
    </row>
    <row r="75" customFormat="false" ht="15" hidden="false" customHeight="false" outlineLevel="0" collapsed="false">
      <c r="A75" s="32" t="s">
        <v>249</v>
      </c>
      <c r="B75" s="32" t="s">
        <v>270</v>
      </c>
      <c r="C75" s="32" t="s">
        <v>191</v>
      </c>
      <c r="D75" s="66" t="n">
        <v>2558</v>
      </c>
      <c r="E75" s="66" t="n">
        <v>2355</v>
      </c>
      <c r="F75" s="77" t="n">
        <f aca="false">IF(E75="","",D75-E75)</f>
        <v>203</v>
      </c>
      <c r="G75" s="66" t="n">
        <v>2631</v>
      </c>
      <c r="H75" s="66" t="n">
        <v>2934</v>
      </c>
      <c r="I75" s="77" t="n">
        <f aca="false">IF(H75="","",G75-H75)</f>
        <v>-303</v>
      </c>
      <c r="J75" s="47" t="n">
        <f aca="false">IF(OR(D75="",D75+G75=0),"",D75/(D75+G75))</f>
        <v>0.492965889381384</v>
      </c>
      <c r="K75" s="47" t="n">
        <f aca="false">IF(E75="","",E75/(E75+H75))</f>
        <v>0.445263754963131</v>
      </c>
      <c r="L75" s="78" t="n">
        <f aca="false">IF(OR(K75="",J75=""),"",(J75-K75)*100)</f>
        <v>4.77021344182527</v>
      </c>
      <c r="M75" s="36" t="n">
        <v>1.61293121864256</v>
      </c>
      <c r="N75" s="36" t="n">
        <v>0.321485924643753</v>
      </c>
      <c r="O75" s="36" t="n">
        <f aca="false">SQRT(M75^2+N75^2)</f>
        <v>1.64465811517647</v>
      </c>
      <c r="P75" s="47" t="n">
        <f aca="false">IF(J75="","",MAX(0,J75-1.96*O75/100))</f>
        <v>0.460730590323925</v>
      </c>
      <c r="Q75" s="47" t="n">
        <f aca="false">IF(J75="","",MIN(1,J75+1.96*O75/100))</f>
        <v>0.525201188438842</v>
      </c>
      <c r="R75" s="32" t="str">
        <f aca="false">IF(L75="","",IF(ABS(L75)&lt;=O75,"Yes","No"))</f>
        <v>No</v>
      </c>
      <c r="S75" s="32" t="str">
        <f aca="false">IF(L75="","",IF(ABS(L75)&lt;=1.96*O75,"Yes","No"))</f>
        <v>No</v>
      </c>
      <c r="T75" s="66" t="n">
        <f aca="false">IF(D75="","",ROUND(SQRT(((D75+G75)*O75/100)^2+(J75*(D75+G75)*0.05437)^2),0))</f>
        <v>163</v>
      </c>
      <c r="U75" s="32"/>
    </row>
    <row r="76" customFormat="false" ht="15" hidden="false" customHeight="false" outlineLevel="0" collapsed="false">
      <c r="A76" s="32" t="s">
        <v>249</v>
      </c>
      <c r="B76" s="32" t="s">
        <v>271</v>
      </c>
      <c r="C76" s="32" t="s">
        <v>191</v>
      </c>
      <c r="D76" s="66" t="n">
        <v>7032</v>
      </c>
      <c r="E76" s="66" t="n">
        <v>6698</v>
      </c>
      <c r="F76" s="77" t="n">
        <f aca="false">IF(E76="","",D76-E76)</f>
        <v>334</v>
      </c>
      <c r="G76" s="66" t="n">
        <v>6215</v>
      </c>
      <c r="H76" s="66" t="n">
        <v>6630</v>
      </c>
      <c r="I76" s="77" t="n">
        <f aca="false">IF(H76="","",G76-H76)</f>
        <v>-415</v>
      </c>
      <c r="J76" s="47" t="n">
        <f aca="false">IF(OR(D76="",D76+G76=0),"",D76/(D76+G76))</f>
        <v>0.530837170680154</v>
      </c>
      <c r="K76" s="47" t="n">
        <f aca="false">IF(E76="","",E76/(E76+H76))</f>
        <v>0.502551020408163</v>
      </c>
      <c r="L76" s="78" t="n">
        <f aca="false">IF(OR(K76="",J76=""),"",(J76-K76)*100)</f>
        <v>2.82861502719908</v>
      </c>
      <c r="M76" s="36" t="n">
        <v>1.61293121864256</v>
      </c>
      <c r="N76" s="36" t="n">
        <v>0.321485924643753</v>
      </c>
      <c r="O76" s="36" t="n">
        <f aca="false">SQRT(M76^2+N76^2)</f>
        <v>1.64465811517647</v>
      </c>
      <c r="P76" s="47" t="n">
        <f aca="false">IF(J76="","",MAX(0,J76-1.96*O76/100))</f>
        <v>0.498601871622695</v>
      </c>
      <c r="Q76" s="47" t="n">
        <f aca="false">IF(J76="","",MIN(1,J76+1.96*O76/100))</f>
        <v>0.563072469737613</v>
      </c>
      <c r="R76" s="32" t="str">
        <f aca="false">IF(L76="","",IF(ABS(L76)&lt;=O76,"Yes","No"))</f>
        <v>No</v>
      </c>
      <c r="S76" s="32" t="str">
        <f aca="false">IF(L76="","",IF(ABS(L76)&lt;=1.96*O76,"Yes","No"))</f>
        <v>Yes</v>
      </c>
      <c r="T76" s="66" t="n">
        <f aca="false">IF(D76="","",ROUND(SQRT(((D76+G76)*O76/100)^2+(J76*(D76+G76)*0.05437)^2),0))</f>
        <v>440</v>
      </c>
      <c r="U76" s="32"/>
    </row>
    <row r="77" customFormat="false" ht="15" hidden="false" customHeight="false" outlineLevel="0" collapsed="false">
      <c r="A77" s="32" t="s">
        <v>249</v>
      </c>
      <c r="B77" s="32" t="s">
        <v>272</v>
      </c>
      <c r="C77" s="32" t="s">
        <v>191</v>
      </c>
      <c r="D77" s="66" t="n">
        <v>710</v>
      </c>
      <c r="E77" s="66" t="n">
        <v>678</v>
      </c>
      <c r="F77" s="77" t="n">
        <f aca="false">IF(E77="","",D77-E77)</f>
        <v>32</v>
      </c>
      <c r="G77" s="66" t="n">
        <v>1093</v>
      </c>
      <c r="H77" s="66" t="n">
        <v>1089</v>
      </c>
      <c r="I77" s="77" t="n">
        <f aca="false">IF(H77="","",G77-H77)</f>
        <v>4</v>
      </c>
      <c r="J77" s="47" t="n">
        <f aca="false">IF(OR(D77="",D77+G77=0),"",D77/(D77+G77))</f>
        <v>0.393788130892956</v>
      </c>
      <c r="K77" s="47" t="n">
        <f aca="false">IF(E77="","",E77/(E77+H77))</f>
        <v>0.383701188455009</v>
      </c>
      <c r="L77" s="78" t="n">
        <f aca="false">IF(OR(K77="",J77=""),"",(J77-K77)*100)</f>
        <v>1.00869424379477</v>
      </c>
      <c r="M77" s="36" t="n">
        <v>1.72069707213054</v>
      </c>
      <c r="N77" s="36" t="n">
        <v>0.321485924643753</v>
      </c>
      <c r="O77" s="36" t="n">
        <f aca="false">SQRT(M77^2+N77^2)</f>
        <v>1.75047182604653</v>
      </c>
      <c r="P77" s="47" t="n">
        <f aca="false">IF(J77="","",MAX(0,J77-1.96*O77/100))</f>
        <v>0.359478883102444</v>
      </c>
      <c r="Q77" s="47" t="n">
        <f aca="false">IF(J77="","",MIN(1,J77+1.96*O77/100))</f>
        <v>0.428097378683468</v>
      </c>
      <c r="R77" s="32" t="str">
        <f aca="false">IF(L77="","",IF(ABS(L77)&lt;=O77,"Yes","No"))</f>
        <v>Yes</v>
      </c>
      <c r="S77" s="32" t="str">
        <f aca="false">IF(L77="","",IF(ABS(L77)&lt;=1.96*O77,"Yes","No"))</f>
        <v>Yes</v>
      </c>
      <c r="T77" s="66" t="n">
        <f aca="false">IF(D77="","",ROUND(SQRT(((D77+G77)*O77/100)^2+(J77*(D77+G77)*0.05992)^2),0))</f>
        <v>53</v>
      </c>
      <c r="U77" s="32"/>
    </row>
    <row r="78" customFormat="false" ht="15" hidden="false" customHeight="false" outlineLevel="0" collapsed="false">
      <c r="A78" s="32" t="s">
        <v>249</v>
      </c>
      <c r="B78" s="32" t="s">
        <v>273</v>
      </c>
      <c r="C78" s="32" t="s">
        <v>191</v>
      </c>
      <c r="D78" s="66" t="n">
        <v>1408</v>
      </c>
      <c r="E78" s="66" t="n">
        <v>1368</v>
      </c>
      <c r="F78" s="77" t="n">
        <f aca="false">IF(E78="","",D78-E78)</f>
        <v>40</v>
      </c>
      <c r="G78" s="66" t="n">
        <v>2452</v>
      </c>
      <c r="H78" s="66" t="n">
        <v>2520</v>
      </c>
      <c r="I78" s="77" t="n">
        <f aca="false">IF(H78="","",G78-H78)</f>
        <v>-68</v>
      </c>
      <c r="J78" s="47" t="n">
        <f aca="false">IF(OR(D78="",D78+G78=0),"",D78/(D78+G78))</f>
        <v>0.364766839378238</v>
      </c>
      <c r="K78" s="47" t="n">
        <f aca="false">IF(E78="","",E78/(E78+H78))</f>
        <v>0.351851851851852</v>
      </c>
      <c r="L78" s="78" t="n">
        <f aca="false">IF(OR(K78="",J78=""),"",(J78-K78)*100)</f>
        <v>1.29149875263865</v>
      </c>
      <c r="M78" s="36" t="n">
        <v>1.61293121864256</v>
      </c>
      <c r="N78" s="36" t="n">
        <v>0.321485924643753</v>
      </c>
      <c r="O78" s="36" t="n">
        <f aca="false">SQRT(M78^2+N78^2)</f>
        <v>1.64465811517647</v>
      </c>
      <c r="P78" s="47" t="n">
        <f aca="false">IF(J78="","",MAX(0,J78-1.96*O78/100))</f>
        <v>0.33253154032078</v>
      </c>
      <c r="Q78" s="47" t="n">
        <f aca="false">IF(J78="","",MIN(1,J78+1.96*O78/100))</f>
        <v>0.397002138435697</v>
      </c>
      <c r="R78" s="32" t="str">
        <f aca="false">IF(L78="","",IF(ABS(L78)&lt;=O78,"Yes","No"))</f>
        <v>Yes</v>
      </c>
      <c r="S78" s="32" t="str">
        <f aca="false">IF(L78="","",IF(ABS(L78)&lt;=1.96*O78,"Yes","No"))</f>
        <v>Yes</v>
      </c>
      <c r="T78" s="66" t="n">
        <f aca="false">IF(D78="","",ROUND(SQRT(((D78+G78)*O78/100)^2+(J78*(D78+G78)*0.05437)^2),0))</f>
        <v>99</v>
      </c>
      <c r="U78" s="32"/>
    </row>
    <row r="79" customFormat="false" ht="15" hidden="false" customHeight="false" outlineLevel="0" collapsed="false">
      <c r="A79" s="32" t="s">
        <v>249</v>
      </c>
      <c r="B79" s="32" t="s">
        <v>274</v>
      </c>
      <c r="C79" s="32" t="s">
        <v>191</v>
      </c>
      <c r="D79" s="66" t="n">
        <v>97</v>
      </c>
      <c r="E79" s="66" t="n">
        <v>82</v>
      </c>
      <c r="F79" s="77" t="n">
        <f aca="false">IF(E79="","",D79-E79)</f>
        <v>15</v>
      </c>
      <c r="G79" s="66" t="n">
        <v>166</v>
      </c>
      <c r="H79" s="66" t="n">
        <v>171</v>
      </c>
      <c r="I79" s="77" t="n">
        <f aca="false">IF(H79="","",G79-H79)</f>
        <v>-5</v>
      </c>
      <c r="J79" s="47" t="n">
        <f aca="false">IF(OR(D79="",D79+G79=0),"",D79/(D79+G79))</f>
        <v>0.368821292775665</v>
      </c>
      <c r="K79" s="47" t="n">
        <f aca="false">IF(E79="","",E79/(E79+H79))</f>
        <v>0.324110671936759</v>
      </c>
      <c r="L79" s="78" t="n">
        <f aca="false">IF(OR(K79="",J79=""),"",(J79-K79)*100)</f>
        <v>4.47106208389065</v>
      </c>
      <c r="M79" s="36" t="n">
        <v>2.73724997661239</v>
      </c>
      <c r="N79" s="36" t="n">
        <v>0.321485924643753</v>
      </c>
      <c r="O79" s="36" t="n">
        <f aca="false">SQRT(M79^2+N79^2)</f>
        <v>2.75606433782098</v>
      </c>
      <c r="P79" s="47" t="n">
        <f aca="false">IF(J79="","",MAX(0,J79-1.96*O79/100))</f>
        <v>0.314802431754374</v>
      </c>
      <c r="Q79" s="47" t="n">
        <f aca="false">IF(J79="","",MIN(1,J79+1.96*O79/100))</f>
        <v>0.422840153796957</v>
      </c>
      <c r="R79" s="32" t="str">
        <f aca="false">IF(L79="","",IF(ABS(L79)&lt;=O79,"Yes","No"))</f>
        <v>No</v>
      </c>
      <c r="S79" s="32" t="str">
        <f aca="false">IF(L79="","",IF(ABS(L79)&lt;=1.96*O79,"Yes","No"))</f>
        <v>Yes</v>
      </c>
      <c r="T79" s="66" t="n">
        <f aca="false">IF(D79="","",ROUND(SQRT(((D79+G79)*O79/100)^2+(J79*(D79+G79)*0.07717)^2),0))</f>
        <v>10</v>
      </c>
      <c r="U79" s="32"/>
    </row>
    <row r="80" customFormat="false" ht="15" hidden="false" customHeight="false" outlineLevel="0" collapsed="false">
      <c r="A80" s="32" t="s">
        <v>249</v>
      </c>
      <c r="B80" s="32" t="s">
        <v>275</v>
      </c>
      <c r="C80" s="32" t="s">
        <v>191</v>
      </c>
      <c r="D80" s="66" t="n">
        <v>351</v>
      </c>
      <c r="E80" s="66" t="n">
        <v>331</v>
      </c>
      <c r="F80" s="77" t="n">
        <f aca="false">IF(E80="","",D80-E80)</f>
        <v>20</v>
      </c>
      <c r="G80" s="66" t="n">
        <v>536</v>
      </c>
      <c r="H80" s="66" t="n">
        <v>571</v>
      </c>
      <c r="I80" s="77" t="n">
        <f aca="false">IF(H80="","",G80-H80)</f>
        <v>-35</v>
      </c>
      <c r="J80" s="47" t="n">
        <f aca="false">IF(OR(D80="",D80+G80=0),"",D80/(D80+G80))</f>
        <v>0.395715896279594</v>
      </c>
      <c r="K80" s="47" t="n">
        <f aca="false">IF(E80="","",E80/(E80+H80))</f>
        <v>0.366962305986696</v>
      </c>
      <c r="L80" s="78" t="n">
        <f aca="false">IF(OR(K80="",J80=""),"",(J80-K80)*100)</f>
        <v>2.87535902928979</v>
      </c>
      <c r="M80" s="36" t="n">
        <v>2.73724997661239</v>
      </c>
      <c r="N80" s="36" t="n">
        <v>0.321485924643753</v>
      </c>
      <c r="O80" s="36" t="n">
        <f aca="false">SQRT(M80^2+N80^2)</f>
        <v>2.75606433782098</v>
      </c>
      <c r="P80" s="47" t="n">
        <f aca="false">IF(J80="","",MAX(0,J80-1.96*O80/100))</f>
        <v>0.341697035258303</v>
      </c>
      <c r="Q80" s="47" t="n">
        <f aca="false">IF(J80="","",MIN(1,J80+1.96*O80/100))</f>
        <v>0.449734757300885</v>
      </c>
      <c r="R80" s="32" t="str">
        <f aca="false">IF(L80="","",IF(ABS(L80)&lt;=O80,"Yes","No"))</f>
        <v>No</v>
      </c>
      <c r="S80" s="32" t="str">
        <f aca="false">IF(L80="","",IF(ABS(L80)&lt;=1.96*O80,"Yes","No"))</f>
        <v>Yes</v>
      </c>
      <c r="T80" s="66" t="n">
        <f aca="false">IF(D80="","",ROUND(SQRT(((D80+G80)*O80/100)^2+(J80*(D80+G80)*0.07717)^2),0))</f>
        <v>36</v>
      </c>
      <c r="U80" s="32"/>
    </row>
    <row r="81" customFormat="false" ht="15" hidden="false" customHeight="false" outlineLevel="0" collapsed="false">
      <c r="A81" s="32" t="s">
        <v>249</v>
      </c>
      <c r="B81" s="32" t="s">
        <v>276</v>
      </c>
      <c r="C81" s="32" t="s">
        <v>191</v>
      </c>
      <c r="D81" s="66" t="n">
        <v>230</v>
      </c>
      <c r="E81" s="66" t="n">
        <v>212</v>
      </c>
      <c r="F81" s="77" t="n">
        <f aca="false">IF(E81="","",D81-E81)</f>
        <v>18</v>
      </c>
      <c r="G81" s="66" t="n">
        <v>295</v>
      </c>
      <c r="H81" s="66" t="n">
        <v>308</v>
      </c>
      <c r="I81" s="77" t="n">
        <f aca="false">IF(H81="","",G81-H81)</f>
        <v>-13</v>
      </c>
      <c r="J81" s="47" t="n">
        <f aca="false">IF(OR(D81="",D81+G81=0),"",D81/(D81+G81))</f>
        <v>0.438095238095238</v>
      </c>
      <c r="K81" s="47" t="n">
        <f aca="false">IF(E81="","",E81/(E81+H81))</f>
        <v>0.407692307692308</v>
      </c>
      <c r="L81" s="78" t="n">
        <f aca="false">IF(OR(K81="",J81=""),"",(J81-K81)*100)</f>
        <v>3.04029304029304</v>
      </c>
      <c r="M81" s="36" t="n">
        <v>2.73724997661239</v>
      </c>
      <c r="N81" s="36" t="n">
        <v>0.321485924643753</v>
      </c>
      <c r="O81" s="36" t="n">
        <f aca="false">SQRT(M81^2+N81^2)</f>
        <v>2.75606433782098</v>
      </c>
      <c r="P81" s="47" t="n">
        <f aca="false">IF(J81="","",MAX(0,J81-1.96*O81/100))</f>
        <v>0.384076377073947</v>
      </c>
      <c r="Q81" s="47" t="n">
        <f aca="false">IF(J81="","",MIN(1,J81+1.96*O81/100))</f>
        <v>0.492114099116529</v>
      </c>
      <c r="R81" s="32" t="str">
        <f aca="false">IF(L81="","",IF(ABS(L81)&lt;=O81,"Yes","No"))</f>
        <v>No</v>
      </c>
      <c r="S81" s="32" t="str">
        <f aca="false">IF(L81="","",IF(ABS(L81)&lt;=1.96*O81,"Yes","No"))</f>
        <v>Yes</v>
      </c>
      <c r="T81" s="66" t="n">
        <f aca="false">IF(D81="","",ROUND(SQRT(((D81+G81)*O81/100)^2+(J81*(D81+G81)*0.07717)^2),0))</f>
        <v>23</v>
      </c>
      <c r="U81" s="32"/>
    </row>
    <row r="82" customFormat="false" ht="15" hidden="false" customHeight="false" outlineLevel="0" collapsed="false">
      <c r="A82" s="32" t="s">
        <v>249</v>
      </c>
      <c r="B82" s="32" t="s">
        <v>277</v>
      </c>
      <c r="C82" s="32" t="s">
        <v>191</v>
      </c>
      <c r="D82" s="66" t="n">
        <v>305</v>
      </c>
      <c r="E82" s="66" t="n">
        <v>272</v>
      </c>
      <c r="F82" s="77" t="n">
        <f aca="false">IF(E82="","",D82-E82)</f>
        <v>33</v>
      </c>
      <c r="G82" s="66" t="n">
        <v>382</v>
      </c>
      <c r="H82" s="66" t="n">
        <v>400</v>
      </c>
      <c r="I82" s="77" t="n">
        <f aca="false">IF(H82="","",G82-H82)</f>
        <v>-18</v>
      </c>
      <c r="J82" s="47" t="n">
        <f aca="false">IF(OR(D82="",D82+G82=0),"",D82/(D82+G82))</f>
        <v>0.443959243085881</v>
      </c>
      <c r="K82" s="47" t="n">
        <f aca="false">IF(E82="","",E82/(E82+H82))</f>
        <v>0.404761904761905</v>
      </c>
      <c r="L82" s="78" t="n">
        <f aca="false">IF(OR(K82="",J82=""),"",(J82-K82)*100)</f>
        <v>3.91973383239759</v>
      </c>
      <c r="M82" s="36" t="n">
        <v>2.73724997661239</v>
      </c>
      <c r="N82" s="36" t="n">
        <v>0.321485924643753</v>
      </c>
      <c r="O82" s="36" t="n">
        <f aca="false">SQRT(M82^2+N82^2)</f>
        <v>2.75606433782098</v>
      </c>
      <c r="P82" s="47" t="n">
        <f aca="false">IF(J82="","",MAX(0,J82-1.96*O82/100))</f>
        <v>0.38994038206459</v>
      </c>
      <c r="Q82" s="47" t="n">
        <f aca="false">IF(J82="","",MIN(1,J82+1.96*O82/100))</f>
        <v>0.497978104107172</v>
      </c>
      <c r="R82" s="32" t="str">
        <f aca="false">IF(L82="","",IF(ABS(L82)&lt;=O82,"Yes","No"))</f>
        <v>No</v>
      </c>
      <c r="S82" s="32" t="str">
        <f aca="false">IF(L82="","",IF(ABS(L82)&lt;=1.96*O82,"Yes","No"))</f>
        <v>Yes</v>
      </c>
      <c r="T82" s="66" t="n">
        <f aca="false">IF(D82="","",ROUND(SQRT(((D82+G82)*O82/100)^2+(J82*(D82+G82)*0.07717)^2),0))</f>
        <v>30</v>
      </c>
      <c r="U82" s="32"/>
    </row>
    <row r="83" customFormat="false" ht="15" hidden="false" customHeight="false" outlineLevel="0" collapsed="false">
      <c r="A83" s="32" t="s">
        <v>249</v>
      </c>
      <c r="B83" s="32" t="s">
        <v>278</v>
      </c>
      <c r="C83" s="32" t="s">
        <v>191</v>
      </c>
      <c r="D83" s="66" t="n">
        <v>1326</v>
      </c>
      <c r="E83" s="66" t="n">
        <v>1207</v>
      </c>
      <c r="F83" s="77" t="n">
        <f aca="false">IF(E83="","",D83-E83)</f>
        <v>119</v>
      </c>
      <c r="G83" s="66" t="n">
        <v>2580</v>
      </c>
      <c r="H83" s="66" t="n">
        <v>2601</v>
      </c>
      <c r="I83" s="77" t="n">
        <f aca="false">IF(H83="","",G83-H83)</f>
        <v>-21</v>
      </c>
      <c r="J83" s="47" t="n">
        <f aca="false">IF(OR(D83="",D83+G83=0),"",D83/(D83+G83))</f>
        <v>0.339477726574501</v>
      </c>
      <c r="K83" s="47" t="n">
        <f aca="false">IF(E83="","",E83/(E83+H83))</f>
        <v>0.316964285714286</v>
      </c>
      <c r="L83" s="78" t="n">
        <f aca="false">IF(OR(K83="",J83=""),"",(J83-K83)*100)</f>
        <v>2.25134408602151</v>
      </c>
      <c r="M83" s="36" t="n">
        <v>1.61293121864256</v>
      </c>
      <c r="N83" s="36" t="n">
        <v>0.321485924643753</v>
      </c>
      <c r="O83" s="36" t="n">
        <f aca="false">SQRT(M83^2+N83^2)</f>
        <v>1.64465811517647</v>
      </c>
      <c r="P83" s="47" t="n">
        <f aca="false">IF(J83="","",MAX(0,J83-1.96*O83/100))</f>
        <v>0.307242427517042</v>
      </c>
      <c r="Q83" s="47" t="n">
        <f aca="false">IF(J83="","",MIN(1,J83+1.96*O83/100))</f>
        <v>0.37171302563196</v>
      </c>
      <c r="R83" s="32" t="str">
        <f aca="false">IF(L83="","",IF(ABS(L83)&lt;=O83,"Yes","No"))</f>
        <v>No</v>
      </c>
      <c r="S83" s="32" t="str">
        <f aca="false">IF(L83="","",IF(ABS(L83)&lt;=1.96*O83,"Yes","No"))</f>
        <v>Yes</v>
      </c>
      <c r="T83" s="66" t="n">
        <f aca="false">IF(D83="","",ROUND(SQRT(((D83+G83)*O83/100)^2+(J83*(D83+G83)*0.05437)^2),0))</f>
        <v>97</v>
      </c>
      <c r="U83" s="32"/>
    </row>
    <row r="84" customFormat="false" ht="15" hidden="false" customHeight="false" outlineLevel="0" collapsed="false">
      <c r="A84" s="32" t="s">
        <v>249</v>
      </c>
      <c r="B84" s="32" t="s">
        <v>279</v>
      </c>
      <c r="C84" s="32" t="s">
        <v>191</v>
      </c>
      <c r="D84" s="66" t="n">
        <v>1926</v>
      </c>
      <c r="E84" s="66" t="n">
        <v>1838</v>
      </c>
      <c r="F84" s="77" t="n">
        <f aca="false">IF(E84="","",D84-E84)</f>
        <v>88</v>
      </c>
      <c r="G84" s="66" t="n">
        <v>2064</v>
      </c>
      <c r="H84" s="66" t="n">
        <v>2112</v>
      </c>
      <c r="I84" s="77" t="n">
        <f aca="false">IF(H84="","",G84-H84)</f>
        <v>-48</v>
      </c>
      <c r="J84" s="47" t="n">
        <f aca="false">IF(OR(D84="",D84+G84=0),"",D84/(D84+G84))</f>
        <v>0.482706766917293</v>
      </c>
      <c r="K84" s="47" t="n">
        <f aca="false">IF(E84="","",E84/(E84+H84))</f>
        <v>0.465316455696203</v>
      </c>
      <c r="L84" s="78" t="n">
        <f aca="false">IF(OR(K84="",J84=""),"",(J84-K84)*100)</f>
        <v>1.73903112210907</v>
      </c>
      <c r="M84" s="36" t="n">
        <v>1.61293121864256</v>
      </c>
      <c r="N84" s="36" t="n">
        <v>0.321485924643753</v>
      </c>
      <c r="O84" s="36" t="n">
        <f aca="false">SQRT(M84^2+N84^2)</f>
        <v>1.64465811517647</v>
      </c>
      <c r="P84" s="47" t="n">
        <f aca="false">IF(J84="","",MAX(0,J84-1.96*O84/100))</f>
        <v>0.450471467859835</v>
      </c>
      <c r="Q84" s="47" t="n">
        <f aca="false">IF(J84="","",MIN(1,J84+1.96*O84/100))</f>
        <v>0.514942065974752</v>
      </c>
      <c r="R84" s="32" t="str">
        <f aca="false">IF(L84="","",IF(ABS(L84)&lt;=O84,"Yes","No"))</f>
        <v>No</v>
      </c>
      <c r="S84" s="32" t="str">
        <f aca="false">IF(L84="","",IF(ABS(L84)&lt;=1.96*O84,"Yes","No"))</f>
        <v>Yes</v>
      </c>
      <c r="T84" s="66" t="n">
        <f aca="false">IF(D84="","",ROUND(SQRT(((D84+G84)*O84/100)^2+(J84*(D84+G84)*0.05437)^2),0))</f>
        <v>124</v>
      </c>
      <c r="U84" s="32"/>
    </row>
    <row r="85" customFormat="false" ht="15" hidden="false" customHeight="false" outlineLevel="0" collapsed="false">
      <c r="A85" s="32" t="s">
        <v>249</v>
      </c>
      <c r="B85" s="32" t="s">
        <v>280</v>
      </c>
      <c r="C85" s="32" t="s">
        <v>191</v>
      </c>
      <c r="D85" s="66" t="n">
        <v>425</v>
      </c>
      <c r="E85" s="66" t="n">
        <v>379</v>
      </c>
      <c r="F85" s="77" t="n">
        <f aca="false">IF(E85="","",D85-E85)</f>
        <v>46</v>
      </c>
      <c r="G85" s="66" t="n">
        <v>571</v>
      </c>
      <c r="H85" s="66" t="n">
        <v>605</v>
      </c>
      <c r="I85" s="77" t="n">
        <f aca="false">IF(H85="","",G85-H85)</f>
        <v>-34</v>
      </c>
      <c r="J85" s="47" t="n">
        <f aca="false">IF(OR(D85="",D85+G85=0),"",D85/(D85+G85))</f>
        <v>0.426706827309237</v>
      </c>
      <c r="K85" s="47" t="n">
        <f aca="false">IF(E85="","",E85/(E85+H85))</f>
        <v>0.385162601626016</v>
      </c>
      <c r="L85" s="78" t="n">
        <f aca="false">IF(OR(K85="",J85=""),"",(J85-K85)*100)</f>
        <v>4.15442256832206</v>
      </c>
      <c r="M85" s="36" t="n">
        <v>2.73724997661239</v>
      </c>
      <c r="N85" s="36" t="n">
        <v>0.321485924643753</v>
      </c>
      <c r="O85" s="36" t="n">
        <f aca="false">SQRT(M85^2+N85^2)</f>
        <v>2.75606433782098</v>
      </c>
      <c r="P85" s="47" t="n">
        <f aca="false">IF(J85="","",MAX(0,J85-1.96*O85/100))</f>
        <v>0.372687966287946</v>
      </c>
      <c r="Q85" s="47" t="n">
        <f aca="false">IF(J85="","",MIN(1,J85+1.96*O85/100))</f>
        <v>0.480725688330528</v>
      </c>
      <c r="R85" s="32" t="str">
        <f aca="false">IF(L85="","",IF(ABS(L85)&lt;=O85,"Yes","No"))</f>
        <v>No</v>
      </c>
      <c r="S85" s="32" t="str">
        <f aca="false">IF(L85="","",IF(ABS(L85)&lt;=1.96*O85,"Yes","No"))</f>
        <v>Yes</v>
      </c>
      <c r="T85" s="66" t="n">
        <f aca="false">IF(D85="","",ROUND(SQRT(((D85+G85)*O85/100)^2+(J85*(D85+G85)*0.07717)^2),0))</f>
        <v>43</v>
      </c>
      <c r="U85" s="32"/>
    </row>
    <row r="86" customFormat="false" ht="15" hidden="false" customHeight="false" outlineLevel="0" collapsed="false">
      <c r="A86" s="32" t="s">
        <v>249</v>
      </c>
      <c r="B86" s="32" t="s">
        <v>242</v>
      </c>
      <c r="C86" s="32" t="s">
        <v>191</v>
      </c>
      <c r="D86" s="66" t="n">
        <v>1115</v>
      </c>
      <c r="E86" s="66" t="n">
        <v>1032</v>
      </c>
      <c r="F86" s="77" t="n">
        <f aca="false">IF(E86="","",D86-E86)</f>
        <v>83</v>
      </c>
      <c r="G86" s="66" t="n">
        <v>1939</v>
      </c>
      <c r="H86" s="66" t="n">
        <v>1971</v>
      </c>
      <c r="I86" s="77" t="n">
        <f aca="false">IF(H86="","",G86-H86)</f>
        <v>-32</v>
      </c>
      <c r="J86" s="47" t="n">
        <f aca="false">IF(OR(D86="",D86+G86=0),"",D86/(D86+G86))</f>
        <v>0.365094957432875</v>
      </c>
      <c r="K86" s="47" t="n">
        <f aca="false">IF(E86="","",E86/(E86+H86))</f>
        <v>0.343656343656344</v>
      </c>
      <c r="L86" s="78" t="n">
        <f aca="false">IF(OR(K86="",J86=""),"",(J86-K86)*100)</f>
        <v>2.14386137765312</v>
      </c>
      <c r="M86" s="36" t="n">
        <v>1.72069707213054</v>
      </c>
      <c r="N86" s="36" t="n">
        <v>0.321485924643753</v>
      </c>
      <c r="O86" s="36" t="n">
        <f aca="false">SQRT(M86^2+N86^2)</f>
        <v>1.75047182604653</v>
      </c>
      <c r="P86" s="47" t="n">
        <f aca="false">IF(J86="","",MAX(0,J86-1.96*O86/100))</f>
        <v>0.330785709642363</v>
      </c>
      <c r="Q86" s="47" t="n">
        <f aca="false">IF(J86="","",MIN(1,J86+1.96*O86/100))</f>
        <v>0.399404205223387</v>
      </c>
      <c r="R86" s="32" t="str">
        <f aca="false">IF(L86="","",IF(ABS(L86)&lt;=O86,"Yes","No"))</f>
        <v>No</v>
      </c>
      <c r="S86" s="32" t="str">
        <f aca="false">IF(L86="","",IF(ABS(L86)&lt;=1.96*O86,"Yes","No"))</f>
        <v>Yes</v>
      </c>
      <c r="T86" s="66" t="n">
        <f aca="false">IF(D86="","",ROUND(SQRT(((D86+G86)*O86/100)^2+(J86*(D86+G86)*0.05992)^2),0))</f>
        <v>86</v>
      </c>
      <c r="U86" s="32"/>
    </row>
    <row r="87" customFormat="false" ht="15" hidden="false" customHeight="false" outlineLevel="0" collapsed="false">
      <c r="A87" s="32" t="s">
        <v>249</v>
      </c>
      <c r="B87" s="32" t="s">
        <v>281</v>
      </c>
      <c r="C87" s="32" t="s">
        <v>191</v>
      </c>
      <c r="D87" s="66" t="n">
        <v>275</v>
      </c>
      <c r="E87" s="66" t="n">
        <v>249</v>
      </c>
      <c r="F87" s="77" t="n">
        <f aca="false">IF(E87="","",D87-E87)</f>
        <v>26</v>
      </c>
      <c r="G87" s="66" t="n">
        <v>285</v>
      </c>
      <c r="H87" s="66" t="n">
        <v>326</v>
      </c>
      <c r="I87" s="77" t="n">
        <f aca="false">IF(H87="","",G87-H87)</f>
        <v>-41</v>
      </c>
      <c r="J87" s="47" t="n">
        <f aca="false">IF(OR(D87="",D87+G87=0),"",D87/(D87+G87))</f>
        <v>0.491071428571429</v>
      </c>
      <c r="K87" s="47" t="n">
        <f aca="false">IF(E87="","",E87/(E87+H87))</f>
        <v>0.43304347826087</v>
      </c>
      <c r="L87" s="78" t="n">
        <f aca="false">IF(OR(K87="",J87=""),"",(J87-K87)*100)</f>
        <v>5.8027950310559</v>
      </c>
      <c r="M87" s="36" t="n">
        <v>2.73724997661239</v>
      </c>
      <c r="N87" s="36" t="n">
        <v>0.321485924643753</v>
      </c>
      <c r="O87" s="36" t="n">
        <f aca="false">SQRT(M87^2+N87^2)</f>
        <v>2.75606433782098</v>
      </c>
      <c r="P87" s="47" t="n">
        <f aca="false">IF(J87="","",MAX(0,J87-1.96*O87/100))</f>
        <v>0.437052567550137</v>
      </c>
      <c r="Q87" s="47" t="n">
        <f aca="false">IF(J87="","",MIN(1,J87+1.96*O87/100))</f>
        <v>0.54509028959272</v>
      </c>
      <c r="R87" s="32" t="str">
        <f aca="false">IF(L87="","",IF(ABS(L87)&lt;=O87,"Yes","No"))</f>
        <v>No</v>
      </c>
      <c r="S87" s="32" t="str">
        <f aca="false">IF(L87="","",IF(ABS(L87)&lt;=1.96*O87,"Yes","No"))</f>
        <v>No</v>
      </c>
      <c r="T87" s="66" t="n">
        <f aca="false">IF(D87="","",ROUND(SQRT(((D87+G87)*O87/100)^2+(J87*(D87+G87)*0.07717)^2),0))</f>
        <v>26</v>
      </c>
      <c r="U87" s="32"/>
    </row>
    <row r="88" customFormat="false" ht="15" hidden="false" customHeight="false" outlineLevel="0" collapsed="false">
      <c r="A88" s="32" t="s">
        <v>249</v>
      </c>
      <c r="B88" s="32" t="s">
        <v>282</v>
      </c>
      <c r="C88" s="32" t="s">
        <v>191</v>
      </c>
      <c r="D88" s="66" t="n">
        <v>1858</v>
      </c>
      <c r="E88" s="66" t="n">
        <v>1767</v>
      </c>
      <c r="F88" s="77" t="n">
        <f aca="false">IF(E88="","",D88-E88)</f>
        <v>91</v>
      </c>
      <c r="G88" s="66" t="n">
        <v>2346</v>
      </c>
      <c r="H88" s="66" t="n">
        <v>2379</v>
      </c>
      <c r="I88" s="77" t="n">
        <f aca="false">IF(H88="","",G88-H88)</f>
        <v>-33</v>
      </c>
      <c r="J88" s="47" t="n">
        <f aca="false">IF(OR(D88="",D88+G88=0),"",D88/(D88+G88))</f>
        <v>0.441960038058991</v>
      </c>
      <c r="K88" s="47" t="n">
        <f aca="false">IF(E88="","",E88/(E88+H88))</f>
        <v>0.426193921852388</v>
      </c>
      <c r="L88" s="78" t="n">
        <f aca="false">IF(OR(K88="",J88=""),"",(J88-K88)*100)</f>
        <v>1.57661162066036</v>
      </c>
      <c r="M88" s="36" t="n">
        <v>1.61293121864256</v>
      </c>
      <c r="N88" s="36" t="n">
        <v>0.321485924643753</v>
      </c>
      <c r="O88" s="36" t="n">
        <f aca="false">SQRT(M88^2+N88^2)</f>
        <v>1.64465811517647</v>
      </c>
      <c r="P88" s="47" t="n">
        <f aca="false">IF(J88="","",MAX(0,J88-1.96*O88/100))</f>
        <v>0.409724739001533</v>
      </c>
      <c r="Q88" s="47" t="n">
        <f aca="false">IF(J88="","",MIN(1,J88+1.96*O88/100))</f>
        <v>0.47419533711645</v>
      </c>
      <c r="R88" s="32" t="str">
        <f aca="false">IF(L88="","",IF(ABS(L88)&lt;=O88,"Yes","No"))</f>
        <v>Yes</v>
      </c>
      <c r="S88" s="32" t="str">
        <f aca="false">IF(L88="","",IF(ABS(L88)&lt;=1.96*O88,"Yes","No"))</f>
        <v>Yes</v>
      </c>
      <c r="T88" s="66" t="n">
        <f aca="false">IF(D88="","",ROUND(SQRT(((D88+G88)*O88/100)^2+(J88*(D88+G88)*0.05437)^2),0))</f>
        <v>122</v>
      </c>
      <c r="U88" s="32"/>
    </row>
    <row r="89" customFormat="false" ht="15" hidden="false" customHeight="false" outlineLevel="0" collapsed="false">
      <c r="A89" s="32" t="s">
        <v>249</v>
      </c>
      <c r="B89" s="32" t="s">
        <v>283</v>
      </c>
      <c r="C89" s="32" t="s">
        <v>191</v>
      </c>
      <c r="D89" s="66" t="n">
        <v>1970</v>
      </c>
      <c r="E89" s="66" t="n">
        <v>1908</v>
      </c>
      <c r="F89" s="77" t="n">
        <f aca="false">IF(E89="","",D89-E89)</f>
        <v>62</v>
      </c>
      <c r="G89" s="66" t="n">
        <v>1485</v>
      </c>
      <c r="H89" s="66" t="n">
        <v>1518</v>
      </c>
      <c r="I89" s="77" t="n">
        <f aca="false">IF(H89="","",G89-H89)</f>
        <v>-33</v>
      </c>
      <c r="J89" s="47" t="n">
        <f aca="false">IF(OR(D89="",D89+G89=0),"",D89/(D89+G89))</f>
        <v>0.570188133140376</v>
      </c>
      <c r="K89" s="47" t="n">
        <f aca="false">IF(E89="","",E89/(E89+H89))</f>
        <v>0.5569176882662</v>
      </c>
      <c r="L89" s="78" t="n">
        <f aca="false">IF(OR(K89="",J89=""),"",(J89-K89)*100)</f>
        <v>1.32704448741766</v>
      </c>
      <c r="M89" s="36" t="n">
        <v>1.72069707213054</v>
      </c>
      <c r="N89" s="36" t="n">
        <v>0.321485924643753</v>
      </c>
      <c r="O89" s="36" t="n">
        <f aca="false">SQRT(M89^2+N89^2)</f>
        <v>1.75047182604653</v>
      </c>
      <c r="P89" s="47" t="n">
        <f aca="false">IF(J89="","",MAX(0,J89-1.96*O89/100))</f>
        <v>0.535878885349864</v>
      </c>
      <c r="Q89" s="47" t="n">
        <f aca="false">IF(J89="","",MIN(1,J89+1.96*O89/100))</f>
        <v>0.604497380930888</v>
      </c>
      <c r="R89" s="32" t="str">
        <f aca="false">IF(L89="","",IF(ABS(L89)&lt;=O89,"Yes","No"))</f>
        <v>Yes</v>
      </c>
      <c r="S89" s="32" t="str">
        <f aca="false">IF(L89="","",IF(ABS(L89)&lt;=1.96*O89,"Yes","No"))</f>
        <v>Yes</v>
      </c>
      <c r="T89" s="66" t="n">
        <f aca="false">IF(D89="","",ROUND(SQRT(((D89+G89)*O89/100)^2+(J89*(D89+G89)*0.05992)^2),0))</f>
        <v>133</v>
      </c>
      <c r="U89" s="32"/>
    </row>
    <row r="90" customFormat="false" ht="15" hidden="false" customHeight="false" outlineLevel="0" collapsed="false">
      <c r="A90" s="32" t="s">
        <v>249</v>
      </c>
      <c r="B90" s="32" t="s">
        <v>284</v>
      </c>
      <c r="C90" s="32" t="s">
        <v>191</v>
      </c>
      <c r="D90" s="66" t="n">
        <v>563</v>
      </c>
      <c r="E90" s="66" t="n">
        <v>508</v>
      </c>
      <c r="F90" s="77" t="n">
        <f aca="false">IF(E90="","",D90-E90)</f>
        <v>55</v>
      </c>
      <c r="G90" s="66" t="n">
        <v>705</v>
      </c>
      <c r="H90" s="66" t="n">
        <v>791</v>
      </c>
      <c r="I90" s="77" t="n">
        <f aca="false">IF(H90="","",G90-H90)</f>
        <v>-86</v>
      </c>
      <c r="J90" s="47" t="n">
        <f aca="false">IF(OR(D90="",D90+G90=0),"",D90/(D90+G90))</f>
        <v>0.444006309148265</v>
      </c>
      <c r="K90" s="47" t="n">
        <f aca="false">IF(E90="","",E90/(E90+H90))</f>
        <v>0.391070053887606</v>
      </c>
      <c r="L90" s="78" t="n">
        <f aca="false">IF(OR(K90="",J90=""),"",(J90-K90)*100)</f>
        <v>5.29362552606592</v>
      </c>
      <c r="M90" s="36" t="n">
        <v>2.73724997661239</v>
      </c>
      <c r="N90" s="36" t="n">
        <v>0.321485924643753</v>
      </c>
      <c r="O90" s="36" t="n">
        <f aca="false">SQRT(M90^2+N90^2)</f>
        <v>2.75606433782098</v>
      </c>
      <c r="P90" s="47" t="n">
        <f aca="false">IF(J90="","",MAX(0,J90-1.96*O90/100))</f>
        <v>0.389987448126974</v>
      </c>
      <c r="Q90" s="47" t="n">
        <f aca="false">IF(J90="","",MIN(1,J90+1.96*O90/100))</f>
        <v>0.498025170169556</v>
      </c>
      <c r="R90" s="32" t="str">
        <f aca="false">IF(L90="","",IF(ABS(L90)&lt;=O90,"Yes","No"))</f>
        <v>No</v>
      </c>
      <c r="S90" s="32" t="str">
        <f aca="false">IF(L90="","",IF(ABS(L90)&lt;=1.96*O90,"Yes","No"))</f>
        <v>Yes</v>
      </c>
      <c r="T90" s="66" t="n">
        <f aca="false">IF(D90="","",ROUND(SQRT(((D90+G90)*O90/100)^2+(J90*(D90+G90)*0.07717)^2),0))</f>
        <v>56</v>
      </c>
      <c r="U90" s="32"/>
    </row>
    <row r="92" customFormat="false" ht="15" hidden="false" customHeight="false" outlineLevel="0" collapsed="false">
      <c r="A92" s="20" t="s">
        <v>419</v>
      </c>
      <c r="B92" s="44"/>
      <c r="C92" s="44"/>
      <c r="D92" s="79" t="n">
        <f aca="false">SUMIF(E2:E90,"&lt;&gt;",D2:D90)</f>
        <v>200951</v>
      </c>
      <c r="E92" s="79" t="n">
        <f aca="false">SUM(E2:E90)</f>
        <v>193125</v>
      </c>
      <c r="F92" s="80" t="n">
        <f aca="false">D92-E92</f>
        <v>7826</v>
      </c>
      <c r="G92" s="79" t="n">
        <f aca="false">SUMIF(H2:H90,"&lt;&gt;",G2:G90)</f>
        <v>189804</v>
      </c>
      <c r="H92" s="79" t="n">
        <f aca="false">SUM(H2:H90)</f>
        <v>195380</v>
      </c>
      <c r="I92" s="80" t="n">
        <f aca="false">G92-H92</f>
        <v>-5576</v>
      </c>
      <c r="J92" s="46" t="n">
        <f aca="false">D92/(D92+G92)</f>
        <v>0.514263413136108</v>
      </c>
      <c r="K92" s="46" t="n">
        <f aca="false">E92/(E92+H92)</f>
        <v>0.497097849448527</v>
      </c>
      <c r="L92" s="81" t="n">
        <f aca="false">(J92-K92)*100</f>
        <v>1.71655636875813</v>
      </c>
      <c r="M92" s="45" t="n">
        <v>0</v>
      </c>
      <c r="N92" s="45" t="n">
        <v>0.321485924643753</v>
      </c>
      <c r="O92" s="45" t="n">
        <f aca="false">SQRT(M92^2+N92^2)</f>
        <v>0.321485924643753</v>
      </c>
      <c r="P92" s="46" t="n">
        <f aca="false">J92-1.96*O92/100</f>
        <v>0.507962289013091</v>
      </c>
      <c r="Q92" s="46" t="n">
        <f aca="false">J92+1.96*O92/100</f>
        <v>0.520564537259126</v>
      </c>
      <c r="R92" s="44" t="str">
        <f aca="false">IF(ABS(L92)&lt;=O92,"Yes","No")</f>
        <v>No</v>
      </c>
      <c r="S92" s="44" t="str">
        <f aca="false">IF(ABS(L92)&lt;=1.96*O92,"Yes","No")</f>
        <v>No</v>
      </c>
      <c r="T92" s="79" t="n">
        <f aca="false">ROUND(SQRT(((D92+G92)*O92/100)^2+(J92*(D92+G92)*0.04267)^2),0)</f>
        <v>8666</v>
      </c>
    </row>
    <row r="93" customFormat="false" ht="15" hidden="false" customHeight="false" outlineLevel="0" collapsed="false">
      <c r="A93" s="20" t="s">
        <v>420</v>
      </c>
      <c r="B93" s="44"/>
      <c r="C93" s="44"/>
      <c r="D93" s="79" t="n">
        <f aca="false">SUM(D2:D90)</f>
        <v>200951</v>
      </c>
      <c r="E93" s="79"/>
      <c r="F93" s="80"/>
      <c r="G93" s="79" t="n">
        <f aca="false">SUM(G2:G90)</f>
        <v>189804</v>
      </c>
      <c r="H93" s="79"/>
      <c r="I93" s="80"/>
      <c r="J93" s="46" t="n">
        <f aca="false">D93/(D93+G93)</f>
        <v>0.514263413136108</v>
      </c>
      <c r="K93" s="46"/>
      <c r="L93" s="81"/>
      <c r="M93" s="45"/>
      <c r="N93" s="45"/>
      <c r="O93" s="45"/>
      <c r="P93" s="46"/>
      <c r="Q93" s="46"/>
      <c r="R93" s="44"/>
      <c r="S93" s="44"/>
      <c r="T93" s="79"/>
    </row>
    <row r="95" customFormat="false" ht="15" hidden="false" customHeight="false" outlineLevel="0" collapsed="false">
      <c r="A95" s="2" t="s">
        <v>421</v>
      </c>
      <c r="F95" s="82" t="n">
        <f aca="false">(SUMIF(F2:F90,"&gt;0")-SUMIF(F2:F90,"&lt;0"))/COUNT(F2:F90)</f>
        <v>94.9662921348315</v>
      </c>
    </row>
    <row r="96" customFormat="false" ht="15" hidden="false" customHeight="false" outlineLevel="0" collapsed="false">
      <c r="A96" s="2" t="s">
        <v>422</v>
      </c>
      <c r="F96" s="82" t="n">
        <f aca="false">(SUMIF(I2:I90,"&gt;0")-SUMIF(I2:I90,"&lt;0"))/COUNT(I2:I90)</f>
        <v>78.9887640449438</v>
      </c>
    </row>
    <row r="97" customFormat="false" ht="15" hidden="false" customHeight="false" outlineLevel="0" collapsed="false">
      <c r="A97" s="2" t="s">
        <v>423</v>
      </c>
      <c r="F97" s="83" t="n">
        <f aca="false">(SUMIF(L2:L90,"&gt;0")-SUMIF(L2:L90,"&lt;0"))/COUNT(L2:L90)</f>
        <v>2.81416474081347</v>
      </c>
    </row>
    <row r="98" customFormat="false" ht="15" hidden="false" customHeight="false" outlineLevel="0" collapsed="false">
      <c r="A98" s="5" t="s">
        <v>424</v>
      </c>
      <c r="F98" s="84" t="n">
        <f aca="false">SQRT(SUMSQ(L2:L90)/COUNT(L2:L90))</f>
        <v>3.41047092788168</v>
      </c>
    </row>
    <row r="99" customFormat="false" ht="15" hidden="false" customHeight="false" outlineLevel="0" collapsed="false">
      <c r="A99" s="5" t="s">
        <v>425</v>
      </c>
      <c r="F99" s="85" t="n">
        <f aca="false">L92</f>
        <v>1.71655636875813</v>
      </c>
    </row>
    <row r="100" customFormat="false" ht="15" hidden="false" customHeight="false" outlineLevel="0" collapsed="false">
      <c r="A100" s="5" t="s">
        <v>426</v>
      </c>
      <c r="F100" s="84" t="n">
        <f aca="false">SQRT((SUMSQ(L2:L90)-2*L92*SUM(L2:L90)+COUNT(L2:L90)*L92^2)/COUNT(L2:L90))</f>
        <v>2.30865676656166</v>
      </c>
    </row>
    <row r="101" customFormat="false" ht="15" hidden="false" customHeight="false" outlineLevel="0" collapsed="false">
      <c r="A101" s="2" t="s">
        <v>427</v>
      </c>
      <c r="F101" s="86" t="n">
        <f aca="false">D92/E92-1</f>
        <v>0.0405229773462783</v>
      </c>
    </row>
    <row r="102" customFormat="false" ht="15" hidden="false" customHeight="false" outlineLevel="0" collapsed="false">
      <c r="A102" s="5" t="s">
        <v>428</v>
      </c>
      <c r="F102" s="87" t="n">
        <f aca="false">G92/H92-1</f>
        <v>-0.0285392568328385</v>
      </c>
    </row>
    <row r="103" customFormat="false" ht="15" hidden="false" customHeight="false" outlineLevel="0" collapsed="false">
      <c r="A103" s="2" t="s">
        <v>429</v>
      </c>
      <c r="F103" s="86" t="n">
        <f aca="false">(D92+G92)/(E92+H92)-1</f>
        <v>0.00579143125571102</v>
      </c>
    </row>
    <row r="104" customFormat="false" ht="15" hidden="false" customHeight="false" outlineLevel="0" collapsed="false">
      <c r="A104" s="2" t="s">
        <v>430</v>
      </c>
      <c r="F104" s="83" t="n">
        <f aca="false">AVERAGE(O2:O90)</f>
        <v>2.05376805107048</v>
      </c>
    </row>
    <row r="105" customFormat="false" ht="15" hidden="false" customHeight="false" outlineLevel="0" collapsed="false">
      <c r="A105" s="5" t="s">
        <v>431</v>
      </c>
      <c r="F105" s="88" t="n">
        <f aca="false">COUNTIF(R2:R90,"Yes")/(COUNTIF(R2:R90,"Yes")+COUNTIF(R2:R90,"No"))</f>
        <v>0.415730337078652</v>
      </c>
    </row>
    <row r="106" customFormat="false" ht="15" hidden="false" customHeight="false" outlineLevel="0" collapsed="false">
      <c r="A106" s="5" t="s">
        <v>432</v>
      </c>
      <c r="F106" s="88" t="n">
        <f aca="false">COUNTIF(S2:S90,"Yes")/(COUNTIF(S2:S90,"Yes")+COUNTIF(S2:S90,"No"))</f>
        <v>0.775280898876405</v>
      </c>
    </row>
    <row r="107" customFormat="false" ht="15" hidden="false" customHeight="false" outlineLevel="0" collapsed="false">
      <c r="A107" s="2" t="s">
        <v>433</v>
      </c>
      <c r="F107" s="89" t="n">
        <f aca="false">COUNTIFS(L2:L90,"&gt;=-3",L2:L90,"&lt;=3")/COUNT(L2:L90)</f>
        <v>0.629213483146067</v>
      </c>
    </row>
    <row r="108" customFormat="false" ht="15" hidden="false" customHeight="false" outlineLevel="0" collapsed="false">
      <c r="A108" s="2" t="s">
        <v>471</v>
      </c>
      <c r="F108" s="90" t="n">
        <f aca="false">COUNT(E2:E90)</f>
        <v>89</v>
      </c>
    </row>
    <row r="109" customFormat="false" ht="15" hidden="false" customHeight="false" outlineLevel="0" collapsed="false">
      <c r="A109" s="2" t="s">
        <v>435</v>
      </c>
      <c r="F109" s="90" t="n">
        <f aca="false">COUNTA(A2:A90)</f>
        <v>89</v>
      </c>
    </row>
    <row r="110" customFormat="false" ht="15" hidden="false" customHeight="false" outlineLevel="0" collapsed="false">
      <c r="A110" s="5" t="s">
        <v>436</v>
      </c>
    </row>
    <row r="111" customFormat="false" ht="15" hidden="false" customHeight="false" outlineLevel="0" collapsed="false">
      <c r="A111" s="2" t="s">
        <v>437</v>
      </c>
      <c r="F111" s="91" t="n">
        <f aca="false">((D92+G92)-(E92+H92))*K92</f>
        <v>1118.47016125919</v>
      </c>
    </row>
    <row r="112" customFormat="false" ht="15" hidden="false" customHeight="false" outlineLevel="0" collapsed="false">
      <c r="A112" s="2" t="s">
        <v>438</v>
      </c>
      <c r="F112" s="91" t="n">
        <f aca="false">F92-((D92+G92)-(E92+H92))*K92</f>
        <v>6707.52983874082</v>
      </c>
    </row>
    <row r="113" customFormat="false" ht="15" hidden="false" customHeight="false" outlineLevel="0" collapsed="false">
      <c r="A113" s="2" t="s">
        <v>439</v>
      </c>
      <c r="F113" s="91" t="n">
        <f aca="false">((D92+G92)-(E92+H92))*(1-K92)</f>
        <v>1131.52983874081</v>
      </c>
    </row>
    <row r="114" customFormat="false" ht="15" hidden="false" customHeight="false" outlineLevel="0" collapsed="false">
      <c r="A114" s="2" t="s">
        <v>440</v>
      </c>
      <c r="F114" s="91" t="n">
        <f aca="false">I92-((D92+G92)-(E92+H92))*(1-K92)</f>
        <v>-6707.52983874082</v>
      </c>
    </row>
    <row r="115" customFormat="false" ht="15" hidden="false" customHeight="false" outlineLevel="0" collapsed="false">
      <c r="A115" s="2" t="s">
        <v>441</v>
      </c>
      <c r="F115" s="86" t="n">
        <f aca="false">(F92-((D92+G92)-(E92+H92))*K92)/E92</f>
        <v>0.0347315460905673</v>
      </c>
    </row>
    <row r="116" customFormat="false" ht="15" hidden="false" customHeight="false" outlineLevel="0" collapsed="false">
      <c r="A116" s="2" t="s">
        <v>442</v>
      </c>
      <c r="F116" s="86" t="n">
        <f aca="false">(I92-((D92+G92)-(E92+H92))*(1-K92))/H92</f>
        <v>-0.0343306880885496</v>
      </c>
    </row>
    <row r="118" customFormat="false" ht="15" hidden="false" customHeight="false" outlineLevel="0" collapsed="false">
      <c r="U118" s="5" t="s">
        <v>166</v>
      </c>
    </row>
    <row r="119" customFormat="false" ht="41.75" hidden="false" customHeight="false" outlineLevel="0" collapsed="false">
      <c r="U119" s="76" t="s">
        <v>472</v>
      </c>
    </row>
    <row r="120" customFormat="false" ht="41.75" hidden="false" customHeight="false" outlineLevel="0" collapsed="false">
      <c r="U120" s="76" t="s">
        <v>473</v>
      </c>
    </row>
    <row r="121" customFormat="false" ht="55.2" hidden="false" customHeight="false" outlineLevel="0" collapsed="false">
      <c r="U121" s="76" t="s">
        <v>480</v>
      </c>
    </row>
    <row r="122" customFormat="false" ht="28.35" hidden="false" customHeight="false" outlineLevel="0" collapsed="false">
      <c r="U122" s="76" t="s">
        <v>474</v>
      </c>
    </row>
    <row r="123" customFormat="false" ht="41.75" hidden="false" customHeight="false" outlineLevel="0" collapsed="false">
      <c r="U123" s="76" t="s">
        <v>475</v>
      </c>
    </row>
    <row r="124" customFormat="false" ht="28.35" hidden="false" customHeight="false" outlineLevel="0" collapsed="false">
      <c r="U124" s="76" t="s">
        <v>476</v>
      </c>
    </row>
    <row r="125" customFormat="false" ht="28.35" hidden="false" customHeight="false" outlineLevel="0" collapsed="false">
      <c r="U125" s="76" t="s">
        <v>449</v>
      </c>
    </row>
    <row r="126" customFormat="false" ht="41.75" hidden="false" customHeight="false" outlineLevel="0" collapsed="false">
      <c r="U126" s="76" t="s">
        <v>477</v>
      </c>
    </row>
    <row r="127" customFormat="false" ht="15" hidden="false" customHeight="false" outlineLevel="0" collapsed="false">
      <c r="U127" s="76" t="s">
        <v>478</v>
      </c>
    </row>
  </sheetData>
  <conditionalFormatting sqref="L2:L90">
    <cfRule type="colorScale" priority="2">
      <colorScale>
        <cfvo type="num" val="-8"/>
        <cfvo type="num" val="0"/>
        <cfvo type="num" val="8"/>
        <color rgb="FFF4B6B6"/>
        <color rgb="FFFFFFFF"/>
        <color rgb="FFB4C7E7"/>
      </colorScale>
    </cfRule>
  </conditionalFormatting>
  <conditionalFormatting sqref="R2:S90">
    <cfRule type="cellIs" priority="3" operator="equal" aboveAverage="0" equalAverage="0" bottom="0" percent="0" rank="0" text="" dxfId="2">
      <formula>"No"</formula>
    </cfRule>
  </conditionalFormatting>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A21"/>
  <sheetViews>
    <sheetView showFormulas="false" showGridLines="true" showRowColHeaders="true" showZeros="true" rightToLeft="false" tabSelected="false" showOutlineSymbols="true" defaultGridColor="true" view="normal" topLeftCell="A1" colorId="64" zoomScale="100" zoomScaleNormal="100" zoomScalePageLayoutView="100" workbookViewId="0">
      <selection pane="topLeft" activeCell="A1" activeCellId="0" sqref="A1"/>
    </sheetView>
  </sheetViews>
  <sheetFormatPr defaultColWidth="8.6796875" defaultRowHeight="15" zeroHeight="false" outlineLevelRow="0" outlineLevelCol="0"/>
  <cols>
    <col collapsed="false" customWidth="true" hidden="false" outlineLevel="0" max="1" min="1" style="0" width="150"/>
  </cols>
  <sheetData>
    <row r="1" customFormat="false" ht="15" hidden="false" customHeight="false" outlineLevel="0" collapsed="false">
      <c r="A1" s="92" t="s">
        <v>481</v>
      </c>
    </row>
    <row r="2" customFormat="false" ht="28.35" hidden="false" customHeight="false" outlineLevel="0" collapsed="false">
      <c r="A2" s="76" t="s">
        <v>482</v>
      </c>
    </row>
    <row r="3" customFormat="false" ht="55.2" hidden="false" customHeight="false" outlineLevel="0" collapsed="false">
      <c r="A3" s="76" t="s">
        <v>483</v>
      </c>
    </row>
    <row r="4" customFormat="false" ht="41.75" hidden="false" customHeight="false" outlineLevel="0" collapsed="false">
      <c r="A4" s="76" t="s">
        <v>484</v>
      </c>
    </row>
    <row r="5" customFormat="false" ht="15" hidden="false" customHeight="false" outlineLevel="0" collapsed="false">
      <c r="A5" s="76" t="s">
        <v>485</v>
      </c>
    </row>
    <row r="6" customFormat="false" ht="41.75" hidden="false" customHeight="false" outlineLevel="0" collapsed="false">
      <c r="A6" s="76" t="s">
        <v>486</v>
      </c>
    </row>
    <row r="7" customFormat="false" ht="41.75" hidden="false" customHeight="false" outlineLevel="0" collapsed="false">
      <c r="A7" s="76" t="s">
        <v>487</v>
      </c>
    </row>
    <row r="8" customFormat="false" ht="41.75" hidden="false" customHeight="false" outlineLevel="0" collapsed="false">
      <c r="A8" s="76" t="s">
        <v>488</v>
      </c>
    </row>
    <row r="9" customFormat="false" ht="15" hidden="false" customHeight="false" outlineLevel="0" collapsed="false">
      <c r="A9" s="76"/>
    </row>
    <row r="10" customFormat="false" ht="15" hidden="false" customHeight="false" outlineLevel="0" collapsed="false">
      <c r="A10" s="92" t="s">
        <v>489</v>
      </c>
    </row>
    <row r="11" customFormat="false" ht="41.75" hidden="false" customHeight="false" outlineLevel="0" collapsed="false">
      <c r="A11" s="76" t="s">
        <v>490</v>
      </c>
    </row>
    <row r="12" customFormat="false" ht="28.35" hidden="false" customHeight="false" outlineLevel="0" collapsed="false">
      <c r="A12" s="76" t="s">
        <v>491</v>
      </c>
    </row>
    <row r="13" customFormat="false" ht="15" hidden="false" customHeight="false" outlineLevel="0" collapsed="false">
      <c r="A13" s="76"/>
    </row>
    <row r="14" customFormat="false" ht="15" hidden="false" customHeight="false" outlineLevel="0" collapsed="false">
      <c r="A14" s="92" t="s">
        <v>492</v>
      </c>
    </row>
    <row r="15" customFormat="false" ht="28.35" hidden="false" customHeight="false" outlineLevel="0" collapsed="false">
      <c r="A15" s="76" t="s">
        <v>493</v>
      </c>
    </row>
    <row r="16" customFormat="false" ht="15" hidden="false" customHeight="false" outlineLevel="0" collapsed="false">
      <c r="A16" s="76"/>
    </row>
    <row r="17" customFormat="false" ht="15" hidden="false" customHeight="false" outlineLevel="0" collapsed="false">
      <c r="A17" s="92" t="s">
        <v>494</v>
      </c>
    </row>
    <row r="18" customFormat="false" ht="28.35" hidden="false" customHeight="false" outlineLevel="0" collapsed="false">
      <c r="A18" s="76" t="s">
        <v>495</v>
      </c>
    </row>
    <row r="19" customFormat="false" ht="41.75" hidden="false" customHeight="false" outlineLevel="0" collapsed="false">
      <c r="A19" s="76" t="s">
        <v>496</v>
      </c>
    </row>
    <row r="20" customFormat="false" ht="15" hidden="false" customHeight="false" outlineLevel="0" collapsed="false">
      <c r="A20" s="76" t="s">
        <v>497</v>
      </c>
    </row>
    <row r="21" customFormat="false" ht="28.35" hidden="false" customHeight="false" outlineLevel="0" collapsed="false">
      <c r="A21" s="76" t="s">
        <v>498</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2026-10-06T11:45:00Z</dcterms:created>
  <dc:creator>openpyxl</dc:creator>
  <dc:description/>
  <dc:language>en-US</dc:language>
  <cp:lastModifiedBy/>
  <dcterms:modified xsi:type="dcterms:W3CDTF">2026-10-06T11:45:01Z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